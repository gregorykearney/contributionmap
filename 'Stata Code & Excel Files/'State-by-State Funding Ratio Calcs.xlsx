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gregkearney/Documents/Spending Project/'Quant Analysis/Additional States/"/>
    </mc:Choice>
  </mc:AlternateContent>
  <xr:revisionPtr revIDLastSave="0" documentId="13_ncr:1_{10558142-C80B-5146-A0C3-0E13A0BC4C89}" xr6:coauthVersionLast="47" xr6:coauthVersionMax="47" xr10:uidLastSave="{00000000-0000-0000-0000-000000000000}"/>
  <bookViews>
    <workbookView xWindow="0" yWindow="-21100" windowWidth="35820" windowHeight="20340" activeTab="1" xr2:uid="{9EF68A97-E72F-5A4F-8C41-64E27FE6639D}"/>
  </bookViews>
  <sheets>
    <sheet name="GASB 67 Data" sheetId="1" r:id="rId1"/>
    <sheet name="Summary" sheetId="4" r:id="rId2"/>
    <sheet name="State Figures" sheetId="3" r:id="rId3"/>
    <sheet name="Treasury Yields" sheetId="2" r:id="rId4"/>
  </sheets>
  <definedNames>
    <definedName name="_xlnm._FilterDatabase" localSheetId="0" hidden="1">'GASB 67 Data'!$A$1:$CJ$465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2" i="4"/>
  <c r="CE467" i="1"/>
  <c r="CE468" i="1"/>
  <c r="CE469" i="1"/>
  <c r="CE470" i="1"/>
  <c r="CE471" i="1"/>
  <c r="CE472" i="1"/>
  <c r="CE473" i="1"/>
  <c r="CE474" i="1"/>
  <c r="CE475" i="1"/>
  <c r="CE476" i="1"/>
  <c r="CE477" i="1"/>
  <c r="CE478" i="1"/>
  <c r="CE479" i="1"/>
  <c r="CE480" i="1"/>
  <c r="CE481" i="1"/>
  <c r="CE482" i="1"/>
  <c r="CE483" i="1"/>
  <c r="CE484" i="1"/>
  <c r="CE485" i="1"/>
  <c r="CE486" i="1"/>
  <c r="CE487" i="1"/>
  <c r="CE488" i="1"/>
  <c r="CE489" i="1"/>
  <c r="CE490" i="1"/>
  <c r="BB459" i="1"/>
  <c r="BB432" i="1"/>
  <c r="CE432" i="1" s="1"/>
  <c r="BB441" i="1"/>
  <c r="BB440" i="1"/>
  <c r="BD328" i="1" l="1"/>
  <c r="BB458" i="1" l="1"/>
  <c r="CE458" i="1" s="1"/>
  <c r="BD458" i="1"/>
  <c r="BF458" i="1" s="1"/>
  <c r="BE458" i="1"/>
  <c r="BG458" i="1" s="1"/>
  <c r="BZ458" i="1"/>
  <c r="CD458" i="1"/>
  <c r="CE459" i="1"/>
  <c r="BD459" i="1"/>
  <c r="BF459" i="1" s="1"/>
  <c r="BE459" i="1"/>
  <c r="BG459" i="1" s="1"/>
  <c r="BZ459" i="1"/>
  <c r="CD459" i="1"/>
  <c r="BB460" i="1"/>
  <c r="CE460" i="1" s="1"/>
  <c r="BD460" i="1"/>
  <c r="BE460" i="1"/>
  <c r="BG460" i="1" s="1"/>
  <c r="BZ460" i="1"/>
  <c r="CD460" i="1"/>
  <c r="BB461" i="1"/>
  <c r="CE461" i="1" s="1"/>
  <c r="BD461" i="1"/>
  <c r="BF461" i="1" s="1"/>
  <c r="BE461" i="1"/>
  <c r="BG461" i="1" s="1"/>
  <c r="BZ461" i="1"/>
  <c r="CD461" i="1"/>
  <c r="BB462" i="1"/>
  <c r="CE462" i="1" s="1"/>
  <c r="BD462" i="1"/>
  <c r="BE462" i="1"/>
  <c r="BZ462" i="1"/>
  <c r="CD462" i="1"/>
  <c r="BB463" i="1"/>
  <c r="CE463" i="1" s="1"/>
  <c r="BD463" i="1"/>
  <c r="BF463" i="1" s="1"/>
  <c r="BE463" i="1"/>
  <c r="BG463" i="1" s="1"/>
  <c r="BZ463" i="1"/>
  <c r="CD463" i="1"/>
  <c r="BB464" i="1"/>
  <c r="CE464" i="1" s="1"/>
  <c r="BD464" i="1"/>
  <c r="BE464" i="1"/>
  <c r="BG464" i="1" s="1"/>
  <c r="BZ464" i="1"/>
  <c r="CD464" i="1"/>
  <c r="BB465" i="1"/>
  <c r="CE465" i="1" s="1"/>
  <c r="BD465" i="1"/>
  <c r="BF465" i="1" s="1"/>
  <c r="BE465" i="1"/>
  <c r="BG465" i="1" s="1"/>
  <c r="BZ465" i="1"/>
  <c r="CD465" i="1"/>
  <c r="BB450" i="1"/>
  <c r="BD450" i="1"/>
  <c r="BE450" i="1"/>
  <c r="BG450" i="1" s="1"/>
  <c r="BF450" i="1"/>
  <c r="BZ450" i="1"/>
  <c r="CD450" i="1"/>
  <c r="CE450" i="1"/>
  <c r="BB451" i="1"/>
  <c r="CE451" i="1" s="1"/>
  <c r="BD451" i="1"/>
  <c r="BE451" i="1"/>
  <c r="BG451" i="1" s="1"/>
  <c r="BF451" i="1"/>
  <c r="BZ451" i="1"/>
  <c r="CD451" i="1"/>
  <c r="BB452" i="1"/>
  <c r="CE452" i="1" s="1"/>
  <c r="BD452" i="1"/>
  <c r="BE452" i="1"/>
  <c r="BG452" i="1" s="1"/>
  <c r="BZ452" i="1"/>
  <c r="CD452" i="1"/>
  <c r="BB453" i="1"/>
  <c r="CE453" i="1" s="1"/>
  <c r="BD453" i="1"/>
  <c r="BE453" i="1"/>
  <c r="BG453" i="1" s="1"/>
  <c r="BZ453" i="1"/>
  <c r="CD453" i="1"/>
  <c r="BB454" i="1"/>
  <c r="CE454" i="1" s="1"/>
  <c r="BD454" i="1"/>
  <c r="BE454" i="1"/>
  <c r="BF454" i="1"/>
  <c r="BG454" i="1"/>
  <c r="BH454" i="1"/>
  <c r="BZ454" i="1"/>
  <c r="CD454" i="1"/>
  <c r="BB455" i="1"/>
  <c r="CE455" i="1" s="1"/>
  <c r="BD455" i="1"/>
  <c r="BF455" i="1" s="1"/>
  <c r="BE455" i="1"/>
  <c r="BG455" i="1" s="1"/>
  <c r="BZ455" i="1"/>
  <c r="CD455" i="1"/>
  <c r="BB456" i="1"/>
  <c r="CE456" i="1" s="1"/>
  <c r="BD456" i="1"/>
  <c r="BE456" i="1"/>
  <c r="BG456" i="1" s="1"/>
  <c r="BZ456" i="1"/>
  <c r="CD456" i="1"/>
  <c r="BB457" i="1"/>
  <c r="CE457" i="1" s="1"/>
  <c r="BD457" i="1"/>
  <c r="BF457" i="1" s="1"/>
  <c r="BE457" i="1"/>
  <c r="BG457" i="1" s="1"/>
  <c r="BZ457" i="1"/>
  <c r="CD457" i="1"/>
  <c r="BB442" i="1"/>
  <c r="CE442" i="1" s="1"/>
  <c r="BD442" i="1"/>
  <c r="BF442" i="1" s="1"/>
  <c r="BE442" i="1"/>
  <c r="BG442" i="1" s="1"/>
  <c r="BZ442" i="1"/>
  <c r="CD442" i="1"/>
  <c r="BB443" i="1"/>
  <c r="CE443" i="1" s="1"/>
  <c r="BD443" i="1"/>
  <c r="BF443" i="1" s="1"/>
  <c r="BE443" i="1"/>
  <c r="BG443" i="1" s="1"/>
  <c r="BZ443" i="1"/>
  <c r="CD443" i="1"/>
  <c r="BB444" i="1"/>
  <c r="CE444" i="1" s="1"/>
  <c r="BD444" i="1"/>
  <c r="BF444" i="1" s="1"/>
  <c r="BE444" i="1"/>
  <c r="BG444" i="1" s="1"/>
  <c r="BZ444" i="1"/>
  <c r="CD444" i="1"/>
  <c r="BB445" i="1"/>
  <c r="CE445" i="1" s="1"/>
  <c r="BD445" i="1"/>
  <c r="BF445" i="1" s="1"/>
  <c r="BE445" i="1"/>
  <c r="BG445" i="1" s="1"/>
  <c r="BZ445" i="1"/>
  <c r="CD445" i="1"/>
  <c r="BB446" i="1"/>
  <c r="CE446" i="1" s="1"/>
  <c r="BD446" i="1"/>
  <c r="BF446" i="1" s="1"/>
  <c r="BE446" i="1"/>
  <c r="BG446" i="1" s="1"/>
  <c r="BZ446" i="1"/>
  <c r="CD446" i="1"/>
  <c r="BB447" i="1"/>
  <c r="CE447" i="1" s="1"/>
  <c r="BD447" i="1"/>
  <c r="BE447" i="1"/>
  <c r="BG447" i="1" s="1"/>
  <c r="BZ447" i="1"/>
  <c r="CD447" i="1"/>
  <c r="BB448" i="1"/>
  <c r="CE448" i="1" s="1"/>
  <c r="BD448" i="1"/>
  <c r="BF448" i="1" s="1"/>
  <c r="BE448" i="1"/>
  <c r="BG448" i="1" s="1"/>
  <c r="BZ448" i="1"/>
  <c r="CD448" i="1"/>
  <c r="BB449" i="1"/>
  <c r="CE449" i="1" s="1"/>
  <c r="BD449" i="1"/>
  <c r="BF449" i="1" s="1"/>
  <c r="BE449" i="1"/>
  <c r="BG449" i="1" s="1"/>
  <c r="BZ449" i="1"/>
  <c r="CD449" i="1"/>
  <c r="BB426" i="1"/>
  <c r="CE426" i="1" s="1"/>
  <c r="BD426" i="1"/>
  <c r="BE426" i="1"/>
  <c r="BG426" i="1" s="1"/>
  <c r="BZ426" i="1"/>
  <c r="CD426" i="1"/>
  <c r="BB427" i="1"/>
  <c r="CE427" i="1" s="1"/>
  <c r="BD427" i="1"/>
  <c r="BF427" i="1" s="1"/>
  <c r="BE427" i="1"/>
  <c r="BG427" i="1" s="1"/>
  <c r="BZ427" i="1"/>
  <c r="CD427" i="1"/>
  <c r="BB428" i="1"/>
  <c r="CE428" i="1" s="1"/>
  <c r="BD428" i="1"/>
  <c r="BE428" i="1"/>
  <c r="BG428" i="1" s="1"/>
  <c r="BZ428" i="1"/>
  <c r="CD428" i="1"/>
  <c r="BB429" i="1"/>
  <c r="CE429" i="1" s="1"/>
  <c r="BD429" i="1"/>
  <c r="BF429" i="1" s="1"/>
  <c r="BE429" i="1"/>
  <c r="BG429" i="1" s="1"/>
  <c r="BZ429" i="1"/>
  <c r="CD429" i="1"/>
  <c r="BB430" i="1"/>
  <c r="CE430" i="1" s="1"/>
  <c r="BD430" i="1"/>
  <c r="BE430" i="1"/>
  <c r="BG430" i="1" s="1"/>
  <c r="BZ430" i="1"/>
  <c r="CD430" i="1"/>
  <c r="BB431" i="1"/>
  <c r="CE431" i="1" s="1"/>
  <c r="BD431" i="1"/>
  <c r="BF431" i="1" s="1"/>
  <c r="BE431" i="1"/>
  <c r="BG431" i="1" s="1"/>
  <c r="BZ431" i="1"/>
  <c r="CD431" i="1"/>
  <c r="BD432" i="1"/>
  <c r="BE432" i="1"/>
  <c r="BG432" i="1" s="1"/>
  <c r="BZ432" i="1"/>
  <c r="CD432" i="1"/>
  <c r="BB433" i="1"/>
  <c r="CE433" i="1" s="1"/>
  <c r="BD433" i="1"/>
  <c r="BF433" i="1" s="1"/>
  <c r="BE433" i="1"/>
  <c r="BG433" i="1" s="1"/>
  <c r="BZ433" i="1"/>
  <c r="CD433" i="1"/>
  <c r="BB434" i="1"/>
  <c r="CE434" i="1" s="1"/>
  <c r="BD434" i="1"/>
  <c r="BF434" i="1" s="1"/>
  <c r="BE434" i="1"/>
  <c r="BG434" i="1" s="1"/>
  <c r="BZ434" i="1"/>
  <c r="CD434" i="1"/>
  <c r="BB435" i="1"/>
  <c r="CE435" i="1" s="1"/>
  <c r="BD435" i="1"/>
  <c r="BF435" i="1" s="1"/>
  <c r="BE435" i="1"/>
  <c r="BG435" i="1" s="1"/>
  <c r="BZ435" i="1"/>
  <c r="CD435" i="1"/>
  <c r="BB436" i="1"/>
  <c r="CE436" i="1" s="1"/>
  <c r="BD436" i="1"/>
  <c r="BE436" i="1"/>
  <c r="BG436" i="1" s="1"/>
  <c r="BZ436" i="1"/>
  <c r="CD436" i="1"/>
  <c r="BB437" i="1"/>
  <c r="CE437" i="1" s="1"/>
  <c r="BD437" i="1"/>
  <c r="BE437" i="1"/>
  <c r="BG437" i="1" s="1"/>
  <c r="BZ437" i="1"/>
  <c r="CD437" i="1"/>
  <c r="BB438" i="1"/>
  <c r="CE438" i="1" s="1"/>
  <c r="BD438" i="1"/>
  <c r="BE438" i="1"/>
  <c r="BG438" i="1" s="1"/>
  <c r="BZ438" i="1"/>
  <c r="CD438" i="1"/>
  <c r="BB439" i="1"/>
  <c r="CE439" i="1" s="1"/>
  <c r="BD439" i="1"/>
  <c r="BE439" i="1"/>
  <c r="BG439" i="1" s="1"/>
  <c r="BZ439" i="1"/>
  <c r="CD439" i="1"/>
  <c r="CE440" i="1"/>
  <c r="BD440" i="1"/>
  <c r="BE440" i="1"/>
  <c r="BG440" i="1" s="1"/>
  <c r="BZ440" i="1"/>
  <c r="CD440" i="1"/>
  <c r="CE441" i="1"/>
  <c r="BD441" i="1"/>
  <c r="BF441" i="1" s="1"/>
  <c r="BE441" i="1"/>
  <c r="BZ441" i="1"/>
  <c r="CD441" i="1"/>
  <c r="BB418" i="1"/>
  <c r="CE418" i="1" s="1"/>
  <c r="BD418" i="1"/>
  <c r="BF418" i="1" s="1"/>
  <c r="BE418" i="1"/>
  <c r="BG418" i="1" s="1"/>
  <c r="BZ418" i="1"/>
  <c r="CD418" i="1"/>
  <c r="BB419" i="1"/>
  <c r="CE419" i="1" s="1"/>
  <c r="BD419" i="1"/>
  <c r="BE419" i="1"/>
  <c r="BG419" i="1" s="1"/>
  <c r="BZ419" i="1"/>
  <c r="CD419" i="1"/>
  <c r="BB420" i="1"/>
  <c r="CE420" i="1" s="1"/>
  <c r="BD420" i="1"/>
  <c r="BE420" i="1"/>
  <c r="BG420" i="1" s="1"/>
  <c r="BZ420" i="1"/>
  <c r="CD420" i="1"/>
  <c r="BB421" i="1"/>
  <c r="CE421" i="1" s="1"/>
  <c r="BD421" i="1"/>
  <c r="BF421" i="1" s="1"/>
  <c r="BE421" i="1"/>
  <c r="BG421" i="1" s="1"/>
  <c r="BZ421" i="1"/>
  <c r="CD421" i="1"/>
  <c r="BB422" i="1"/>
  <c r="CE422" i="1" s="1"/>
  <c r="BD422" i="1"/>
  <c r="BE422" i="1"/>
  <c r="BG422" i="1" s="1"/>
  <c r="BZ422" i="1"/>
  <c r="CD422" i="1"/>
  <c r="BB423" i="1"/>
  <c r="CE423" i="1" s="1"/>
  <c r="BD423" i="1"/>
  <c r="BE423" i="1"/>
  <c r="BG423" i="1" s="1"/>
  <c r="BZ423" i="1"/>
  <c r="CD423" i="1"/>
  <c r="BB424" i="1"/>
  <c r="CE424" i="1" s="1"/>
  <c r="BD424" i="1"/>
  <c r="BE424" i="1"/>
  <c r="BG424" i="1" s="1"/>
  <c r="BZ424" i="1"/>
  <c r="CD424" i="1"/>
  <c r="BB425" i="1"/>
  <c r="CE425" i="1" s="1"/>
  <c r="BD425" i="1"/>
  <c r="BF425" i="1" s="1"/>
  <c r="BE425" i="1"/>
  <c r="BG425" i="1" s="1"/>
  <c r="BZ425" i="1"/>
  <c r="CD425" i="1"/>
  <c r="BB410" i="1"/>
  <c r="CE410" i="1" s="1"/>
  <c r="BD410" i="1"/>
  <c r="BE410" i="1"/>
  <c r="BG410" i="1" s="1"/>
  <c r="BZ410" i="1"/>
  <c r="CD410" i="1"/>
  <c r="BB411" i="1"/>
  <c r="CE411" i="1" s="1"/>
  <c r="BD411" i="1"/>
  <c r="BE411" i="1"/>
  <c r="BG411" i="1" s="1"/>
  <c r="BZ411" i="1"/>
  <c r="CD411" i="1"/>
  <c r="BB412" i="1"/>
  <c r="CE412" i="1" s="1"/>
  <c r="BD412" i="1"/>
  <c r="BF412" i="1" s="1"/>
  <c r="BE412" i="1"/>
  <c r="BG412" i="1" s="1"/>
  <c r="BZ412" i="1"/>
  <c r="CD412" i="1"/>
  <c r="BB413" i="1"/>
  <c r="CE413" i="1" s="1"/>
  <c r="BD413" i="1"/>
  <c r="BF413" i="1" s="1"/>
  <c r="BE413" i="1"/>
  <c r="BG413" i="1" s="1"/>
  <c r="BZ413" i="1"/>
  <c r="CD413" i="1"/>
  <c r="BB414" i="1"/>
  <c r="CE414" i="1" s="1"/>
  <c r="BD414" i="1"/>
  <c r="BF414" i="1" s="1"/>
  <c r="BE414" i="1"/>
  <c r="BG414" i="1" s="1"/>
  <c r="BZ414" i="1"/>
  <c r="CD414" i="1"/>
  <c r="BB415" i="1"/>
  <c r="CE415" i="1" s="1"/>
  <c r="BD415" i="1"/>
  <c r="BE415" i="1"/>
  <c r="BG415" i="1" s="1"/>
  <c r="BZ415" i="1"/>
  <c r="CD415" i="1"/>
  <c r="BB416" i="1"/>
  <c r="CE416" i="1" s="1"/>
  <c r="BD416" i="1"/>
  <c r="BF416" i="1" s="1"/>
  <c r="BE416" i="1"/>
  <c r="BG416" i="1" s="1"/>
  <c r="BZ416" i="1"/>
  <c r="CD416" i="1"/>
  <c r="BB417" i="1"/>
  <c r="CE417" i="1" s="1"/>
  <c r="BD417" i="1"/>
  <c r="BF417" i="1" s="1"/>
  <c r="BE417" i="1"/>
  <c r="BG417" i="1" s="1"/>
  <c r="BZ417" i="1"/>
  <c r="CD417" i="1"/>
  <c r="BB394" i="1"/>
  <c r="CE394" i="1" s="1"/>
  <c r="BD394" i="1"/>
  <c r="BF394" i="1" s="1"/>
  <c r="BE394" i="1"/>
  <c r="BG394" i="1" s="1"/>
  <c r="BZ394" i="1"/>
  <c r="CD394" i="1"/>
  <c r="BB395" i="1"/>
  <c r="CE395" i="1" s="1"/>
  <c r="BD395" i="1"/>
  <c r="BE395" i="1"/>
  <c r="BG395" i="1" s="1"/>
  <c r="BZ395" i="1"/>
  <c r="CD395" i="1"/>
  <c r="BB396" i="1"/>
  <c r="CE396" i="1" s="1"/>
  <c r="BD396" i="1"/>
  <c r="BE396" i="1"/>
  <c r="BG396" i="1" s="1"/>
  <c r="BZ396" i="1"/>
  <c r="CD396" i="1"/>
  <c r="BB397" i="1"/>
  <c r="CE397" i="1" s="1"/>
  <c r="BD397" i="1"/>
  <c r="BF397" i="1" s="1"/>
  <c r="BE397" i="1"/>
  <c r="BG397" i="1" s="1"/>
  <c r="BZ397" i="1"/>
  <c r="CD397" i="1"/>
  <c r="BB398" i="1"/>
  <c r="CE398" i="1" s="1"/>
  <c r="BD398" i="1"/>
  <c r="BE398" i="1"/>
  <c r="BG398" i="1" s="1"/>
  <c r="BZ398" i="1"/>
  <c r="CD398" i="1"/>
  <c r="BB399" i="1"/>
  <c r="CE399" i="1" s="1"/>
  <c r="BD399" i="1"/>
  <c r="BF399" i="1" s="1"/>
  <c r="BE399" i="1"/>
  <c r="BG399" i="1" s="1"/>
  <c r="BZ399" i="1"/>
  <c r="CD399" i="1"/>
  <c r="BB400" i="1"/>
  <c r="CE400" i="1" s="1"/>
  <c r="BD400" i="1"/>
  <c r="BE400" i="1"/>
  <c r="BG400" i="1" s="1"/>
  <c r="BZ400" i="1"/>
  <c r="CD400" i="1"/>
  <c r="BB401" i="1"/>
  <c r="CE401" i="1" s="1"/>
  <c r="BD401" i="1"/>
  <c r="BF401" i="1" s="1"/>
  <c r="BE401" i="1"/>
  <c r="BG401" i="1" s="1"/>
  <c r="BZ401" i="1"/>
  <c r="CD401" i="1"/>
  <c r="BB402" i="1"/>
  <c r="CE402" i="1" s="1"/>
  <c r="BD402" i="1"/>
  <c r="BF402" i="1" s="1"/>
  <c r="BE402" i="1"/>
  <c r="BG402" i="1" s="1"/>
  <c r="BZ402" i="1"/>
  <c r="CD402" i="1"/>
  <c r="BB403" i="1"/>
  <c r="CE403" i="1" s="1"/>
  <c r="BD403" i="1"/>
  <c r="BF403" i="1" s="1"/>
  <c r="BE403" i="1"/>
  <c r="BG403" i="1" s="1"/>
  <c r="BZ403" i="1"/>
  <c r="CD403" i="1"/>
  <c r="BB404" i="1"/>
  <c r="CE404" i="1" s="1"/>
  <c r="BD404" i="1"/>
  <c r="BE404" i="1"/>
  <c r="BG404" i="1" s="1"/>
  <c r="BZ404" i="1"/>
  <c r="CD404" i="1"/>
  <c r="BB405" i="1"/>
  <c r="CE405" i="1" s="1"/>
  <c r="BD405" i="1"/>
  <c r="BF405" i="1" s="1"/>
  <c r="BE405" i="1"/>
  <c r="BG405" i="1" s="1"/>
  <c r="BZ405" i="1"/>
  <c r="CD405" i="1"/>
  <c r="BB406" i="1"/>
  <c r="CE406" i="1" s="1"/>
  <c r="BD406" i="1"/>
  <c r="BE406" i="1"/>
  <c r="BG406" i="1" s="1"/>
  <c r="BZ406" i="1"/>
  <c r="CD406" i="1"/>
  <c r="BB407" i="1"/>
  <c r="CE407" i="1" s="1"/>
  <c r="BD407" i="1"/>
  <c r="BE407" i="1"/>
  <c r="BG407" i="1" s="1"/>
  <c r="BZ407" i="1"/>
  <c r="CD407" i="1"/>
  <c r="BB408" i="1"/>
  <c r="CE408" i="1" s="1"/>
  <c r="BD408" i="1"/>
  <c r="BE408" i="1"/>
  <c r="BG408" i="1" s="1"/>
  <c r="BZ408" i="1"/>
  <c r="CD408" i="1"/>
  <c r="BB409" i="1"/>
  <c r="CE409" i="1" s="1"/>
  <c r="BD409" i="1"/>
  <c r="BF409" i="1" s="1"/>
  <c r="BE409" i="1"/>
  <c r="BG409" i="1" s="1"/>
  <c r="BZ409" i="1"/>
  <c r="CD409" i="1"/>
  <c r="BB386" i="1"/>
  <c r="CE386" i="1" s="1"/>
  <c r="BD386" i="1"/>
  <c r="BF386" i="1" s="1"/>
  <c r="BE386" i="1"/>
  <c r="BG386" i="1" s="1"/>
  <c r="BZ386" i="1"/>
  <c r="CD386" i="1"/>
  <c r="BB387" i="1"/>
  <c r="CE387" i="1" s="1"/>
  <c r="BD387" i="1"/>
  <c r="BE387" i="1"/>
  <c r="BG387" i="1" s="1"/>
  <c r="BZ387" i="1"/>
  <c r="CD387" i="1"/>
  <c r="BB388" i="1"/>
  <c r="CE388" i="1" s="1"/>
  <c r="BD388" i="1"/>
  <c r="BE388" i="1"/>
  <c r="BG388" i="1" s="1"/>
  <c r="BZ388" i="1"/>
  <c r="CD388" i="1"/>
  <c r="BB389" i="1"/>
  <c r="CE389" i="1" s="1"/>
  <c r="BD389" i="1"/>
  <c r="BF389" i="1" s="1"/>
  <c r="BE389" i="1"/>
  <c r="BG389" i="1" s="1"/>
  <c r="BZ389" i="1"/>
  <c r="CD389" i="1"/>
  <c r="BB390" i="1"/>
  <c r="CE390" i="1" s="1"/>
  <c r="BD390" i="1"/>
  <c r="BE390" i="1"/>
  <c r="BG390" i="1" s="1"/>
  <c r="BZ390" i="1"/>
  <c r="CD390" i="1"/>
  <c r="BB391" i="1"/>
  <c r="CE391" i="1" s="1"/>
  <c r="BD391" i="1"/>
  <c r="BE391" i="1"/>
  <c r="BG391" i="1" s="1"/>
  <c r="BZ391" i="1"/>
  <c r="CD391" i="1"/>
  <c r="BB392" i="1"/>
  <c r="CE392" i="1" s="1"/>
  <c r="BD392" i="1"/>
  <c r="BE392" i="1"/>
  <c r="BG392" i="1" s="1"/>
  <c r="BZ392" i="1"/>
  <c r="CD392" i="1"/>
  <c r="BB393" i="1"/>
  <c r="CE393" i="1" s="1"/>
  <c r="BD393" i="1"/>
  <c r="BE393" i="1"/>
  <c r="BG393" i="1" s="1"/>
  <c r="BZ393" i="1"/>
  <c r="CD393" i="1"/>
  <c r="BB370" i="1"/>
  <c r="CE370" i="1" s="1"/>
  <c r="BD370" i="1"/>
  <c r="BF370" i="1" s="1"/>
  <c r="BE370" i="1"/>
  <c r="BG370" i="1" s="1"/>
  <c r="BZ370" i="1"/>
  <c r="CD370" i="1"/>
  <c r="BB371" i="1"/>
  <c r="CE371" i="1" s="1"/>
  <c r="BD371" i="1"/>
  <c r="BE371" i="1"/>
  <c r="BG371" i="1" s="1"/>
  <c r="BZ371" i="1"/>
  <c r="CD371" i="1"/>
  <c r="BB372" i="1"/>
  <c r="CE372" i="1" s="1"/>
  <c r="BD372" i="1"/>
  <c r="BE372" i="1"/>
  <c r="BG372" i="1" s="1"/>
  <c r="BZ372" i="1"/>
  <c r="CD372" i="1"/>
  <c r="BB373" i="1"/>
  <c r="CE373" i="1" s="1"/>
  <c r="BD373" i="1"/>
  <c r="BF373" i="1" s="1"/>
  <c r="BE373" i="1"/>
  <c r="BG373" i="1" s="1"/>
  <c r="BZ373" i="1"/>
  <c r="CD373" i="1"/>
  <c r="BB374" i="1"/>
  <c r="CE374" i="1" s="1"/>
  <c r="BD374" i="1"/>
  <c r="BF374" i="1" s="1"/>
  <c r="BE374" i="1"/>
  <c r="BG374" i="1" s="1"/>
  <c r="BZ374" i="1"/>
  <c r="CD374" i="1"/>
  <c r="BB375" i="1"/>
  <c r="CE375" i="1" s="1"/>
  <c r="BD375" i="1"/>
  <c r="BF375" i="1" s="1"/>
  <c r="BE375" i="1"/>
  <c r="BG375" i="1" s="1"/>
  <c r="BZ375" i="1"/>
  <c r="CD375" i="1"/>
  <c r="BB376" i="1"/>
  <c r="CE376" i="1" s="1"/>
  <c r="BD376" i="1"/>
  <c r="BE376" i="1"/>
  <c r="BG376" i="1" s="1"/>
  <c r="BZ376" i="1"/>
  <c r="CD376" i="1"/>
  <c r="BB377" i="1"/>
  <c r="CE377" i="1" s="1"/>
  <c r="BD377" i="1"/>
  <c r="BF377" i="1" s="1"/>
  <c r="BE377" i="1"/>
  <c r="BG377" i="1" s="1"/>
  <c r="BZ377" i="1"/>
  <c r="CD377" i="1"/>
  <c r="BB378" i="1"/>
  <c r="CE378" i="1" s="1"/>
  <c r="BD378" i="1"/>
  <c r="BF378" i="1" s="1"/>
  <c r="BE378" i="1"/>
  <c r="BG378" i="1" s="1"/>
  <c r="BZ378" i="1"/>
  <c r="CD378" i="1"/>
  <c r="BB379" i="1"/>
  <c r="CE379" i="1" s="1"/>
  <c r="BD379" i="1"/>
  <c r="BF379" i="1" s="1"/>
  <c r="BE379" i="1"/>
  <c r="BZ379" i="1"/>
  <c r="CD379" i="1"/>
  <c r="BB380" i="1"/>
  <c r="CE380" i="1" s="1"/>
  <c r="BD380" i="1"/>
  <c r="BE380" i="1"/>
  <c r="BG380" i="1" s="1"/>
  <c r="BZ380" i="1"/>
  <c r="CD380" i="1"/>
  <c r="BB381" i="1"/>
  <c r="CE381" i="1" s="1"/>
  <c r="BD381" i="1"/>
  <c r="BE381" i="1"/>
  <c r="BG381" i="1" s="1"/>
  <c r="BZ381" i="1"/>
  <c r="CD381" i="1"/>
  <c r="BB382" i="1"/>
  <c r="CE382" i="1" s="1"/>
  <c r="BD382" i="1"/>
  <c r="BF382" i="1" s="1"/>
  <c r="BE382" i="1"/>
  <c r="BG382" i="1" s="1"/>
  <c r="BZ382" i="1"/>
  <c r="CD382" i="1"/>
  <c r="BB383" i="1"/>
  <c r="CE383" i="1" s="1"/>
  <c r="BD383" i="1"/>
  <c r="BE383" i="1"/>
  <c r="BG383" i="1" s="1"/>
  <c r="BZ383" i="1"/>
  <c r="CD383" i="1"/>
  <c r="BB384" i="1"/>
  <c r="CE384" i="1" s="1"/>
  <c r="BD384" i="1"/>
  <c r="BE384" i="1"/>
  <c r="BG384" i="1" s="1"/>
  <c r="BZ384" i="1"/>
  <c r="CD384" i="1"/>
  <c r="BB385" i="1"/>
  <c r="CE385" i="1" s="1"/>
  <c r="BD385" i="1"/>
  <c r="BE385" i="1"/>
  <c r="BG385" i="1" s="1"/>
  <c r="BZ385" i="1"/>
  <c r="CD385" i="1"/>
  <c r="BE368" i="1"/>
  <c r="BE369" i="1"/>
  <c r="BG369" i="1" s="1"/>
  <c r="BD368" i="1"/>
  <c r="BB362" i="1"/>
  <c r="CE362" i="1" s="1"/>
  <c r="BD362" i="1"/>
  <c r="BF362" i="1" s="1"/>
  <c r="BE362" i="1"/>
  <c r="BG362" i="1" s="1"/>
  <c r="BZ362" i="1"/>
  <c r="CD362" i="1"/>
  <c r="BB363" i="1"/>
  <c r="CE363" i="1" s="1"/>
  <c r="BD363" i="1"/>
  <c r="BE363" i="1"/>
  <c r="BG363" i="1" s="1"/>
  <c r="BZ363" i="1"/>
  <c r="CD363" i="1"/>
  <c r="BB364" i="1"/>
  <c r="CE364" i="1" s="1"/>
  <c r="BD364" i="1"/>
  <c r="BF364" i="1" s="1"/>
  <c r="BE364" i="1"/>
  <c r="BG364" i="1" s="1"/>
  <c r="BZ364" i="1"/>
  <c r="CD364" i="1"/>
  <c r="BB365" i="1"/>
  <c r="CE365" i="1" s="1"/>
  <c r="BD365" i="1"/>
  <c r="BE365" i="1"/>
  <c r="BG365" i="1" s="1"/>
  <c r="BZ365" i="1"/>
  <c r="CD365" i="1"/>
  <c r="BB366" i="1"/>
  <c r="CE366" i="1" s="1"/>
  <c r="BD366" i="1"/>
  <c r="BF366" i="1" s="1"/>
  <c r="BE366" i="1"/>
  <c r="BZ366" i="1"/>
  <c r="CD366" i="1"/>
  <c r="BB367" i="1"/>
  <c r="CE367" i="1" s="1"/>
  <c r="BD367" i="1"/>
  <c r="BE367" i="1"/>
  <c r="BG367" i="1" s="1"/>
  <c r="BZ367" i="1"/>
  <c r="CD367" i="1"/>
  <c r="BB368" i="1"/>
  <c r="CE368" i="1" s="1"/>
  <c r="BZ368" i="1"/>
  <c r="CD368" i="1"/>
  <c r="BB369" i="1"/>
  <c r="CE369" i="1" s="1"/>
  <c r="BD369" i="1"/>
  <c r="BZ369" i="1"/>
  <c r="CD369" i="1"/>
  <c r="BB354" i="1"/>
  <c r="CE354" i="1" s="1"/>
  <c r="BD354" i="1"/>
  <c r="BE354" i="1"/>
  <c r="BG354" i="1" s="1"/>
  <c r="BZ354" i="1"/>
  <c r="CD354" i="1"/>
  <c r="BB355" i="1"/>
  <c r="CE355" i="1" s="1"/>
  <c r="BD355" i="1"/>
  <c r="BE355" i="1"/>
  <c r="BG355" i="1" s="1"/>
  <c r="BZ355" i="1"/>
  <c r="CD355" i="1"/>
  <c r="BB356" i="1"/>
  <c r="CE356" i="1" s="1"/>
  <c r="BD356" i="1"/>
  <c r="BE356" i="1"/>
  <c r="BG356" i="1" s="1"/>
  <c r="BZ356" i="1"/>
  <c r="CD356" i="1"/>
  <c r="BB357" i="1"/>
  <c r="CE357" i="1" s="1"/>
  <c r="BD357" i="1"/>
  <c r="BF357" i="1" s="1"/>
  <c r="BE357" i="1"/>
  <c r="BG357" i="1" s="1"/>
  <c r="BZ357" i="1"/>
  <c r="CD357" i="1"/>
  <c r="BB358" i="1"/>
  <c r="CE358" i="1" s="1"/>
  <c r="BD358" i="1"/>
  <c r="BF358" i="1" s="1"/>
  <c r="BE358" i="1"/>
  <c r="BG358" i="1" s="1"/>
  <c r="BZ358" i="1"/>
  <c r="CD358" i="1"/>
  <c r="BB359" i="1"/>
  <c r="CE359" i="1" s="1"/>
  <c r="BD359" i="1"/>
  <c r="BE359" i="1"/>
  <c r="BG359" i="1" s="1"/>
  <c r="BZ359" i="1"/>
  <c r="CD359" i="1"/>
  <c r="BB360" i="1"/>
  <c r="CE360" i="1" s="1"/>
  <c r="BD360" i="1"/>
  <c r="BF360" i="1" s="1"/>
  <c r="BE360" i="1"/>
  <c r="BG360" i="1" s="1"/>
  <c r="BZ360" i="1"/>
  <c r="CD360" i="1"/>
  <c r="BB361" i="1"/>
  <c r="CE361" i="1" s="1"/>
  <c r="BD361" i="1"/>
  <c r="BF361" i="1" s="1"/>
  <c r="BE361" i="1"/>
  <c r="BG361" i="1" s="1"/>
  <c r="BZ361" i="1"/>
  <c r="CD361" i="1"/>
  <c r="BB346" i="1"/>
  <c r="CE346" i="1" s="1"/>
  <c r="BD346" i="1"/>
  <c r="BE346" i="1"/>
  <c r="BG346" i="1" s="1"/>
  <c r="BZ346" i="1"/>
  <c r="CD346" i="1"/>
  <c r="BB347" i="1"/>
  <c r="CE347" i="1" s="1"/>
  <c r="BD347" i="1"/>
  <c r="BE347" i="1"/>
  <c r="BG347" i="1" s="1"/>
  <c r="BZ347" i="1"/>
  <c r="CD347" i="1"/>
  <c r="BB348" i="1"/>
  <c r="CE348" i="1" s="1"/>
  <c r="BD348" i="1"/>
  <c r="BE348" i="1"/>
  <c r="BG348" i="1" s="1"/>
  <c r="BZ348" i="1"/>
  <c r="CD348" i="1"/>
  <c r="BB349" i="1"/>
  <c r="CE349" i="1" s="1"/>
  <c r="BD349" i="1"/>
  <c r="BF349" i="1" s="1"/>
  <c r="BE349" i="1"/>
  <c r="BG349" i="1" s="1"/>
  <c r="BZ349" i="1"/>
  <c r="CD349" i="1"/>
  <c r="BB350" i="1"/>
  <c r="CE350" i="1" s="1"/>
  <c r="BD350" i="1"/>
  <c r="BF350" i="1" s="1"/>
  <c r="BE350" i="1"/>
  <c r="BG350" i="1" s="1"/>
  <c r="BZ350" i="1"/>
  <c r="CD350" i="1"/>
  <c r="BB351" i="1"/>
  <c r="CE351" i="1" s="1"/>
  <c r="BD351" i="1"/>
  <c r="BF351" i="1" s="1"/>
  <c r="BE351" i="1"/>
  <c r="BG351" i="1" s="1"/>
  <c r="BZ351" i="1"/>
  <c r="CD351" i="1"/>
  <c r="BB352" i="1"/>
  <c r="CE352" i="1" s="1"/>
  <c r="BD352" i="1"/>
  <c r="BE352" i="1"/>
  <c r="BG352" i="1" s="1"/>
  <c r="BZ352" i="1"/>
  <c r="CD352" i="1"/>
  <c r="BB353" i="1"/>
  <c r="CE353" i="1" s="1"/>
  <c r="BD353" i="1"/>
  <c r="BE353" i="1"/>
  <c r="BG353" i="1" s="1"/>
  <c r="BZ353" i="1"/>
  <c r="CD353" i="1"/>
  <c r="BB338" i="1"/>
  <c r="CE338" i="1" s="1"/>
  <c r="BD338" i="1"/>
  <c r="BF338" i="1" s="1"/>
  <c r="BE338" i="1"/>
  <c r="BG338" i="1" s="1"/>
  <c r="BZ338" i="1"/>
  <c r="CD338" i="1"/>
  <c r="BB339" i="1"/>
  <c r="CE339" i="1" s="1"/>
  <c r="BD339" i="1"/>
  <c r="BE339" i="1"/>
  <c r="BG339" i="1" s="1"/>
  <c r="BZ339" i="1"/>
  <c r="CD339" i="1"/>
  <c r="BB340" i="1"/>
  <c r="CE340" i="1" s="1"/>
  <c r="BD340" i="1"/>
  <c r="BF340" i="1" s="1"/>
  <c r="BE340" i="1"/>
  <c r="BG340" i="1" s="1"/>
  <c r="BZ340" i="1"/>
  <c r="CD340" i="1"/>
  <c r="BB341" i="1"/>
  <c r="CE341" i="1" s="1"/>
  <c r="BD341" i="1"/>
  <c r="BF341" i="1" s="1"/>
  <c r="BE341" i="1"/>
  <c r="BG341" i="1" s="1"/>
  <c r="BZ341" i="1"/>
  <c r="CD341" i="1"/>
  <c r="BB342" i="1"/>
  <c r="CE342" i="1" s="1"/>
  <c r="BD342" i="1"/>
  <c r="BE342" i="1"/>
  <c r="BG342" i="1" s="1"/>
  <c r="BZ342" i="1"/>
  <c r="CD342" i="1"/>
  <c r="BB343" i="1"/>
  <c r="CE343" i="1" s="1"/>
  <c r="BD343" i="1"/>
  <c r="BE343" i="1"/>
  <c r="BG343" i="1" s="1"/>
  <c r="BZ343" i="1"/>
  <c r="CD343" i="1"/>
  <c r="BB344" i="1"/>
  <c r="CE344" i="1" s="1"/>
  <c r="BD344" i="1"/>
  <c r="BE344" i="1"/>
  <c r="BG344" i="1" s="1"/>
  <c r="BZ344" i="1"/>
  <c r="CD344" i="1"/>
  <c r="BB345" i="1"/>
  <c r="CE345" i="1" s="1"/>
  <c r="BD345" i="1"/>
  <c r="BF345" i="1" s="1"/>
  <c r="BE345" i="1"/>
  <c r="BG345" i="1" s="1"/>
  <c r="BZ345" i="1"/>
  <c r="CD345" i="1"/>
  <c r="BB330" i="1"/>
  <c r="CE330" i="1" s="1"/>
  <c r="BD330" i="1"/>
  <c r="BF330" i="1" s="1"/>
  <c r="BE330" i="1"/>
  <c r="BG330" i="1" s="1"/>
  <c r="BZ330" i="1"/>
  <c r="CD330" i="1"/>
  <c r="BB331" i="1"/>
  <c r="CE331" i="1" s="1"/>
  <c r="BD331" i="1"/>
  <c r="BF331" i="1" s="1"/>
  <c r="BE331" i="1"/>
  <c r="BG331" i="1" s="1"/>
  <c r="BZ331" i="1"/>
  <c r="CD331" i="1"/>
  <c r="BB332" i="1"/>
  <c r="CE332" i="1" s="1"/>
  <c r="BD332" i="1"/>
  <c r="BE332" i="1"/>
  <c r="BG332" i="1" s="1"/>
  <c r="BZ332" i="1"/>
  <c r="CD332" i="1"/>
  <c r="BB333" i="1"/>
  <c r="CE333" i="1" s="1"/>
  <c r="BD333" i="1"/>
  <c r="BF333" i="1" s="1"/>
  <c r="BE333" i="1"/>
  <c r="BG333" i="1" s="1"/>
  <c r="BZ333" i="1"/>
  <c r="CD333" i="1"/>
  <c r="BB334" i="1"/>
  <c r="CE334" i="1" s="1"/>
  <c r="BD334" i="1"/>
  <c r="BF334" i="1" s="1"/>
  <c r="BE334" i="1"/>
  <c r="BG334" i="1" s="1"/>
  <c r="BZ334" i="1"/>
  <c r="CD334" i="1"/>
  <c r="BB335" i="1"/>
  <c r="CE335" i="1" s="1"/>
  <c r="BD335" i="1"/>
  <c r="BF335" i="1" s="1"/>
  <c r="BE335" i="1"/>
  <c r="BG335" i="1" s="1"/>
  <c r="BZ335" i="1"/>
  <c r="CD335" i="1"/>
  <c r="BB336" i="1"/>
  <c r="CE336" i="1" s="1"/>
  <c r="BD336" i="1"/>
  <c r="BF336" i="1" s="1"/>
  <c r="BE336" i="1"/>
  <c r="BG336" i="1" s="1"/>
  <c r="BZ336" i="1"/>
  <c r="CD336" i="1"/>
  <c r="BB337" i="1"/>
  <c r="CE337" i="1" s="1"/>
  <c r="BD337" i="1"/>
  <c r="BF337" i="1" s="1"/>
  <c r="BE337" i="1"/>
  <c r="BG337" i="1" s="1"/>
  <c r="BZ337" i="1"/>
  <c r="CD337" i="1"/>
  <c r="BB322" i="1"/>
  <c r="CE322" i="1" s="1"/>
  <c r="BD322" i="1"/>
  <c r="BE322" i="1"/>
  <c r="BG322" i="1" s="1"/>
  <c r="BZ322" i="1"/>
  <c r="CD322" i="1"/>
  <c r="BB323" i="1"/>
  <c r="CE323" i="1" s="1"/>
  <c r="BD323" i="1"/>
  <c r="BE323" i="1"/>
  <c r="BG323" i="1" s="1"/>
  <c r="BZ323" i="1"/>
  <c r="CD323" i="1"/>
  <c r="BB324" i="1"/>
  <c r="CE324" i="1" s="1"/>
  <c r="BD324" i="1"/>
  <c r="BE324" i="1"/>
  <c r="BG324" i="1" s="1"/>
  <c r="BZ324" i="1"/>
  <c r="CD324" i="1"/>
  <c r="BB325" i="1"/>
  <c r="CE325" i="1" s="1"/>
  <c r="BD325" i="1"/>
  <c r="BF325" i="1" s="1"/>
  <c r="BE325" i="1"/>
  <c r="BG325" i="1" s="1"/>
  <c r="BZ325" i="1"/>
  <c r="CD325" i="1"/>
  <c r="BB326" i="1"/>
  <c r="CE326" i="1" s="1"/>
  <c r="BD326" i="1"/>
  <c r="BF326" i="1" s="1"/>
  <c r="BE326" i="1"/>
  <c r="BZ326" i="1"/>
  <c r="CD326" i="1"/>
  <c r="BB327" i="1"/>
  <c r="CE327" i="1" s="1"/>
  <c r="BD327" i="1"/>
  <c r="BE327" i="1"/>
  <c r="BG327" i="1" s="1"/>
  <c r="BZ327" i="1"/>
  <c r="CD327" i="1"/>
  <c r="BB328" i="1"/>
  <c r="CE328" i="1" s="1"/>
  <c r="BE328" i="1"/>
  <c r="BG328" i="1" s="1"/>
  <c r="BZ328" i="1"/>
  <c r="CD328" i="1"/>
  <c r="BB329" i="1"/>
  <c r="CE329" i="1" s="1"/>
  <c r="BD329" i="1"/>
  <c r="BF329" i="1" s="1"/>
  <c r="BE329" i="1"/>
  <c r="BG329" i="1" s="1"/>
  <c r="BZ329" i="1"/>
  <c r="CD329" i="1"/>
  <c r="BZ316" i="1"/>
  <c r="BB314" i="1"/>
  <c r="CE314" i="1" s="1"/>
  <c r="BD314" i="1"/>
  <c r="BF314" i="1" s="1"/>
  <c r="BE314" i="1"/>
  <c r="BZ314" i="1"/>
  <c r="CD314" i="1"/>
  <c r="BB315" i="1"/>
  <c r="CE315" i="1" s="1"/>
  <c r="BD315" i="1"/>
  <c r="BF315" i="1" s="1"/>
  <c r="BE315" i="1"/>
  <c r="BG315" i="1" s="1"/>
  <c r="BZ315" i="1"/>
  <c r="CD315" i="1"/>
  <c r="BB316" i="1"/>
  <c r="CE316" i="1" s="1"/>
  <c r="BD316" i="1"/>
  <c r="BE316" i="1"/>
  <c r="BG316" i="1" s="1"/>
  <c r="CD316" i="1"/>
  <c r="BB317" i="1"/>
  <c r="CE317" i="1" s="1"/>
  <c r="BD317" i="1"/>
  <c r="BE317" i="1"/>
  <c r="BG317" i="1" s="1"/>
  <c r="BZ317" i="1"/>
  <c r="CD317" i="1"/>
  <c r="BB318" i="1"/>
  <c r="CE318" i="1" s="1"/>
  <c r="BD318" i="1"/>
  <c r="BE318" i="1"/>
  <c r="BG318" i="1" s="1"/>
  <c r="BZ318" i="1"/>
  <c r="CD318" i="1"/>
  <c r="BB319" i="1"/>
  <c r="CE319" i="1" s="1"/>
  <c r="BD319" i="1"/>
  <c r="BF319" i="1" s="1"/>
  <c r="BE319" i="1"/>
  <c r="BG319" i="1" s="1"/>
  <c r="BZ319" i="1"/>
  <c r="CD319" i="1"/>
  <c r="BB320" i="1"/>
  <c r="CE320" i="1" s="1"/>
  <c r="BD320" i="1"/>
  <c r="BE320" i="1"/>
  <c r="BG320" i="1" s="1"/>
  <c r="BZ320" i="1"/>
  <c r="CD320" i="1"/>
  <c r="BB321" i="1"/>
  <c r="CE321" i="1" s="1"/>
  <c r="BD321" i="1"/>
  <c r="BE321" i="1"/>
  <c r="BZ321" i="1"/>
  <c r="CD321" i="1"/>
  <c r="BD313" i="1"/>
  <c r="BB306" i="1"/>
  <c r="CE306" i="1" s="1"/>
  <c r="BD306" i="1"/>
  <c r="BE306" i="1"/>
  <c r="BG306" i="1" s="1"/>
  <c r="BZ306" i="1"/>
  <c r="CD306" i="1"/>
  <c r="BB307" i="1"/>
  <c r="CE307" i="1" s="1"/>
  <c r="BD307" i="1"/>
  <c r="BE307" i="1"/>
  <c r="BG307" i="1" s="1"/>
  <c r="BZ307" i="1"/>
  <c r="CD307" i="1"/>
  <c r="BB308" i="1"/>
  <c r="CE308" i="1" s="1"/>
  <c r="BD308" i="1"/>
  <c r="BE308" i="1"/>
  <c r="BG308" i="1" s="1"/>
  <c r="BZ308" i="1"/>
  <c r="CD308" i="1"/>
  <c r="BB309" i="1"/>
  <c r="CE309" i="1" s="1"/>
  <c r="BD309" i="1"/>
  <c r="BE309" i="1"/>
  <c r="BG309" i="1" s="1"/>
  <c r="BZ309" i="1"/>
  <c r="CD309" i="1"/>
  <c r="BB310" i="1"/>
  <c r="CE310" i="1" s="1"/>
  <c r="BD310" i="1"/>
  <c r="BF310" i="1" s="1"/>
  <c r="BE310" i="1"/>
  <c r="BG310" i="1" s="1"/>
  <c r="BZ310" i="1"/>
  <c r="CD310" i="1"/>
  <c r="BB311" i="1"/>
  <c r="CE311" i="1" s="1"/>
  <c r="BD311" i="1"/>
  <c r="BE311" i="1"/>
  <c r="BG311" i="1" s="1"/>
  <c r="BZ311" i="1"/>
  <c r="CD311" i="1"/>
  <c r="BB312" i="1"/>
  <c r="CE312" i="1" s="1"/>
  <c r="BD312" i="1"/>
  <c r="BF312" i="1" s="1"/>
  <c r="BE312" i="1"/>
  <c r="BG312" i="1" s="1"/>
  <c r="BZ312" i="1"/>
  <c r="CD312" i="1"/>
  <c r="BB313" i="1"/>
  <c r="CE313" i="1" s="1"/>
  <c r="BE313" i="1"/>
  <c r="BG313" i="1" s="1"/>
  <c r="BZ313" i="1"/>
  <c r="CD313" i="1"/>
  <c r="BB298" i="1"/>
  <c r="CE298" i="1" s="1"/>
  <c r="BD298" i="1"/>
  <c r="BF298" i="1" s="1"/>
  <c r="BE298" i="1"/>
  <c r="BG298" i="1" s="1"/>
  <c r="BZ298" i="1"/>
  <c r="CD298" i="1"/>
  <c r="BB299" i="1"/>
  <c r="CE299" i="1" s="1"/>
  <c r="BD299" i="1"/>
  <c r="BF299" i="1" s="1"/>
  <c r="BE299" i="1"/>
  <c r="BG299" i="1" s="1"/>
  <c r="BZ299" i="1"/>
  <c r="CD299" i="1"/>
  <c r="BB300" i="1"/>
  <c r="CE300" i="1" s="1"/>
  <c r="BD300" i="1"/>
  <c r="BF300" i="1" s="1"/>
  <c r="BE300" i="1"/>
  <c r="BZ300" i="1"/>
  <c r="CD300" i="1"/>
  <c r="BB301" i="1"/>
  <c r="CE301" i="1" s="1"/>
  <c r="BD301" i="1"/>
  <c r="BF301" i="1" s="1"/>
  <c r="BE301" i="1"/>
  <c r="BG301" i="1" s="1"/>
  <c r="BZ301" i="1"/>
  <c r="CD301" i="1"/>
  <c r="BB302" i="1"/>
  <c r="CE302" i="1" s="1"/>
  <c r="BD302" i="1"/>
  <c r="BF302" i="1" s="1"/>
  <c r="BE302" i="1"/>
  <c r="BG302" i="1" s="1"/>
  <c r="BZ302" i="1"/>
  <c r="CD302" i="1"/>
  <c r="BB303" i="1"/>
  <c r="CE303" i="1" s="1"/>
  <c r="BD303" i="1"/>
  <c r="BE303" i="1"/>
  <c r="BG303" i="1" s="1"/>
  <c r="BZ303" i="1"/>
  <c r="CD303" i="1"/>
  <c r="BB304" i="1"/>
  <c r="CE304" i="1" s="1"/>
  <c r="BD304" i="1"/>
  <c r="BE304" i="1"/>
  <c r="BG304" i="1" s="1"/>
  <c r="BZ304" i="1"/>
  <c r="CD304" i="1"/>
  <c r="BB305" i="1"/>
  <c r="CE305" i="1" s="1"/>
  <c r="BD305" i="1"/>
  <c r="BF305" i="1" s="1"/>
  <c r="BE305" i="1"/>
  <c r="BG305" i="1" s="1"/>
  <c r="BZ305" i="1"/>
  <c r="CD305" i="1"/>
  <c r="BB290" i="1"/>
  <c r="CE290" i="1" s="1"/>
  <c r="BD290" i="1"/>
  <c r="BE290" i="1"/>
  <c r="BG290" i="1" s="1"/>
  <c r="BZ290" i="1"/>
  <c r="CD290" i="1"/>
  <c r="BB291" i="1"/>
  <c r="CE291" i="1" s="1"/>
  <c r="BD291" i="1"/>
  <c r="BE291" i="1"/>
  <c r="BG291" i="1" s="1"/>
  <c r="BZ291" i="1"/>
  <c r="CD291" i="1"/>
  <c r="BB292" i="1"/>
  <c r="CE292" i="1" s="1"/>
  <c r="BD292" i="1"/>
  <c r="BE292" i="1"/>
  <c r="BG292" i="1" s="1"/>
  <c r="BZ292" i="1"/>
  <c r="CD292" i="1"/>
  <c r="BB293" i="1"/>
  <c r="CE293" i="1" s="1"/>
  <c r="BD293" i="1"/>
  <c r="BF293" i="1" s="1"/>
  <c r="BE293" i="1"/>
  <c r="BG293" i="1" s="1"/>
  <c r="BZ293" i="1"/>
  <c r="CD293" i="1"/>
  <c r="BB294" i="1"/>
  <c r="CE294" i="1" s="1"/>
  <c r="BD294" i="1"/>
  <c r="BE294" i="1"/>
  <c r="BG294" i="1" s="1"/>
  <c r="BZ294" i="1"/>
  <c r="CD294" i="1"/>
  <c r="BB295" i="1"/>
  <c r="CE295" i="1" s="1"/>
  <c r="BD295" i="1"/>
  <c r="BE295" i="1"/>
  <c r="BG295" i="1" s="1"/>
  <c r="BZ295" i="1"/>
  <c r="CD295" i="1"/>
  <c r="BB296" i="1"/>
  <c r="CE296" i="1" s="1"/>
  <c r="BD296" i="1"/>
  <c r="BE296" i="1"/>
  <c r="BG296" i="1" s="1"/>
  <c r="BZ296" i="1"/>
  <c r="CD296" i="1"/>
  <c r="BB297" i="1"/>
  <c r="CE297" i="1" s="1"/>
  <c r="BD297" i="1"/>
  <c r="BF297" i="1" s="1"/>
  <c r="BE297" i="1"/>
  <c r="BZ297" i="1"/>
  <c r="CD297" i="1"/>
  <c r="BB282" i="1"/>
  <c r="CE282" i="1" s="1"/>
  <c r="BD282" i="1"/>
  <c r="BF282" i="1" s="1"/>
  <c r="BE282" i="1"/>
  <c r="BZ282" i="1"/>
  <c r="CD282" i="1"/>
  <c r="BB283" i="1"/>
  <c r="CE283" i="1" s="1"/>
  <c r="BD283" i="1"/>
  <c r="BF283" i="1" s="1"/>
  <c r="BE283" i="1"/>
  <c r="BG283" i="1" s="1"/>
  <c r="BZ283" i="1"/>
  <c r="CD283" i="1"/>
  <c r="BB284" i="1"/>
  <c r="CE284" i="1" s="1"/>
  <c r="BD284" i="1"/>
  <c r="BE284" i="1"/>
  <c r="BG284" i="1" s="1"/>
  <c r="BZ284" i="1"/>
  <c r="CD284" i="1"/>
  <c r="BB285" i="1"/>
  <c r="CE285" i="1" s="1"/>
  <c r="BD285" i="1"/>
  <c r="BF285" i="1" s="1"/>
  <c r="BE285" i="1"/>
  <c r="BG285" i="1" s="1"/>
  <c r="BZ285" i="1"/>
  <c r="CD285" i="1"/>
  <c r="BB286" i="1"/>
  <c r="CE286" i="1" s="1"/>
  <c r="BD286" i="1"/>
  <c r="BF286" i="1" s="1"/>
  <c r="BE286" i="1"/>
  <c r="BG286" i="1" s="1"/>
  <c r="BZ286" i="1"/>
  <c r="CD286" i="1"/>
  <c r="BB287" i="1"/>
  <c r="CE287" i="1" s="1"/>
  <c r="BD287" i="1"/>
  <c r="BF287" i="1" s="1"/>
  <c r="BE287" i="1"/>
  <c r="BG287" i="1" s="1"/>
  <c r="BZ287" i="1"/>
  <c r="CD287" i="1"/>
  <c r="BB288" i="1"/>
  <c r="CE288" i="1" s="1"/>
  <c r="BD288" i="1"/>
  <c r="BE288" i="1"/>
  <c r="BG288" i="1" s="1"/>
  <c r="BZ288" i="1"/>
  <c r="CD288" i="1"/>
  <c r="BB289" i="1"/>
  <c r="CE289" i="1" s="1"/>
  <c r="BD289" i="1"/>
  <c r="BF289" i="1" s="1"/>
  <c r="BE289" i="1"/>
  <c r="BG289" i="1" s="1"/>
  <c r="BZ289" i="1"/>
  <c r="CD289" i="1"/>
  <c r="BB274" i="1"/>
  <c r="CE274" i="1" s="1"/>
  <c r="BD274" i="1"/>
  <c r="BF274" i="1" s="1"/>
  <c r="BE274" i="1"/>
  <c r="BG274" i="1" s="1"/>
  <c r="BZ274" i="1"/>
  <c r="CD274" i="1"/>
  <c r="BB275" i="1"/>
  <c r="CE275" i="1" s="1"/>
  <c r="BD275" i="1"/>
  <c r="BE275" i="1"/>
  <c r="BG275" i="1" s="1"/>
  <c r="BZ275" i="1"/>
  <c r="CD275" i="1"/>
  <c r="BB276" i="1"/>
  <c r="CE276" i="1" s="1"/>
  <c r="BD276" i="1"/>
  <c r="BF276" i="1" s="1"/>
  <c r="BE276" i="1"/>
  <c r="BG276" i="1" s="1"/>
  <c r="BZ276" i="1"/>
  <c r="CD276" i="1"/>
  <c r="BB277" i="1"/>
  <c r="CE277" i="1" s="1"/>
  <c r="BD277" i="1"/>
  <c r="BF277" i="1" s="1"/>
  <c r="BE277" i="1"/>
  <c r="BG277" i="1" s="1"/>
  <c r="BZ277" i="1"/>
  <c r="CD277" i="1"/>
  <c r="BB278" i="1"/>
  <c r="CE278" i="1" s="1"/>
  <c r="BD278" i="1"/>
  <c r="BE278" i="1"/>
  <c r="BG278" i="1" s="1"/>
  <c r="BZ278" i="1"/>
  <c r="CD278" i="1"/>
  <c r="BB279" i="1"/>
  <c r="CE279" i="1" s="1"/>
  <c r="BD279" i="1"/>
  <c r="BE279" i="1"/>
  <c r="BG279" i="1" s="1"/>
  <c r="BZ279" i="1"/>
  <c r="CD279" i="1"/>
  <c r="BB280" i="1"/>
  <c r="CE280" i="1" s="1"/>
  <c r="BD280" i="1"/>
  <c r="BE280" i="1"/>
  <c r="BG280" i="1" s="1"/>
  <c r="BZ280" i="1"/>
  <c r="CD280" i="1"/>
  <c r="BB281" i="1"/>
  <c r="CE281" i="1" s="1"/>
  <c r="BD281" i="1"/>
  <c r="BF281" i="1" s="1"/>
  <c r="BE281" i="1"/>
  <c r="BG281" i="1" s="1"/>
  <c r="BZ281" i="1"/>
  <c r="CD281" i="1"/>
  <c r="BB266" i="1"/>
  <c r="CE266" i="1" s="1"/>
  <c r="BD266" i="1"/>
  <c r="BF266" i="1" s="1"/>
  <c r="BE266" i="1"/>
  <c r="BG266" i="1" s="1"/>
  <c r="BZ266" i="1"/>
  <c r="CD266" i="1"/>
  <c r="BB267" i="1"/>
  <c r="CE267" i="1" s="1"/>
  <c r="BD267" i="1"/>
  <c r="BE267" i="1"/>
  <c r="BG267" i="1" s="1"/>
  <c r="BZ267" i="1"/>
  <c r="CD267" i="1"/>
  <c r="BB268" i="1"/>
  <c r="CE268" i="1" s="1"/>
  <c r="BD268" i="1"/>
  <c r="BE268" i="1"/>
  <c r="BG268" i="1" s="1"/>
  <c r="BZ268" i="1"/>
  <c r="CD268" i="1"/>
  <c r="BB269" i="1"/>
  <c r="CE269" i="1" s="1"/>
  <c r="BD269" i="1"/>
  <c r="BF269" i="1" s="1"/>
  <c r="BE269" i="1"/>
  <c r="BG269" i="1" s="1"/>
  <c r="BZ269" i="1"/>
  <c r="CD269" i="1"/>
  <c r="BB270" i="1"/>
  <c r="CE270" i="1" s="1"/>
  <c r="BD270" i="1"/>
  <c r="BF270" i="1" s="1"/>
  <c r="BE270" i="1"/>
  <c r="BG270" i="1" s="1"/>
  <c r="BZ270" i="1"/>
  <c r="CD270" i="1"/>
  <c r="BB271" i="1"/>
  <c r="CE271" i="1" s="1"/>
  <c r="BD271" i="1"/>
  <c r="BE271" i="1"/>
  <c r="BG271" i="1" s="1"/>
  <c r="BZ271" i="1"/>
  <c r="CD271" i="1"/>
  <c r="BB272" i="1"/>
  <c r="CE272" i="1" s="1"/>
  <c r="BD272" i="1"/>
  <c r="BE272" i="1"/>
  <c r="BG272" i="1" s="1"/>
  <c r="BZ272" i="1"/>
  <c r="CD272" i="1"/>
  <c r="BB273" i="1"/>
  <c r="CE273" i="1" s="1"/>
  <c r="BD273" i="1"/>
  <c r="BE273" i="1"/>
  <c r="BG273" i="1" s="1"/>
  <c r="BZ273" i="1"/>
  <c r="CD273" i="1"/>
  <c r="BB258" i="1"/>
  <c r="CE258" i="1" s="1"/>
  <c r="BD258" i="1"/>
  <c r="BE258" i="1"/>
  <c r="BG258" i="1" s="1"/>
  <c r="BZ258" i="1"/>
  <c r="CD258" i="1"/>
  <c r="BB259" i="1"/>
  <c r="CE259" i="1" s="1"/>
  <c r="BD259" i="1"/>
  <c r="BE259" i="1"/>
  <c r="BG259" i="1" s="1"/>
  <c r="BZ259" i="1"/>
  <c r="CD259" i="1"/>
  <c r="BB260" i="1"/>
  <c r="CE260" i="1" s="1"/>
  <c r="BD260" i="1"/>
  <c r="BE260" i="1"/>
  <c r="BG260" i="1" s="1"/>
  <c r="BZ260" i="1"/>
  <c r="CD260" i="1"/>
  <c r="BB261" i="1"/>
  <c r="CE261" i="1" s="1"/>
  <c r="BD261" i="1"/>
  <c r="BE261" i="1"/>
  <c r="BG261" i="1" s="1"/>
  <c r="BZ261" i="1"/>
  <c r="CD261" i="1"/>
  <c r="BB262" i="1"/>
  <c r="CE262" i="1" s="1"/>
  <c r="BD262" i="1"/>
  <c r="BF262" i="1" s="1"/>
  <c r="BE262" i="1"/>
  <c r="BG262" i="1" s="1"/>
  <c r="BZ262" i="1"/>
  <c r="CD262" i="1"/>
  <c r="BB263" i="1"/>
  <c r="CE263" i="1" s="1"/>
  <c r="BD263" i="1"/>
  <c r="BE263" i="1"/>
  <c r="BG263" i="1" s="1"/>
  <c r="BZ263" i="1"/>
  <c r="CD263" i="1"/>
  <c r="BB264" i="1"/>
  <c r="CE264" i="1" s="1"/>
  <c r="BD264" i="1"/>
  <c r="BE264" i="1"/>
  <c r="BG264" i="1" s="1"/>
  <c r="BZ264" i="1"/>
  <c r="CD264" i="1"/>
  <c r="BB265" i="1"/>
  <c r="CE265" i="1" s="1"/>
  <c r="BD265" i="1"/>
  <c r="BF265" i="1" s="1"/>
  <c r="BE265" i="1"/>
  <c r="BG265" i="1" s="1"/>
  <c r="BZ265" i="1"/>
  <c r="CD265" i="1"/>
  <c r="BB250" i="1"/>
  <c r="CE250" i="1" s="1"/>
  <c r="BD250" i="1"/>
  <c r="BF250" i="1" s="1"/>
  <c r="BE250" i="1"/>
  <c r="BG250" i="1" s="1"/>
  <c r="BZ250" i="1"/>
  <c r="CD250" i="1"/>
  <c r="BB251" i="1"/>
  <c r="CE251" i="1" s="1"/>
  <c r="BD251" i="1"/>
  <c r="BE251" i="1"/>
  <c r="BG251" i="1" s="1"/>
  <c r="BZ251" i="1"/>
  <c r="CD251" i="1"/>
  <c r="BB252" i="1"/>
  <c r="CE252" i="1" s="1"/>
  <c r="BD252" i="1"/>
  <c r="BE252" i="1"/>
  <c r="BG252" i="1" s="1"/>
  <c r="BZ252" i="1"/>
  <c r="CD252" i="1"/>
  <c r="BB253" i="1"/>
  <c r="CE253" i="1" s="1"/>
  <c r="BD253" i="1"/>
  <c r="BF253" i="1" s="1"/>
  <c r="BE253" i="1"/>
  <c r="BG253" i="1" s="1"/>
  <c r="BZ253" i="1"/>
  <c r="CD253" i="1"/>
  <c r="BB254" i="1"/>
  <c r="CE254" i="1" s="1"/>
  <c r="BD254" i="1"/>
  <c r="BF254" i="1" s="1"/>
  <c r="BE254" i="1"/>
  <c r="BZ254" i="1"/>
  <c r="CD254" i="1"/>
  <c r="BB255" i="1"/>
  <c r="CE255" i="1" s="1"/>
  <c r="BD255" i="1"/>
  <c r="BF255" i="1" s="1"/>
  <c r="BE255" i="1"/>
  <c r="BG255" i="1" s="1"/>
  <c r="BZ255" i="1"/>
  <c r="CD255" i="1"/>
  <c r="BB256" i="1"/>
  <c r="CE256" i="1" s="1"/>
  <c r="BD256" i="1"/>
  <c r="BE256" i="1"/>
  <c r="BG256" i="1" s="1"/>
  <c r="BZ256" i="1"/>
  <c r="CD256" i="1"/>
  <c r="BB257" i="1"/>
  <c r="CE257" i="1" s="1"/>
  <c r="BD257" i="1"/>
  <c r="BF257" i="1" s="1"/>
  <c r="BE257" i="1"/>
  <c r="BZ257" i="1"/>
  <c r="CD257" i="1"/>
  <c r="BB242" i="1"/>
  <c r="CE242" i="1" s="1"/>
  <c r="BD242" i="1"/>
  <c r="BF242" i="1" s="1"/>
  <c r="BE242" i="1"/>
  <c r="BG242" i="1" s="1"/>
  <c r="BZ242" i="1"/>
  <c r="CD242" i="1"/>
  <c r="BB243" i="1"/>
  <c r="CE243" i="1" s="1"/>
  <c r="BD243" i="1"/>
  <c r="BE243" i="1"/>
  <c r="BG243" i="1" s="1"/>
  <c r="BZ243" i="1"/>
  <c r="CD243" i="1"/>
  <c r="BB244" i="1"/>
  <c r="CE244" i="1" s="1"/>
  <c r="BD244" i="1"/>
  <c r="BF244" i="1" s="1"/>
  <c r="BE244" i="1"/>
  <c r="BG244" i="1" s="1"/>
  <c r="BZ244" i="1"/>
  <c r="CD244" i="1"/>
  <c r="BB245" i="1"/>
  <c r="CE245" i="1" s="1"/>
  <c r="BD245" i="1"/>
  <c r="BF245" i="1" s="1"/>
  <c r="BE245" i="1"/>
  <c r="BG245" i="1" s="1"/>
  <c r="BZ245" i="1"/>
  <c r="CD245" i="1"/>
  <c r="BB246" i="1"/>
  <c r="CE246" i="1" s="1"/>
  <c r="BD246" i="1"/>
  <c r="BE246" i="1"/>
  <c r="BG246" i="1" s="1"/>
  <c r="BZ246" i="1"/>
  <c r="CD246" i="1"/>
  <c r="BB247" i="1"/>
  <c r="CE247" i="1" s="1"/>
  <c r="BD247" i="1"/>
  <c r="BE247" i="1"/>
  <c r="BG247" i="1" s="1"/>
  <c r="BZ247" i="1"/>
  <c r="CD247" i="1"/>
  <c r="BB248" i="1"/>
  <c r="CE248" i="1" s="1"/>
  <c r="BD248" i="1"/>
  <c r="BE248" i="1"/>
  <c r="BG248" i="1" s="1"/>
  <c r="BZ248" i="1"/>
  <c r="CD248" i="1"/>
  <c r="BB249" i="1"/>
  <c r="CE249" i="1" s="1"/>
  <c r="BD249" i="1"/>
  <c r="BF249" i="1" s="1"/>
  <c r="BE249" i="1"/>
  <c r="BG249" i="1" s="1"/>
  <c r="BZ249" i="1"/>
  <c r="CD249" i="1"/>
  <c r="BB234" i="1"/>
  <c r="CE234" i="1" s="1"/>
  <c r="BD234" i="1"/>
  <c r="BE234" i="1"/>
  <c r="BG234" i="1" s="1"/>
  <c r="BZ234" i="1"/>
  <c r="CD234" i="1"/>
  <c r="BB235" i="1"/>
  <c r="CE235" i="1" s="1"/>
  <c r="BD235" i="1"/>
  <c r="BE235" i="1"/>
  <c r="BG235" i="1" s="1"/>
  <c r="BZ235" i="1"/>
  <c r="CD235" i="1"/>
  <c r="BB236" i="1"/>
  <c r="CE236" i="1" s="1"/>
  <c r="BD236" i="1"/>
  <c r="BF236" i="1" s="1"/>
  <c r="BE236" i="1"/>
  <c r="BG236" i="1" s="1"/>
  <c r="BZ236" i="1"/>
  <c r="CD236" i="1"/>
  <c r="BB237" i="1"/>
  <c r="CE237" i="1" s="1"/>
  <c r="BD237" i="1"/>
  <c r="BF237" i="1" s="1"/>
  <c r="BE237" i="1"/>
  <c r="BG237" i="1" s="1"/>
  <c r="BZ237" i="1"/>
  <c r="CD237" i="1"/>
  <c r="BB238" i="1"/>
  <c r="CE238" i="1" s="1"/>
  <c r="BD238" i="1"/>
  <c r="BE238" i="1"/>
  <c r="BZ238" i="1"/>
  <c r="CD238" i="1"/>
  <c r="BB239" i="1"/>
  <c r="CE239" i="1" s="1"/>
  <c r="BD239" i="1"/>
  <c r="BE239" i="1"/>
  <c r="BZ239" i="1"/>
  <c r="CD239" i="1"/>
  <c r="BB240" i="1"/>
  <c r="CE240" i="1" s="1"/>
  <c r="BD240" i="1"/>
  <c r="BF240" i="1" s="1"/>
  <c r="BE240" i="1"/>
  <c r="BG240" i="1" s="1"/>
  <c r="BZ240" i="1"/>
  <c r="CD240" i="1"/>
  <c r="BB241" i="1"/>
  <c r="CE241" i="1" s="1"/>
  <c r="BD241" i="1"/>
  <c r="BF241" i="1" s="1"/>
  <c r="BE241" i="1"/>
  <c r="BG241" i="1" s="1"/>
  <c r="BZ241" i="1"/>
  <c r="CD241" i="1"/>
  <c r="BB226" i="1"/>
  <c r="CE226" i="1" s="1"/>
  <c r="BD226" i="1"/>
  <c r="BF226" i="1" s="1"/>
  <c r="BE226" i="1"/>
  <c r="BG226" i="1" s="1"/>
  <c r="BZ226" i="1"/>
  <c r="CD226" i="1"/>
  <c r="BB227" i="1"/>
  <c r="CE227" i="1" s="1"/>
  <c r="BD227" i="1"/>
  <c r="BF227" i="1" s="1"/>
  <c r="BE227" i="1"/>
  <c r="BG227" i="1" s="1"/>
  <c r="BZ227" i="1"/>
  <c r="CD227" i="1"/>
  <c r="BB228" i="1"/>
  <c r="CE228" i="1" s="1"/>
  <c r="BD228" i="1"/>
  <c r="BE228" i="1"/>
  <c r="BG228" i="1" s="1"/>
  <c r="BZ228" i="1"/>
  <c r="CD228" i="1"/>
  <c r="BB229" i="1"/>
  <c r="CE229" i="1" s="1"/>
  <c r="BD229" i="1"/>
  <c r="BF229" i="1" s="1"/>
  <c r="BE229" i="1"/>
  <c r="BG229" i="1" s="1"/>
  <c r="BZ229" i="1"/>
  <c r="CD229" i="1"/>
  <c r="BB230" i="1"/>
  <c r="CE230" i="1" s="1"/>
  <c r="BD230" i="1"/>
  <c r="BF230" i="1" s="1"/>
  <c r="BE230" i="1"/>
  <c r="BZ230" i="1"/>
  <c r="CD230" i="1"/>
  <c r="BB231" i="1"/>
  <c r="CE231" i="1" s="1"/>
  <c r="BD231" i="1"/>
  <c r="BF231" i="1" s="1"/>
  <c r="BE231" i="1"/>
  <c r="BG231" i="1" s="1"/>
  <c r="BZ231" i="1"/>
  <c r="CD231" i="1"/>
  <c r="BB232" i="1"/>
  <c r="CE232" i="1" s="1"/>
  <c r="BD232" i="1"/>
  <c r="BE232" i="1"/>
  <c r="BG232" i="1" s="1"/>
  <c r="BZ232" i="1"/>
  <c r="CD232" i="1"/>
  <c r="BB233" i="1"/>
  <c r="CE233" i="1" s="1"/>
  <c r="BD233" i="1"/>
  <c r="BF233" i="1" s="1"/>
  <c r="BE233" i="1"/>
  <c r="BG233" i="1" s="1"/>
  <c r="BZ233" i="1"/>
  <c r="CD233" i="1"/>
  <c r="BB218" i="1"/>
  <c r="CE218" i="1" s="1"/>
  <c r="BD218" i="1"/>
  <c r="BE218" i="1"/>
  <c r="BG218" i="1" s="1"/>
  <c r="BZ218" i="1"/>
  <c r="CD218" i="1"/>
  <c r="BB219" i="1"/>
  <c r="CE219" i="1" s="1"/>
  <c r="BD219" i="1"/>
  <c r="BE219" i="1"/>
  <c r="BG219" i="1" s="1"/>
  <c r="BZ219" i="1"/>
  <c r="CD219" i="1"/>
  <c r="BB220" i="1"/>
  <c r="CE220" i="1" s="1"/>
  <c r="BD220" i="1"/>
  <c r="BE220" i="1"/>
  <c r="BG220" i="1" s="1"/>
  <c r="BZ220" i="1"/>
  <c r="CD220" i="1"/>
  <c r="BB221" i="1"/>
  <c r="CE221" i="1" s="1"/>
  <c r="BD221" i="1"/>
  <c r="BF221" i="1" s="1"/>
  <c r="BE221" i="1"/>
  <c r="BG221" i="1" s="1"/>
  <c r="BZ221" i="1"/>
  <c r="CD221" i="1"/>
  <c r="BB222" i="1"/>
  <c r="CE222" i="1" s="1"/>
  <c r="BD222" i="1"/>
  <c r="BF222" i="1" s="1"/>
  <c r="BE222" i="1"/>
  <c r="BZ222" i="1"/>
  <c r="CD222" i="1"/>
  <c r="BB223" i="1"/>
  <c r="CE223" i="1" s="1"/>
  <c r="BD223" i="1"/>
  <c r="BE223" i="1"/>
  <c r="BG223" i="1" s="1"/>
  <c r="BZ223" i="1"/>
  <c r="CD223" i="1"/>
  <c r="BB224" i="1"/>
  <c r="CE224" i="1" s="1"/>
  <c r="BD224" i="1"/>
  <c r="BE224" i="1"/>
  <c r="BG224" i="1" s="1"/>
  <c r="BZ224" i="1"/>
  <c r="CD224" i="1"/>
  <c r="BB225" i="1"/>
  <c r="CE225" i="1" s="1"/>
  <c r="BD225" i="1"/>
  <c r="BF225" i="1" s="1"/>
  <c r="BE225" i="1"/>
  <c r="BG225" i="1" s="1"/>
  <c r="BZ225" i="1"/>
  <c r="CD225" i="1"/>
  <c r="BB210" i="1"/>
  <c r="CE210" i="1" s="1"/>
  <c r="BD210" i="1"/>
  <c r="BE210" i="1"/>
  <c r="BZ210" i="1"/>
  <c r="CD210" i="1"/>
  <c r="BB211" i="1"/>
  <c r="CE211" i="1" s="1"/>
  <c r="BD211" i="1"/>
  <c r="BE211" i="1"/>
  <c r="BG211" i="1" s="1"/>
  <c r="BZ211" i="1"/>
  <c r="CD211" i="1"/>
  <c r="BB212" i="1"/>
  <c r="CE212" i="1" s="1"/>
  <c r="BD212" i="1"/>
  <c r="BE212" i="1"/>
  <c r="BG212" i="1" s="1"/>
  <c r="BZ212" i="1"/>
  <c r="CD212" i="1"/>
  <c r="BB213" i="1"/>
  <c r="CE213" i="1" s="1"/>
  <c r="BD213" i="1"/>
  <c r="BF213" i="1" s="1"/>
  <c r="BE213" i="1"/>
  <c r="BG213" i="1" s="1"/>
  <c r="BZ213" i="1"/>
  <c r="CD213" i="1"/>
  <c r="BB214" i="1"/>
  <c r="CE214" i="1" s="1"/>
  <c r="BD214" i="1"/>
  <c r="BE214" i="1"/>
  <c r="BZ214" i="1"/>
  <c r="CD214" i="1"/>
  <c r="BB215" i="1"/>
  <c r="CE215" i="1" s="1"/>
  <c r="BD215" i="1"/>
  <c r="BF215" i="1" s="1"/>
  <c r="BE215" i="1"/>
  <c r="BG215" i="1" s="1"/>
  <c r="BZ215" i="1"/>
  <c r="CD215" i="1"/>
  <c r="BB216" i="1"/>
  <c r="CE216" i="1" s="1"/>
  <c r="BD216" i="1"/>
  <c r="BE216" i="1"/>
  <c r="BG216" i="1" s="1"/>
  <c r="BZ216" i="1"/>
  <c r="CD216" i="1"/>
  <c r="BB217" i="1"/>
  <c r="CE217" i="1" s="1"/>
  <c r="BD217" i="1"/>
  <c r="BF217" i="1" s="1"/>
  <c r="BE217" i="1"/>
  <c r="BG217" i="1" s="1"/>
  <c r="BZ217" i="1"/>
  <c r="CD217" i="1"/>
  <c r="BB202" i="1"/>
  <c r="CE202" i="1" s="1"/>
  <c r="BD202" i="1"/>
  <c r="BF202" i="1" s="1"/>
  <c r="BE202" i="1"/>
  <c r="BG202" i="1" s="1"/>
  <c r="BZ202" i="1"/>
  <c r="CD202" i="1"/>
  <c r="BB203" i="1"/>
  <c r="CE203" i="1" s="1"/>
  <c r="BD203" i="1"/>
  <c r="BE203" i="1"/>
  <c r="BG203" i="1" s="1"/>
  <c r="BZ203" i="1"/>
  <c r="CD203" i="1"/>
  <c r="BB204" i="1"/>
  <c r="CE204" i="1" s="1"/>
  <c r="BD204" i="1"/>
  <c r="BE204" i="1"/>
  <c r="BG204" i="1" s="1"/>
  <c r="BZ204" i="1"/>
  <c r="CD204" i="1"/>
  <c r="BB205" i="1"/>
  <c r="CE205" i="1" s="1"/>
  <c r="BD205" i="1"/>
  <c r="BF205" i="1" s="1"/>
  <c r="BE205" i="1"/>
  <c r="BZ205" i="1"/>
  <c r="CD205" i="1"/>
  <c r="BB206" i="1"/>
  <c r="CE206" i="1" s="1"/>
  <c r="BD206" i="1"/>
  <c r="BF206" i="1" s="1"/>
  <c r="BE206" i="1"/>
  <c r="BG206" i="1" s="1"/>
  <c r="BZ206" i="1"/>
  <c r="CD206" i="1"/>
  <c r="BB207" i="1"/>
  <c r="CE207" i="1" s="1"/>
  <c r="BD207" i="1"/>
  <c r="BE207" i="1"/>
  <c r="BG207" i="1" s="1"/>
  <c r="BZ207" i="1"/>
  <c r="CD207" i="1"/>
  <c r="BB208" i="1"/>
  <c r="CE208" i="1" s="1"/>
  <c r="BD208" i="1"/>
  <c r="BE208" i="1"/>
  <c r="BG208" i="1" s="1"/>
  <c r="BZ208" i="1"/>
  <c r="CD208" i="1"/>
  <c r="BB209" i="1"/>
  <c r="CE209" i="1" s="1"/>
  <c r="BD209" i="1"/>
  <c r="BE209" i="1"/>
  <c r="BG209" i="1" s="1"/>
  <c r="BZ209" i="1"/>
  <c r="CD209" i="1"/>
  <c r="BB194" i="1"/>
  <c r="CE194" i="1" s="1"/>
  <c r="BD194" i="1"/>
  <c r="BF194" i="1" s="1"/>
  <c r="BE194" i="1"/>
  <c r="BG194" i="1" s="1"/>
  <c r="BZ194" i="1"/>
  <c r="CD194" i="1"/>
  <c r="BB195" i="1"/>
  <c r="CE195" i="1" s="1"/>
  <c r="BD195" i="1"/>
  <c r="BE195" i="1"/>
  <c r="BZ195" i="1"/>
  <c r="CD195" i="1"/>
  <c r="BB196" i="1"/>
  <c r="CE196" i="1" s="1"/>
  <c r="BD196" i="1"/>
  <c r="BE196" i="1"/>
  <c r="BG196" i="1" s="1"/>
  <c r="BZ196" i="1"/>
  <c r="CD196" i="1"/>
  <c r="BB197" i="1"/>
  <c r="CE197" i="1" s="1"/>
  <c r="BD197" i="1"/>
  <c r="BF197" i="1" s="1"/>
  <c r="BE197" i="1"/>
  <c r="BG197" i="1" s="1"/>
  <c r="BZ197" i="1"/>
  <c r="CD197" i="1"/>
  <c r="BB198" i="1"/>
  <c r="CE198" i="1" s="1"/>
  <c r="BD198" i="1"/>
  <c r="BF198" i="1" s="1"/>
  <c r="BE198" i="1"/>
  <c r="BZ198" i="1"/>
  <c r="CD198" i="1"/>
  <c r="BB199" i="1"/>
  <c r="CE199" i="1" s="1"/>
  <c r="BD199" i="1"/>
  <c r="BE199" i="1"/>
  <c r="BG199" i="1" s="1"/>
  <c r="BZ199" i="1"/>
  <c r="CD199" i="1"/>
  <c r="BB200" i="1"/>
  <c r="CE200" i="1" s="1"/>
  <c r="BD200" i="1"/>
  <c r="BF200" i="1" s="1"/>
  <c r="BE200" i="1"/>
  <c r="BG200" i="1" s="1"/>
  <c r="BZ200" i="1"/>
  <c r="CD200" i="1"/>
  <c r="BB201" i="1"/>
  <c r="CE201" i="1" s="1"/>
  <c r="BD201" i="1"/>
  <c r="BF201" i="1" s="1"/>
  <c r="BE201" i="1"/>
  <c r="BG201" i="1" s="1"/>
  <c r="BZ201" i="1"/>
  <c r="CD201" i="1"/>
  <c r="BB186" i="1"/>
  <c r="CE186" i="1" s="1"/>
  <c r="BD186" i="1"/>
  <c r="BE186" i="1"/>
  <c r="BG186" i="1" s="1"/>
  <c r="BZ186" i="1"/>
  <c r="CD186" i="1"/>
  <c r="BB187" i="1"/>
  <c r="CE187" i="1" s="1"/>
  <c r="BD187" i="1"/>
  <c r="BE187" i="1"/>
  <c r="BG187" i="1" s="1"/>
  <c r="BZ187" i="1"/>
  <c r="CD187" i="1"/>
  <c r="BB188" i="1"/>
  <c r="CE188" i="1" s="1"/>
  <c r="BD188" i="1"/>
  <c r="BE188" i="1"/>
  <c r="BG188" i="1" s="1"/>
  <c r="BZ188" i="1"/>
  <c r="CD188" i="1"/>
  <c r="BB189" i="1"/>
  <c r="CE189" i="1" s="1"/>
  <c r="BD189" i="1"/>
  <c r="BF189" i="1" s="1"/>
  <c r="BE189" i="1"/>
  <c r="BG189" i="1" s="1"/>
  <c r="BZ189" i="1"/>
  <c r="CD189" i="1"/>
  <c r="BB190" i="1"/>
  <c r="CE190" i="1" s="1"/>
  <c r="BD190" i="1"/>
  <c r="BF190" i="1" s="1"/>
  <c r="BE190" i="1"/>
  <c r="BZ190" i="1"/>
  <c r="CD190" i="1"/>
  <c r="BB191" i="1"/>
  <c r="CE191" i="1" s="1"/>
  <c r="BD191" i="1"/>
  <c r="BF191" i="1" s="1"/>
  <c r="BE191" i="1"/>
  <c r="BG191" i="1" s="1"/>
  <c r="BZ191" i="1"/>
  <c r="CD191" i="1"/>
  <c r="BB192" i="1"/>
  <c r="CE192" i="1" s="1"/>
  <c r="BD192" i="1"/>
  <c r="BE192" i="1"/>
  <c r="BG192" i="1" s="1"/>
  <c r="BZ192" i="1"/>
  <c r="CD192" i="1"/>
  <c r="BB193" i="1"/>
  <c r="CE193" i="1" s="1"/>
  <c r="BD193" i="1"/>
  <c r="BF193" i="1" s="1"/>
  <c r="BE193" i="1"/>
  <c r="BG193" i="1" s="1"/>
  <c r="BZ193" i="1"/>
  <c r="CD193" i="1"/>
  <c r="BB178" i="1"/>
  <c r="CE178" i="1" s="1"/>
  <c r="BD178" i="1"/>
  <c r="BF178" i="1" s="1"/>
  <c r="BE178" i="1"/>
  <c r="BG178" i="1" s="1"/>
  <c r="BZ178" i="1"/>
  <c r="CD178" i="1"/>
  <c r="BB179" i="1"/>
  <c r="CE179" i="1" s="1"/>
  <c r="BD179" i="1"/>
  <c r="BE179" i="1"/>
  <c r="BG179" i="1" s="1"/>
  <c r="BZ179" i="1"/>
  <c r="CD179" i="1"/>
  <c r="BB180" i="1"/>
  <c r="CE180" i="1" s="1"/>
  <c r="BD180" i="1"/>
  <c r="BE180" i="1"/>
  <c r="BG180" i="1" s="1"/>
  <c r="BZ180" i="1"/>
  <c r="CD180" i="1"/>
  <c r="BB181" i="1"/>
  <c r="CE181" i="1" s="1"/>
  <c r="BD181" i="1"/>
  <c r="BF181" i="1" s="1"/>
  <c r="BE181" i="1"/>
  <c r="BG181" i="1" s="1"/>
  <c r="BZ181" i="1"/>
  <c r="CD181" i="1"/>
  <c r="BB182" i="1"/>
  <c r="CE182" i="1" s="1"/>
  <c r="BD182" i="1"/>
  <c r="BE182" i="1"/>
  <c r="BG182" i="1" s="1"/>
  <c r="BZ182" i="1"/>
  <c r="CD182" i="1"/>
  <c r="BB183" i="1"/>
  <c r="CE183" i="1" s="1"/>
  <c r="BD183" i="1"/>
  <c r="BE183" i="1"/>
  <c r="BG183" i="1" s="1"/>
  <c r="BZ183" i="1"/>
  <c r="CD183" i="1"/>
  <c r="BB184" i="1"/>
  <c r="CE184" i="1" s="1"/>
  <c r="BD184" i="1"/>
  <c r="BE184" i="1"/>
  <c r="BG184" i="1" s="1"/>
  <c r="BZ184" i="1"/>
  <c r="CD184" i="1"/>
  <c r="BB185" i="1"/>
  <c r="CE185" i="1" s="1"/>
  <c r="BD185" i="1"/>
  <c r="BF185" i="1" s="1"/>
  <c r="BE185" i="1"/>
  <c r="BG185" i="1" s="1"/>
  <c r="BZ185" i="1"/>
  <c r="CD185" i="1"/>
  <c r="BB162" i="1"/>
  <c r="CE162" i="1" s="1"/>
  <c r="BD162" i="1"/>
  <c r="BF162" i="1" s="1"/>
  <c r="BE162" i="1"/>
  <c r="BZ162" i="1"/>
  <c r="CD162" i="1"/>
  <c r="BB163" i="1"/>
  <c r="CE163" i="1" s="1"/>
  <c r="BD163" i="1"/>
  <c r="BE163" i="1"/>
  <c r="BG163" i="1" s="1"/>
  <c r="BZ163" i="1"/>
  <c r="CD163" i="1"/>
  <c r="BB164" i="1"/>
  <c r="CE164" i="1" s="1"/>
  <c r="BD164" i="1"/>
  <c r="BE164" i="1"/>
  <c r="BG164" i="1" s="1"/>
  <c r="BZ164" i="1"/>
  <c r="CD164" i="1"/>
  <c r="BB165" i="1"/>
  <c r="CE165" i="1" s="1"/>
  <c r="BD165" i="1"/>
  <c r="BE165" i="1"/>
  <c r="BG165" i="1" s="1"/>
  <c r="BZ165" i="1"/>
  <c r="CD165" i="1"/>
  <c r="BB166" i="1"/>
  <c r="CE166" i="1" s="1"/>
  <c r="BD166" i="1"/>
  <c r="BF166" i="1" s="1"/>
  <c r="BE166" i="1"/>
  <c r="BZ166" i="1"/>
  <c r="CD166" i="1"/>
  <c r="BB167" i="1"/>
  <c r="CE167" i="1" s="1"/>
  <c r="BD167" i="1"/>
  <c r="BE167" i="1"/>
  <c r="BG167" i="1" s="1"/>
  <c r="BZ167" i="1"/>
  <c r="CD167" i="1"/>
  <c r="BB168" i="1"/>
  <c r="CE168" i="1" s="1"/>
  <c r="BD168" i="1"/>
  <c r="BE168" i="1"/>
  <c r="BG168" i="1" s="1"/>
  <c r="BZ168" i="1"/>
  <c r="CD168" i="1"/>
  <c r="BB169" i="1"/>
  <c r="CE169" i="1" s="1"/>
  <c r="BD169" i="1"/>
  <c r="BE169" i="1"/>
  <c r="BG169" i="1" s="1"/>
  <c r="BZ169" i="1"/>
  <c r="CD169" i="1"/>
  <c r="BB170" i="1"/>
  <c r="CE170" i="1" s="1"/>
  <c r="BD170" i="1"/>
  <c r="BF170" i="1" s="1"/>
  <c r="BE170" i="1"/>
  <c r="BZ170" i="1"/>
  <c r="CD170" i="1"/>
  <c r="BB171" i="1"/>
  <c r="CE171" i="1" s="1"/>
  <c r="BD171" i="1"/>
  <c r="BE171" i="1"/>
  <c r="BG171" i="1" s="1"/>
  <c r="BZ171" i="1"/>
  <c r="CD171" i="1"/>
  <c r="BB172" i="1"/>
  <c r="CE172" i="1" s="1"/>
  <c r="BD172" i="1"/>
  <c r="BE172" i="1"/>
  <c r="BG172" i="1" s="1"/>
  <c r="BZ172" i="1"/>
  <c r="CD172" i="1"/>
  <c r="BB173" i="1"/>
  <c r="CE173" i="1" s="1"/>
  <c r="BD173" i="1"/>
  <c r="BE173" i="1"/>
  <c r="BG173" i="1" s="1"/>
  <c r="BZ173" i="1"/>
  <c r="CD173" i="1"/>
  <c r="BB174" i="1"/>
  <c r="CE174" i="1" s="1"/>
  <c r="BD174" i="1"/>
  <c r="BE174" i="1"/>
  <c r="BZ174" i="1"/>
  <c r="CD174" i="1"/>
  <c r="BB175" i="1"/>
  <c r="CE175" i="1" s="1"/>
  <c r="BD175" i="1"/>
  <c r="BE175" i="1"/>
  <c r="BG175" i="1" s="1"/>
  <c r="BZ175" i="1"/>
  <c r="CD175" i="1"/>
  <c r="BB176" i="1"/>
  <c r="CE176" i="1" s="1"/>
  <c r="BD176" i="1"/>
  <c r="BE176" i="1"/>
  <c r="BG176" i="1" s="1"/>
  <c r="BZ176" i="1"/>
  <c r="CD176" i="1"/>
  <c r="BB177" i="1"/>
  <c r="CE177" i="1" s="1"/>
  <c r="BD177" i="1"/>
  <c r="BE177" i="1"/>
  <c r="BG177" i="1" s="1"/>
  <c r="BZ177" i="1"/>
  <c r="CD177" i="1"/>
  <c r="BB154" i="1"/>
  <c r="CE154" i="1" s="1"/>
  <c r="BD154" i="1"/>
  <c r="BE154" i="1"/>
  <c r="BG154" i="1" s="1"/>
  <c r="BZ154" i="1"/>
  <c r="CD154" i="1"/>
  <c r="BB155" i="1"/>
  <c r="CE155" i="1" s="1"/>
  <c r="BD155" i="1"/>
  <c r="BF155" i="1" s="1"/>
  <c r="BE155" i="1"/>
  <c r="BG155" i="1" s="1"/>
  <c r="BZ155" i="1"/>
  <c r="CD155" i="1"/>
  <c r="BB156" i="1"/>
  <c r="CE156" i="1" s="1"/>
  <c r="BD156" i="1"/>
  <c r="BE156" i="1"/>
  <c r="BG156" i="1" s="1"/>
  <c r="BZ156" i="1"/>
  <c r="CD156" i="1"/>
  <c r="BB157" i="1"/>
  <c r="CE157" i="1" s="1"/>
  <c r="BD157" i="1"/>
  <c r="BF157" i="1" s="1"/>
  <c r="BE157" i="1"/>
  <c r="BG157" i="1" s="1"/>
  <c r="BZ157" i="1"/>
  <c r="CD157" i="1"/>
  <c r="BB158" i="1"/>
  <c r="CE158" i="1" s="1"/>
  <c r="BD158" i="1"/>
  <c r="BF158" i="1" s="1"/>
  <c r="BE158" i="1"/>
  <c r="BG158" i="1" s="1"/>
  <c r="BZ158" i="1"/>
  <c r="CD158" i="1"/>
  <c r="BB159" i="1"/>
  <c r="CE159" i="1" s="1"/>
  <c r="BD159" i="1"/>
  <c r="BF159" i="1" s="1"/>
  <c r="BE159" i="1"/>
  <c r="BG159" i="1" s="1"/>
  <c r="BZ159" i="1"/>
  <c r="CD159" i="1"/>
  <c r="BB160" i="1"/>
  <c r="CE160" i="1" s="1"/>
  <c r="BD160" i="1"/>
  <c r="BE160" i="1"/>
  <c r="BG160" i="1" s="1"/>
  <c r="BZ160" i="1"/>
  <c r="CD160" i="1"/>
  <c r="BB161" i="1"/>
  <c r="CE161" i="1" s="1"/>
  <c r="BD161" i="1"/>
  <c r="BF161" i="1" s="1"/>
  <c r="BE161" i="1"/>
  <c r="BG161" i="1" s="1"/>
  <c r="BZ161" i="1"/>
  <c r="CD161" i="1"/>
  <c r="BB138" i="1"/>
  <c r="CE138" i="1" s="1"/>
  <c r="BD138" i="1"/>
  <c r="BE138" i="1"/>
  <c r="BG138" i="1" s="1"/>
  <c r="BZ138" i="1"/>
  <c r="CD138" i="1"/>
  <c r="BB139" i="1"/>
  <c r="CE139" i="1" s="1"/>
  <c r="BD139" i="1"/>
  <c r="BF139" i="1" s="1"/>
  <c r="BE139" i="1"/>
  <c r="BG139" i="1" s="1"/>
  <c r="BZ139" i="1"/>
  <c r="CD139" i="1"/>
  <c r="BB140" i="1"/>
  <c r="CE140" i="1" s="1"/>
  <c r="BD140" i="1"/>
  <c r="BE140" i="1"/>
  <c r="BG140" i="1" s="1"/>
  <c r="BZ140" i="1"/>
  <c r="CD140" i="1"/>
  <c r="BB141" i="1"/>
  <c r="CE141" i="1" s="1"/>
  <c r="BD141" i="1"/>
  <c r="BF141" i="1" s="1"/>
  <c r="BE141" i="1"/>
  <c r="BG141" i="1" s="1"/>
  <c r="BZ141" i="1"/>
  <c r="CD141" i="1"/>
  <c r="BB142" i="1"/>
  <c r="CE142" i="1" s="1"/>
  <c r="BD142" i="1"/>
  <c r="BF142" i="1" s="1"/>
  <c r="BE142" i="1"/>
  <c r="BZ142" i="1"/>
  <c r="CD142" i="1"/>
  <c r="BB143" i="1"/>
  <c r="CE143" i="1" s="1"/>
  <c r="BD143" i="1"/>
  <c r="BF143" i="1" s="1"/>
  <c r="BE143" i="1"/>
  <c r="BG143" i="1" s="1"/>
  <c r="BZ143" i="1"/>
  <c r="CD143" i="1"/>
  <c r="BB144" i="1"/>
  <c r="CE144" i="1" s="1"/>
  <c r="BD144" i="1"/>
  <c r="BE144" i="1"/>
  <c r="BG144" i="1" s="1"/>
  <c r="BZ144" i="1"/>
  <c r="CD144" i="1"/>
  <c r="BB145" i="1"/>
  <c r="CE145" i="1" s="1"/>
  <c r="BD145" i="1"/>
  <c r="BF145" i="1" s="1"/>
  <c r="BE145" i="1"/>
  <c r="BG145" i="1" s="1"/>
  <c r="BZ145" i="1"/>
  <c r="CD145" i="1"/>
  <c r="BB146" i="1"/>
  <c r="CE146" i="1" s="1"/>
  <c r="BD146" i="1"/>
  <c r="BF146" i="1" s="1"/>
  <c r="BE146" i="1"/>
  <c r="BG146" i="1" s="1"/>
  <c r="BZ146" i="1"/>
  <c r="CD146" i="1"/>
  <c r="BB147" i="1"/>
  <c r="CE147" i="1" s="1"/>
  <c r="BD147" i="1"/>
  <c r="BF147" i="1" s="1"/>
  <c r="BE147" i="1"/>
  <c r="BG147" i="1" s="1"/>
  <c r="BZ147" i="1"/>
  <c r="CD147" i="1"/>
  <c r="BB148" i="1"/>
  <c r="CE148" i="1" s="1"/>
  <c r="BD148" i="1"/>
  <c r="BE148" i="1"/>
  <c r="BG148" i="1" s="1"/>
  <c r="BZ148" i="1"/>
  <c r="CD148" i="1"/>
  <c r="BB149" i="1"/>
  <c r="CE149" i="1" s="1"/>
  <c r="BD149" i="1"/>
  <c r="BF149" i="1" s="1"/>
  <c r="BE149" i="1"/>
  <c r="BG149" i="1" s="1"/>
  <c r="BZ149" i="1"/>
  <c r="CD149" i="1"/>
  <c r="BB150" i="1"/>
  <c r="CE150" i="1" s="1"/>
  <c r="BD150" i="1"/>
  <c r="BF150" i="1" s="1"/>
  <c r="BE150" i="1"/>
  <c r="BG150" i="1" s="1"/>
  <c r="BZ150" i="1"/>
  <c r="CD150" i="1"/>
  <c r="BB151" i="1"/>
  <c r="CE151" i="1" s="1"/>
  <c r="BD151" i="1"/>
  <c r="BF151" i="1" s="1"/>
  <c r="BE151" i="1"/>
  <c r="BG151" i="1" s="1"/>
  <c r="BZ151" i="1"/>
  <c r="CD151" i="1"/>
  <c r="BB152" i="1"/>
  <c r="CE152" i="1" s="1"/>
  <c r="BD152" i="1"/>
  <c r="BE152" i="1"/>
  <c r="BG152" i="1" s="1"/>
  <c r="BZ152" i="1"/>
  <c r="CD152" i="1"/>
  <c r="BB153" i="1"/>
  <c r="CE153" i="1" s="1"/>
  <c r="BD153" i="1"/>
  <c r="BF153" i="1" s="1"/>
  <c r="BE153" i="1"/>
  <c r="BG153" i="1" s="1"/>
  <c r="BZ153" i="1"/>
  <c r="CD153" i="1"/>
  <c r="BB130" i="1"/>
  <c r="CE130" i="1" s="1"/>
  <c r="BD130" i="1"/>
  <c r="BF130" i="1" s="1"/>
  <c r="BE130" i="1"/>
  <c r="BG130" i="1" s="1"/>
  <c r="BZ130" i="1"/>
  <c r="CD130" i="1"/>
  <c r="BB131" i="1"/>
  <c r="CE131" i="1" s="1"/>
  <c r="BD131" i="1"/>
  <c r="BE131" i="1"/>
  <c r="BG131" i="1" s="1"/>
  <c r="BZ131" i="1"/>
  <c r="CD131" i="1"/>
  <c r="BB132" i="1"/>
  <c r="CE132" i="1" s="1"/>
  <c r="BD132" i="1"/>
  <c r="BE132" i="1"/>
  <c r="BG132" i="1" s="1"/>
  <c r="BZ132" i="1"/>
  <c r="CD132" i="1"/>
  <c r="BB133" i="1"/>
  <c r="CE133" i="1" s="1"/>
  <c r="BD133" i="1"/>
  <c r="BF133" i="1" s="1"/>
  <c r="BE133" i="1"/>
  <c r="BG133" i="1" s="1"/>
  <c r="BZ133" i="1"/>
  <c r="CD133" i="1"/>
  <c r="BB134" i="1"/>
  <c r="CE134" i="1" s="1"/>
  <c r="BD134" i="1"/>
  <c r="BE134" i="1"/>
  <c r="BG134" i="1" s="1"/>
  <c r="BZ134" i="1"/>
  <c r="CD134" i="1"/>
  <c r="BB135" i="1"/>
  <c r="CE135" i="1" s="1"/>
  <c r="BD135" i="1"/>
  <c r="BE135" i="1"/>
  <c r="BG135" i="1" s="1"/>
  <c r="BZ135" i="1"/>
  <c r="CD135" i="1"/>
  <c r="BB136" i="1"/>
  <c r="CE136" i="1" s="1"/>
  <c r="BD136" i="1"/>
  <c r="BE136" i="1"/>
  <c r="BG136" i="1" s="1"/>
  <c r="BZ136" i="1"/>
  <c r="CD136" i="1"/>
  <c r="BB137" i="1"/>
  <c r="CE137" i="1" s="1"/>
  <c r="BD137" i="1"/>
  <c r="BF137" i="1" s="1"/>
  <c r="BE137" i="1"/>
  <c r="BG137" i="1" s="1"/>
  <c r="BZ137" i="1"/>
  <c r="CD137" i="1"/>
  <c r="BB122" i="1"/>
  <c r="CE122" i="1" s="1"/>
  <c r="BD122" i="1"/>
  <c r="BF122" i="1" s="1"/>
  <c r="BE122" i="1"/>
  <c r="BG122" i="1" s="1"/>
  <c r="BZ122" i="1"/>
  <c r="CD122" i="1"/>
  <c r="BB123" i="1"/>
  <c r="CE123" i="1" s="1"/>
  <c r="BD123" i="1"/>
  <c r="BF123" i="1" s="1"/>
  <c r="BE123" i="1"/>
  <c r="BG123" i="1" s="1"/>
  <c r="BZ123" i="1"/>
  <c r="CD123" i="1"/>
  <c r="BB124" i="1"/>
  <c r="CE124" i="1" s="1"/>
  <c r="BD124" i="1"/>
  <c r="BE124" i="1"/>
  <c r="BG124" i="1" s="1"/>
  <c r="BZ124" i="1"/>
  <c r="CD124" i="1"/>
  <c r="BB125" i="1"/>
  <c r="CE125" i="1" s="1"/>
  <c r="BD125" i="1"/>
  <c r="BF125" i="1" s="1"/>
  <c r="BE125" i="1"/>
  <c r="BZ125" i="1"/>
  <c r="CD125" i="1"/>
  <c r="BB126" i="1"/>
  <c r="CE126" i="1" s="1"/>
  <c r="BD126" i="1"/>
  <c r="BF126" i="1" s="1"/>
  <c r="BE126" i="1"/>
  <c r="BZ126" i="1"/>
  <c r="CD126" i="1"/>
  <c r="BB127" i="1"/>
  <c r="CE127" i="1" s="1"/>
  <c r="BD127" i="1"/>
  <c r="BF127" i="1" s="1"/>
  <c r="BE127" i="1"/>
  <c r="BG127" i="1" s="1"/>
  <c r="BZ127" i="1"/>
  <c r="CD127" i="1"/>
  <c r="BB128" i="1"/>
  <c r="CE128" i="1" s="1"/>
  <c r="BD128" i="1"/>
  <c r="BE128" i="1"/>
  <c r="BG128" i="1" s="1"/>
  <c r="BZ128" i="1"/>
  <c r="CD128" i="1"/>
  <c r="BB129" i="1"/>
  <c r="CE129" i="1" s="1"/>
  <c r="BD129" i="1"/>
  <c r="BF129" i="1" s="1"/>
  <c r="BE129" i="1"/>
  <c r="BZ129" i="1"/>
  <c r="CD129" i="1"/>
  <c r="BB114" i="1"/>
  <c r="CE114" i="1" s="1"/>
  <c r="BD114" i="1"/>
  <c r="BF114" i="1" s="1"/>
  <c r="BE114" i="1"/>
  <c r="BG114" i="1" s="1"/>
  <c r="BZ114" i="1"/>
  <c r="CD114" i="1"/>
  <c r="BB115" i="1"/>
  <c r="CE115" i="1" s="1"/>
  <c r="BD115" i="1"/>
  <c r="BF115" i="1" s="1"/>
  <c r="BE115" i="1"/>
  <c r="BZ115" i="1"/>
  <c r="CD115" i="1"/>
  <c r="BB116" i="1"/>
  <c r="CE116" i="1" s="1"/>
  <c r="BD116" i="1"/>
  <c r="BE116" i="1"/>
  <c r="BG116" i="1" s="1"/>
  <c r="BZ116" i="1"/>
  <c r="CD116" i="1"/>
  <c r="BB117" i="1"/>
  <c r="CE117" i="1" s="1"/>
  <c r="BD117" i="1"/>
  <c r="BE117" i="1"/>
  <c r="BG117" i="1" s="1"/>
  <c r="BZ117" i="1"/>
  <c r="CD117" i="1"/>
  <c r="BB118" i="1"/>
  <c r="CE118" i="1" s="1"/>
  <c r="BD118" i="1"/>
  <c r="BF118" i="1" s="1"/>
  <c r="BE118" i="1"/>
  <c r="BG118" i="1" s="1"/>
  <c r="BZ118" i="1"/>
  <c r="CD118" i="1"/>
  <c r="BB119" i="1"/>
  <c r="CE119" i="1" s="1"/>
  <c r="BD119" i="1"/>
  <c r="BF119" i="1" s="1"/>
  <c r="BE119" i="1"/>
  <c r="BZ119" i="1"/>
  <c r="CD119" i="1"/>
  <c r="BB120" i="1"/>
  <c r="CE120" i="1" s="1"/>
  <c r="BD120" i="1"/>
  <c r="BF120" i="1" s="1"/>
  <c r="BE120" i="1"/>
  <c r="BG120" i="1" s="1"/>
  <c r="BZ120" i="1"/>
  <c r="CD120" i="1"/>
  <c r="BB121" i="1"/>
  <c r="CE121" i="1" s="1"/>
  <c r="BD121" i="1"/>
  <c r="BE121" i="1"/>
  <c r="BG121" i="1" s="1"/>
  <c r="BZ121" i="1"/>
  <c r="CD121" i="1"/>
  <c r="BB106" i="1"/>
  <c r="CE106" i="1" s="1"/>
  <c r="BD106" i="1"/>
  <c r="BE106" i="1"/>
  <c r="BG106" i="1" s="1"/>
  <c r="BZ106" i="1"/>
  <c r="CD106" i="1"/>
  <c r="BB107" i="1"/>
  <c r="CE107" i="1" s="1"/>
  <c r="BD107" i="1"/>
  <c r="BE107" i="1"/>
  <c r="BG107" i="1" s="1"/>
  <c r="BZ107" i="1"/>
  <c r="CD107" i="1"/>
  <c r="BB108" i="1"/>
  <c r="CE108" i="1" s="1"/>
  <c r="BD108" i="1"/>
  <c r="BE108" i="1"/>
  <c r="BG108" i="1" s="1"/>
  <c r="BZ108" i="1"/>
  <c r="CD108" i="1"/>
  <c r="BB109" i="1"/>
  <c r="CE109" i="1" s="1"/>
  <c r="BD109" i="1"/>
  <c r="BF109" i="1" s="1"/>
  <c r="BE109" i="1"/>
  <c r="BZ109" i="1"/>
  <c r="CD109" i="1"/>
  <c r="BB110" i="1"/>
  <c r="CE110" i="1" s="1"/>
  <c r="BD110" i="1"/>
  <c r="BE110" i="1"/>
  <c r="BG110" i="1" s="1"/>
  <c r="BF110" i="1"/>
  <c r="BZ110" i="1"/>
  <c r="CD110" i="1"/>
  <c r="BB111" i="1"/>
  <c r="CE111" i="1" s="1"/>
  <c r="BD111" i="1"/>
  <c r="BF111" i="1" s="1"/>
  <c r="BE111" i="1"/>
  <c r="BZ111" i="1"/>
  <c r="CD111" i="1"/>
  <c r="BB112" i="1"/>
  <c r="CE112" i="1" s="1"/>
  <c r="BD112" i="1"/>
  <c r="BE112" i="1"/>
  <c r="BG112" i="1" s="1"/>
  <c r="BZ112" i="1"/>
  <c r="CD112" i="1"/>
  <c r="BB113" i="1"/>
  <c r="CE113" i="1" s="1"/>
  <c r="BD113" i="1"/>
  <c r="BF113" i="1" s="1"/>
  <c r="BE113" i="1"/>
  <c r="BG113" i="1" s="1"/>
  <c r="BZ113" i="1"/>
  <c r="CD113" i="1"/>
  <c r="BB98" i="1"/>
  <c r="CE98" i="1" s="1"/>
  <c r="BD98" i="1"/>
  <c r="BF98" i="1" s="1"/>
  <c r="BE98" i="1"/>
  <c r="BG98" i="1" s="1"/>
  <c r="BZ98" i="1"/>
  <c r="CD98" i="1"/>
  <c r="BB99" i="1"/>
  <c r="CE99" i="1" s="1"/>
  <c r="BD99" i="1"/>
  <c r="BF99" i="1" s="1"/>
  <c r="BE99" i="1"/>
  <c r="BZ99" i="1"/>
  <c r="CD99" i="1"/>
  <c r="BB100" i="1"/>
  <c r="CE100" i="1" s="1"/>
  <c r="BD100" i="1"/>
  <c r="BF100" i="1" s="1"/>
  <c r="BE100" i="1"/>
  <c r="BZ100" i="1"/>
  <c r="CD100" i="1"/>
  <c r="BB101" i="1"/>
  <c r="CE101" i="1" s="1"/>
  <c r="BD101" i="1"/>
  <c r="BF101" i="1" s="1"/>
  <c r="BE101" i="1"/>
  <c r="BG101" i="1" s="1"/>
  <c r="BZ101" i="1"/>
  <c r="CD101" i="1"/>
  <c r="BB102" i="1"/>
  <c r="CE102" i="1" s="1"/>
  <c r="BD102" i="1"/>
  <c r="BF102" i="1" s="1"/>
  <c r="BE102" i="1"/>
  <c r="BG102" i="1" s="1"/>
  <c r="BZ102" i="1"/>
  <c r="CD102" i="1"/>
  <c r="BB103" i="1"/>
  <c r="CE103" i="1" s="1"/>
  <c r="BD103" i="1"/>
  <c r="BF103" i="1" s="1"/>
  <c r="BE103" i="1"/>
  <c r="BZ103" i="1"/>
  <c r="CD103" i="1"/>
  <c r="BB104" i="1"/>
  <c r="CE104" i="1" s="1"/>
  <c r="BD104" i="1"/>
  <c r="BE104" i="1"/>
  <c r="BG104" i="1" s="1"/>
  <c r="BZ104" i="1"/>
  <c r="CD104" i="1"/>
  <c r="BB105" i="1"/>
  <c r="CE105" i="1" s="1"/>
  <c r="BD105" i="1"/>
  <c r="BF105" i="1" s="1"/>
  <c r="BE105" i="1"/>
  <c r="BG105" i="1" s="1"/>
  <c r="BZ105" i="1"/>
  <c r="CD105" i="1"/>
  <c r="BB90" i="1"/>
  <c r="CE90" i="1" s="1"/>
  <c r="BD90" i="1"/>
  <c r="BF90" i="1" s="1"/>
  <c r="BE90" i="1"/>
  <c r="BG90" i="1" s="1"/>
  <c r="BZ90" i="1"/>
  <c r="CD90" i="1"/>
  <c r="BB91" i="1"/>
  <c r="CE91" i="1" s="1"/>
  <c r="BD91" i="1"/>
  <c r="BF91" i="1" s="1"/>
  <c r="BE91" i="1"/>
  <c r="BG91" i="1" s="1"/>
  <c r="BZ91" i="1"/>
  <c r="CD91" i="1"/>
  <c r="BB92" i="1"/>
  <c r="CE92" i="1" s="1"/>
  <c r="BD92" i="1"/>
  <c r="BE92" i="1"/>
  <c r="BG92" i="1" s="1"/>
  <c r="BZ92" i="1"/>
  <c r="CD92" i="1"/>
  <c r="BB93" i="1"/>
  <c r="CE93" i="1" s="1"/>
  <c r="BD93" i="1"/>
  <c r="BF93" i="1" s="1"/>
  <c r="BE93" i="1"/>
  <c r="BG93" i="1" s="1"/>
  <c r="BZ93" i="1"/>
  <c r="CD93" i="1"/>
  <c r="BB94" i="1"/>
  <c r="CE94" i="1" s="1"/>
  <c r="BD94" i="1"/>
  <c r="BE94" i="1"/>
  <c r="BG94" i="1" s="1"/>
  <c r="BZ94" i="1"/>
  <c r="CD94" i="1"/>
  <c r="BB95" i="1"/>
  <c r="CE95" i="1" s="1"/>
  <c r="BD95" i="1"/>
  <c r="BF95" i="1" s="1"/>
  <c r="BE95" i="1"/>
  <c r="BG95" i="1" s="1"/>
  <c r="BZ95" i="1"/>
  <c r="CD95" i="1"/>
  <c r="BB96" i="1"/>
  <c r="CE96" i="1" s="1"/>
  <c r="BD96" i="1"/>
  <c r="BE96" i="1"/>
  <c r="BG96" i="1" s="1"/>
  <c r="BZ96" i="1"/>
  <c r="CD96" i="1"/>
  <c r="BB97" i="1"/>
  <c r="CE97" i="1" s="1"/>
  <c r="BD97" i="1"/>
  <c r="BF97" i="1" s="1"/>
  <c r="BE97" i="1"/>
  <c r="BG97" i="1" s="1"/>
  <c r="BZ97" i="1"/>
  <c r="CD97" i="1"/>
  <c r="BB82" i="1"/>
  <c r="CE82" i="1" s="1"/>
  <c r="BD82" i="1"/>
  <c r="BF82" i="1" s="1"/>
  <c r="BE82" i="1"/>
  <c r="BG82" i="1" s="1"/>
  <c r="BZ82" i="1"/>
  <c r="CD82" i="1"/>
  <c r="BB83" i="1"/>
  <c r="CE83" i="1" s="1"/>
  <c r="BD83" i="1"/>
  <c r="BE83" i="1"/>
  <c r="BG83" i="1" s="1"/>
  <c r="BZ83" i="1"/>
  <c r="CD83" i="1"/>
  <c r="BB84" i="1"/>
  <c r="CE84" i="1" s="1"/>
  <c r="BD84" i="1"/>
  <c r="BE84" i="1"/>
  <c r="BG84" i="1" s="1"/>
  <c r="BZ84" i="1"/>
  <c r="CD84" i="1"/>
  <c r="BB85" i="1"/>
  <c r="CE85" i="1" s="1"/>
  <c r="BD85" i="1"/>
  <c r="BF85" i="1" s="1"/>
  <c r="BE85" i="1"/>
  <c r="BG85" i="1" s="1"/>
  <c r="BZ85" i="1"/>
  <c r="CD85" i="1"/>
  <c r="BB86" i="1"/>
  <c r="CE86" i="1" s="1"/>
  <c r="BD86" i="1"/>
  <c r="BE86" i="1"/>
  <c r="BG86" i="1" s="1"/>
  <c r="BZ86" i="1"/>
  <c r="CD86" i="1"/>
  <c r="BB87" i="1"/>
  <c r="CE87" i="1" s="1"/>
  <c r="BD87" i="1"/>
  <c r="BE87" i="1"/>
  <c r="BG87" i="1" s="1"/>
  <c r="BZ87" i="1"/>
  <c r="CD87" i="1"/>
  <c r="BB88" i="1"/>
  <c r="CE88" i="1" s="1"/>
  <c r="BD88" i="1"/>
  <c r="BE88" i="1"/>
  <c r="BG88" i="1" s="1"/>
  <c r="BZ88" i="1"/>
  <c r="CD88" i="1"/>
  <c r="BB89" i="1"/>
  <c r="CE89" i="1" s="1"/>
  <c r="BD89" i="1"/>
  <c r="BE89" i="1"/>
  <c r="BG89" i="1" s="1"/>
  <c r="BZ89" i="1"/>
  <c r="CD89" i="1"/>
  <c r="BB74" i="1"/>
  <c r="CE74" i="1" s="1"/>
  <c r="BD74" i="1"/>
  <c r="BE74" i="1"/>
  <c r="BG74" i="1" s="1"/>
  <c r="BZ74" i="1"/>
  <c r="CD74" i="1"/>
  <c r="BB75" i="1"/>
  <c r="CE75" i="1" s="1"/>
  <c r="BD75" i="1"/>
  <c r="BE75" i="1"/>
  <c r="BG75" i="1" s="1"/>
  <c r="BZ75" i="1"/>
  <c r="CD75" i="1"/>
  <c r="BB76" i="1"/>
  <c r="CE76" i="1" s="1"/>
  <c r="BD76" i="1"/>
  <c r="BE76" i="1"/>
  <c r="BG76" i="1" s="1"/>
  <c r="BZ76" i="1"/>
  <c r="CD76" i="1"/>
  <c r="BB77" i="1"/>
  <c r="CE77" i="1" s="1"/>
  <c r="BD77" i="1"/>
  <c r="BF77" i="1" s="1"/>
  <c r="BE77" i="1"/>
  <c r="BG77" i="1" s="1"/>
  <c r="BZ77" i="1"/>
  <c r="CD77" i="1"/>
  <c r="BB78" i="1"/>
  <c r="CE78" i="1" s="1"/>
  <c r="BD78" i="1"/>
  <c r="BE78" i="1"/>
  <c r="BG78" i="1" s="1"/>
  <c r="BZ78" i="1"/>
  <c r="CD78" i="1"/>
  <c r="BB79" i="1"/>
  <c r="CE79" i="1" s="1"/>
  <c r="BD79" i="1"/>
  <c r="BE79" i="1"/>
  <c r="BG79" i="1" s="1"/>
  <c r="BZ79" i="1"/>
  <c r="CD79" i="1"/>
  <c r="BB80" i="1"/>
  <c r="CE80" i="1" s="1"/>
  <c r="BD80" i="1"/>
  <c r="BE80" i="1"/>
  <c r="BG80" i="1" s="1"/>
  <c r="BZ80" i="1"/>
  <c r="CD80" i="1"/>
  <c r="BB81" i="1"/>
  <c r="CE81" i="1" s="1"/>
  <c r="BD81" i="1"/>
  <c r="BF81" i="1" s="1"/>
  <c r="BE81" i="1"/>
  <c r="BG81" i="1" s="1"/>
  <c r="BZ81" i="1"/>
  <c r="CD81" i="1"/>
  <c r="BD66" i="1"/>
  <c r="BF66" i="1" s="1"/>
  <c r="BE66" i="1"/>
  <c r="BG66" i="1" s="1"/>
  <c r="BZ66" i="1"/>
  <c r="CD66" i="1"/>
  <c r="BD67" i="1"/>
  <c r="BF67" i="1" s="1"/>
  <c r="BE67" i="1"/>
  <c r="BG67" i="1" s="1"/>
  <c r="BZ67" i="1"/>
  <c r="CD67" i="1"/>
  <c r="BD68" i="1"/>
  <c r="BE68" i="1"/>
  <c r="BG68" i="1" s="1"/>
  <c r="BZ68" i="1"/>
  <c r="CD68" i="1"/>
  <c r="BD69" i="1"/>
  <c r="BE69" i="1"/>
  <c r="BG69" i="1" s="1"/>
  <c r="BZ69" i="1"/>
  <c r="CD69" i="1"/>
  <c r="BD70" i="1"/>
  <c r="BE70" i="1"/>
  <c r="BG70" i="1" s="1"/>
  <c r="BZ70" i="1"/>
  <c r="CD70" i="1"/>
  <c r="BD71" i="1"/>
  <c r="BF71" i="1" s="1"/>
  <c r="BE71" i="1"/>
  <c r="BG71" i="1" s="1"/>
  <c r="BZ71" i="1"/>
  <c r="CD71" i="1"/>
  <c r="BD72" i="1"/>
  <c r="BE72" i="1"/>
  <c r="BG72" i="1" s="1"/>
  <c r="BZ72" i="1"/>
  <c r="CD72" i="1"/>
  <c r="BD73" i="1"/>
  <c r="BE73" i="1"/>
  <c r="BG73" i="1" s="1"/>
  <c r="BZ73" i="1"/>
  <c r="CD73" i="1"/>
  <c r="BB66" i="1"/>
  <c r="CE66" i="1" s="1"/>
  <c r="BB67" i="1"/>
  <c r="CE67" i="1" s="1"/>
  <c r="BB68" i="1"/>
  <c r="CE68" i="1" s="1"/>
  <c r="BB69" i="1"/>
  <c r="CE69" i="1" s="1"/>
  <c r="BB70" i="1"/>
  <c r="CE70" i="1" s="1"/>
  <c r="BB71" i="1"/>
  <c r="CE71" i="1" s="1"/>
  <c r="BB72" i="1"/>
  <c r="CE72" i="1" s="1"/>
  <c r="BB73" i="1"/>
  <c r="CE73" i="1" s="1"/>
  <c r="BD58" i="1"/>
  <c r="BF58" i="1" s="1"/>
  <c r="BE58" i="1"/>
  <c r="BG58" i="1" s="1"/>
  <c r="BZ58" i="1"/>
  <c r="CD58" i="1"/>
  <c r="BD59" i="1"/>
  <c r="BE59" i="1"/>
  <c r="BG59" i="1" s="1"/>
  <c r="BZ59" i="1"/>
  <c r="CD59" i="1"/>
  <c r="BD60" i="1"/>
  <c r="BE60" i="1"/>
  <c r="BG60" i="1" s="1"/>
  <c r="BZ60" i="1"/>
  <c r="CD60" i="1"/>
  <c r="BD61" i="1"/>
  <c r="BE61" i="1"/>
  <c r="BG61" i="1" s="1"/>
  <c r="BZ61" i="1"/>
  <c r="CD61" i="1"/>
  <c r="BD62" i="1"/>
  <c r="BF62" i="1" s="1"/>
  <c r="BE62" i="1"/>
  <c r="BG62" i="1" s="1"/>
  <c r="BZ62" i="1"/>
  <c r="CD62" i="1"/>
  <c r="BD63" i="1"/>
  <c r="BF63" i="1" s="1"/>
  <c r="BE63" i="1"/>
  <c r="BG63" i="1" s="1"/>
  <c r="BZ63" i="1"/>
  <c r="CD63" i="1"/>
  <c r="BD64" i="1"/>
  <c r="BF64" i="1" s="1"/>
  <c r="BE64" i="1"/>
  <c r="BG64" i="1" s="1"/>
  <c r="BZ64" i="1"/>
  <c r="CD64" i="1"/>
  <c r="BD65" i="1"/>
  <c r="BE65" i="1"/>
  <c r="BG65" i="1" s="1"/>
  <c r="BZ65" i="1"/>
  <c r="CD65" i="1"/>
  <c r="BB58" i="1"/>
  <c r="CE58" i="1" s="1"/>
  <c r="BB59" i="1"/>
  <c r="CE59" i="1" s="1"/>
  <c r="BB60" i="1"/>
  <c r="CE60" i="1" s="1"/>
  <c r="BB61" i="1"/>
  <c r="CE61" i="1" s="1"/>
  <c r="BB62" i="1"/>
  <c r="CE62" i="1" s="1"/>
  <c r="BB63" i="1"/>
  <c r="CE63" i="1" s="1"/>
  <c r="BB64" i="1"/>
  <c r="CE64" i="1" s="1"/>
  <c r="BB65" i="1"/>
  <c r="CE65" i="1" s="1"/>
  <c r="CD57" i="1"/>
  <c r="CD56" i="1"/>
  <c r="CD55" i="1"/>
  <c r="CD54" i="1"/>
  <c r="CD53" i="1"/>
  <c r="CD52" i="1"/>
  <c r="CD51" i="1"/>
  <c r="CD50" i="1"/>
  <c r="BI235" i="1" l="1"/>
  <c r="BI300" i="1"/>
  <c r="BI452" i="1"/>
  <c r="BH421" i="1"/>
  <c r="BI166" i="1"/>
  <c r="BH407" i="1"/>
  <c r="BJ407" i="1" s="1"/>
  <c r="BU407" i="1" s="1"/>
  <c r="BI415" i="1"/>
  <c r="BI426" i="1"/>
  <c r="BI423" i="1"/>
  <c r="BH420" i="1"/>
  <c r="BJ420" i="1" s="1"/>
  <c r="BU420" i="1" s="1"/>
  <c r="BH238" i="1"/>
  <c r="BJ238" i="1" s="1"/>
  <c r="BH257" i="1"/>
  <c r="BJ257" i="1" s="1"/>
  <c r="BU257" i="1" s="1"/>
  <c r="BH375" i="1"/>
  <c r="BJ375" i="1" s="1"/>
  <c r="BK375" i="1" s="1"/>
  <c r="BL375" i="1" s="1"/>
  <c r="BM375" i="1" s="1"/>
  <c r="BH108" i="1"/>
  <c r="BI175" i="1"/>
  <c r="BI167" i="1"/>
  <c r="BH164" i="1"/>
  <c r="BJ164" i="1" s="1"/>
  <c r="BU164" i="1" s="1"/>
  <c r="BI94" i="1"/>
  <c r="BI126" i="1"/>
  <c r="BI171" i="1"/>
  <c r="BI203" i="1"/>
  <c r="BI76" i="1"/>
  <c r="BH67" i="1"/>
  <c r="BJ67" i="1" s="1"/>
  <c r="BU67" i="1" s="1"/>
  <c r="BI385" i="1"/>
  <c r="BH243" i="1"/>
  <c r="BJ243" i="1" s="1"/>
  <c r="BU243" i="1" s="1"/>
  <c r="BH320" i="1"/>
  <c r="BI371" i="1"/>
  <c r="BH168" i="1"/>
  <c r="BH430" i="1"/>
  <c r="BI80" i="1"/>
  <c r="BI353" i="1"/>
  <c r="BH388" i="1"/>
  <c r="BH246" i="1"/>
  <c r="BJ246" i="1" s="1"/>
  <c r="BU246" i="1" s="1"/>
  <c r="BI119" i="1"/>
  <c r="BI214" i="1"/>
  <c r="BI253" i="1"/>
  <c r="BI411" i="1"/>
  <c r="BH107" i="1"/>
  <c r="BJ107" i="1" s="1"/>
  <c r="BU107" i="1" s="1"/>
  <c r="BI219" i="1"/>
  <c r="BH290" i="1"/>
  <c r="BJ290" i="1" s="1"/>
  <c r="BU290" i="1" s="1"/>
  <c r="BH128" i="1"/>
  <c r="BJ128" i="1" s="1"/>
  <c r="BU128" i="1" s="1"/>
  <c r="BI122" i="1"/>
  <c r="BH137" i="1"/>
  <c r="BJ137" i="1" s="1"/>
  <c r="BP137" i="1" s="1"/>
  <c r="BQ137" i="1" s="1"/>
  <c r="BR137" i="1" s="1"/>
  <c r="BI199" i="1"/>
  <c r="BH196" i="1"/>
  <c r="BJ196" i="1" s="1"/>
  <c r="BU196" i="1" s="1"/>
  <c r="BH429" i="1"/>
  <c r="BJ429" i="1" s="1"/>
  <c r="BK429" i="1" s="1"/>
  <c r="BH462" i="1"/>
  <c r="BJ462" i="1" s="1"/>
  <c r="BU462" i="1" s="1"/>
  <c r="BI271" i="1"/>
  <c r="BF238" i="1"/>
  <c r="BI375" i="1"/>
  <c r="BF430" i="1"/>
  <c r="BH104" i="1"/>
  <c r="BH150" i="1"/>
  <c r="BJ150" i="1" s="1"/>
  <c r="BU150" i="1" s="1"/>
  <c r="BI170" i="1"/>
  <c r="BI238" i="1"/>
  <c r="BH232" i="1"/>
  <c r="BI67" i="1"/>
  <c r="BI142" i="1"/>
  <c r="BI162" i="1"/>
  <c r="BH180" i="1"/>
  <c r="BF407" i="1"/>
  <c r="BI465" i="1"/>
  <c r="BH461" i="1"/>
  <c r="BJ461" i="1" s="1"/>
  <c r="BU461" i="1" s="1"/>
  <c r="BH465" i="1"/>
  <c r="BJ465" i="1" s="1"/>
  <c r="BK465" i="1" s="1"/>
  <c r="BI430" i="1"/>
  <c r="BH174" i="1"/>
  <c r="BI429" i="1"/>
  <c r="BI60" i="1"/>
  <c r="BI59" i="1"/>
  <c r="BH66" i="1"/>
  <c r="BJ66" i="1" s="1"/>
  <c r="BU66" i="1" s="1"/>
  <c r="BH95" i="1"/>
  <c r="BJ95" i="1" s="1"/>
  <c r="BU95" i="1" s="1"/>
  <c r="BH94" i="1"/>
  <c r="BJ94" i="1" s="1"/>
  <c r="BU94" i="1" s="1"/>
  <c r="BH124" i="1"/>
  <c r="BJ124" i="1" s="1"/>
  <c r="BU124" i="1" s="1"/>
  <c r="BH160" i="1"/>
  <c r="BI163" i="1"/>
  <c r="BH184" i="1"/>
  <c r="BH178" i="1"/>
  <c r="BJ178" i="1" s="1"/>
  <c r="BU178" i="1" s="1"/>
  <c r="BH264" i="1"/>
  <c r="BJ264" i="1" s="1"/>
  <c r="BU264" i="1" s="1"/>
  <c r="BI267" i="1"/>
  <c r="BH299" i="1"/>
  <c r="BJ299" i="1" s="1"/>
  <c r="BU299" i="1" s="1"/>
  <c r="BH322" i="1"/>
  <c r="BH335" i="1"/>
  <c r="BJ335" i="1" s="1"/>
  <c r="BU335" i="1" s="1"/>
  <c r="BH390" i="1"/>
  <c r="BH426" i="1"/>
  <c r="BJ426" i="1" s="1"/>
  <c r="BU426" i="1" s="1"/>
  <c r="BF94" i="1"/>
  <c r="BH133" i="1"/>
  <c r="BJ133" i="1" s="1"/>
  <c r="BP133" i="1" s="1"/>
  <c r="BQ133" i="1" s="1"/>
  <c r="BR133" i="1" s="1"/>
  <c r="BH132" i="1"/>
  <c r="BJ132" i="1" s="1"/>
  <c r="BU132" i="1" s="1"/>
  <c r="BH172" i="1"/>
  <c r="BJ172" i="1" s="1"/>
  <c r="BU172" i="1" s="1"/>
  <c r="BI275" i="1"/>
  <c r="BH288" i="1"/>
  <c r="BH282" i="1"/>
  <c r="BG300" i="1"/>
  <c r="BI334" i="1"/>
  <c r="BF385" i="1"/>
  <c r="BH374" i="1"/>
  <c r="BH408" i="1"/>
  <c r="BJ408" i="1" s="1"/>
  <c r="BU408" i="1" s="1"/>
  <c r="BH113" i="1"/>
  <c r="BJ113" i="1" s="1"/>
  <c r="BU113" i="1" s="1"/>
  <c r="BI115" i="1"/>
  <c r="BH138" i="1"/>
  <c r="BI299" i="1"/>
  <c r="BI335" i="1"/>
  <c r="BF426" i="1"/>
  <c r="BH443" i="1"/>
  <c r="BJ443" i="1" s="1"/>
  <c r="BU443" i="1" s="1"/>
  <c r="BH146" i="1"/>
  <c r="BJ146" i="1" s="1"/>
  <c r="BU146" i="1" s="1"/>
  <c r="BH176" i="1"/>
  <c r="BH192" i="1"/>
  <c r="BI211" i="1"/>
  <c r="BH218" i="1"/>
  <c r="BJ218" i="1" s="1"/>
  <c r="BU218" i="1" s="1"/>
  <c r="BI247" i="1"/>
  <c r="BI294" i="1"/>
  <c r="BH350" i="1"/>
  <c r="BJ350" i="1" s="1"/>
  <c r="BU350" i="1" s="1"/>
  <c r="BH376" i="1"/>
  <c r="BJ376" i="1" s="1"/>
  <c r="BU376" i="1" s="1"/>
  <c r="BI390" i="1"/>
  <c r="BH106" i="1"/>
  <c r="BI146" i="1"/>
  <c r="BH253" i="1"/>
  <c r="BJ253" i="1" s="1"/>
  <c r="BU253" i="1" s="1"/>
  <c r="BH352" i="1"/>
  <c r="BJ352" i="1" s="1"/>
  <c r="BU352" i="1" s="1"/>
  <c r="BI363" i="1"/>
  <c r="BH400" i="1"/>
  <c r="BJ400" i="1" s="1"/>
  <c r="BU400" i="1" s="1"/>
  <c r="BF80" i="1"/>
  <c r="BI87" i="1"/>
  <c r="BH110" i="1"/>
  <c r="BF107" i="1"/>
  <c r="BI81" i="1"/>
  <c r="BH92" i="1"/>
  <c r="BJ92" i="1" s="1"/>
  <c r="BU92" i="1" s="1"/>
  <c r="BF322" i="1"/>
  <c r="BH356" i="1"/>
  <c r="BJ356" i="1" s="1"/>
  <c r="BU356" i="1" s="1"/>
  <c r="BI413" i="1"/>
  <c r="BF462" i="1"/>
  <c r="BI414" i="1"/>
  <c r="BI462" i="1"/>
  <c r="BI134" i="1"/>
  <c r="BH134" i="1"/>
  <c r="BJ134" i="1" s="1"/>
  <c r="BU134" i="1" s="1"/>
  <c r="BF134" i="1"/>
  <c r="BH117" i="1"/>
  <c r="BJ117" i="1" s="1"/>
  <c r="BU117" i="1" s="1"/>
  <c r="BF117" i="1"/>
  <c r="BI135" i="1"/>
  <c r="BF135" i="1"/>
  <c r="BF73" i="1"/>
  <c r="BH73" i="1"/>
  <c r="BJ73" i="1" s="1"/>
  <c r="BK73" i="1" s="1"/>
  <c r="BI73" i="1"/>
  <c r="BH136" i="1"/>
  <c r="BJ136" i="1" s="1"/>
  <c r="BU136" i="1" s="1"/>
  <c r="BI131" i="1"/>
  <c r="BF131" i="1"/>
  <c r="BG142" i="1"/>
  <c r="BH142" i="1"/>
  <c r="BF138" i="1"/>
  <c r="BI138" i="1"/>
  <c r="BI158" i="1"/>
  <c r="BH158" i="1"/>
  <c r="BJ158" i="1" s="1"/>
  <c r="BU158" i="1" s="1"/>
  <c r="BG195" i="1"/>
  <c r="BH195" i="1"/>
  <c r="BJ195" i="1" s="1"/>
  <c r="BU195" i="1" s="1"/>
  <c r="BH324" i="1"/>
  <c r="BI113" i="1"/>
  <c r="BH130" i="1"/>
  <c r="BI149" i="1"/>
  <c r="BF177" i="1"/>
  <c r="BH177" i="1"/>
  <c r="BI177" i="1"/>
  <c r="BG190" i="1"/>
  <c r="BH190" i="1"/>
  <c r="BI190" i="1"/>
  <c r="BF186" i="1"/>
  <c r="BH186" i="1"/>
  <c r="BJ186" i="1" s="1"/>
  <c r="BU186" i="1" s="1"/>
  <c r="BG297" i="1"/>
  <c r="BI297" i="1"/>
  <c r="BH297" i="1"/>
  <c r="BJ297" i="1" s="1"/>
  <c r="BK297" i="1" s="1"/>
  <c r="BH303" i="1"/>
  <c r="BJ303" i="1" s="1"/>
  <c r="BU303" i="1" s="1"/>
  <c r="BF303" i="1"/>
  <c r="BH339" i="1"/>
  <c r="BJ339" i="1" s="1"/>
  <c r="BU339" i="1" s="1"/>
  <c r="BF339" i="1"/>
  <c r="BI187" i="1"/>
  <c r="BF187" i="1"/>
  <c r="BG205" i="1"/>
  <c r="BH205" i="1"/>
  <c r="BJ205" i="1" s="1"/>
  <c r="BU205" i="1" s="1"/>
  <c r="BH188" i="1"/>
  <c r="BJ188" i="1" s="1"/>
  <c r="BU188" i="1" s="1"/>
  <c r="BH82" i="1"/>
  <c r="BJ82" i="1" s="1"/>
  <c r="BU82" i="1" s="1"/>
  <c r="BI82" i="1"/>
  <c r="BH129" i="1"/>
  <c r="BF173" i="1"/>
  <c r="BH173" i="1"/>
  <c r="BJ173" i="1" s="1"/>
  <c r="BU173" i="1" s="1"/>
  <c r="BI173" i="1"/>
  <c r="BH170" i="1"/>
  <c r="BF179" i="1"/>
  <c r="BI179" i="1"/>
  <c r="BI216" i="1"/>
  <c r="BH210" i="1"/>
  <c r="BI230" i="1"/>
  <c r="BG230" i="1"/>
  <c r="BH230" i="1"/>
  <c r="BH393" i="1"/>
  <c r="BJ393" i="1" s="1"/>
  <c r="BF393" i="1"/>
  <c r="BI393" i="1"/>
  <c r="BH424" i="1"/>
  <c r="BI447" i="1"/>
  <c r="BH447" i="1"/>
  <c r="BJ447" i="1" s="1"/>
  <c r="BU447" i="1" s="1"/>
  <c r="BF447" i="1"/>
  <c r="BK238" i="1"/>
  <c r="BU238" i="1"/>
  <c r="BH342" i="1"/>
  <c r="BJ342" i="1" s="1"/>
  <c r="BP342" i="1" s="1"/>
  <c r="BQ342" i="1" s="1"/>
  <c r="BR342" i="1" s="1"/>
  <c r="BI342" i="1"/>
  <c r="BF342" i="1"/>
  <c r="BH80" i="1"/>
  <c r="BJ80" i="1" s="1"/>
  <c r="BU80" i="1" s="1"/>
  <c r="BI154" i="1"/>
  <c r="BI295" i="1"/>
  <c r="BI100" i="1"/>
  <c r="BG100" i="1"/>
  <c r="BF174" i="1"/>
  <c r="BI186" i="1"/>
  <c r="BH347" i="1"/>
  <c r="BJ347" i="1" s="1"/>
  <c r="BU347" i="1" s="1"/>
  <c r="BF347" i="1"/>
  <c r="BF369" i="1"/>
  <c r="BH369" i="1"/>
  <c r="BJ369" i="1" s="1"/>
  <c r="BP369" i="1" s="1"/>
  <c r="BQ369" i="1" s="1"/>
  <c r="BR369" i="1" s="1"/>
  <c r="BK113" i="1"/>
  <c r="BL113" i="1" s="1"/>
  <c r="BM113" i="1" s="1"/>
  <c r="BH306" i="1"/>
  <c r="BJ306" i="1" s="1"/>
  <c r="BP306" i="1" s="1"/>
  <c r="BQ306" i="1" s="1"/>
  <c r="BR306" i="1" s="1"/>
  <c r="BF306" i="1"/>
  <c r="BF169" i="1"/>
  <c r="BH169" i="1"/>
  <c r="BJ169" i="1" s="1"/>
  <c r="BU169" i="1" s="1"/>
  <c r="BI169" i="1"/>
  <c r="BG239" i="1"/>
  <c r="BH239" i="1"/>
  <c r="BJ239" i="1" s="1"/>
  <c r="BU239" i="1" s="1"/>
  <c r="BI150" i="1"/>
  <c r="BH69" i="1"/>
  <c r="BJ69" i="1" s="1"/>
  <c r="BU69" i="1" s="1"/>
  <c r="BI66" i="1"/>
  <c r="BF59" i="1"/>
  <c r="BF89" i="1"/>
  <c r="BH89" i="1"/>
  <c r="BI89" i="1"/>
  <c r="BF104" i="1"/>
  <c r="BI117" i="1"/>
  <c r="BI153" i="1"/>
  <c r="BI174" i="1"/>
  <c r="BF165" i="1"/>
  <c r="BH165" i="1"/>
  <c r="BJ165" i="1" s="1"/>
  <c r="BU165" i="1" s="1"/>
  <c r="BI165" i="1"/>
  <c r="BF183" i="1"/>
  <c r="BI183" i="1"/>
  <c r="BF209" i="1"/>
  <c r="BH209" i="1"/>
  <c r="BJ209" i="1" s="1"/>
  <c r="BU209" i="1" s="1"/>
  <c r="BP257" i="1"/>
  <c r="BQ257" i="1" s="1"/>
  <c r="BR257" i="1" s="1"/>
  <c r="BH318" i="1"/>
  <c r="BJ318" i="1" s="1"/>
  <c r="BU318" i="1" s="1"/>
  <c r="BF318" i="1"/>
  <c r="BI318" i="1"/>
  <c r="BI395" i="1"/>
  <c r="BF395" i="1"/>
  <c r="BI86" i="1"/>
  <c r="BI104" i="1"/>
  <c r="BH100" i="1"/>
  <c r="BJ100" i="1" s="1"/>
  <c r="BU100" i="1" s="1"/>
  <c r="BI191" i="1"/>
  <c r="BI195" i="1"/>
  <c r="BH208" i="1"/>
  <c r="BJ208" i="1" s="1"/>
  <c r="BU208" i="1" s="1"/>
  <c r="BH222" i="1"/>
  <c r="BJ222" i="1" s="1"/>
  <c r="BU222" i="1" s="1"/>
  <c r="BI239" i="1"/>
  <c r="BI255" i="1"/>
  <c r="BI251" i="1"/>
  <c r="BH261" i="1"/>
  <c r="BJ261" i="1" s="1"/>
  <c r="BK261" i="1" s="1"/>
  <c r="BI287" i="1"/>
  <c r="BH332" i="1"/>
  <c r="BJ332" i="1" s="1"/>
  <c r="BU332" i="1" s="1"/>
  <c r="BH372" i="1"/>
  <c r="BJ372" i="1" s="1"/>
  <c r="BU372" i="1" s="1"/>
  <c r="BH392" i="1"/>
  <c r="BJ392" i="1" s="1"/>
  <c r="BU392" i="1" s="1"/>
  <c r="BI387" i="1"/>
  <c r="BG462" i="1"/>
  <c r="BI461" i="1"/>
  <c r="BI306" i="1"/>
  <c r="BP465" i="1"/>
  <c r="BQ465" i="1" s="1"/>
  <c r="BR465" i="1" s="1"/>
  <c r="BS465" i="1" s="1"/>
  <c r="BU465" i="1"/>
  <c r="BI358" i="1"/>
  <c r="BH166" i="1"/>
  <c r="BJ166" i="1" s="1"/>
  <c r="BU166" i="1" s="1"/>
  <c r="BH162" i="1"/>
  <c r="BJ162" i="1" s="1"/>
  <c r="BU162" i="1" s="1"/>
  <c r="BI259" i="1"/>
  <c r="BH96" i="1"/>
  <c r="BJ96" i="1" s="1"/>
  <c r="BU96" i="1" s="1"/>
  <c r="BH91" i="1"/>
  <c r="BJ91" i="1" s="1"/>
  <c r="BU91" i="1" s="1"/>
  <c r="BH121" i="1"/>
  <c r="BJ121" i="1" s="1"/>
  <c r="BU121" i="1" s="1"/>
  <c r="BH126" i="1"/>
  <c r="BJ126" i="1" s="1"/>
  <c r="BU126" i="1" s="1"/>
  <c r="BH182" i="1"/>
  <c r="BI207" i="1"/>
  <c r="BH204" i="1"/>
  <c r="BJ204" i="1" s="1"/>
  <c r="BU204" i="1" s="1"/>
  <c r="BH217" i="1"/>
  <c r="BJ217" i="1" s="1"/>
  <c r="BK217" i="1" s="1"/>
  <c r="BH214" i="1"/>
  <c r="BJ214" i="1" s="1"/>
  <c r="BU214" i="1" s="1"/>
  <c r="BH224" i="1"/>
  <c r="BJ224" i="1" s="1"/>
  <c r="BU224" i="1" s="1"/>
  <c r="BI254" i="1"/>
  <c r="BH260" i="1"/>
  <c r="BH272" i="1"/>
  <c r="BJ272" i="1" s="1"/>
  <c r="BU272" i="1" s="1"/>
  <c r="BH278" i="1"/>
  <c r="BJ278" i="1" s="1"/>
  <c r="BP278" i="1" s="1"/>
  <c r="BQ278" i="1" s="1"/>
  <c r="BR278" i="1" s="1"/>
  <c r="BI274" i="1"/>
  <c r="BH300" i="1"/>
  <c r="BJ300" i="1" s="1"/>
  <c r="BU300" i="1" s="1"/>
  <c r="BH340" i="1"/>
  <c r="BJ340" i="1" s="1"/>
  <c r="BU340" i="1" s="1"/>
  <c r="BH348" i="1"/>
  <c r="BJ348" i="1" s="1"/>
  <c r="BU348" i="1" s="1"/>
  <c r="BI359" i="1"/>
  <c r="BF356" i="1"/>
  <c r="BI355" i="1"/>
  <c r="BH364" i="1"/>
  <c r="BJ364" i="1" s="1"/>
  <c r="BU364" i="1" s="1"/>
  <c r="BH380" i="1"/>
  <c r="BJ380" i="1" s="1"/>
  <c r="BU380" i="1" s="1"/>
  <c r="BF390" i="1"/>
  <c r="BI403" i="1"/>
  <c r="BI439" i="1"/>
  <c r="BH436" i="1"/>
  <c r="BJ436" i="1" s="1"/>
  <c r="BU436" i="1" s="1"/>
  <c r="BI435" i="1"/>
  <c r="BH428" i="1"/>
  <c r="BI427" i="1"/>
  <c r="BI455" i="1"/>
  <c r="BH220" i="1"/>
  <c r="BJ220" i="1" s="1"/>
  <c r="BU220" i="1" s="1"/>
  <c r="BH312" i="1"/>
  <c r="BJ312" i="1" s="1"/>
  <c r="BU312" i="1" s="1"/>
  <c r="BH315" i="1"/>
  <c r="BJ315" i="1" s="1"/>
  <c r="BU315" i="1" s="1"/>
  <c r="BI111" i="1"/>
  <c r="BI130" i="1"/>
  <c r="BI161" i="1"/>
  <c r="BI198" i="1"/>
  <c r="BH221" i="1"/>
  <c r="BJ221" i="1" s="1"/>
  <c r="BU221" i="1" s="1"/>
  <c r="BI286" i="1"/>
  <c r="BI290" i="1"/>
  <c r="BI322" i="1"/>
  <c r="BF332" i="1"/>
  <c r="BH349" i="1"/>
  <c r="BJ349" i="1" s="1"/>
  <c r="BK349" i="1" s="1"/>
  <c r="BH360" i="1"/>
  <c r="BJ360" i="1" s="1"/>
  <c r="BU360" i="1" s="1"/>
  <c r="BH378" i="1"/>
  <c r="BJ378" i="1" s="1"/>
  <c r="BU378" i="1" s="1"/>
  <c r="BF387" i="1"/>
  <c r="BI425" i="1"/>
  <c r="BH444" i="1"/>
  <c r="BJ444" i="1" s="1"/>
  <c r="BU444" i="1" s="1"/>
  <c r="BI450" i="1"/>
  <c r="BI419" i="1"/>
  <c r="BH440" i="1"/>
  <c r="BJ440" i="1" s="1"/>
  <c r="BU440" i="1" s="1"/>
  <c r="BI456" i="1"/>
  <c r="BH328" i="1"/>
  <c r="BJ328" i="1" s="1"/>
  <c r="BU328" i="1" s="1"/>
  <c r="BH326" i="1"/>
  <c r="BJ326" i="1" s="1"/>
  <c r="BU326" i="1" s="1"/>
  <c r="BK205" i="1"/>
  <c r="BL205" i="1" s="1"/>
  <c r="BM205" i="1" s="1"/>
  <c r="BI102" i="1"/>
  <c r="BI68" i="1"/>
  <c r="BI78" i="1"/>
  <c r="BI75" i="1"/>
  <c r="BH86" i="1"/>
  <c r="BJ86" i="1" s="1"/>
  <c r="BU86" i="1" s="1"/>
  <c r="BH85" i="1"/>
  <c r="BJ85" i="1" s="1"/>
  <c r="BU85" i="1" s="1"/>
  <c r="BI83" i="1"/>
  <c r="BI101" i="1"/>
  <c r="BI110" i="1"/>
  <c r="BF106" i="1"/>
  <c r="BI120" i="1"/>
  <c r="BI125" i="1"/>
  <c r="BF182" i="1"/>
  <c r="BF196" i="1"/>
  <c r="BI206" i="1"/>
  <c r="BI202" i="1"/>
  <c r="BG214" i="1"/>
  <c r="BF211" i="1"/>
  <c r="BF210" i="1"/>
  <c r="BH233" i="1"/>
  <c r="BJ233" i="1" s="1"/>
  <c r="BP233" i="1" s="1"/>
  <c r="BQ233" i="1" s="1"/>
  <c r="BR233" i="1" s="1"/>
  <c r="BI231" i="1"/>
  <c r="BH248" i="1"/>
  <c r="BJ248" i="1" s="1"/>
  <c r="BU248" i="1" s="1"/>
  <c r="BF248" i="1"/>
  <c r="BG257" i="1"/>
  <c r="BH256" i="1"/>
  <c r="BJ256" i="1" s="1"/>
  <c r="BU256" i="1" s="1"/>
  <c r="BH265" i="1"/>
  <c r="BJ265" i="1" s="1"/>
  <c r="BK265" i="1" s="1"/>
  <c r="BF259" i="1"/>
  <c r="BH286" i="1"/>
  <c r="BJ286" i="1" s="1"/>
  <c r="BU286" i="1" s="1"/>
  <c r="BG282" i="1"/>
  <c r="BH294" i="1"/>
  <c r="BJ294" i="1" s="1"/>
  <c r="BU294" i="1" s="1"/>
  <c r="BI291" i="1"/>
  <c r="BF291" i="1"/>
  <c r="BI307" i="1"/>
  <c r="BF307" i="1"/>
  <c r="BH344" i="1"/>
  <c r="BJ344" i="1" s="1"/>
  <c r="BU344" i="1" s="1"/>
  <c r="BF344" i="1"/>
  <c r="BI346" i="1"/>
  <c r="BF346" i="1"/>
  <c r="BH346" i="1"/>
  <c r="BJ346" i="1" s="1"/>
  <c r="BU346" i="1" s="1"/>
  <c r="BI386" i="1"/>
  <c r="BF453" i="1"/>
  <c r="BH453" i="1"/>
  <c r="BJ453" i="1" s="1"/>
  <c r="BK453" i="1" s="1"/>
  <c r="BI453" i="1"/>
  <c r="BH58" i="1"/>
  <c r="BJ58" i="1" s="1"/>
  <c r="BU58" i="1" s="1"/>
  <c r="BI85" i="1"/>
  <c r="BF86" i="1"/>
  <c r="BH84" i="1"/>
  <c r="BJ84" i="1" s="1"/>
  <c r="BU84" i="1" s="1"/>
  <c r="BG111" i="1"/>
  <c r="BI109" i="1"/>
  <c r="BF121" i="1"/>
  <c r="BG126" i="1"/>
  <c r="BH125" i="1"/>
  <c r="BJ125" i="1" s="1"/>
  <c r="BU125" i="1" s="1"/>
  <c r="BF154" i="1"/>
  <c r="BJ177" i="1"/>
  <c r="BU177" i="1" s="1"/>
  <c r="BF175" i="1"/>
  <c r="BG174" i="1"/>
  <c r="BF171" i="1"/>
  <c r="BG170" i="1"/>
  <c r="BF167" i="1"/>
  <c r="BG166" i="1"/>
  <c r="BF163" i="1"/>
  <c r="BG162" i="1"/>
  <c r="BH199" i="1"/>
  <c r="BJ199" i="1" s="1"/>
  <c r="BU199" i="1" s="1"/>
  <c r="BH198" i="1"/>
  <c r="BJ198" i="1" s="1"/>
  <c r="BP198" i="1" s="1"/>
  <c r="BQ198" i="1" s="1"/>
  <c r="BR198" i="1" s="1"/>
  <c r="BH206" i="1"/>
  <c r="BJ206" i="1" s="1"/>
  <c r="BU206" i="1" s="1"/>
  <c r="BH202" i="1"/>
  <c r="BJ202" i="1" s="1"/>
  <c r="BU202" i="1" s="1"/>
  <c r="BF214" i="1"/>
  <c r="BI213" i="1"/>
  <c r="BI210" i="1"/>
  <c r="BF258" i="1"/>
  <c r="BH258" i="1"/>
  <c r="BJ258" i="1" s="1"/>
  <c r="BU258" i="1" s="1"/>
  <c r="BF273" i="1"/>
  <c r="BH273" i="1"/>
  <c r="BJ273" i="1" s="1"/>
  <c r="BU273" i="1" s="1"/>
  <c r="BH270" i="1"/>
  <c r="BJ270" i="1" s="1"/>
  <c r="BU270" i="1" s="1"/>
  <c r="BI279" i="1"/>
  <c r="BH279" i="1"/>
  <c r="BJ279" i="1" s="1"/>
  <c r="BU279" i="1" s="1"/>
  <c r="BI289" i="1"/>
  <c r="BI293" i="1"/>
  <c r="BH308" i="1"/>
  <c r="BJ308" i="1" s="1"/>
  <c r="BU308" i="1" s="1"/>
  <c r="BF308" i="1"/>
  <c r="BI314" i="1"/>
  <c r="BH314" i="1"/>
  <c r="BJ314" i="1" s="1"/>
  <c r="BU314" i="1" s="1"/>
  <c r="BG379" i="1"/>
  <c r="BH379" i="1"/>
  <c r="BJ379" i="1" s="1"/>
  <c r="BP379" i="1" s="1"/>
  <c r="BQ379" i="1" s="1"/>
  <c r="BR379" i="1" s="1"/>
  <c r="BH103" i="1"/>
  <c r="BJ103" i="1" s="1"/>
  <c r="BU103" i="1" s="1"/>
  <c r="BH102" i="1"/>
  <c r="BJ102" i="1" s="1"/>
  <c r="BU102" i="1" s="1"/>
  <c r="BH109" i="1"/>
  <c r="BJ109" i="1" s="1"/>
  <c r="BU109" i="1" s="1"/>
  <c r="BK137" i="1"/>
  <c r="BL137" i="1" s="1"/>
  <c r="BM137" i="1" s="1"/>
  <c r="BF199" i="1"/>
  <c r="BG198" i="1"/>
  <c r="BF207" i="1"/>
  <c r="BF203" i="1"/>
  <c r="BI217" i="1"/>
  <c r="BH213" i="1"/>
  <c r="BJ213" i="1" s="1"/>
  <c r="BK213" i="1" s="1"/>
  <c r="BL213" i="1" s="1"/>
  <c r="BM213" i="1" s="1"/>
  <c r="BI222" i="1"/>
  <c r="BI221" i="1"/>
  <c r="BF220" i="1"/>
  <c r="BH235" i="1"/>
  <c r="BJ235" i="1" s="1"/>
  <c r="BU235" i="1" s="1"/>
  <c r="BI234" i="1"/>
  <c r="BF234" i="1"/>
  <c r="BH245" i="1"/>
  <c r="BJ245" i="1" s="1"/>
  <c r="BU245" i="1" s="1"/>
  <c r="BI244" i="1"/>
  <c r="BF251" i="1"/>
  <c r="BH262" i="1"/>
  <c r="BJ262" i="1" s="1"/>
  <c r="BU262" i="1" s="1"/>
  <c r="BI269" i="1"/>
  <c r="BH275" i="1"/>
  <c r="BJ275" i="1" s="1"/>
  <c r="BU275" i="1" s="1"/>
  <c r="BH289" i="1"/>
  <c r="BI285" i="1"/>
  <c r="BF295" i="1"/>
  <c r="BF294" i="1"/>
  <c r="BH293" i="1"/>
  <c r="BJ293" i="1" s="1"/>
  <c r="BK293" i="1" s="1"/>
  <c r="BH292" i="1"/>
  <c r="BJ292" i="1" s="1"/>
  <c r="BU292" i="1" s="1"/>
  <c r="BG326" i="1"/>
  <c r="BI326" i="1"/>
  <c r="BH354" i="1"/>
  <c r="BJ354" i="1" s="1"/>
  <c r="BU354" i="1" s="1"/>
  <c r="BF354" i="1"/>
  <c r="BI354" i="1"/>
  <c r="BH418" i="1"/>
  <c r="BJ418" i="1" s="1"/>
  <c r="BU418" i="1" s="1"/>
  <c r="BI209" i="1"/>
  <c r="BI205" i="1"/>
  <c r="BI215" i="1"/>
  <c r="BH212" i="1"/>
  <c r="BJ212" i="1" s="1"/>
  <c r="BU212" i="1" s="1"/>
  <c r="BG222" i="1"/>
  <c r="BF246" i="1"/>
  <c r="BG254" i="1"/>
  <c r="BI250" i="1"/>
  <c r="BH250" i="1"/>
  <c r="BJ250" i="1" s="1"/>
  <c r="BU250" i="1" s="1"/>
  <c r="BH269" i="1"/>
  <c r="BJ269" i="1" s="1"/>
  <c r="BH280" i="1"/>
  <c r="BJ280" i="1" s="1"/>
  <c r="BU280" i="1" s="1"/>
  <c r="BF280" i="1"/>
  <c r="BF275" i="1"/>
  <c r="BH285" i="1"/>
  <c r="BI303" i="1"/>
  <c r="BI310" i="1"/>
  <c r="BF383" i="1"/>
  <c r="BH383" i="1"/>
  <c r="BJ383" i="1" s="1"/>
  <c r="BI383" i="1"/>
  <c r="BH389" i="1"/>
  <c r="BJ389" i="1" s="1"/>
  <c r="BK389" i="1" s="1"/>
  <c r="BI398" i="1"/>
  <c r="BF398" i="1"/>
  <c r="BH398" i="1"/>
  <c r="BJ398" i="1" s="1"/>
  <c r="BU398" i="1" s="1"/>
  <c r="BF422" i="1"/>
  <c r="BH422" i="1"/>
  <c r="BJ422" i="1" s="1"/>
  <c r="BU422" i="1" s="1"/>
  <c r="BI422" i="1"/>
  <c r="BH88" i="1"/>
  <c r="BJ88" i="1" s="1"/>
  <c r="BU88" i="1" s="1"/>
  <c r="BI90" i="1"/>
  <c r="BI105" i="1"/>
  <c r="BH112" i="1"/>
  <c r="BJ112" i="1" s="1"/>
  <c r="BU112" i="1" s="1"/>
  <c r="BH111" i="1"/>
  <c r="BJ111" i="1" s="1"/>
  <c r="BU111" i="1" s="1"/>
  <c r="BI116" i="1"/>
  <c r="BI137" i="1"/>
  <c r="BI133" i="1"/>
  <c r="BI157" i="1"/>
  <c r="BF261" i="1"/>
  <c r="BI261" i="1"/>
  <c r="BH304" i="1"/>
  <c r="BJ304" i="1" s="1"/>
  <c r="BU304" i="1" s="1"/>
  <c r="BF304" i="1"/>
  <c r="BI304" i="1"/>
  <c r="BI327" i="1"/>
  <c r="BF327" i="1"/>
  <c r="BH327" i="1"/>
  <c r="BJ327" i="1" s="1"/>
  <c r="BU327" i="1" s="1"/>
  <c r="BH410" i="1"/>
  <c r="BJ410" i="1" s="1"/>
  <c r="BU410" i="1" s="1"/>
  <c r="BF410" i="1"/>
  <c r="BI410" i="1"/>
  <c r="BF437" i="1"/>
  <c r="BH437" i="1"/>
  <c r="BJ437" i="1" s="1"/>
  <c r="BI437" i="1"/>
  <c r="BF96" i="1"/>
  <c r="BF92" i="1"/>
  <c r="BH90" i="1"/>
  <c r="BJ90" i="1" s="1"/>
  <c r="BP90" i="1" s="1"/>
  <c r="BQ90" i="1" s="1"/>
  <c r="BR90" i="1" s="1"/>
  <c r="BI106" i="1"/>
  <c r="BI145" i="1"/>
  <c r="BI141" i="1"/>
  <c r="BH157" i="1"/>
  <c r="BJ157" i="1" s="1"/>
  <c r="BK157" i="1" s="1"/>
  <c r="BI155" i="1"/>
  <c r="BI182" i="1"/>
  <c r="BI193" i="1"/>
  <c r="BI189" i="1"/>
  <c r="BH200" i="1"/>
  <c r="BJ200" i="1" s="1"/>
  <c r="BU200" i="1" s="1"/>
  <c r="BI226" i="1"/>
  <c r="BI252" i="1"/>
  <c r="BI262" i="1"/>
  <c r="BH296" i="1"/>
  <c r="BJ296" i="1" s="1"/>
  <c r="BU296" i="1" s="1"/>
  <c r="BI323" i="1"/>
  <c r="BF323" i="1"/>
  <c r="BH323" i="1"/>
  <c r="BJ323" i="1" s="1"/>
  <c r="BU323" i="1" s="1"/>
  <c r="BF353" i="1"/>
  <c r="BH353" i="1"/>
  <c r="BJ353" i="1" s="1"/>
  <c r="BF365" i="1"/>
  <c r="BH365" i="1"/>
  <c r="BJ365" i="1" s="1"/>
  <c r="BU365" i="1" s="1"/>
  <c r="BH386" i="1"/>
  <c r="BJ386" i="1" s="1"/>
  <c r="BU386" i="1" s="1"/>
  <c r="BH60" i="1"/>
  <c r="BJ60" i="1" s="1"/>
  <c r="BU60" i="1" s="1"/>
  <c r="BH68" i="1"/>
  <c r="BJ68" i="1" s="1"/>
  <c r="BU68" i="1" s="1"/>
  <c r="BH81" i="1"/>
  <c r="BJ81" i="1" s="1"/>
  <c r="BU81" i="1" s="1"/>
  <c r="BI95" i="1"/>
  <c r="BI91" i="1"/>
  <c r="BH99" i="1"/>
  <c r="BJ99" i="1" s="1"/>
  <c r="BU99" i="1" s="1"/>
  <c r="BH98" i="1"/>
  <c r="BJ98" i="1" s="1"/>
  <c r="BU98" i="1" s="1"/>
  <c r="BH116" i="1"/>
  <c r="BJ116" i="1" s="1"/>
  <c r="BU116" i="1" s="1"/>
  <c r="BI129" i="1"/>
  <c r="BH122" i="1"/>
  <c r="BJ122" i="1" s="1"/>
  <c r="BU122" i="1" s="1"/>
  <c r="BH153" i="1"/>
  <c r="BH152" i="1"/>
  <c r="BJ152" i="1" s="1"/>
  <c r="BU152" i="1" s="1"/>
  <c r="BI151" i="1"/>
  <c r="BH149" i="1"/>
  <c r="BH148" i="1"/>
  <c r="BJ148" i="1" s="1"/>
  <c r="BU148" i="1" s="1"/>
  <c r="BI147" i="1"/>
  <c r="BH145" i="1"/>
  <c r="BH144" i="1"/>
  <c r="BJ144" i="1" s="1"/>
  <c r="BU144" i="1" s="1"/>
  <c r="BI143" i="1"/>
  <c r="BH141" i="1"/>
  <c r="BJ141" i="1" s="1"/>
  <c r="BU141" i="1" s="1"/>
  <c r="BH140" i="1"/>
  <c r="BJ140" i="1" s="1"/>
  <c r="BU140" i="1" s="1"/>
  <c r="BI139" i="1"/>
  <c r="BH161" i="1"/>
  <c r="BJ161" i="1" s="1"/>
  <c r="BK161" i="1" s="1"/>
  <c r="BI159" i="1"/>
  <c r="BH156" i="1"/>
  <c r="BJ156" i="1" s="1"/>
  <c r="BU156" i="1" s="1"/>
  <c r="BI178" i="1"/>
  <c r="BH193" i="1"/>
  <c r="BH189" i="1"/>
  <c r="BI225" i="1"/>
  <c r="BF224" i="1"/>
  <c r="BI223" i="1"/>
  <c r="BI229" i="1"/>
  <c r="BF239" i="1"/>
  <c r="BG238" i="1"/>
  <c r="BH236" i="1"/>
  <c r="BI248" i="1"/>
  <c r="BI257" i="1"/>
  <c r="BH254" i="1"/>
  <c r="BJ254" i="1" s="1"/>
  <c r="BU254" i="1" s="1"/>
  <c r="BI263" i="1"/>
  <c r="BF263" i="1"/>
  <c r="BI258" i="1"/>
  <c r="BI273" i="1"/>
  <c r="BI266" i="1"/>
  <c r="BF278" i="1"/>
  <c r="BI282" i="1"/>
  <c r="BH310" i="1"/>
  <c r="BJ310" i="1" s="1"/>
  <c r="BU310" i="1" s="1"/>
  <c r="BH307" i="1"/>
  <c r="BJ307" i="1" s="1"/>
  <c r="BU307" i="1" s="1"/>
  <c r="BH321" i="1"/>
  <c r="BJ321" i="1" s="1"/>
  <c r="BU321" i="1" s="1"/>
  <c r="BF343" i="1"/>
  <c r="BH343" i="1"/>
  <c r="BJ343" i="1" s="1"/>
  <c r="BU343" i="1" s="1"/>
  <c r="BH381" i="1"/>
  <c r="BJ381" i="1" s="1"/>
  <c r="BU381" i="1" s="1"/>
  <c r="BF381" i="1"/>
  <c r="BF371" i="1"/>
  <c r="BH371" i="1"/>
  <c r="BJ371" i="1" s="1"/>
  <c r="BP371" i="1" s="1"/>
  <c r="BQ371" i="1" s="1"/>
  <c r="BR371" i="1" s="1"/>
  <c r="BI389" i="1"/>
  <c r="BI406" i="1"/>
  <c r="BF406" i="1"/>
  <c r="BH406" i="1"/>
  <c r="BJ406" i="1" s="1"/>
  <c r="BU406" i="1" s="1"/>
  <c r="BH399" i="1"/>
  <c r="BJ399" i="1" s="1"/>
  <c r="BU399" i="1" s="1"/>
  <c r="BI417" i="1"/>
  <c r="BG441" i="1"/>
  <c r="BH441" i="1"/>
  <c r="BJ441" i="1" s="1"/>
  <c r="BK441" i="1" s="1"/>
  <c r="BI121" i="1"/>
  <c r="BG210" i="1"/>
  <c r="BH225" i="1"/>
  <c r="BJ225" i="1" s="1"/>
  <c r="BU225" i="1" s="1"/>
  <c r="BF218" i="1"/>
  <c r="BI233" i="1"/>
  <c r="BH229" i="1"/>
  <c r="BJ229" i="1" s="1"/>
  <c r="BP229" i="1" s="1"/>
  <c r="BQ229" i="1" s="1"/>
  <c r="BR229" i="1" s="1"/>
  <c r="BI227" i="1"/>
  <c r="BH249" i="1"/>
  <c r="BJ249" i="1" s="1"/>
  <c r="BU249" i="1" s="1"/>
  <c r="BI265" i="1"/>
  <c r="BF279" i="1"/>
  <c r="BF290" i="1"/>
  <c r="BI311" i="1"/>
  <c r="BF311" i="1"/>
  <c r="BH311" i="1"/>
  <c r="BJ311" i="1" s="1"/>
  <c r="BU311" i="1" s="1"/>
  <c r="BF321" i="1"/>
  <c r="BI321" i="1"/>
  <c r="BF317" i="1"/>
  <c r="BI317" i="1"/>
  <c r="BG314" i="1"/>
  <c r="BG366" i="1"/>
  <c r="BI366" i="1"/>
  <c r="BI391" i="1"/>
  <c r="BF391" i="1"/>
  <c r="BJ421" i="1"/>
  <c r="BU421" i="1" s="1"/>
  <c r="BF438" i="1"/>
  <c r="BH438" i="1"/>
  <c r="BJ438" i="1" s="1"/>
  <c r="BU438" i="1" s="1"/>
  <c r="BI438" i="1"/>
  <c r="BI343" i="1"/>
  <c r="BH359" i="1"/>
  <c r="BJ359" i="1" s="1"/>
  <c r="BU359" i="1" s="1"/>
  <c r="BH403" i="1"/>
  <c r="BJ403" i="1" s="1"/>
  <c r="BU403" i="1" s="1"/>
  <c r="BH395" i="1"/>
  <c r="BJ395" i="1" s="1"/>
  <c r="BU395" i="1" s="1"/>
  <c r="BH425" i="1"/>
  <c r="BI421" i="1"/>
  <c r="BH228" i="1"/>
  <c r="BJ228" i="1" s="1"/>
  <c r="BU228" i="1" s="1"/>
  <c r="BI243" i="1"/>
  <c r="BI270" i="1"/>
  <c r="BH268" i="1"/>
  <c r="BJ268" i="1" s="1"/>
  <c r="BU268" i="1" s="1"/>
  <c r="BH284" i="1"/>
  <c r="BJ284" i="1" s="1"/>
  <c r="BU284" i="1" s="1"/>
  <c r="BI283" i="1"/>
  <c r="BH358" i="1"/>
  <c r="BJ358" i="1" s="1"/>
  <c r="BU358" i="1" s="1"/>
  <c r="BI367" i="1"/>
  <c r="BH368" i="1"/>
  <c r="BJ368" i="1" s="1"/>
  <c r="BI379" i="1"/>
  <c r="BH373" i="1"/>
  <c r="BJ373" i="1" s="1"/>
  <c r="BU373" i="1" s="1"/>
  <c r="BI402" i="1"/>
  <c r="BI394" i="1"/>
  <c r="BH412" i="1"/>
  <c r="BJ412" i="1" s="1"/>
  <c r="BU412" i="1" s="1"/>
  <c r="BI459" i="1"/>
  <c r="BI458" i="1"/>
  <c r="BI434" i="1"/>
  <c r="BI446" i="1"/>
  <c r="BI442" i="1"/>
  <c r="BI463" i="1"/>
  <c r="BH460" i="1"/>
  <c r="BJ460" i="1" s="1"/>
  <c r="BU460" i="1" s="1"/>
  <c r="BH240" i="1"/>
  <c r="BJ240" i="1" s="1"/>
  <c r="BU240" i="1" s="1"/>
  <c r="BH276" i="1"/>
  <c r="BJ276" i="1" s="1"/>
  <c r="BU276" i="1" s="1"/>
  <c r="BH313" i="1"/>
  <c r="BJ313" i="1" s="1"/>
  <c r="BH316" i="1"/>
  <c r="BJ316" i="1" s="1"/>
  <c r="BU316" i="1" s="1"/>
  <c r="BH336" i="1"/>
  <c r="BJ336" i="1" s="1"/>
  <c r="BU336" i="1" s="1"/>
  <c r="BI331" i="1"/>
  <c r="BI338" i="1"/>
  <c r="BH377" i="1"/>
  <c r="BJ377" i="1" s="1"/>
  <c r="BU377" i="1" s="1"/>
  <c r="BH404" i="1"/>
  <c r="BJ404" i="1" s="1"/>
  <c r="BU404" i="1" s="1"/>
  <c r="BH396" i="1"/>
  <c r="BJ396" i="1" s="1"/>
  <c r="BU396" i="1" s="1"/>
  <c r="BH414" i="1"/>
  <c r="BJ414" i="1" s="1"/>
  <c r="BU414" i="1" s="1"/>
  <c r="BH434" i="1"/>
  <c r="BJ434" i="1" s="1"/>
  <c r="BU434" i="1" s="1"/>
  <c r="BH448" i="1"/>
  <c r="BJ448" i="1" s="1"/>
  <c r="BU448" i="1" s="1"/>
  <c r="BH446" i="1"/>
  <c r="BJ446" i="1" s="1"/>
  <c r="BP446" i="1" s="1"/>
  <c r="BQ446" i="1" s="1"/>
  <c r="BR446" i="1" s="1"/>
  <c r="BH442" i="1"/>
  <c r="BJ442" i="1" s="1"/>
  <c r="BU442" i="1" s="1"/>
  <c r="BH464" i="1"/>
  <c r="BJ464" i="1" s="1"/>
  <c r="BU464" i="1" s="1"/>
  <c r="BH331" i="1"/>
  <c r="BJ331" i="1" s="1"/>
  <c r="BU331" i="1" s="1"/>
  <c r="BH338" i="1"/>
  <c r="BJ338" i="1" s="1"/>
  <c r="BU338" i="1" s="1"/>
  <c r="BI349" i="1"/>
  <c r="BH355" i="1"/>
  <c r="BJ355" i="1" s="1"/>
  <c r="BH382" i="1"/>
  <c r="BJ382" i="1" s="1"/>
  <c r="BU382" i="1" s="1"/>
  <c r="BI418" i="1"/>
  <c r="BI433" i="1"/>
  <c r="BF423" i="1"/>
  <c r="BF419" i="1"/>
  <c r="BF439" i="1"/>
  <c r="BH433" i="1"/>
  <c r="BJ433" i="1" s="1"/>
  <c r="BH432" i="1"/>
  <c r="BI431" i="1"/>
  <c r="BI443" i="1"/>
  <c r="BI457" i="1"/>
  <c r="BI454" i="1"/>
  <c r="BI451" i="1"/>
  <c r="BH319" i="1"/>
  <c r="BJ319" i="1" s="1"/>
  <c r="BU319" i="1" s="1"/>
  <c r="BI339" i="1"/>
  <c r="BI351" i="1"/>
  <c r="BI350" i="1"/>
  <c r="BH384" i="1"/>
  <c r="BJ384" i="1" s="1"/>
  <c r="BU384" i="1" s="1"/>
  <c r="BI407" i="1"/>
  <c r="BH402" i="1"/>
  <c r="BJ402" i="1" s="1"/>
  <c r="BU402" i="1" s="1"/>
  <c r="BI399" i="1"/>
  <c r="BH416" i="1"/>
  <c r="BJ416" i="1" s="1"/>
  <c r="BU416" i="1" s="1"/>
  <c r="BI441" i="1"/>
  <c r="BH457" i="1"/>
  <c r="BJ457" i="1" s="1"/>
  <c r="BH458" i="1"/>
  <c r="BJ458" i="1" s="1"/>
  <c r="BU458" i="1" s="1"/>
  <c r="BF464" i="1"/>
  <c r="BH463" i="1"/>
  <c r="BF460" i="1"/>
  <c r="BH459" i="1"/>
  <c r="BI464" i="1"/>
  <c r="BI460" i="1"/>
  <c r="BF456" i="1"/>
  <c r="BH455" i="1"/>
  <c r="BJ454" i="1"/>
  <c r="BU454" i="1" s="1"/>
  <c r="BF452" i="1"/>
  <c r="BH451" i="1"/>
  <c r="BH450" i="1"/>
  <c r="BH456" i="1"/>
  <c r="BH452" i="1"/>
  <c r="BI449" i="1"/>
  <c r="BI445" i="1"/>
  <c r="BH449" i="1"/>
  <c r="BH445" i="1"/>
  <c r="BI448" i="1"/>
  <c r="BI444" i="1"/>
  <c r="BJ428" i="1"/>
  <c r="BU428" i="1" s="1"/>
  <c r="BF440" i="1"/>
  <c r="BH439" i="1"/>
  <c r="BF436" i="1"/>
  <c r="BH435" i="1"/>
  <c r="BF432" i="1"/>
  <c r="BH431" i="1"/>
  <c r="BJ430" i="1"/>
  <c r="BU430" i="1" s="1"/>
  <c r="BF428" i="1"/>
  <c r="BH427" i="1"/>
  <c r="BI440" i="1"/>
  <c r="BI436" i="1"/>
  <c r="BI432" i="1"/>
  <c r="BI428" i="1"/>
  <c r="BJ424" i="1"/>
  <c r="BU424" i="1" s="1"/>
  <c r="BF424" i="1"/>
  <c r="BH423" i="1"/>
  <c r="BF420" i="1"/>
  <c r="BH419" i="1"/>
  <c r="BI424" i="1"/>
  <c r="BI420" i="1"/>
  <c r="BH415" i="1"/>
  <c r="BH411" i="1"/>
  <c r="BF415" i="1"/>
  <c r="BF411" i="1"/>
  <c r="BH417" i="1"/>
  <c r="BH413" i="1"/>
  <c r="BI416" i="1"/>
  <c r="BI412" i="1"/>
  <c r="BK407" i="1"/>
  <c r="BL407" i="1" s="1"/>
  <c r="BM407" i="1" s="1"/>
  <c r="BF404" i="1"/>
  <c r="BF400" i="1"/>
  <c r="BF396" i="1"/>
  <c r="BF408" i="1"/>
  <c r="BH394" i="1"/>
  <c r="BI409" i="1"/>
  <c r="BI405" i="1"/>
  <c r="BI401" i="1"/>
  <c r="BI397" i="1"/>
  <c r="BH409" i="1"/>
  <c r="BH405" i="1"/>
  <c r="BH401" i="1"/>
  <c r="BH397" i="1"/>
  <c r="BI408" i="1"/>
  <c r="BI404" i="1"/>
  <c r="BI400" i="1"/>
  <c r="BI396" i="1"/>
  <c r="BJ388" i="1"/>
  <c r="BU388" i="1" s="1"/>
  <c r="BF392" i="1"/>
  <c r="BH391" i="1"/>
  <c r="BJ390" i="1"/>
  <c r="BU390" i="1" s="1"/>
  <c r="BF388" i="1"/>
  <c r="BH387" i="1"/>
  <c r="BI392" i="1"/>
  <c r="BI388" i="1"/>
  <c r="BF384" i="1"/>
  <c r="BF380" i="1"/>
  <c r="BF376" i="1"/>
  <c r="BJ374" i="1"/>
  <c r="BU374" i="1" s="1"/>
  <c r="BF372" i="1"/>
  <c r="BI382" i="1"/>
  <c r="BI378" i="1"/>
  <c r="BI374" i="1"/>
  <c r="BI370" i="1"/>
  <c r="BH370" i="1"/>
  <c r="BI381" i="1"/>
  <c r="BI377" i="1"/>
  <c r="BI373" i="1"/>
  <c r="BH385" i="1"/>
  <c r="BI384" i="1"/>
  <c r="BI380" i="1"/>
  <c r="BI376" i="1"/>
  <c r="BI372" i="1"/>
  <c r="BH366" i="1"/>
  <c r="BJ366" i="1" s="1"/>
  <c r="BU366" i="1" s="1"/>
  <c r="BH367" i="1"/>
  <c r="BG368" i="1"/>
  <c r="BF368" i="1"/>
  <c r="BH363" i="1"/>
  <c r="BI362" i="1"/>
  <c r="BF367" i="1"/>
  <c r="BF363" i="1"/>
  <c r="BH362" i="1"/>
  <c r="BI369" i="1"/>
  <c r="BI365" i="1"/>
  <c r="BI368" i="1"/>
  <c r="BI364" i="1"/>
  <c r="BF359" i="1"/>
  <c r="BF355" i="1"/>
  <c r="BI361" i="1"/>
  <c r="BI357" i="1"/>
  <c r="BH361" i="1"/>
  <c r="BH357" i="1"/>
  <c r="BI360" i="1"/>
  <c r="BI356" i="1"/>
  <c r="BF352" i="1"/>
  <c r="BH351" i="1"/>
  <c r="BF348" i="1"/>
  <c r="BI347" i="1"/>
  <c r="BI352" i="1"/>
  <c r="BI348" i="1"/>
  <c r="BK339" i="1"/>
  <c r="BL339" i="1" s="1"/>
  <c r="BM339" i="1" s="1"/>
  <c r="BI341" i="1"/>
  <c r="BI345" i="1"/>
  <c r="BH345" i="1"/>
  <c r="BH341" i="1"/>
  <c r="BI344" i="1"/>
  <c r="BI340" i="1"/>
  <c r="BP335" i="1"/>
  <c r="BQ335" i="1" s="1"/>
  <c r="BR335" i="1" s="1"/>
  <c r="BI330" i="1"/>
  <c r="BH334" i="1"/>
  <c r="BH330" i="1"/>
  <c r="BI337" i="1"/>
  <c r="BI333" i="1"/>
  <c r="BH337" i="1"/>
  <c r="BH333" i="1"/>
  <c r="BI336" i="1"/>
  <c r="BI332" i="1"/>
  <c r="BJ324" i="1"/>
  <c r="BU324" i="1" s="1"/>
  <c r="BF328" i="1"/>
  <c r="BF324" i="1"/>
  <c r="BJ322" i="1"/>
  <c r="BU322" i="1" s="1"/>
  <c r="BH329" i="1"/>
  <c r="BH325" i="1"/>
  <c r="BI329" i="1"/>
  <c r="BI325" i="1"/>
  <c r="BI328" i="1"/>
  <c r="BI324" i="1"/>
  <c r="BJ320" i="1"/>
  <c r="BU320" i="1" s="1"/>
  <c r="BI319" i="1"/>
  <c r="BI315" i="1"/>
  <c r="BF320" i="1"/>
  <c r="BF316" i="1"/>
  <c r="BH317" i="1"/>
  <c r="BG321" i="1"/>
  <c r="BI320" i="1"/>
  <c r="BI316" i="1"/>
  <c r="BF313" i="1"/>
  <c r="BI313" i="1"/>
  <c r="BF309" i="1"/>
  <c r="BH309" i="1"/>
  <c r="BI309" i="1"/>
  <c r="BI312" i="1"/>
  <c r="BI308" i="1"/>
  <c r="BK303" i="1"/>
  <c r="BP303" i="1"/>
  <c r="BQ303" i="1" s="1"/>
  <c r="BR303" i="1" s="1"/>
  <c r="BK299" i="1"/>
  <c r="BV299" i="1" s="1"/>
  <c r="BW299" i="1" s="1"/>
  <c r="BI298" i="1"/>
  <c r="BH302" i="1"/>
  <c r="BH298" i="1"/>
  <c r="BI302" i="1"/>
  <c r="BI305" i="1"/>
  <c r="BI301" i="1"/>
  <c r="BH305" i="1"/>
  <c r="BH301" i="1"/>
  <c r="BF296" i="1"/>
  <c r="BH295" i="1"/>
  <c r="BF292" i="1"/>
  <c r="BH291" i="1"/>
  <c r="BI296" i="1"/>
  <c r="BI292" i="1"/>
  <c r="BJ288" i="1"/>
  <c r="BU288" i="1" s="1"/>
  <c r="BF288" i="1"/>
  <c r="BH287" i="1"/>
  <c r="BF284" i="1"/>
  <c r="BH283" i="1"/>
  <c r="BJ282" i="1"/>
  <c r="BU282" i="1" s="1"/>
  <c r="BI288" i="1"/>
  <c r="BI284" i="1"/>
  <c r="BI278" i="1"/>
  <c r="BH274" i="1"/>
  <c r="BI281" i="1"/>
  <c r="BI277" i="1"/>
  <c r="BH281" i="1"/>
  <c r="BH277" i="1"/>
  <c r="BI280" i="1"/>
  <c r="BI276" i="1"/>
  <c r="BF272" i="1"/>
  <c r="BH271" i="1"/>
  <c r="BF268" i="1"/>
  <c r="BH267" i="1"/>
  <c r="BF271" i="1"/>
  <c r="BF267" i="1"/>
  <c r="BH266" i="1"/>
  <c r="BI272" i="1"/>
  <c r="BI268" i="1"/>
  <c r="BJ260" i="1"/>
  <c r="BU260" i="1" s="1"/>
  <c r="BF264" i="1"/>
  <c r="BH263" i="1"/>
  <c r="BF260" i="1"/>
  <c r="BH259" i="1"/>
  <c r="BI264" i="1"/>
  <c r="BI260" i="1"/>
  <c r="BF256" i="1"/>
  <c r="BH255" i="1"/>
  <c r="BF252" i="1"/>
  <c r="BH251" i="1"/>
  <c r="BK257" i="1"/>
  <c r="BI256" i="1"/>
  <c r="BH252" i="1"/>
  <c r="BK243" i="1"/>
  <c r="BL243" i="1" s="1"/>
  <c r="BM243" i="1" s="1"/>
  <c r="BH247" i="1"/>
  <c r="BI246" i="1"/>
  <c r="BI242" i="1"/>
  <c r="BF247" i="1"/>
  <c r="BF243" i="1"/>
  <c r="BH242" i="1"/>
  <c r="BI249" i="1"/>
  <c r="BI245" i="1"/>
  <c r="BH244" i="1"/>
  <c r="BJ236" i="1"/>
  <c r="BU236" i="1" s="1"/>
  <c r="BF235" i="1"/>
  <c r="BH234" i="1"/>
  <c r="BI241" i="1"/>
  <c r="BP238" i="1"/>
  <c r="BQ238" i="1" s="1"/>
  <c r="BR238" i="1" s="1"/>
  <c r="BI237" i="1"/>
  <c r="BH241" i="1"/>
  <c r="BH237" i="1"/>
  <c r="BI240" i="1"/>
  <c r="BI236" i="1"/>
  <c r="BL238" i="1"/>
  <c r="BM238" i="1" s="1"/>
  <c r="BJ232" i="1"/>
  <c r="BU232" i="1" s="1"/>
  <c r="BI232" i="1"/>
  <c r="BI228" i="1"/>
  <c r="BF232" i="1"/>
  <c r="BH231" i="1"/>
  <c r="BJ230" i="1"/>
  <c r="BU230" i="1" s="1"/>
  <c r="BF228" i="1"/>
  <c r="BH227" i="1"/>
  <c r="BH226" i="1"/>
  <c r="BH223" i="1"/>
  <c r="BH219" i="1"/>
  <c r="BI218" i="1"/>
  <c r="BF223" i="1"/>
  <c r="BF219" i="1"/>
  <c r="BI224" i="1"/>
  <c r="BI220" i="1"/>
  <c r="BF216" i="1"/>
  <c r="BH215" i="1"/>
  <c r="BF212" i="1"/>
  <c r="BH211" i="1"/>
  <c r="BJ210" i="1"/>
  <c r="BU210" i="1" s="1"/>
  <c r="BI212" i="1"/>
  <c r="BH216" i="1"/>
  <c r="BF208" i="1"/>
  <c r="BH207" i="1"/>
  <c r="BF204" i="1"/>
  <c r="BH203" i="1"/>
  <c r="BI208" i="1"/>
  <c r="BI204" i="1"/>
  <c r="BK195" i="1"/>
  <c r="BL195" i="1" s="1"/>
  <c r="BM195" i="1" s="1"/>
  <c r="BP195" i="1"/>
  <c r="BQ195" i="1" s="1"/>
  <c r="BR195" i="1" s="1"/>
  <c r="CC195" i="1" s="1"/>
  <c r="CF195" i="1" s="1"/>
  <c r="BI194" i="1"/>
  <c r="BF195" i="1"/>
  <c r="BH194" i="1"/>
  <c r="BI201" i="1"/>
  <c r="BI197" i="1"/>
  <c r="BH201" i="1"/>
  <c r="BH197" i="1"/>
  <c r="BI200" i="1"/>
  <c r="BI196" i="1"/>
  <c r="BJ192" i="1"/>
  <c r="BU192" i="1" s="1"/>
  <c r="BF192" i="1"/>
  <c r="BH191" i="1"/>
  <c r="BJ190" i="1"/>
  <c r="BU190" i="1" s="1"/>
  <c r="BF188" i="1"/>
  <c r="BH187" i="1"/>
  <c r="BI192" i="1"/>
  <c r="BI188" i="1"/>
  <c r="BJ184" i="1"/>
  <c r="BU184" i="1" s="1"/>
  <c r="BJ180" i="1"/>
  <c r="BU180" i="1" s="1"/>
  <c r="BF184" i="1"/>
  <c r="BH183" i="1"/>
  <c r="BJ182" i="1"/>
  <c r="BU182" i="1" s="1"/>
  <c r="BF180" i="1"/>
  <c r="BH179" i="1"/>
  <c r="BI185" i="1"/>
  <c r="BI181" i="1"/>
  <c r="BH185" i="1"/>
  <c r="BH181" i="1"/>
  <c r="BI184" i="1"/>
  <c r="BI180" i="1"/>
  <c r="BJ176" i="1"/>
  <c r="BU176" i="1" s="1"/>
  <c r="BJ168" i="1"/>
  <c r="BU168" i="1" s="1"/>
  <c r="BF176" i="1"/>
  <c r="BH175" i="1"/>
  <c r="BJ174" i="1"/>
  <c r="BU174" i="1" s="1"/>
  <c r="BF172" i="1"/>
  <c r="BH171" i="1"/>
  <c r="BJ170" i="1"/>
  <c r="BU170" i="1" s="1"/>
  <c r="BF168" i="1"/>
  <c r="BH167" i="1"/>
  <c r="BF164" i="1"/>
  <c r="BH163" i="1"/>
  <c r="BI176" i="1"/>
  <c r="BI172" i="1"/>
  <c r="BI168" i="1"/>
  <c r="BI164" i="1"/>
  <c r="BJ160" i="1"/>
  <c r="BU160" i="1" s="1"/>
  <c r="BH154" i="1"/>
  <c r="BF160" i="1"/>
  <c r="BH159" i="1"/>
  <c r="BF156" i="1"/>
  <c r="BH155" i="1"/>
  <c r="BI160" i="1"/>
  <c r="BI156" i="1"/>
  <c r="BF152" i="1"/>
  <c r="BH151" i="1"/>
  <c r="BF148" i="1"/>
  <c r="BH147" i="1"/>
  <c r="BF144" i="1"/>
  <c r="BH143" i="1"/>
  <c r="BJ142" i="1"/>
  <c r="BU142" i="1" s="1"/>
  <c r="BF140" i="1"/>
  <c r="BH139" i="1"/>
  <c r="BJ138" i="1"/>
  <c r="BU138" i="1" s="1"/>
  <c r="BI152" i="1"/>
  <c r="BI148" i="1"/>
  <c r="BI144" i="1"/>
  <c r="BI140" i="1"/>
  <c r="BF136" i="1"/>
  <c r="BH135" i="1"/>
  <c r="BF132" i="1"/>
  <c r="BH131" i="1"/>
  <c r="BJ130" i="1"/>
  <c r="BU130" i="1" s="1"/>
  <c r="BI136" i="1"/>
  <c r="BI132" i="1"/>
  <c r="BJ129" i="1"/>
  <c r="BU129" i="1" s="1"/>
  <c r="BI127" i="1"/>
  <c r="BI123" i="1"/>
  <c r="BF128" i="1"/>
  <c r="BH127" i="1"/>
  <c r="BF124" i="1"/>
  <c r="BH123" i="1"/>
  <c r="BG129" i="1"/>
  <c r="BI128" i="1"/>
  <c r="BG125" i="1"/>
  <c r="BI124" i="1"/>
  <c r="BH120" i="1"/>
  <c r="BH119" i="1"/>
  <c r="BF116" i="1"/>
  <c r="BH115" i="1"/>
  <c r="BG119" i="1"/>
  <c r="BI118" i="1"/>
  <c r="BG115" i="1"/>
  <c r="BI114" i="1"/>
  <c r="BH118" i="1"/>
  <c r="BH114" i="1"/>
  <c r="BJ108" i="1"/>
  <c r="BU108" i="1" s="1"/>
  <c r="BI107" i="1"/>
  <c r="BF112" i="1"/>
  <c r="BJ110" i="1"/>
  <c r="BU110" i="1" s="1"/>
  <c r="BF108" i="1"/>
  <c r="BJ106" i="1"/>
  <c r="BU106" i="1" s="1"/>
  <c r="BP113" i="1"/>
  <c r="BQ113" i="1" s="1"/>
  <c r="BR113" i="1" s="1"/>
  <c r="BI112" i="1"/>
  <c r="BG109" i="1"/>
  <c r="BI108" i="1"/>
  <c r="BJ104" i="1"/>
  <c r="BU104" i="1" s="1"/>
  <c r="BI99" i="1"/>
  <c r="BG103" i="1"/>
  <c r="BG99" i="1"/>
  <c r="BI98" i="1"/>
  <c r="BI103" i="1"/>
  <c r="BH101" i="1"/>
  <c r="BH105" i="1"/>
  <c r="BI97" i="1"/>
  <c r="BP94" i="1"/>
  <c r="BQ94" i="1" s="1"/>
  <c r="BR94" i="1" s="1"/>
  <c r="BI93" i="1"/>
  <c r="BH97" i="1"/>
  <c r="BH93" i="1"/>
  <c r="BI96" i="1"/>
  <c r="BI92" i="1"/>
  <c r="BI88" i="1"/>
  <c r="BF88" i="1"/>
  <c r="BH87" i="1"/>
  <c r="BF84" i="1"/>
  <c r="BH83" i="1"/>
  <c r="BJ89" i="1"/>
  <c r="BU89" i="1" s="1"/>
  <c r="BF87" i="1"/>
  <c r="BF83" i="1"/>
  <c r="BI84" i="1"/>
  <c r="BI65" i="1"/>
  <c r="BH76" i="1"/>
  <c r="BJ76" i="1" s="1"/>
  <c r="BU76" i="1" s="1"/>
  <c r="BI61" i="1"/>
  <c r="BI70" i="1"/>
  <c r="BF76" i="1"/>
  <c r="BH77" i="1"/>
  <c r="BJ77" i="1" s="1"/>
  <c r="BU77" i="1" s="1"/>
  <c r="BI79" i="1"/>
  <c r="BH61" i="1"/>
  <c r="BJ61" i="1" s="1"/>
  <c r="BU61" i="1" s="1"/>
  <c r="BF60" i="1"/>
  <c r="BH59" i="1"/>
  <c r="BJ59" i="1" s="1"/>
  <c r="BU59" i="1" s="1"/>
  <c r="BH72" i="1"/>
  <c r="BJ72" i="1" s="1"/>
  <c r="BU72" i="1" s="1"/>
  <c r="BF69" i="1"/>
  <c r="BI74" i="1"/>
  <c r="BH62" i="1"/>
  <c r="BJ62" i="1" s="1"/>
  <c r="BU62" i="1" s="1"/>
  <c r="BH63" i="1"/>
  <c r="BJ63" i="1" s="1"/>
  <c r="BU63" i="1" s="1"/>
  <c r="BF70" i="1"/>
  <c r="BI77" i="1"/>
  <c r="BP80" i="1"/>
  <c r="BQ80" i="1" s="1"/>
  <c r="BR80" i="1" s="1"/>
  <c r="BH79" i="1"/>
  <c r="BH75" i="1"/>
  <c r="BF79" i="1"/>
  <c r="BH78" i="1"/>
  <c r="BF75" i="1"/>
  <c r="BH74" i="1"/>
  <c r="BF78" i="1"/>
  <c r="BF74" i="1"/>
  <c r="BP67" i="1"/>
  <c r="BQ67" i="1" s="1"/>
  <c r="BR67" i="1" s="1"/>
  <c r="BF68" i="1"/>
  <c r="BI72" i="1"/>
  <c r="BP66" i="1"/>
  <c r="BQ66" i="1" s="1"/>
  <c r="BR66" i="1" s="1"/>
  <c r="BI71" i="1"/>
  <c r="BF72" i="1"/>
  <c r="BH70" i="1"/>
  <c r="BI69" i="1"/>
  <c r="BH71" i="1"/>
  <c r="BF61" i="1"/>
  <c r="BI58" i="1"/>
  <c r="BH64" i="1"/>
  <c r="BI63" i="1"/>
  <c r="BH65" i="1"/>
  <c r="BF65" i="1"/>
  <c r="BI62" i="1"/>
  <c r="BI64" i="1"/>
  <c r="BB57" i="1"/>
  <c r="CE57" i="1" s="1"/>
  <c r="BZ50" i="1"/>
  <c r="BZ51" i="1"/>
  <c r="BZ52" i="1"/>
  <c r="BZ53" i="1"/>
  <c r="BZ54" i="1"/>
  <c r="BZ55" i="1"/>
  <c r="BZ56" i="1"/>
  <c r="BZ57" i="1"/>
  <c r="BE50" i="1"/>
  <c r="BG50" i="1" s="1"/>
  <c r="BE51" i="1"/>
  <c r="BE52" i="1"/>
  <c r="BG52" i="1" s="1"/>
  <c r="BE53" i="1"/>
  <c r="BG53" i="1" s="1"/>
  <c r="BE54" i="1"/>
  <c r="BG54" i="1" s="1"/>
  <c r="BE55" i="1"/>
  <c r="BG55" i="1" s="1"/>
  <c r="BE56" i="1"/>
  <c r="BG56" i="1" s="1"/>
  <c r="BE57" i="1"/>
  <c r="BG57" i="1" s="1"/>
  <c r="BD50" i="1"/>
  <c r="BF50" i="1" s="1"/>
  <c r="BD51" i="1"/>
  <c r="BF51" i="1" s="1"/>
  <c r="BD52" i="1"/>
  <c r="BF52" i="1" s="1"/>
  <c r="BD53" i="1"/>
  <c r="BI53" i="1" s="1"/>
  <c r="BD54" i="1"/>
  <c r="BD55" i="1"/>
  <c r="BF55" i="1" s="1"/>
  <c r="BD56" i="1"/>
  <c r="BF56" i="1" s="1"/>
  <c r="BD57" i="1"/>
  <c r="BB50" i="1"/>
  <c r="CE50" i="1" s="1"/>
  <c r="BB51" i="1"/>
  <c r="CE51" i="1" s="1"/>
  <c r="BB52" i="1"/>
  <c r="CE52" i="1" s="1"/>
  <c r="BB53" i="1"/>
  <c r="CE53" i="1" s="1"/>
  <c r="BB54" i="1"/>
  <c r="CE54" i="1" s="1"/>
  <c r="BB55" i="1"/>
  <c r="CE55" i="1" s="1"/>
  <c r="BB56" i="1"/>
  <c r="CE56" i="1" s="1"/>
  <c r="O31" i="3"/>
  <c r="N31" i="3"/>
  <c r="M31" i="3"/>
  <c r="L31" i="3"/>
  <c r="K31" i="3"/>
  <c r="J31" i="3"/>
  <c r="O30" i="3"/>
  <c r="N30" i="3"/>
  <c r="M30" i="3"/>
  <c r="L30" i="3"/>
  <c r="K30" i="3"/>
  <c r="J30" i="3"/>
  <c r="O29" i="3"/>
  <c r="N29" i="3"/>
  <c r="M29" i="3"/>
  <c r="L29" i="3"/>
  <c r="K29" i="3"/>
  <c r="J29" i="3"/>
  <c r="O28" i="3"/>
  <c r="N28" i="3"/>
  <c r="M28" i="3"/>
  <c r="L28" i="3"/>
  <c r="K28" i="3"/>
  <c r="J28" i="3"/>
  <c r="O27" i="3"/>
  <c r="N27" i="3"/>
  <c r="M27" i="3"/>
  <c r="L27" i="3"/>
  <c r="K27" i="3"/>
  <c r="J27" i="3"/>
  <c r="O26" i="3"/>
  <c r="N26" i="3"/>
  <c r="M26" i="3"/>
  <c r="L26" i="3"/>
  <c r="K26" i="3"/>
  <c r="J26" i="3"/>
  <c r="O25" i="3"/>
  <c r="N25" i="3"/>
  <c r="M25" i="3"/>
  <c r="L25" i="3"/>
  <c r="K25" i="3"/>
  <c r="J25" i="3"/>
  <c r="O24" i="3"/>
  <c r="N24" i="3"/>
  <c r="M24" i="3"/>
  <c r="L24" i="3"/>
  <c r="K24" i="3"/>
  <c r="J24" i="3"/>
  <c r="C24" i="3"/>
  <c r="D24" i="3"/>
  <c r="E24" i="3"/>
  <c r="F24" i="3"/>
  <c r="G24" i="3"/>
  <c r="C25" i="3"/>
  <c r="D25" i="3"/>
  <c r="E25" i="3"/>
  <c r="F25" i="3"/>
  <c r="G25" i="3"/>
  <c r="C26" i="3"/>
  <c r="D26" i="3"/>
  <c r="E26" i="3"/>
  <c r="F26" i="3"/>
  <c r="G26" i="3"/>
  <c r="C27" i="3"/>
  <c r="D27" i="3"/>
  <c r="E27" i="3"/>
  <c r="F27" i="3"/>
  <c r="G27" i="3"/>
  <c r="C28" i="3"/>
  <c r="D28" i="3"/>
  <c r="E28" i="3"/>
  <c r="F28" i="3"/>
  <c r="G28" i="3"/>
  <c r="C29" i="3"/>
  <c r="D29" i="3"/>
  <c r="E29" i="3"/>
  <c r="F29" i="3"/>
  <c r="G29" i="3"/>
  <c r="C30" i="3"/>
  <c r="D30" i="3"/>
  <c r="E30" i="3"/>
  <c r="F30" i="3"/>
  <c r="G30" i="3"/>
  <c r="C31" i="3"/>
  <c r="D31" i="3"/>
  <c r="E31" i="3"/>
  <c r="F31" i="3"/>
  <c r="G31" i="3"/>
  <c r="B25" i="3"/>
  <c r="B26" i="3"/>
  <c r="B27" i="3"/>
  <c r="B28" i="3"/>
  <c r="B29" i="3"/>
  <c r="B30" i="3"/>
  <c r="B31" i="3"/>
  <c r="B24" i="3"/>
  <c r="CD3" i="1"/>
  <c r="CD4" i="1"/>
  <c r="CD5" i="1"/>
  <c r="CD6" i="1"/>
  <c r="CD7" i="1"/>
  <c r="CD8" i="1"/>
  <c r="CD9" i="1"/>
  <c r="CD10" i="1"/>
  <c r="CD11" i="1"/>
  <c r="CD12" i="1"/>
  <c r="CD13" i="1"/>
  <c r="CD14" i="1"/>
  <c r="CD15" i="1"/>
  <c r="CD16" i="1"/>
  <c r="CD17" i="1"/>
  <c r="CD18" i="1"/>
  <c r="CD19" i="1"/>
  <c r="CD20" i="1"/>
  <c r="CD21" i="1"/>
  <c r="CD22" i="1"/>
  <c r="CD23" i="1"/>
  <c r="CD24" i="1"/>
  <c r="CD25" i="1"/>
  <c r="CD26" i="1"/>
  <c r="CD27" i="1"/>
  <c r="CD28" i="1"/>
  <c r="CD29" i="1"/>
  <c r="CD30" i="1"/>
  <c r="CD31" i="1"/>
  <c r="CD32" i="1"/>
  <c r="CD33" i="1"/>
  <c r="CD34" i="1"/>
  <c r="CD35" i="1"/>
  <c r="CD36" i="1"/>
  <c r="CD37" i="1"/>
  <c r="CD38" i="1"/>
  <c r="CD39" i="1"/>
  <c r="CD40" i="1"/>
  <c r="CD41" i="1"/>
  <c r="CD42" i="1"/>
  <c r="CD43" i="1"/>
  <c r="CD44" i="1"/>
  <c r="CD45" i="1"/>
  <c r="CD46" i="1"/>
  <c r="CD47" i="1"/>
  <c r="CD48" i="1"/>
  <c r="CD49" i="1"/>
  <c r="CD2" i="1"/>
  <c r="BZ9" i="1"/>
  <c r="BZ3" i="1"/>
  <c r="BZ4" i="1"/>
  <c r="BZ5" i="1"/>
  <c r="BZ6" i="1"/>
  <c r="BZ7" i="1"/>
  <c r="BZ8" i="1"/>
  <c r="BZ10" i="1"/>
  <c r="BZ11" i="1"/>
  <c r="BZ12" i="1"/>
  <c r="BZ13" i="1"/>
  <c r="BZ14" i="1"/>
  <c r="BZ15" i="1"/>
  <c r="BZ16" i="1"/>
  <c r="BZ17" i="1"/>
  <c r="BZ18" i="1"/>
  <c r="BZ19" i="1"/>
  <c r="BZ20" i="1"/>
  <c r="BZ21" i="1"/>
  <c r="BZ22" i="1"/>
  <c r="BZ23" i="1"/>
  <c r="BZ24" i="1"/>
  <c r="BZ25" i="1"/>
  <c r="BZ26" i="1"/>
  <c r="BZ27" i="1"/>
  <c r="BZ28" i="1"/>
  <c r="BZ29" i="1"/>
  <c r="BZ30" i="1"/>
  <c r="BZ31" i="1"/>
  <c r="BZ32" i="1"/>
  <c r="BZ33" i="1"/>
  <c r="BZ34" i="1"/>
  <c r="BZ35" i="1"/>
  <c r="BZ36" i="1"/>
  <c r="BZ37" i="1"/>
  <c r="BZ38" i="1"/>
  <c r="BZ39" i="1"/>
  <c r="BZ40" i="1"/>
  <c r="BZ41" i="1"/>
  <c r="BZ42" i="1"/>
  <c r="BZ43" i="1"/>
  <c r="BZ44" i="1"/>
  <c r="BZ45" i="1"/>
  <c r="BZ46" i="1"/>
  <c r="BZ47" i="1"/>
  <c r="BZ48" i="1"/>
  <c r="BZ49" i="1"/>
  <c r="BZ2" i="1"/>
  <c r="BK323" i="1" l="1"/>
  <c r="BL323" i="1" s="1"/>
  <c r="BM323" i="1" s="1"/>
  <c r="BU429" i="1"/>
  <c r="BK67" i="1"/>
  <c r="BL67" i="1" s="1"/>
  <c r="BM67" i="1" s="1"/>
  <c r="BK461" i="1"/>
  <c r="BL461" i="1" s="1"/>
  <c r="BM461" i="1" s="1"/>
  <c r="BP95" i="1"/>
  <c r="BQ95" i="1" s="1"/>
  <c r="BR95" i="1" s="1"/>
  <c r="BK95" i="1"/>
  <c r="BV95" i="1" s="1"/>
  <c r="BW95" i="1" s="1"/>
  <c r="BP461" i="1"/>
  <c r="BQ461" i="1" s="1"/>
  <c r="BR461" i="1" s="1"/>
  <c r="CC461" i="1" s="1"/>
  <c r="CF461" i="1" s="1"/>
  <c r="BK133" i="1"/>
  <c r="BL133" i="1" s="1"/>
  <c r="BM133" i="1" s="1"/>
  <c r="BV465" i="1"/>
  <c r="BW465" i="1" s="1"/>
  <c r="BP343" i="1"/>
  <c r="BQ343" i="1" s="1"/>
  <c r="BR343" i="1" s="1"/>
  <c r="CC343" i="1" s="1"/>
  <c r="CF343" i="1" s="1"/>
  <c r="BK66" i="1"/>
  <c r="BV66" i="1" s="1"/>
  <c r="BW66" i="1" s="1"/>
  <c r="BP429" i="1"/>
  <c r="BQ429" i="1" s="1"/>
  <c r="BR429" i="1" s="1"/>
  <c r="BS429" i="1" s="1"/>
  <c r="BP339" i="1"/>
  <c r="BQ339" i="1" s="1"/>
  <c r="BR339" i="1" s="1"/>
  <c r="BK443" i="1"/>
  <c r="BL443" i="1" s="1"/>
  <c r="BM443" i="1" s="1"/>
  <c r="BP245" i="1"/>
  <c r="BQ245" i="1" s="1"/>
  <c r="BR245" i="1" s="1"/>
  <c r="BK447" i="1"/>
  <c r="BP60" i="1"/>
  <c r="BQ60" i="1" s="1"/>
  <c r="BR60" i="1" s="1"/>
  <c r="BP443" i="1"/>
  <c r="BQ443" i="1" s="1"/>
  <c r="BR443" i="1" s="1"/>
  <c r="CC443" i="1" s="1"/>
  <c r="CF443" i="1" s="1"/>
  <c r="BH57" i="1"/>
  <c r="BP199" i="1"/>
  <c r="BQ199" i="1" s="1"/>
  <c r="BR199" i="1" s="1"/>
  <c r="BK199" i="1"/>
  <c r="BV199" i="1" s="1"/>
  <c r="BW199" i="1" s="1"/>
  <c r="BP239" i="1"/>
  <c r="BQ239" i="1" s="1"/>
  <c r="BR239" i="1" s="1"/>
  <c r="BK253" i="1"/>
  <c r="BL253" i="1" s="1"/>
  <c r="BM253" i="1" s="1"/>
  <c r="BU375" i="1"/>
  <c r="BV375" i="1" s="1"/>
  <c r="BW375" i="1" s="1"/>
  <c r="BX375" i="1" s="1"/>
  <c r="BP253" i="1"/>
  <c r="BQ253" i="1" s="1"/>
  <c r="BR253" i="1" s="1"/>
  <c r="BS253" i="1" s="1"/>
  <c r="BK80" i="1"/>
  <c r="BL80" i="1" s="1"/>
  <c r="BM80" i="1" s="1"/>
  <c r="BP243" i="1"/>
  <c r="BQ243" i="1" s="1"/>
  <c r="BR243" i="1" s="1"/>
  <c r="BK275" i="1"/>
  <c r="BL275" i="1" s="1"/>
  <c r="BM275" i="1" s="1"/>
  <c r="BP299" i="1"/>
  <c r="BQ299" i="1" s="1"/>
  <c r="BR299" i="1" s="1"/>
  <c r="CC299" i="1" s="1"/>
  <c r="CF299" i="1" s="1"/>
  <c r="BP375" i="1"/>
  <c r="BQ375" i="1" s="1"/>
  <c r="BR375" i="1" s="1"/>
  <c r="BP407" i="1"/>
  <c r="BQ407" i="1" s="1"/>
  <c r="BR407" i="1" s="1"/>
  <c r="BK239" i="1"/>
  <c r="BV239" i="1" s="1"/>
  <c r="BW239" i="1" s="1"/>
  <c r="BK335" i="1"/>
  <c r="BV335" i="1" s="1"/>
  <c r="BW335" i="1" s="1"/>
  <c r="BK403" i="1"/>
  <c r="BL403" i="1" s="1"/>
  <c r="BM403" i="1" s="1"/>
  <c r="BK245" i="1"/>
  <c r="BL245" i="1" s="1"/>
  <c r="BM245" i="1" s="1"/>
  <c r="BK343" i="1"/>
  <c r="BV343" i="1" s="1"/>
  <c r="BW343" i="1" s="1"/>
  <c r="BJ432" i="1"/>
  <c r="BU432" i="1" s="1"/>
  <c r="BP165" i="1"/>
  <c r="BQ165" i="1" s="1"/>
  <c r="BR165" i="1" s="1"/>
  <c r="BV303" i="1"/>
  <c r="BW303" i="1" s="1"/>
  <c r="BK327" i="1"/>
  <c r="BL327" i="1" s="1"/>
  <c r="BM327" i="1" s="1"/>
  <c r="BN327" i="1" s="1"/>
  <c r="BP307" i="1"/>
  <c r="BQ307" i="1" s="1"/>
  <c r="BR307" i="1" s="1"/>
  <c r="CC307" i="1" s="1"/>
  <c r="CF307" i="1" s="1"/>
  <c r="BP323" i="1"/>
  <c r="BQ323" i="1" s="1"/>
  <c r="BR323" i="1" s="1"/>
  <c r="CC323" i="1" s="1"/>
  <c r="CF323" i="1" s="1"/>
  <c r="BK173" i="1"/>
  <c r="BV173" i="1" s="1"/>
  <c r="BW173" i="1" s="1"/>
  <c r="BU133" i="1"/>
  <c r="BP169" i="1"/>
  <c r="BQ169" i="1" s="1"/>
  <c r="BR169" i="1" s="1"/>
  <c r="BP76" i="1"/>
  <c r="BQ76" i="1" s="1"/>
  <c r="BR76" i="1" s="1"/>
  <c r="BV257" i="1"/>
  <c r="BW257" i="1" s="1"/>
  <c r="BP205" i="1"/>
  <c r="BQ205" i="1" s="1"/>
  <c r="BR205" i="1" s="1"/>
  <c r="BL303" i="1"/>
  <c r="BM303" i="1" s="1"/>
  <c r="BK94" i="1"/>
  <c r="BL94" i="1" s="1"/>
  <c r="BM94" i="1" s="1"/>
  <c r="BN94" i="1" s="1"/>
  <c r="BK165" i="1"/>
  <c r="BP61" i="1"/>
  <c r="BQ61" i="1" s="1"/>
  <c r="BR61" i="1" s="1"/>
  <c r="BK235" i="1"/>
  <c r="BV235" i="1" s="1"/>
  <c r="BW235" i="1" s="1"/>
  <c r="BV113" i="1"/>
  <c r="BW113" i="1" s="1"/>
  <c r="BP235" i="1"/>
  <c r="BQ235" i="1" s="1"/>
  <c r="BR235" i="1" s="1"/>
  <c r="CC235" i="1" s="1"/>
  <c r="CF235" i="1" s="1"/>
  <c r="BK61" i="1"/>
  <c r="BL61" i="1" s="1"/>
  <c r="BM61" i="1" s="1"/>
  <c r="BK307" i="1"/>
  <c r="BL307" i="1" s="1"/>
  <c r="BM307" i="1" s="1"/>
  <c r="BV323" i="1"/>
  <c r="BW323" i="1" s="1"/>
  <c r="BX323" i="1" s="1"/>
  <c r="BU137" i="1"/>
  <c r="BK249" i="1"/>
  <c r="BL249" i="1" s="1"/>
  <c r="BM249" i="1" s="1"/>
  <c r="BP275" i="1"/>
  <c r="BQ275" i="1" s="1"/>
  <c r="BR275" i="1" s="1"/>
  <c r="CC275" i="1" s="1"/>
  <c r="CF275" i="1" s="1"/>
  <c r="BP173" i="1"/>
  <c r="BQ173" i="1" s="1"/>
  <c r="BR173" i="1" s="1"/>
  <c r="BS173" i="1" s="1"/>
  <c r="BP310" i="1"/>
  <c r="BQ310" i="1" s="1"/>
  <c r="BR310" i="1" s="1"/>
  <c r="BP365" i="1"/>
  <c r="BQ365" i="1" s="1"/>
  <c r="BR365" i="1" s="1"/>
  <c r="CC365" i="1" s="1"/>
  <c r="CF365" i="1" s="1"/>
  <c r="BL66" i="1"/>
  <c r="BM66" i="1" s="1"/>
  <c r="BK76" i="1"/>
  <c r="BL76" i="1" s="1"/>
  <c r="BM76" i="1" s="1"/>
  <c r="BP327" i="1"/>
  <c r="BQ327" i="1" s="1"/>
  <c r="BR327" i="1" s="1"/>
  <c r="BS327" i="1" s="1"/>
  <c r="BV238" i="1"/>
  <c r="BW238" i="1" s="1"/>
  <c r="BX238" i="1" s="1"/>
  <c r="BK365" i="1"/>
  <c r="BV365" i="1" s="1"/>
  <c r="BW365" i="1" s="1"/>
  <c r="BP395" i="1"/>
  <c r="BQ395" i="1" s="1"/>
  <c r="BR395" i="1" s="1"/>
  <c r="CC395" i="1" s="1"/>
  <c r="CF395" i="1" s="1"/>
  <c r="BK60" i="1"/>
  <c r="BV60" i="1" s="1"/>
  <c r="BW60" i="1" s="1"/>
  <c r="BP249" i="1"/>
  <c r="BQ249" i="1" s="1"/>
  <c r="BR249" i="1" s="1"/>
  <c r="BS249" i="1" s="1"/>
  <c r="BK310" i="1"/>
  <c r="BP331" i="1"/>
  <c r="BQ331" i="1" s="1"/>
  <c r="BR331" i="1" s="1"/>
  <c r="BK331" i="1"/>
  <c r="BL331" i="1" s="1"/>
  <c r="BM331" i="1" s="1"/>
  <c r="BN331" i="1" s="1"/>
  <c r="BP399" i="1"/>
  <c r="BQ399" i="1" s="1"/>
  <c r="BR399" i="1" s="1"/>
  <c r="BS399" i="1" s="1"/>
  <c r="BP217" i="1"/>
  <c r="BQ217" i="1" s="1"/>
  <c r="BR217" i="1" s="1"/>
  <c r="CC217" i="1" s="1"/>
  <c r="CF217" i="1" s="1"/>
  <c r="BU217" i="1"/>
  <c r="BV217" i="1" s="1"/>
  <c r="BW217" i="1" s="1"/>
  <c r="BK369" i="1"/>
  <c r="BL369" i="1" s="1"/>
  <c r="BM369" i="1" s="1"/>
  <c r="BU369" i="1"/>
  <c r="BP403" i="1"/>
  <c r="BQ403" i="1" s="1"/>
  <c r="BR403" i="1" s="1"/>
  <c r="CC403" i="1" s="1"/>
  <c r="CF403" i="1" s="1"/>
  <c r="BK399" i="1"/>
  <c r="BL399" i="1" s="1"/>
  <c r="BM399" i="1" s="1"/>
  <c r="BK90" i="1"/>
  <c r="BL90" i="1" s="1"/>
  <c r="BM90" i="1" s="1"/>
  <c r="BN90" i="1" s="1"/>
  <c r="BU90" i="1"/>
  <c r="BP389" i="1"/>
  <c r="BQ389" i="1" s="1"/>
  <c r="BR389" i="1" s="1"/>
  <c r="BU389" i="1"/>
  <c r="BV389" i="1" s="1"/>
  <c r="BW389" i="1" s="1"/>
  <c r="BK198" i="1"/>
  <c r="BL198" i="1" s="1"/>
  <c r="BM198" i="1" s="1"/>
  <c r="BU198" i="1"/>
  <c r="BK169" i="1"/>
  <c r="BK342" i="1"/>
  <c r="BL342" i="1" s="1"/>
  <c r="BM342" i="1" s="1"/>
  <c r="BU342" i="1"/>
  <c r="BK278" i="1"/>
  <c r="BL278" i="1" s="1"/>
  <c r="BM278" i="1" s="1"/>
  <c r="BU278" i="1"/>
  <c r="BP393" i="1"/>
  <c r="BQ393" i="1" s="1"/>
  <c r="BR393" i="1" s="1"/>
  <c r="BU393" i="1"/>
  <c r="BP297" i="1"/>
  <c r="BQ297" i="1" s="1"/>
  <c r="BR297" i="1" s="1"/>
  <c r="BU297" i="1"/>
  <c r="BV297" i="1" s="1"/>
  <c r="BW297" i="1" s="1"/>
  <c r="CC465" i="1"/>
  <c r="CF465" i="1" s="1"/>
  <c r="BP441" i="1"/>
  <c r="BQ441" i="1" s="1"/>
  <c r="BR441" i="1" s="1"/>
  <c r="BU441" i="1"/>
  <c r="BV441" i="1" s="1"/>
  <c r="BW441" i="1" s="1"/>
  <c r="BK371" i="1"/>
  <c r="BL371" i="1" s="1"/>
  <c r="BM371" i="1" s="1"/>
  <c r="BN371" i="1" s="1"/>
  <c r="BU371" i="1"/>
  <c r="BP161" i="1"/>
  <c r="BQ161" i="1" s="1"/>
  <c r="BR161" i="1" s="1"/>
  <c r="CC161" i="1" s="1"/>
  <c r="CF161" i="1" s="1"/>
  <c r="BU161" i="1"/>
  <c r="BV161" i="1" s="1"/>
  <c r="BW161" i="1" s="1"/>
  <c r="BK383" i="1"/>
  <c r="BL383" i="1" s="1"/>
  <c r="BM383" i="1" s="1"/>
  <c r="BN383" i="1" s="1"/>
  <c r="BU383" i="1"/>
  <c r="BP269" i="1"/>
  <c r="BQ269" i="1" s="1"/>
  <c r="BR269" i="1" s="1"/>
  <c r="CC269" i="1" s="1"/>
  <c r="CF269" i="1" s="1"/>
  <c r="BU269" i="1"/>
  <c r="BV205" i="1"/>
  <c r="BW205" i="1" s="1"/>
  <c r="BX205" i="1" s="1"/>
  <c r="BP213" i="1"/>
  <c r="BQ213" i="1" s="1"/>
  <c r="BR213" i="1" s="1"/>
  <c r="BU213" i="1"/>
  <c r="BV213" i="1" s="1"/>
  <c r="BW213" i="1" s="1"/>
  <c r="BP225" i="1"/>
  <c r="BQ225" i="1" s="1"/>
  <c r="BR225" i="1" s="1"/>
  <c r="BS225" i="1" s="1"/>
  <c r="BK273" i="1"/>
  <c r="BK395" i="1"/>
  <c r="BL395" i="1" s="1"/>
  <c r="BM395" i="1" s="1"/>
  <c r="BN395" i="1" s="1"/>
  <c r="BP447" i="1"/>
  <c r="BQ447" i="1" s="1"/>
  <c r="BR447" i="1" s="1"/>
  <c r="BS447" i="1" s="1"/>
  <c r="BK446" i="1"/>
  <c r="BL446" i="1" s="1"/>
  <c r="BM446" i="1" s="1"/>
  <c r="BU446" i="1"/>
  <c r="BV137" i="1"/>
  <c r="BW137" i="1" s="1"/>
  <c r="BP293" i="1"/>
  <c r="BQ293" i="1" s="1"/>
  <c r="BR293" i="1" s="1"/>
  <c r="BU293" i="1"/>
  <c r="BV293" i="1" s="1"/>
  <c r="BW293" i="1" s="1"/>
  <c r="BK379" i="1"/>
  <c r="BL379" i="1" s="1"/>
  <c r="BM379" i="1" s="1"/>
  <c r="BN379" i="1" s="1"/>
  <c r="BU379" i="1"/>
  <c r="BP349" i="1"/>
  <c r="BQ349" i="1" s="1"/>
  <c r="BR349" i="1" s="1"/>
  <c r="CC349" i="1" s="1"/>
  <c r="CF349" i="1" s="1"/>
  <c r="BU349" i="1"/>
  <c r="BV349" i="1" s="1"/>
  <c r="BW349" i="1" s="1"/>
  <c r="BK229" i="1"/>
  <c r="BL229" i="1" s="1"/>
  <c r="BM229" i="1" s="1"/>
  <c r="BN229" i="1" s="1"/>
  <c r="BU229" i="1"/>
  <c r="BP353" i="1"/>
  <c r="BQ353" i="1" s="1"/>
  <c r="BR353" i="1" s="1"/>
  <c r="BS353" i="1" s="1"/>
  <c r="BU353" i="1"/>
  <c r="BP157" i="1"/>
  <c r="BQ157" i="1" s="1"/>
  <c r="BR157" i="1" s="1"/>
  <c r="CC157" i="1" s="1"/>
  <c r="CF157" i="1" s="1"/>
  <c r="BU157" i="1"/>
  <c r="BV157" i="1" s="1"/>
  <c r="BW157" i="1" s="1"/>
  <c r="BP437" i="1"/>
  <c r="BQ437" i="1" s="1"/>
  <c r="BR437" i="1" s="1"/>
  <c r="BU437" i="1"/>
  <c r="BK233" i="1"/>
  <c r="BL233" i="1" s="1"/>
  <c r="BM233" i="1" s="1"/>
  <c r="BN233" i="1" s="1"/>
  <c r="BU233" i="1"/>
  <c r="BK306" i="1"/>
  <c r="BL306" i="1" s="1"/>
  <c r="BM306" i="1" s="1"/>
  <c r="BN306" i="1" s="1"/>
  <c r="BU306" i="1"/>
  <c r="BL239" i="1"/>
  <c r="BM239" i="1" s="1"/>
  <c r="BN239" i="1" s="1"/>
  <c r="BK393" i="1"/>
  <c r="BL393" i="1" s="1"/>
  <c r="BM393" i="1" s="1"/>
  <c r="BK437" i="1"/>
  <c r="BL437" i="1" s="1"/>
  <c r="BM437" i="1" s="1"/>
  <c r="BN437" i="1" s="1"/>
  <c r="BP457" i="1"/>
  <c r="BQ457" i="1" s="1"/>
  <c r="BR457" i="1" s="1"/>
  <c r="CC457" i="1" s="1"/>
  <c r="CF457" i="1" s="1"/>
  <c r="BU457" i="1"/>
  <c r="BK355" i="1"/>
  <c r="BL355" i="1" s="1"/>
  <c r="BM355" i="1" s="1"/>
  <c r="BU355" i="1"/>
  <c r="BK368" i="1"/>
  <c r="BU368" i="1"/>
  <c r="BK225" i="1"/>
  <c r="BP273" i="1"/>
  <c r="BQ273" i="1" s="1"/>
  <c r="BR273" i="1" s="1"/>
  <c r="BS273" i="1" s="1"/>
  <c r="BI54" i="1"/>
  <c r="BL299" i="1"/>
  <c r="BM299" i="1" s="1"/>
  <c r="BX299" i="1" s="1"/>
  <c r="BK353" i="1"/>
  <c r="BL353" i="1" s="1"/>
  <c r="BM353" i="1" s="1"/>
  <c r="BP433" i="1"/>
  <c r="BQ433" i="1" s="1"/>
  <c r="BR433" i="1" s="1"/>
  <c r="CC433" i="1" s="1"/>
  <c r="BU433" i="1"/>
  <c r="BP313" i="1"/>
  <c r="BU313" i="1"/>
  <c r="BP453" i="1"/>
  <c r="BQ453" i="1" s="1"/>
  <c r="BR453" i="1" s="1"/>
  <c r="BU453" i="1"/>
  <c r="BV453" i="1" s="1"/>
  <c r="BW453" i="1" s="1"/>
  <c r="BP265" i="1"/>
  <c r="BQ265" i="1" s="1"/>
  <c r="BR265" i="1" s="1"/>
  <c r="BU265" i="1"/>
  <c r="BV265" i="1" s="1"/>
  <c r="BW265" i="1" s="1"/>
  <c r="BP261" i="1"/>
  <c r="BQ261" i="1" s="1"/>
  <c r="BR261" i="1" s="1"/>
  <c r="BU261" i="1"/>
  <c r="BP73" i="1"/>
  <c r="BQ73" i="1" s="1"/>
  <c r="BR73" i="1" s="1"/>
  <c r="BU73" i="1"/>
  <c r="BV73" i="1" s="1"/>
  <c r="BW73" i="1" s="1"/>
  <c r="BJ149" i="1"/>
  <c r="BU149" i="1" s="1"/>
  <c r="BP355" i="1"/>
  <c r="BQ355" i="1" s="1"/>
  <c r="BR355" i="1" s="1"/>
  <c r="BP209" i="1"/>
  <c r="BQ209" i="1" s="1"/>
  <c r="BR209" i="1" s="1"/>
  <c r="BS209" i="1" s="1"/>
  <c r="BK209" i="1"/>
  <c r="BJ289" i="1"/>
  <c r="BU289" i="1" s="1"/>
  <c r="BV195" i="1"/>
  <c r="BW195" i="1" s="1"/>
  <c r="BV339" i="1"/>
  <c r="BW339" i="1" s="1"/>
  <c r="BX339" i="1" s="1"/>
  <c r="BP383" i="1"/>
  <c r="BQ383" i="1" s="1"/>
  <c r="BR383" i="1" s="1"/>
  <c r="CC383" i="1" s="1"/>
  <c r="CF383" i="1" s="1"/>
  <c r="BK457" i="1"/>
  <c r="BL457" i="1" s="1"/>
  <c r="BM457" i="1" s="1"/>
  <c r="BN457" i="1" s="1"/>
  <c r="BJ189" i="1"/>
  <c r="BU189" i="1" s="1"/>
  <c r="BP141" i="1"/>
  <c r="BQ141" i="1" s="1"/>
  <c r="BR141" i="1" s="1"/>
  <c r="CC141" i="1" s="1"/>
  <c r="CF141" i="1" s="1"/>
  <c r="BK141" i="1"/>
  <c r="BP177" i="1"/>
  <c r="BQ177" i="1" s="1"/>
  <c r="BR177" i="1" s="1"/>
  <c r="BS177" i="1" s="1"/>
  <c r="BK177" i="1"/>
  <c r="BH54" i="1"/>
  <c r="BJ54" i="1" s="1"/>
  <c r="BU54" i="1" s="1"/>
  <c r="BK433" i="1"/>
  <c r="BL433" i="1" s="1"/>
  <c r="BM433" i="1" s="1"/>
  <c r="BJ193" i="1"/>
  <c r="BU193" i="1" s="1"/>
  <c r="BJ153" i="1"/>
  <c r="BU153" i="1" s="1"/>
  <c r="BJ425" i="1"/>
  <c r="BU425" i="1" s="1"/>
  <c r="BJ285" i="1"/>
  <c r="BU285" i="1" s="1"/>
  <c r="BF54" i="1"/>
  <c r="BP421" i="1"/>
  <c r="BQ421" i="1" s="1"/>
  <c r="BR421" i="1" s="1"/>
  <c r="BK421" i="1"/>
  <c r="BJ145" i="1"/>
  <c r="BU145" i="1" s="1"/>
  <c r="BK269" i="1"/>
  <c r="BL269" i="1" s="1"/>
  <c r="BM269" i="1" s="1"/>
  <c r="BN269" i="1" s="1"/>
  <c r="BL173" i="1"/>
  <c r="BM173" i="1" s="1"/>
  <c r="BJ459" i="1"/>
  <c r="BU459" i="1" s="1"/>
  <c r="BN461" i="1"/>
  <c r="BK462" i="1"/>
  <c r="BP462" i="1"/>
  <c r="BQ462" i="1" s="1"/>
  <c r="BR462" i="1" s="1"/>
  <c r="BP460" i="1"/>
  <c r="BQ460" i="1" s="1"/>
  <c r="BR460" i="1" s="1"/>
  <c r="BK460" i="1"/>
  <c r="BL465" i="1"/>
  <c r="BM465" i="1" s="1"/>
  <c r="BP464" i="1"/>
  <c r="BQ464" i="1" s="1"/>
  <c r="BR464" i="1" s="1"/>
  <c r="BK464" i="1"/>
  <c r="BJ463" i="1"/>
  <c r="BU463" i="1" s="1"/>
  <c r="BK458" i="1"/>
  <c r="BP458" i="1"/>
  <c r="BQ458" i="1" s="1"/>
  <c r="BR458" i="1" s="1"/>
  <c r="BV461" i="1"/>
  <c r="BW461" i="1" s="1"/>
  <c r="BJ451" i="1"/>
  <c r="BU451" i="1" s="1"/>
  <c r="BJ452" i="1"/>
  <c r="BU452" i="1" s="1"/>
  <c r="BL453" i="1"/>
  <c r="BM453" i="1" s="1"/>
  <c r="BK454" i="1"/>
  <c r="BP454" i="1"/>
  <c r="BQ454" i="1" s="1"/>
  <c r="BR454" i="1" s="1"/>
  <c r="BJ456" i="1"/>
  <c r="BU456" i="1" s="1"/>
  <c r="BJ455" i="1"/>
  <c r="BU455" i="1" s="1"/>
  <c r="BJ450" i="1"/>
  <c r="BU450" i="1" s="1"/>
  <c r="BN443" i="1"/>
  <c r="BK442" i="1"/>
  <c r="BP442" i="1"/>
  <c r="BQ442" i="1" s="1"/>
  <c r="BR442" i="1" s="1"/>
  <c r="BP444" i="1"/>
  <c r="BQ444" i="1" s="1"/>
  <c r="BR444" i="1" s="1"/>
  <c r="BK444" i="1"/>
  <c r="BJ445" i="1"/>
  <c r="BU445" i="1" s="1"/>
  <c r="BL447" i="1"/>
  <c r="BM447" i="1" s="1"/>
  <c r="BJ449" i="1"/>
  <c r="BU449" i="1" s="1"/>
  <c r="CC446" i="1"/>
  <c r="CF446" i="1" s="1"/>
  <c r="BS446" i="1"/>
  <c r="BP448" i="1"/>
  <c r="BQ448" i="1" s="1"/>
  <c r="BR448" i="1" s="1"/>
  <c r="BK448" i="1"/>
  <c r="BV443" i="1"/>
  <c r="BW443" i="1" s="1"/>
  <c r="BV447" i="1"/>
  <c r="BW447" i="1" s="1"/>
  <c r="BV429" i="1"/>
  <c r="BW429" i="1" s="1"/>
  <c r="BJ431" i="1"/>
  <c r="BU431" i="1" s="1"/>
  <c r="BK434" i="1"/>
  <c r="BP434" i="1"/>
  <c r="BQ434" i="1" s="1"/>
  <c r="BR434" i="1" s="1"/>
  <c r="BP440" i="1"/>
  <c r="BQ440" i="1" s="1"/>
  <c r="BR440" i="1" s="1"/>
  <c r="BK440" i="1"/>
  <c r="BJ435" i="1"/>
  <c r="BU435" i="1" s="1"/>
  <c r="BP428" i="1"/>
  <c r="BQ428" i="1" s="1"/>
  <c r="BR428" i="1" s="1"/>
  <c r="BK428" i="1"/>
  <c r="BK426" i="1"/>
  <c r="BP426" i="1"/>
  <c r="BQ426" i="1" s="1"/>
  <c r="BR426" i="1" s="1"/>
  <c r="BL441" i="1"/>
  <c r="BM441" i="1" s="1"/>
  <c r="BP432" i="1"/>
  <c r="BQ432" i="1" s="1"/>
  <c r="BR432" i="1" s="1"/>
  <c r="CC432" i="1" s="1"/>
  <c r="BK432" i="1"/>
  <c r="BJ427" i="1"/>
  <c r="BU427" i="1" s="1"/>
  <c r="BK438" i="1"/>
  <c r="BP438" i="1"/>
  <c r="BQ438" i="1" s="1"/>
  <c r="BR438" i="1" s="1"/>
  <c r="BL429" i="1"/>
  <c r="BM429" i="1" s="1"/>
  <c r="BJ439" i="1"/>
  <c r="BU439" i="1" s="1"/>
  <c r="BK430" i="1"/>
  <c r="BP430" i="1"/>
  <c r="BQ430" i="1" s="1"/>
  <c r="BR430" i="1" s="1"/>
  <c r="BP436" i="1"/>
  <c r="BQ436" i="1" s="1"/>
  <c r="BR436" i="1" s="1"/>
  <c r="BK436" i="1"/>
  <c r="BJ423" i="1"/>
  <c r="BU423" i="1" s="1"/>
  <c r="BP424" i="1"/>
  <c r="BQ424" i="1" s="1"/>
  <c r="BR424" i="1" s="1"/>
  <c r="BK424" i="1"/>
  <c r="BK418" i="1"/>
  <c r="BP418" i="1"/>
  <c r="BQ418" i="1" s="1"/>
  <c r="BR418" i="1" s="1"/>
  <c r="BJ419" i="1"/>
  <c r="BU419" i="1" s="1"/>
  <c r="BP420" i="1"/>
  <c r="BQ420" i="1" s="1"/>
  <c r="BR420" i="1" s="1"/>
  <c r="BK420" i="1"/>
  <c r="BK422" i="1"/>
  <c r="BP422" i="1"/>
  <c r="BQ422" i="1" s="1"/>
  <c r="BR422" i="1" s="1"/>
  <c r="BP412" i="1"/>
  <c r="BQ412" i="1" s="1"/>
  <c r="BR412" i="1" s="1"/>
  <c r="BK412" i="1"/>
  <c r="BJ413" i="1"/>
  <c r="BU413" i="1" s="1"/>
  <c r="BP416" i="1"/>
  <c r="BQ416" i="1" s="1"/>
  <c r="BR416" i="1" s="1"/>
  <c r="BK416" i="1"/>
  <c r="BJ417" i="1"/>
  <c r="BU417" i="1" s="1"/>
  <c r="BK414" i="1"/>
  <c r="BP414" i="1"/>
  <c r="BQ414" i="1" s="1"/>
  <c r="BR414" i="1" s="1"/>
  <c r="BK410" i="1"/>
  <c r="BP410" i="1"/>
  <c r="BQ410" i="1" s="1"/>
  <c r="BR410" i="1" s="1"/>
  <c r="BJ411" i="1"/>
  <c r="BU411" i="1" s="1"/>
  <c r="BJ415" i="1"/>
  <c r="BU415" i="1" s="1"/>
  <c r="BJ401" i="1"/>
  <c r="BU401" i="1" s="1"/>
  <c r="BJ409" i="1"/>
  <c r="BU409" i="1" s="1"/>
  <c r="BK398" i="1"/>
  <c r="BP398" i="1"/>
  <c r="BQ398" i="1" s="1"/>
  <c r="BR398" i="1" s="1"/>
  <c r="BJ397" i="1"/>
  <c r="BU397" i="1" s="1"/>
  <c r="BK402" i="1"/>
  <c r="BP402" i="1"/>
  <c r="BQ402" i="1" s="1"/>
  <c r="BR402" i="1" s="1"/>
  <c r="BP400" i="1"/>
  <c r="BQ400" i="1" s="1"/>
  <c r="BR400" i="1" s="1"/>
  <c r="BK400" i="1"/>
  <c r="BP404" i="1"/>
  <c r="BQ404" i="1" s="1"/>
  <c r="BR404" i="1" s="1"/>
  <c r="BK404" i="1"/>
  <c r="BJ394" i="1"/>
  <c r="BU394" i="1" s="1"/>
  <c r="BP408" i="1"/>
  <c r="BQ408" i="1" s="1"/>
  <c r="BR408" i="1" s="1"/>
  <c r="BK408" i="1"/>
  <c r="BK406" i="1"/>
  <c r="BP406" i="1"/>
  <c r="BQ406" i="1" s="1"/>
  <c r="BR406" i="1" s="1"/>
  <c r="BJ405" i="1"/>
  <c r="BU405" i="1" s="1"/>
  <c r="BP396" i="1"/>
  <c r="BQ396" i="1" s="1"/>
  <c r="BR396" i="1" s="1"/>
  <c r="BK396" i="1"/>
  <c r="CC407" i="1"/>
  <c r="CF407" i="1" s="1"/>
  <c r="BS407" i="1"/>
  <c r="BN407" i="1"/>
  <c r="BV407" i="1"/>
  <c r="BW407" i="1" s="1"/>
  <c r="BK386" i="1"/>
  <c r="BP386" i="1"/>
  <c r="BQ386" i="1" s="1"/>
  <c r="BR386" i="1" s="1"/>
  <c r="BP392" i="1"/>
  <c r="BQ392" i="1" s="1"/>
  <c r="BR392" i="1" s="1"/>
  <c r="BK392" i="1"/>
  <c r="BJ387" i="1"/>
  <c r="BU387" i="1" s="1"/>
  <c r="BP388" i="1"/>
  <c r="BQ388" i="1" s="1"/>
  <c r="BR388" i="1" s="1"/>
  <c r="BK388" i="1"/>
  <c r="BK390" i="1"/>
  <c r="BP390" i="1"/>
  <c r="BQ390" i="1" s="1"/>
  <c r="BR390" i="1" s="1"/>
  <c r="BJ391" i="1"/>
  <c r="BU391" i="1" s="1"/>
  <c r="BL389" i="1"/>
  <c r="BM389" i="1" s="1"/>
  <c r="BP377" i="1"/>
  <c r="BQ377" i="1" s="1"/>
  <c r="BR377" i="1" s="1"/>
  <c r="BK377" i="1"/>
  <c r="BJ370" i="1"/>
  <c r="BU370" i="1" s="1"/>
  <c r="BP380" i="1"/>
  <c r="BQ380" i="1" s="1"/>
  <c r="BR380" i="1" s="1"/>
  <c r="BK380" i="1"/>
  <c r="BN375" i="1"/>
  <c r="CC371" i="1"/>
  <c r="BS371" i="1"/>
  <c r="BK374" i="1"/>
  <c r="BP374" i="1"/>
  <c r="BQ374" i="1" s="1"/>
  <c r="BR374" i="1" s="1"/>
  <c r="BP373" i="1"/>
  <c r="BQ373" i="1" s="1"/>
  <c r="BR373" i="1" s="1"/>
  <c r="BK373" i="1"/>
  <c r="BP376" i="1"/>
  <c r="BQ376" i="1" s="1"/>
  <c r="BR376" i="1" s="1"/>
  <c r="BK376" i="1"/>
  <c r="BJ385" i="1"/>
  <c r="BU385" i="1" s="1"/>
  <c r="CC375" i="1"/>
  <c r="BS375" i="1"/>
  <c r="BK378" i="1"/>
  <c r="BP378" i="1"/>
  <c r="BQ378" i="1" s="1"/>
  <c r="BR378" i="1" s="1"/>
  <c r="BP381" i="1"/>
  <c r="BQ381" i="1" s="1"/>
  <c r="BR381" i="1" s="1"/>
  <c r="BK381" i="1"/>
  <c r="BP384" i="1"/>
  <c r="BQ384" i="1" s="1"/>
  <c r="BR384" i="1" s="1"/>
  <c r="BK384" i="1"/>
  <c r="CC379" i="1"/>
  <c r="CF379" i="1" s="1"/>
  <c r="BS379" i="1"/>
  <c r="BK382" i="1"/>
  <c r="BP382" i="1"/>
  <c r="BQ382" i="1" s="1"/>
  <c r="BR382" i="1" s="1"/>
  <c r="BP372" i="1"/>
  <c r="BQ372" i="1" s="1"/>
  <c r="BR372" i="1" s="1"/>
  <c r="BK372" i="1"/>
  <c r="CC369" i="1"/>
  <c r="CF369" i="1" s="1"/>
  <c r="BS369" i="1"/>
  <c r="BP368" i="1"/>
  <c r="BQ368" i="1" s="1"/>
  <c r="BR368" i="1" s="1"/>
  <c r="BK366" i="1"/>
  <c r="BP366" i="1"/>
  <c r="BQ366" i="1" s="1"/>
  <c r="BR366" i="1" s="1"/>
  <c r="BJ367" i="1"/>
  <c r="BU367" i="1" s="1"/>
  <c r="BJ363" i="1"/>
  <c r="BU363" i="1" s="1"/>
  <c r="BJ362" i="1"/>
  <c r="BU362" i="1" s="1"/>
  <c r="BP364" i="1"/>
  <c r="BQ364" i="1" s="1"/>
  <c r="BR364" i="1" s="1"/>
  <c r="BK364" i="1"/>
  <c r="BJ357" i="1"/>
  <c r="BU357" i="1" s="1"/>
  <c r="BK358" i="1"/>
  <c r="BP358" i="1"/>
  <c r="BQ358" i="1" s="1"/>
  <c r="BR358" i="1" s="1"/>
  <c r="BK354" i="1"/>
  <c r="BP354" i="1"/>
  <c r="BQ354" i="1" s="1"/>
  <c r="BR354" i="1" s="1"/>
  <c r="BP360" i="1"/>
  <c r="BQ360" i="1" s="1"/>
  <c r="BR360" i="1" s="1"/>
  <c r="BK360" i="1"/>
  <c r="BK359" i="1"/>
  <c r="BP359" i="1"/>
  <c r="BQ359" i="1" s="1"/>
  <c r="BR359" i="1" s="1"/>
  <c r="BJ361" i="1"/>
  <c r="BU361" i="1" s="1"/>
  <c r="BP356" i="1"/>
  <c r="BQ356" i="1" s="1"/>
  <c r="BR356" i="1" s="1"/>
  <c r="BK356" i="1"/>
  <c r="BK346" i="1"/>
  <c r="BP346" i="1"/>
  <c r="BQ346" i="1" s="1"/>
  <c r="BR346" i="1" s="1"/>
  <c r="BK347" i="1"/>
  <c r="BP347" i="1"/>
  <c r="BQ347" i="1" s="1"/>
  <c r="BR347" i="1" s="1"/>
  <c r="BL349" i="1"/>
  <c r="BM349" i="1" s="1"/>
  <c r="BK348" i="1"/>
  <c r="BP348" i="1"/>
  <c r="BQ348" i="1" s="1"/>
  <c r="BR348" i="1" s="1"/>
  <c r="BP350" i="1"/>
  <c r="BQ350" i="1" s="1"/>
  <c r="BR350" i="1" s="1"/>
  <c r="BK350" i="1"/>
  <c r="BJ351" i="1"/>
  <c r="BU351" i="1" s="1"/>
  <c r="BK352" i="1"/>
  <c r="BP352" i="1"/>
  <c r="BQ352" i="1" s="1"/>
  <c r="BR352" i="1" s="1"/>
  <c r="BN339" i="1"/>
  <c r="BK338" i="1"/>
  <c r="BP338" i="1"/>
  <c r="BQ338" i="1" s="1"/>
  <c r="BR338" i="1" s="1"/>
  <c r="BJ341" i="1"/>
  <c r="BU341" i="1" s="1"/>
  <c r="BP340" i="1"/>
  <c r="BQ340" i="1" s="1"/>
  <c r="BR340" i="1" s="1"/>
  <c r="BK340" i="1"/>
  <c r="BN342" i="1"/>
  <c r="BJ345" i="1"/>
  <c r="BU345" i="1" s="1"/>
  <c r="BP344" i="1"/>
  <c r="BQ344" i="1" s="1"/>
  <c r="BR344" i="1" s="1"/>
  <c r="BK344" i="1"/>
  <c r="CC339" i="1"/>
  <c r="CF339" i="1" s="1"/>
  <c r="BS339" i="1"/>
  <c r="CC342" i="1"/>
  <c r="CF342" i="1" s="1"/>
  <c r="BS342" i="1"/>
  <c r="CC335" i="1"/>
  <c r="CF335" i="1" s="1"/>
  <c r="BS335" i="1"/>
  <c r="BJ330" i="1"/>
  <c r="BU330" i="1" s="1"/>
  <c r="BJ333" i="1"/>
  <c r="BU333" i="1" s="1"/>
  <c r="BP336" i="1"/>
  <c r="BQ336" i="1" s="1"/>
  <c r="BR336" i="1" s="1"/>
  <c r="BK336" i="1"/>
  <c r="CC331" i="1"/>
  <c r="CF331" i="1" s="1"/>
  <c r="BS331" i="1"/>
  <c r="BJ334" i="1"/>
  <c r="BU334" i="1" s="1"/>
  <c r="BP332" i="1"/>
  <c r="BQ332" i="1" s="1"/>
  <c r="BR332" i="1" s="1"/>
  <c r="BK332" i="1"/>
  <c r="BJ337" i="1"/>
  <c r="BU337" i="1" s="1"/>
  <c r="BN323" i="1"/>
  <c r="BJ325" i="1"/>
  <c r="BU325" i="1" s="1"/>
  <c r="BP328" i="1"/>
  <c r="BQ328" i="1" s="1"/>
  <c r="BR328" i="1" s="1"/>
  <c r="BK328" i="1"/>
  <c r="CC327" i="1"/>
  <c r="CF327" i="1" s="1"/>
  <c r="BP324" i="1"/>
  <c r="BQ324" i="1" s="1"/>
  <c r="BR324" i="1" s="1"/>
  <c r="BK324" i="1"/>
  <c r="BJ329" i="1"/>
  <c r="BU329" i="1" s="1"/>
  <c r="BK326" i="1"/>
  <c r="BP326" i="1"/>
  <c r="BQ326" i="1" s="1"/>
  <c r="BR326" i="1" s="1"/>
  <c r="BV327" i="1"/>
  <c r="BW327" i="1" s="1"/>
  <c r="BX327" i="1" s="1"/>
  <c r="BK322" i="1"/>
  <c r="BP322" i="1"/>
  <c r="BQ322" i="1" s="1"/>
  <c r="BR322" i="1" s="1"/>
  <c r="BJ317" i="1"/>
  <c r="BU317" i="1" s="1"/>
  <c r="BK315" i="1"/>
  <c r="BP315" i="1"/>
  <c r="BQ315" i="1" s="1"/>
  <c r="BR315" i="1" s="1"/>
  <c r="BK314" i="1"/>
  <c r="BP314" i="1"/>
  <c r="BQ314" i="1" s="1"/>
  <c r="BR314" i="1" s="1"/>
  <c r="BP321" i="1"/>
  <c r="BQ321" i="1" s="1"/>
  <c r="BR321" i="1" s="1"/>
  <c r="BK321" i="1"/>
  <c r="BK316" i="1"/>
  <c r="BP316" i="1"/>
  <c r="BQ316" i="1" s="1"/>
  <c r="BR316" i="1" s="1"/>
  <c r="BK320" i="1"/>
  <c r="BP320" i="1"/>
  <c r="BQ320" i="1" s="1"/>
  <c r="BR320" i="1" s="1"/>
  <c r="BP318" i="1"/>
  <c r="BQ318" i="1" s="1"/>
  <c r="BR318" i="1" s="1"/>
  <c r="BK318" i="1"/>
  <c r="BK319" i="1"/>
  <c r="BP319" i="1"/>
  <c r="BQ319" i="1" s="1"/>
  <c r="BR319" i="1" s="1"/>
  <c r="CC306" i="1"/>
  <c r="CF306" i="1" s="1"/>
  <c r="BS306" i="1"/>
  <c r="BJ309" i="1"/>
  <c r="BU309" i="1" s="1"/>
  <c r="CC310" i="1"/>
  <c r="CF310" i="1" s="1"/>
  <c r="BS310" i="1"/>
  <c r="BL310" i="1"/>
  <c r="BM310" i="1" s="1"/>
  <c r="BV310" i="1"/>
  <c r="BW310" i="1" s="1"/>
  <c r="BP312" i="1"/>
  <c r="BQ312" i="1" s="1"/>
  <c r="BR312" i="1" s="1"/>
  <c r="BK312" i="1"/>
  <c r="BV307" i="1"/>
  <c r="BW307" i="1" s="1"/>
  <c r="BP311" i="1"/>
  <c r="BQ311" i="1" s="1"/>
  <c r="BR311" i="1" s="1"/>
  <c r="BK311" i="1"/>
  <c r="BP308" i="1"/>
  <c r="BQ308" i="1" s="1"/>
  <c r="BR308" i="1" s="1"/>
  <c r="BK308" i="1"/>
  <c r="BS299" i="1"/>
  <c r="BJ298" i="1"/>
  <c r="BU298" i="1" s="1"/>
  <c r="BP304" i="1"/>
  <c r="BQ304" i="1" s="1"/>
  <c r="BR304" i="1" s="1"/>
  <c r="BK304" i="1"/>
  <c r="BJ302" i="1"/>
  <c r="BU302" i="1" s="1"/>
  <c r="BJ301" i="1"/>
  <c r="BU301" i="1" s="1"/>
  <c r="BX303" i="1"/>
  <c r="BN303" i="1"/>
  <c r="BY303" i="1" s="1"/>
  <c r="CA303" i="1" s="1"/>
  <c r="BJ305" i="1"/>
  <c r="BU305" i="1" s="1"/>
  <c r="BP300" i="1"/>
  <c r="BQ300" i="1" s="1"/>
  <c r="BR300" i="1" s="1"/>
  <c r="BK300" i="1"/>
  <c r="CC303" i="1"/>
  <c r="CF303" i="1" s="1"/>
  <c r="BS303" i="1"/>
  <c r="BJ295" i="1"/>
  <c r="BU295" i="1" s="1"/>
  <c r="BP296" i="1"/>
  <c r="BQ296" i="1" s="1"/>
  <c r="BR296" i="1" s="1"/>
  <c r="BK296" i="1"/>
  <c r="BP292" i="1"/>
  <c r="BQ292" i="1" s="1"/>
  <c r="BR292" i="1" s="1"/>
  <c r="BK292" i="1"/>
  <c r="BK290" i="1"/>
  <c r="BP290" i="1"/>
  <c r="BQ290" i="1" s="1"/>
  <c r="BR290" i="1" s="1"/>
  <c r="BL293" i="1"/>
  <c r="BM293" i="1" s="1"/>
  <c r="BJ291" i="1"/>
  <c r="BU291" i="1" s="1"/>
  <c r="BL297" i="1"/>
  <c r="BM297" i="1" s="1"/>
  <c r="BK294" i="1"/>
  <c r="BP294" i="1"/>
  <c r="BQ294" i="1" s="1"/>
  <c r="BR294" i="1" s="1"/>
  <c r="BK286" i="1"/>
  <c r="BP286" i="1"/>
  <c r="BQ286" i="1" s="1"/>
  <c r="BR286" i="1" s="1"/>
  <c r="BJ287" i="1"/>
  <c r="BU287" i="1" s="1"/>
  <c r="BP288" i="1"/>
  <c r="BQ288" i="1" s="1"/>
  <c r="BR288" i="1" s="1"/>
  <c r="BK288" i="1"/>
  <c r="BP284" i="1"/>
  <c r="BQ284" i="1" s="1"/>
  <c r="BR284" i="1" s="1"/>
  <c r="BK284" i="1"/>
  <c r="BK282" i="1"/>
  <c r="BP282" i="1"/>
  <c r="BQ282" i="1" s="1"/>
  <c r="BR282" i="1" s="1"/>
  <c r="BJ283" i="1"/>
  <c r="BU283" i="1" s="1"/>
  <c r="BN275" i="1"/>
  <c r="BJ274" i="1"/>
  <c r="BU274" i="1" s="1"/>
  <c r="BJ277" i="1"/>
  <c r="BU277" i="1" s="1"/>
  <c r="BP280" i="1"/>
  <c r="BQ280" i="1" s="1"/>
  <c r="BR280" i="1" s="1"/>
  <c r="BK280" i="1"/>
  <c r="BK279" i="1"/>
  <c r="BP279" i="1"/>
  <c r="BQ279" i="1" s="1"/>
  <c r="BR279" i="1" s="1"/>
  <c r="BJ281" i="1"/>
  <c r="BU281" i="1" s="1"/>
  <c r="BS278" i="1"/>
  <c r="CC278" i="1"/>
  <c r="CF278" i="1" s="1"/>
  <c r="BP276" i="1"/>
  <c r="BQ276" i="1" s="1"/>
  <c r="BR276" i="1" s="1"/>
  <c r="BK276" i="1"/>
  <c r="BJ267" i="1"/>
  <c r="BU267" i="1" s="1"/>
  <c r="BP268" i="1"/>
  <c r="BQ268" i="1" s="1"/>
  <c r="BR268" i="1" s="1"/>
  <c r="BK268" i="1"/>
  <c r="BJ266" i="1"/>
  <c r="BU266" i="1" s="1"/>
  <c r="BK270" i="1"/>
  <c r="BP270" i="1"/>
  <c r="BQ270" i="1" s="1"/>
  <c r="BR270" i="1" s="1"/>
  <c r="BP272" i="1"/>
  <c r="BQ272" i="1" s="1"/>
  <c r="BR272" i="1" s="1"/>
  <c r="BK272" i="1"/>
  <c r="BJ271" i="1"/>
  <c r="BU271" i="1" s="1"/>
  <c r="BV261" i="1"/>
  <c r="BW261" i="1" s="1"/>
  <c r="BK258" i="1"/>
  <c r="BP258" i="1"/>
  <c r="BQ258" i="1" s="1"/>
  <c r="BR258" i="1" s="1"/>
  <c r="BP260" i="1"/>
  <c r="BQ260" i="1" s="1"/>
  <c r="BR260" i="1" s="1"/>
  <c r="BK260" i="1"/>
  <c r="BJ259" i="1"/>
  <c r="BU259" i="1" s="1"/>
  <c r="BP264" i="1"/>
  <c r="BQ264" i="1" s="1"/>
  <c r="BR264" i="1" s="1"/>
  <c r="BK264" i="1"/>
  <c r="BL261" i="1"/>
  <c r="BM261" i="1" s="1"/>
  <c r="BK262" i="1"/>
  <c r="BP262" i="1"/>
  <c r="BQ262" i="1" s="1"/>
  <c r="BR262" i="1" s="1"/>
  <c r="BL265" i="1"/>
  <c r="BM265" i="1" s="1"/>
  <c r="BJ263" i="1"/>
  <c r="BU263" i="1" s="1"/>
  <c r="BN253" i="1"/>
  <c r="BJ252" i="1"/>
  <c r="BU252" i="1" s="1"/>
  <c r="BK254" i="1"/>
  <c r="BP254" i="1"/>
  <c r="BQ254" i="1" s="1"/>
  <c r="BR254" i="1" s="1"/>
  <c r="BP256" i="1"/>
  <c r="BQ256" i="1" s="1"/>
  <c r="BR256" i="1" s="1"/>
  <c r="BK256" i="1"/>
  <c r="BS257" i="1"/>
  <c r="CC257" i="1"/>
  <c r="CF257" i="1" s="1"/>
  <c r="BJ255" i="1"/>
  <c r="BU255" i="1" s="1"/>
  <c r="BL257" i="1"/>
  <c r="BM257" i="1" s="1"/>
  <c r="BK250" i="1"/>
  <c r="BP250" i="1"/>
  <c r="BQ250" i="1" s="1"/>
  <c r="BR250" i="1" s="1"/>
  <c r="BJ251" i="1"/>
  <c r="BU251" i="1" s="1"/>
  <c r="BV253" i="1"/>
  <c r="BW253" i="1" s="1"/>
  <c r="BN243" i="1"/>
  <c r="BN245" i="1"/>
  <c r="BN249" i="1"/>
  <c r="BJ244" i="1"/>
  <c r="BU244" i="1" s="1"/>
  <c r="BV243" i="1"/>
  <c r="BW243" i="1" s="1"/>
  <c r="BJ242" i="1"/>
  <c r="BU242" i="1" s="1"/>
  <c r="BJ247" i="1"/>
  <c r="BU247" i="1" s="1"/>
  <c r="BP248" i="1"/>
  <c r="BQ248" i="1" s="1"/>
  <c r="BR248" i="1" s="1"/>
  <c r="BK248" i="1"/>
  <c r="BV245" i="1"/>
  <c r="BW245" i="1" s="1"/>
  <c r="BY245" i="1" s="1"/>
  <c r="BV249" i="1"/>
  <c r="BW249" i="1" s="1"/>
  <c r="BY249" i="1" s="1"/>
  <c r="CC243" i="1"/>
  <c r="CF243" i="1" s="1"/>
  <c r="BS243" i="1"/>
  <c r="BK246" i="1"/>
  <c r="BP246" i="1"/>
  <c r="BQ246" i="1" s="1"/>
  <c r="BR246" i="1" s="1"/>
  <c r="CC245" i="1"/>
  <c r="CF245" i="1" s="1"/>
  <c r="BS245" i="1"/>
  <c r="BJ234" i="1"/>
  <c r="BU234" i="1" s="1"/>
  <c r="BL235" i="1"/>
  <c r="BM235" i="1" s="1"/>
  <c r="BJ237" i="1"/>
  <c r="BU237" i="1" s="1"/>
  <c r="BP236" i="1"/>
  <c r="BQ236" i="1" s="1"/>
  <c r="BR236" i="1" s="1"/>
  <c r="BK236" i="1"/>
  <c r="BN238" i="1"/>
  <c r="BJ241" i="1"/>
  <c r="BU241" i="1" s="1"/>
  <c r="BP240" i="1"/>
  <c r="BQ240" i="1" s="1"/>
  <c r="BR240" i="1" s="1"/>
  <c r="BK240" i="1"/>
  <c r="CC238" i="1"/>
  <c r="CF238" i="1" s="1"/>
  <c r="BS238" i="1"/>
  <c r="CC239" i="1"/>
  <c r="CF239" i="1" s="1"/>
  <c r="BS239" i="1"/>
  <c r="CC229" i="1"/>
  <c r="CF229" i="1" s="1"/>
  <c r="BS229" i="1"/>
  <c r="BS233" i="1"/>
  <c r="CC233" i="1"/>
  <c r="CF233" i="1" s="1"/>
  <c r="BP228" i="1"/>
  <c r="BQ228" i="1" s="1"/>
  <c r="BR228" i="1" s="1"/>
  <c r="BK228" i="1"/>
  <c r="BK230" i="1"/>
  <c r="BP230" i="1"/>
  <c r="BQ230" i="1" s="1"/>
  <c r="BR230" i="1" s="1"/>
  <c r="BJ231" i="1"/>
  <c r="BU231" i="1" s="1"/>
  <c r="BJ226" i="1"/>
  <c r="BU226" i="1" s="1"/>
  <c r="BJ227" i="1"/>
  <c r="BU227" i="1" s="1"/>
  <c r="BP232" i="1"/>
  <c r="BQ232" i="1" s="1"/>
  <c r="BR232" i="1" s="1"/>
  <c r="BK232" i="1"/>
  <c r="CC225" i="1"/>
  <c r="CF225" i="1" s="1"/>
  <c r="BJ219" i="1"/>
  <c r="BU219" i="1" s="1"/>
  <c r="BP221" i="1"/>
  <c r="BQ221" i="1" s="1"/>
  <c r="BR221" i="1" s="1"/>
  <c r="BK221" i="1"/>
  <c r="BL225" i="1"/>
  <c r="BM225" i="1" s="1"/>
  <c r="BJ223" i="1"/>
  <c r="BU223" i="1" s="1"/>
  <c r="BK218" i="1"/>
  <c r="BP218" i="1"/>
  <c r="BQ218" i="1" s="1"/>
  <c r="BR218" i="1" s="1"/>
  <c r="BP224" i="1"/>
  <c r="BQ224" i="1" s="1"/>
  <c r="BR224" i="1" s="1"/>
  <c r="BK224" i="1"/>
  <c r="BP220" i="1"/>
  <c r="BQ220" i="1" s="1"/>
  <c r="BR220" i="1" s="1"/>
  <c r="BK220" i="1"/>
  <c r="BV225" i="1"/>
  <c r="BW225" i="1" s="1"/>
  <c r="BK222" i="1"/>
  <c r="BP222" i="1"/>
  <c r="BQ222" i="1" s="1"/>
  <c r="BR222" i="1" s="1"/>
  <c r="BN213" i="1"/>
  <c r="BJ216" i="1"/>
  <c r="BU216" i="1" s="1"/>
  <c r="BP212" i="1"/>
  <c r="BQ212" i="1" s="1"/>
  <c r="BR212" i="1" s="1"/>
  <c r="BK212" i="1"/>
  <c r="BK214" i="1"/>
  <c r="BP214" i="1"/>
  <c r="BQ214" i="1" s="1"/>
  <c r="BR214" i="1" s="1"/>
  <c r="BJ215" i="1"/>
  <c r="BU215" i="1" s="1"/>
  <c r="BL217" i="1"/>
  <c r="BM217" i="1" s="1"/>
  <c r="BK210" i="1"/>
  <c r="BP210" i="1"/>
  <c r="BQ210" i="1" s="1"/>
  <c r="BR210" i="1" s="1"/>
  <c r="BJ211" i="1"/>
  <c r="BU211" i="1" s="1"/>
  <c r="BS205" i="1"/>
  <c r="CC205" i="1"/>
  <c r="CF205" i="1" s="1"/>
  <c r="BP208" i="1"/>
  <c r="BQ208" i="1" s="1"/>
  <c r="BR208" i="1" s="1"/>
  <c r="BK208" i="1"/>
  <c r="BN205" i="1"/>
  <c r="BK206" i="1"/>
  <c r="BP206" i="1"/>
  <c r="BQ206" i="1" s="1"/>
  <c r="BR206" i="1" s="1"/>
  <c r="BK202" i="1"/>
  <c r="BP202" i="1"/>
  <c r="BQ202" i="1" s="1"/>
  <c r="BR202" i="1" s="1"/>
  <c r="BJ207" i="1"/>
  <c r="BU207" i="1" s="1"/>
  <c r="BP204" i="1"/>
  <c r="BQ204" i="1" s="1"/>
  <c r="BR204" i="1" s="1"/>
  <c r="BK204" i="1"/>
  <c r="BJ203" i="1"/>
  <c r="BU203" i="1" s="1"/>
  <c r="BP200" i="1"/>
  <c r="BQ200" i="1" s="1"/>
  <c r="BR200" i="1" s="1"/>
  <c r="BK200" i="1"/>
  <c r="BL199" i="1"/>
  <c r="BM199" i="1" s="1"/>
  <c r="BS195" i="1"/>
  <c r="BP196" i="1"/>
  <c r="BQ196" i="1" s="1"/>
  <c r="BR196" i="1" s="1"/>
  <c r="BK196" i="1"/>
  <c r="BN198" i="1"/>
  <c r="BJ201" i="1"/>
  <c r="BU201" i="1" s="1"/>
  <c r="BN195" i="1"/>
  <c r="BJ197" i="1"/>
  <c r="BU197" i="1" s="1"/>
  <c r="CC198" i="1"/>
  <c r="CF198" i="1" s="1"/>
  <c r="BS198" i="1"/>
  <c r="CC199" i="1"/>
  <c r="CF199" i="1" s="1"/>
  <c r="BS199" i="1"/>
  <c r="BJ194" i="1"/>
  <c r="BU194" i="1" s="1"/>
  <c r="BJ187" i="1"/>
  <c r="BU187" i="1" s="1"/>
  <c r="BP188" i="1"/>
  <c r="BQ188" i="1" s="1"/>
  <c r="BR188" i="1" s="1"/>
  <c r="BK188" i="1"/>
  <c r="BK190" i="1"/>
  <c r="BP190" i="1"/>
  <c r="BQ190" i="1" s="1"/>
  <c r="BR190" i="1" s="1"/>
  <c r="BJ191" i="1"/>
  <c r="BU191" i="1" s="1"/>
  <c r="BP192" i="1"/>
  <c r="BQ192" i="1" s="1"/>
  <c r="BR192" i="1" s="1"/>
  <c r="BK192" i="1"/>
  <c r="BK186" i="1"/>
  <c r="BP186" i="1"/>
  <c r="BQ186" i="1" s="1"/>
  <c r="BR186" i="1" s="1"/>
  <c r="BJ181" i="1"/>
  <c r="BU181" i="1" s="1"/>
  <c r="BJ185" i="1"/>
  <c r="BU185" i="1" s="1"/>
  <c r="BK180" i="1"/>
  <c r="BP180" i="1"/>
  <c r="BQ180" i="1" s="1"/>
  <c r="BR180" i="1" s="1"/>
  <c r="BP182" i="1"/>
  <c r="BQ182" i="1" s="1"/>
  <c r="BR182" i="1" s="1"/>
  <c r="BK182" i="1"/>
  <c r="BJ183" i="1"/>
  <c r="BU183" i="1" s="1"/>
  <c r="BP178" i="1"/>
  <c r="BQ178" i="1" s="1"/>
  <c r="BR178" i="1" s="1"/>
  <c r="BK178" i="1"/>
  <c r="BK184" i="1"/>
  <c r="BP184" i="1"/>
  <c r="BQ184" i="1" s="1"/>
  <c r="BR184" i="1" s="1"/>
  <c r="BJ179" i="1"/>
  <c r="BU179" i="1" s="1"/>
  <c r="BP164" i="1"/>
  <c r="BQ164" i="1" s="1"/>
  <c r="BR164" i="1" s="1"/>
  <c r="BK164" i="1"/>
  <c r="BP172" i="1"/>
  <c r="BQ172" i="1" s="1"/>
  <c r="BR172" i="1" s="1"/>
  <c r="BK172" i="1"/>
  <c r="BK162" i="1"/>
  <c r="BP162" i="1"/>
  <c r="BQ162" i="1" s="1"/>
  <c r="BR162" i="1" s="1"/>
  <c r="BK170" i="1"/>
  <c r="BP170" i="1"/>
  <c r="BQ170" i="1" s="1"/>
  <c r="BR170" i="1" s="1"/>
  <c r="CC165" i="1"/>
  <c r="BS165" i="1"/>
  <c r="BJ163" i="1"/>
  <c r="BU163" i="1" s="1"/>
  <c r="BJ171" i="1"/>
  <c r="BU171" i="1" s="1"/>
  <c r="CC177" i="1"/>
  <c r="CF177" i="1" s="1"/>
  <c r="BK174" i="1"/>
  <c r="BP174" i="1"/>
  <c r="BQ174" i="1" s="1"/>
  <c r="BR174" i="1" s="1"/>
  <c r="BP176" i="1"/>
  <c r="BQ176" i="1" s="1"/>
  <c r="BR176" i="1" s="1"/>
  <c r="BK176" i="1"/>
  <c r="BK166" i="1"/>
  <c r="BP166" i="1"/>
  <c r="BQ166" i="1" s="1"/>
  <c r="BR166" i="1" s="1"/>
  <c r="BJ175" i="1"/>
  <c r="BU175" i="1" s="1"/>
  <c r="BP168" i="1"/>
  <c r="BQ168" i="1" s="1"/>
  <c r="BR168" i="1" s="1"/>
  <c r="BK168" i="1"/>
  <c r="BJ167" i="1"/>
  <c r="BU167" i="1" s="1"/>
  <c r="CC169" i="1"/>
  <c r="BS169" i="1"/>
  <c r="BL161" i="1"/>
  <c r="BM161" i="1" s="1"/>
  <c r="BJ159" i="1"/>
  <c r="BU159" i="1" s="1"/>
  <c r="BP156" i="1"/>
  <c r="BQ156" i="1" s="1"/>
  <c r="BR156" i="1" s="1"/>
  <c r="BK156" i="1"/>
  <c r="BJ155" i="1"/>
  <c r="BU155" i="1" s="1"/>
  <c r="BL157" i="1"/>
  <c r="BM157" i="1" s="1"/>
  <c r="BP160" i="1"/>
  <c r="BQ160" i="1" s="1"/>
  <c r="BR160" i="1" s="1"/>
  <c r="BK160" i="1"/>
  <c r="BJ154" i="1"/>
  <c r="BU154" i="1" s="1"/>
  <c r="BK158" i="1"/>
  <c r="BP158" i="1"/>
  <c r="BQ158" i="1" s="1"/>
  <c r="BR158" i="1" s="1"/>
  <c r="BK150" i="1"/>
  <c r="BP150" i="1"/>
  <c r="BQ150" i="1" s="1"/>
  <c r="BR150" i="1" s="1"/>
  <c r="BK142" i="1"/>
  <c r="BP142" i="1"/>
  <c r="BQ142" i="1" s="1"/>
  <c r="BR142" i="1" s="1"/>
  <c r="BK146" i="1"/>
  <c r="BP146" i="1"/>
  <c r="BQ146" i="1" s="1"/>
  <c r="BR146" i="1" s="1"/>
  <c r="BP148" i="1"/>
  <c r="BQ148" i="1" s="1"/>
  <c r="BR148" i="1" s="1"/>
  <c r="BK148" i="1"/>
  <c r="BJ151" i="1"/>
  <c r="BU151" i="1" s="1"/>
  <c r="BJ143" i="1"/>
  <c r="BU143" i="1" s="1"/>
  <c r="BP152" i="1"/>
  <c r="BQ152" i="1" s="1"/>
  <c r="BR152" i="1" s="1"/>
  <c r="BK152" i="1"/>
  <c r="BK138" i="1"/>
  <c r="BP138" i="1"/>
  <c r="BQ138" i="1" s="1"/>
  <c r="BR138" i="1" s="1"/>
  <c r="BJ147" i="1"/>
  <c r="BU147" i="1" s="1"/>
  <c r="BP144" i="1"/>
  <c r="BQ144" i="1" s="1"/>
  <c r="BR144" i="1" s="1"/>
  <c r="BK144" i="1"/>
  <c r="BJ139" i="1"/>
  <c r="BU139" i="1" s="1"/>
  <c r="BP140" i="1"/>
  <c r="BQ140" i="1" s="1"/>
  <c r="BR140" i="1" s="1"/>
  <c r="BK140" i="1"/>
  <c r="BK130" i="1"/>
  <c r="BP130" i="1"/>
  <c r="BQ130" i="1" s="1"/>
  <c r="BR130" i="1" s="1"/>
  <c r="BX137" i="1"/>
  <c r="BN137" i="1"/>
  <c r="BS133" i="1"/>
  <c r="CC133" i="1"/>
  <c r="CF133" i="1" s="1"/>
  <c r="BJ131" i="1"/>
  <c r="BU131" i="1" s="1"/>
  <c r="BP136" i="1"/>
  <c r="BQ136" i="1" s="1"/>
  <c r="BR136" i="1" s="1"/>
  <c r="BK136" i="1"/>
  <c r="BN133" i="1"/>
  <c r="BK134" i="1"/>
  <c r="BP134" i="1"/>
  <c r="BQ134" i="1" s="1"/>
  <c r="BR134" i="1" s="1"/>
  <c r="BS137" i="1"/>
  <c r="CC137" i="1"/>
  <c r="CF137" i="1" s="1"/>
  <c r="BJ135" i="1"/>
  <c r="BU135" i="1" s="1"/>
  <c r="BP132" i="1"/>
  <c r="BQ132" i="1" s="1"/>
  <c r="BR132" i="1" s="1"/>
  <c r="BK132" i="1"/>
  <c r="BP129" i="1"/>
  <c r="BQ129" i="1" s="1"/>
  <c r="BR129" i="1" s="1"/>
  <c r="BK129" i="1"/>
  <c r="BP128" i="1"/>
  <c r="BQ128" i="1" s="1"/>
  <c r="BR128" i="1" s="1"/>
  <c r="BK128" i="1"/>
  <c r="BK124" i="1"/>
  <c r="BP124" i="1"/>
  <c r="BQ124" i="1" s="1"/>
  <c r="BR124" i="1" s="1"/>
  <c r="BP125" i="1"/>
  <c r="BQ125" i="1" s="1"/>
  <c r="BR125" i="1" s="1"/>
  <c r="BK125" i="1"/>
  <c r="BJ123" i="1"/>
  <c r="BU123" i="1" s="1"/>
  <c r="BP126" i="1"/>
  <c r="BQ126" i="1" s="1"/>
  <c r="BR126" i="1" s="1"/>
  <c r="BK126" i="1"/>
  <c r="BK122" i="1"/>
  <c r="BP122" i="1"/>
  <c r="BQ122" i="1" s="1"/>
  <c r="BR122" i="1" s="1"/>
  <c r="BJ127" i="1"/>
  <c r="BU127" i="1" s="1"/>
  <c r="BJ119" i="1"/>
  <c r="BU119" i="1" s="1"/>
  <c r="BJ115" i="1"/>
  <c r="BU115" i="1" s="1"/>
  <c r="BP117" i="1"/>
  <c r="BQ117" i="1" s="1"/>
  <c r="BR117" i="1" s="1"/>
  <c r="BK117" i="1"/>
  <c r="BJ120" i="1"/>
  <c r="BU120" i="1" s="1"/>
  <c r="BJ118" i="1"/>
  <c r="BU118" i="1" s="1"/>
  <c r="BP121" i="1"/>
  <c r="BQ121" i="1" s="1"/>
  <c r="BR121" i="1" s="1"/>
  <c r="BK121" i="1"/>
  <c r="BP116" i="1"/>
  <c r="BQ116" i="1" s="1"/>
  <c r="BR116" i="1" s="1"/>
  <c r="BK116" i="1"/>
  <c r="BJ114" i="1"/>
  <c r="BU114" i="1" s="1"/>
  <c r="BS113" i="1"/>
  <c r="CC113" i="1"/>
  <c r="CF113" i="1" s="1"/>
  <c r="BP110" i="1"/>
  <c r="BQ110" i="1" s="1"/>
  <c r="BR110" i="1" s="1"/>
  <c r="BK110" i="1"/>
  <c r="BP107" i="1"/>
  <c r="BQ107" i="1" s="1"/>
  <c r="BR107" i="1" s="1"/>
  <c r="BK107" i="1"/>
  <c r="BN113" i="1"/>
  <c r="BY113" i="1" s="1"/>
  <c r="CA113" i="1" s="1"/>
  <c r="BX113" i="1"/>
  <c r="BP108" i="1"/>
  <c r="BQ108" i="1" s="1"/>
  <c r="BR108" i="1" s="1"/>
  <c r="BK108" i="1"/>
  <c r="BK112" i="1"/>
  <c r="BP112" i="1"/>
  <c r="BQ112" i="1" s="1"/>
  <c r="BR112" i="1" s="1"/>
  <c r="BK109" i="1"/>
  <c r="BP109" i="1"/>
  <c r="BQ109" i="1" s="1"/>
  <c r="BR109" i="1" s="1"/>
  <c r="BK106" i="1"/>
  <c r="BP106" i="1"/>
  <c r="BQ106" i="1" s="1"/>
  <c r="BR106" i="1" s="1"/>
  <c r="BP111" i="1"/>
  <c r="BQ111" i="1" s="1"/>
  <c r="BR111" i="1" s="1"/>
  <c r="BK111" i="1"/>
  <c r="BJ105" i="1"/>
  <c r="BU105" i="1" s="1"/>
  <c r="BP98" i="1"/>
  <c r="BQ98" i="1" s="1"/>
  <c r="BR98" i="1" s="1"/>
  <c r="BK98" i="1"/>
  <c r="BK104" i="1"/>
  <c r="BP104" i="1"/>
  <c r="BQ104" i="1" s="1"/>
  <c r="BR104" i="1" s="1"/>
  <c r="BJ101" i="1"/>
  <c r="BU101" i="1" s="1"/>
  <c r="BK103" i="1"/>
  <c r="BP103" i="1"/>
  <c r="BQ103" i="1" s="1"/>
  <c r="BR103" i="1" s="1"/>
  <c r="BP102" i="1"/>
  <c r="BQ102" i="1" s="1"/>
  <c r="BR102" i="1" s="1"/>
  <c r="BK102" i="1"/>
  <c r="BK100" i="1"/>
  <c r="BP100" i="1"/>
  <c r="BQ100" i="1" s="1"/>
  <c r="BR100" i="1" s="1"/>
  <c r="BK99" i="1"/>
  <c r="BP99" i="1"/>
  <c r="BQ99" i="1" s="1"/>
  <c r="BR99" i="1" s="1"/>
  <c r="BS94" i="1"/>
  <c r="CC94" i="1"/>
  <c r="CF94" i="1" s="1"/>
  <c r="BP96" i="1"/>
  <c r="BQ96" i="1" s="1"/>
  <c r="BR96" i="1" s="1"/>
  <c r="BK96" i="1"/>
  <c r="BJ93" i="1"/>
  <c r="BU93" i="1" s="1"/>
  <c r="BK91" i="1"/>
  <c r="BP91" i="1"/>
  <c r="BQ91" i="1" s="1"/>
  <c r="BR91" i="1" s="1"/>
  <c r="CC95" i="1"/>
  <c r="CF95" i="1" s="1"/>
  <c r="BS95" i="1"/>
  <c r="BS90" i="1"/>
  <c r="CC90" i="1"/>
  <c r="CF90" i="1" s="1"/>
  <c r="BJ97" i="1"/>
  <c r="BU97" i="1" s="1"/>
  <c r="BP92" i="1"/>
  <c r="BQ92" i="1" s="1"/>
  <c r="BR92" i="1" s="1"/>
  <c r="BK92" i="1"/>
  <c r="BK89" i="1"/>
  <c r="BP89" i="1"/>
  <c r="BQ89" i="1" s="1"/>
  <c r="BR89" i="1" s="1"/>
  <c r="BK85" i="1"/>
  <c r="BP85" i="1"/>
  <c r="BQ85" i="1" s="1"/>
  <c r="BR85" i="1" s="1"/>
  <c r="BJ87" i="1"/>
  <c r="BU87" i="1" s="1"/>
  <c r="BP84" i="1"/>
  <c r="BQ84" i="1" s="1"/>
  <c r="BR84" i="1" s="1"/>
  <c r="BK84" i="1"/>
  <c r="BK82" i="1"/>
  <c r="BP82" i="1"/>
  <c r="BQ82" i="1" s="1"/>
  <c r="BR82" i="1" s="1"/>
  <c r="BP88" i="1"/>
  <c r="BQ88" i="1" s="1"/>
  <c r="BR88" i="1" s="1"/>
  <c r="BK88" i="1"/>
  <c r="BJ83" i="1"/>
  <c r="BU83" i="1" s="1"/>
  <c r="BK86" i="1"/>
  <c r="BP86" i="1"/>
  <c r="BQ86" i="1" s="1"/>
  <c r="BR86" i="1" s="1"/>
  <c r="BL73" i="1"/>
  <c r="BM73" i="1" s="1"/>
  <c r="BN73" i="1" s="1"/>
  <c r="BI51" i="1"/>
  <c r="BI50" i="1"/>
  <c r="BF57" i="1"/>
  <c r="BH50" i="1"/>
  <c r="BJ50" i="1" s="1"/>
  <c r="BU50" i="1" s="1"/>
  <c r="BV67" i="1"/>
  <c r="BW67" i="1" s="1"/>
  <c r="BX67" i="1" s="1"/>
  <c r="BV76" i="1"/>
  <c r="BW76" i="1" s="1"/>
  <c r="BX76" i="1" s="1"/>
  <c r="CC80" i="1"/>
  <c r="CF80" i="1" s="1"/>
  <c r="BS80" i="1"/>
  <c r="BK81" i="1"/>
  <c r="BP81" i="1"/>
  <c r="BQ81" i="1" s="1"/>
  <c r="BR81" i="1" s="1"/>
  <c r="BJ78" i="1"/>
  <c r="BU78" i="1" s="1"/>
  <c r="BK77" i="1"/>
  <c r="BP77" i="1"/>
  <c r="BQ77" i="1" s="1"/>
  <c r="BR77" i="1" s="1"/>
  <c r="BJ75" i="1"/>
  <c r="BU75" i="1" s="1"/>
  <c r="BV80" i="1"/>
  <c r="BW80" i="1" s="1"/>
  <c r="BJ79" i="1"/>
  <c r="BU79" i="1" s="1"/>
  <c r="BN76" i="1"/>
  <c r="BJ74" i="1"/>
  <c r="BU74" i="1" s="1"/>
  <c r="BS76" i="1"/>
  <c r="CC76" i="1"/>
  <c r="CF76" i="1" s="1"/>
  <c r="BS67" i="1"/>
  <c r="CC67" i="1"/>
  <c r="CF67" i="1" s="1"/>
  <c r="BN67" i="1"/>
  <c r="BJ71" i="1"/>
  <c r="BU71" i="1" s="1"/>
  <c r="BJ70" i="1"/>
  <c r="BU70" i="1" s="1"/>
  <c r="BP72" i="1"/>
  <c r="BQ72" i="1" s="1"/>
  <c r="BR72" i="1" s="1"/>
  <c r="BK72" i="1"/>
  <c r="CC66" i="1"/>
  <c r="CF66" i="1" s="1"/>
  <c r="BS66" i="1"/>
  <c r="BN66" i="1"/>
  <c r="BP69" i="1"/>
  <c r="BQ69" i="1" s="1"/>
  <c r="BR69" i="1" s="1"/>
  <c r="BK69" i="1"/>
  <c r="BP68" i="1"/>
  <c r="BQ68" i="1" s="1"/>
  <c r="BR68" i="1" s="1"/>
  <c r="BK68" i="1"/>
  <c r="BN61" i="1"/>
  <c r="CC61" i="1"/>
  <c r="CF61" i="1" s="1"/>
  <c r="BS61" i="1"/>
  <c r="BV61" i="1"/>
  <c r="BW61" i="1" s="1"/>
  <c r="BJ64" i="1"/>
  <c r="BU64" i="1" s="1"/>
  <c r="BP63" i="1"/>
  <c r="BQ63" i="1" s="1"/>
  <c r="BR63" i="1" s="1"/>
  <c r="BK63" i="1"/>
  <c r="BK59" i="1"/>
  <c r="BP59" i="1"/>
  <c r="BQ59" i="1" s="1"/>
  <c r="BR59" i="1" s="1"/>
  <c r="BS60" i="1"/>
  <c r="CC60" i="1"/>
  <c r="CF60" i="1" s="1"/>
  <c r="BK62" i="1"/>
  <c r="BP62" i="1"/>
  <c r="BQ62" i="1" s="1"/>
  <c r="BR62" i="1" s="1"/>
  <c r="BJ65" i="1"/>
  <c r="BU65" i="1" s="1"/>
  <c r="BP58" i="1"/>
  <c r="BQ58" i="1" s="1"/>
  <c r="BR58" i="1" s="1"/>
  <c r="BK58" i="1"/>
  <c r="BL60" i="1"/>
  <c r="BM60" i="1" s="1"/>
  <c r="BJ57" i="1"/>
  <c r="BU57" i="1" s="1"/>
  <c r="BH53" i="1"/>
  <c r="BF53" i="1"/>
  <c r="BI57" i="1"/>
  <c r="BG51" i="1"/>
  <c r="BI55" i="1"/>
  <c r="BH55" i="1"/>
  <c r="BH51" i="1"/>
  <c r="BI56" i="1"/>
  <c r="BI52" i="1"/>
  <c r="BH56" i="1"/>
  <c r="BH52" i="1"/>
  <c r="BE2" i="1"/>
  <c r="BG2" i="1" s="1"/>
  <c r="BD2" i="1"/>
  <c r="BF2" i="1" s="1"/>
  <c r="BB2" i="1"/>
  <c r="CE2" i="1" s="1"/>
  <c r="AJ2" i="1"/>
  <c r="J165" i="2"/>
  <c r="J166" i="2" s="1"/>
  <c r="J167" i="2" s="1"/>
  <c r="J168" i="2" s="1"/>
  <c r="J169" i="2" s="1"/>
  <c r="J170" i="2" s="1"/>
  <c r="J171" i="2" s="1"/>
  <c r="J172" i="2" s="1"/>
  <c r="J173" i="2" s="1"/>
  <c r="BE3" i="1"/>
  <c r="BG3" i="1" s="1"/>
  <c r="BE4" i="1"/>
  <c r="BE5" i="1"/>
  <c r="BG5" i="1" s="1"/>
  <c r="BE6" i="1"/>
  <c r="BG6" i="1" s="1"/>
  <c r="BE7" i="1"/>
  <c r="BG7" i="1" s="1"/>
  <c r="BE8" i="1"/>
  <c r="BG8" i="1" s="1"/>
  <c r="BE9" i="1"/>
  <c r="BG9" i="1" s="1"/>
  <c r="BE10" i="1"/>
  <c r="BG10" i="1" s="1"/>
  <c r="BE11" i="1"/>
  <c r="BG11" i="1" s="1"/>
  <c r="BE12" i="1"/>
  <c r="BE13" i="1"/>
  <c r="BG13" i="1" s="1"/>
  <c r="BE14" i="1"/>
  <c r="BG14" i="1" s="1"/>
  <c r="BE15" i="1"/>
  <c r="BG15" i="1" s="1"/>
  <c r="BE16" i="1"/>
  <c r="BG16" i="1" s="1"/>
  <c r="BE17" i="1"/>
  <c r="BG17" i="1" s="1"/>
  <c r="BE18" i="1"/>
  <c r="BE19" i="1"/>
  <c r="BG19" i="1" s="1"/>
  <c r="BE20" i="1"/>
  <c r="BE21" i="1"/>
  <c r="BG21" i="1" s="1"/>
  <c r="BE22" i="1"/>
  <c r="BG22" i="1" s="1"/>
  <c r="BE23" i="1"/>
  <c r="BG23" i="1" s="1"/>
  <c r="BE24" i="1"/>
  <c r="BG24" i="1" s="1"/>
  <c r="BE25" i="1"/>
  <c r="BG25" i="1" s="1"/>
  <c r="BE26" i="1"/>
  <c r="BE27" i="1"/>
  <c r="BE28" i="1"/>
  <c r="BE29" i="1"/>
  <c r="BG29" i="1" s="1"/>
  <c r="BE30" i="1"/>
  <c r="BG30" i="1" s="1"/>
  <c r="BE31" i="1"/>
  <c r="BG31" i="1" s="1"/>
  <c r="BE32" i="1"/>
  <c r="BG32" i="1" s="1"/>
  <c r="BE33" i="1"/>
  <c r="BE34" i="1"/>
  <c r="BG34" i="1" s="1"/>
  <c r="BE35" i="1"/>
  <c r="BE36" i="1"/>
  <c r="BE37" i="1"/>
  <c r="BG37" i="1" s="1"/>
  <c r="BE38" i="1"/>
  <c r="BG38" i="1" s="1"/>
  <c r="BE39" i="1"/>
  <c r="BG39" i="1" s="1"/>
  <c r="BE40" i="1"/>
  <c r="BG40" i="1" s="1"/>
  <c r="BE41" i="1"/>
  <c r="BG41" i="1" s="1"/>
  <c r="BE42" i="1"/>
  <c r="BG42" i="1" s="1"/>
  <c r="BE43" i="1"/>
  <c r="BE44" i="1"/>
  <c r="BE45" i="1"/>
  <c r="BE46" i="1"/>
  <c r="BG46" i="1" s="1"/>
  <c r="BE47" i="1"/>
  <c r="BG47" i="1" s="1"/>
  <c r="BE48" i="1"/>
  <c r="BG48" i="1" s="1"/>
  <c r="BE49" i="1"/>
  <c r="BG49" i="1" s="1"/>
  <c r="BD3" i="1"/>
  <c r="BF3" i="1" s="1"/>
  <c r="BD4" i="1"/>
  <c r="BF4" i="1" s="1"/>
  <c r="BD5" i="1"/>
  <c r="BF5" i="1" s="1"/>
  <c r="BD6" i="1"/>
  <c r="BF6" i="1" s="1"/>
  <c r="BD7" i="1"/>
  <c r="BF7" i="1" s="1"/>
  <c r="BD8" i="1"/>
  <c r="BD9" i="1"/>
  <c r="BF9" i="1" s="1"/>
  <c r="BD10" i="1"/>
  <c r="BF10" i="1" s="1"/>
  <c r="BD11" i="1"/>
  <c r="BF11" i="1" s="1"/>
  <c r="BD12" i="1"/>
  <c r="BF12" i="1" s="1"/>
  <c r="BD13" i="1"/>
  <c r="BF13" i="1" s="1"/>
  <c r="BD14" i="1"/>
  <c r="BF14" i="1" s="1"/>
  <c r="BD15" i="1"/>
  <c r="BF15" i="1" s="1"/>
  <c r="BD16" i="1"/>
  <c r="BD17" i="1"/>
  <c r="BF17" i="1" s="1"/>
  <c r="BD18" i="1"/>
  <c r="BD19" i="1"/>
  <c r="BF19" i="1" s="1"/>
  <c r="BD20" i="1"/>
  <c r="BF20" i="1" s="1"/>
  <c r="BD21" i="1"/>
  <c r="BF21" i="1" s="1"/>
  <c r="BD22" i="1"/>
  <c r="BF22" i="1" s="1"/>
  <c r="BD23" i="1"/>
  <c r="BF23" i="1" s="1"/>
  <c r="BD24" i="1"/>
  <c r="BF24" i="1" s="1"/>
  <c r="BD25" i="1"/>
  <c r="BF25" i="1" s="1"/>
  <c r="BD26" i="1"/>
  <c r="BF26" i="1" s="1"/>
  <c r="BD27" i="1"/>
  <c r="BF27" i="1" s="1"/>
  <c r="BD28" i="1"/>
  <c r="BF28" i="1" s="1"/>
  <c r="BD29" i="1"/>
  <c r="BF29" i="1" s="1"/>
  <c r="BD30" i="1"/>
  <c r="BF30" i="1" s="1"/>
  <c r="BD31" i="1"/>
  <c r="BD32" i="1"/>
  <c r="BD33" i="1"/>
  <c r="BF33" i="1" s="1"/>
  <c r="BD34" i="1"/>
  <c r="BD35" i="1"/>
  <c r="BF35" i="1" s="1"/>
  <c r="BD36" i="1"/>
  <c r="BF36" i="1" s="1"/>
  <c r="BD37" i="1"/>
  <c r="BF37" i="1" s="1"/>
  <c r="BD38" i="1"/>
  <c r="BF38" i="1" s="1"/>
  <c r="BD39" i="1"/>
  <c r="BF39" i="1" s="1"/>
  <c r="BD40" i="1"/>
  <c r="BF40" i="1" s="1"/>
  <c r="BD41" i="1"/>
  <c r="BF41" i="1" s="1"/>
  <c r="BD42" i="1"/>
  <c r="BF42" i="1" s="1"/>
  <c r="BD43" i="1"/>
  <c r="BF43" i="1" s="1"/>
  <c r="BD44" i="1"/>
  <c r="BF44" i="1" s="1"/>
  <c r="BD45" i="1"/>
  <c r="BF45" i="1" s="1"/>
  <c r="BD46" i="1"/>
  <c r="BF46" i="1" s="1"/>
  <c r="BD47" i="1"/>
  <c r="BF47" i="1" s="1"/>
  <c r="BD48" i="1"/>
  <c r="BD49" i="1"/>
  <c r="BF49" i="1" s="1"/>
  <c r="BL343" i="1" l="1"/>
  <c r="BM343" i="1" s="1"/>
  <c r="BL95" i="1"/>
  <c r="BM95" i="1" s="1"/>
  <c r="BN95" i="1" s="1"/>
  <c r="CF375" i="1"/>
  <c r="CF488" i="1"/>
  <c r="CF371" i="1"/>
  <c r="CF484" i="1"/>
  <c r="CF433" i="1"/>
  <c r="CF432" i="1"/>
  <c r="CF169" i="1"/>
  <c r="CF482" i="1"/>
  <c r="CF165" i="1"/>
  <c r="CF478" i="1"/>
  <c r="CC353" i="1"/>
  <c r="CF353" i="1" s="1"/>
  <c r="BS323" i="1"/>
  <c r="BS349" i="1"/>
  <c r="BV133" i="1"/>
  <c r="BW133" i="1" s="1"/>
  <c r="BX133" i="1" s="1"/>
  <c r="CC173" i="1"/>
  <c r="CF173" i="1" s="1"/>
  <c r="CC399" i="1"/>
  <c r="CF399" i="1" s="1"/>
  <c r="BV403" i="1"/>
  <c r="BW403" i="1" s="1"/>
  <c r="BX403" i="1" s="1"/>
  <c r="BS443" i="1"/>
  <c r="BS343" i="1"/>
  <c r="BS461" i="1"/>
  <c r="BY95" i="1"/>
  <c r="CA95" i="1" s="1"/>
  <c r="BV278" i="1"/>
  <c r="BW278" i="1" s="1"/>
  <c r="BX278" i="1" s="1"/>
  <c r="BX66" i="1"/>
  <c r="BV275" i="1"/>
  <c r="BW275" i="1" s="1"/>
  <c r="BX275" i="1" s="1"/>
  <c r="CC429" i="1"/>
  <c r="BY66" i="1"/>
  <c r="CA66" i="1" s="1"/>
  <c r="CC209" i="1"/>
  <c r="CF209" i="1" s="1"/>
  <c r="BS141" i="1"/>
  <c r="BS157" i="1"/>
  <c r="BS217" i="1"/>
  <c r="BS235" i="1"/>
  <c r="BY275" i="1"/>
  <c r="CA275" i="1" s="1"/>
  <c r="BS365" i="1"/>
  <c r="CC253" i="1"/>
  <c r="CF253" i="1" s="1"/>
  <c r="BL335" i="1"/>
  <c r="BM335" i="1" s="1"/>
  <c r="BX335" i="1" s="1"/>
  <c r="BX95" i="1"/>
  <c r="BY323" i="1"/>
  <c r="CA323" i="1" s="1"/>
  <c r="BV353" i="1"/>
  <c r="BW353" i="1" s="1"/>
  <c r="CC447" i="1"/>
  <c r="CF447" i="1" s="1"/>
  <c r="CC249" i="1"/>
  <c r="CF249" i="1" s="1"/>
  <c r="BV399" i="1"/>
  <c r="BW399" i="1" s="1"/>
  <c r="BX399" i="1" s="1"/>
  <c r="BY375" i="1"/>
  <c r="CA375" i="1" s="1"/>
  <c r="BX343" i="1"/>
  <c r="BV437" i="1"/>
  <c r="BW437" i="1" s="1"/>
  <c r="BX437" i="1" s="1"/>
  <c r="BV371" i="1"/>
  <c r="BW371" i="1" s="1"/>
  <c r="BX371" i="1" s="1"/>
  <c r="BS161" i="1"/>
  <c r="BS307" i="1"/>
  <c r="CC273" i="1"/>
  <c r="CF273" i="1" s="1"/>
  <c r="BY238" i="1"/>
  <c r="CA238" i="1" s="1"/>
  <c r="BY239" i="1"/>
  <c r="CA239" i="1" s="1"/>
  <c r="BV233" i="1"/>
  <c r="BW233" i="1" s="1"/>
  <c r="BX233" i="1" s="1"/>
  <c r="BV229" i="1"/>
  <c r="BW229" i="1" s="1"/>
  <c r="BX229" i="1" s="1"/>
  <c r="BV342" i="1"/>
  <c r="BW342" i="1" s="1"/>
  <c r="BX342" i="1" s="1"/>
  <c r="BV94" i="1"/>
  <c r="BW94" i="1" s="1"/>
  <c r="BX94" i="1" s="1"/>
  <c r="BV379" i="1"/>
  <c r="BW379" i="1" s="1"/>
  <c r="BX379" i="1" s="1"/>
  <c r="BV369" i="1"/>
  <c r="BW369" i="1" s="1"/>
  <c r="BX369" i="1" s="1"/>
  <c r="BV383" i="1"/>
  <c r="BW383" i="1" s="1"/>
  <c r="BY383" i="1" s="1"/>
  <c r="CA383" i="1" s="1"/>
  <c r="BV165" i="1"/>
  <c r="BW165" i="1" s="1"/>
  <c r="BL165" i="1"/>
  <c r="BM165" i="1" s="1"/>
  <c r="BS355" i="1"/>
  <c r="CC355" i="1"/>
  <c r="CF355" i="1" s="1"/>
  <c r="BX239" i="1"/>
  <c r="BV395" i="1"/>
  <c r="BW395" i="1" s="1"/>
  <c r="BX395" i="1" s="1"/>
  <c r="BV433" i="1"/>
  <c r="BW433" i="1" s="1"/>
  <c r="BX433" i="1" s="1"/>
  <c r="BV446" i="1"/>
  <c r="BW446" i="1" s="1"/>
  <c r="BX446" i="1" s="1"/>
  <c r="BY205" i="1"/>
  <c r="CA205" i="1" s="1"/>
  <c r="BV331" i="1"/>
  <c r="BW331" i="1" s="1"/>
  <c r="BX331" i="1" s="1"/>
  <c r="BL365" i="1"/>
  <c r="BM365" i="1" s="1"/>
  <c r="BN365" i="1" s="1"/>
  <c r="BY365" i="1" s="1"/>
  <c r="CA365" i="1" s="1"/>
  <c r="BS403" i="1"/>
  <c r="BS395" i="1"/>
  <c r="BV393" i="1"/>
  <c r="BW393" i="1" s="1"/>
  <c r="BX393" i="1" s="1"/>
  <c r="BN278" i="1"/>
  <c r="BS275" i="1"/>
  <c r="BN299" i="1"/>
  <c r="BY299" i="1" s="1"/>
  <c r="CA299" i="1" s="1"/>
  <c r="BY73" i="1"/>
  <c r="CA73" i="1" s="1"/>
  <c r="CC213" i="1"/>
  <c r="CF213" i="1" s="1"/>
  <c r="BS213" i="1"/>
  <c r="CC453" i="1"/>
  <c r="CF453" i="1" s="1"/>
  <c r="BS453" i="1"/>
  <c r="BS441" i="1"/>
  <c r="CC441" i="1"/>
  <c r="CF441" i="1" s="1"/>
  <c r="BY137" i="1"/>
  <c r="CA137" i="1" s="1"/>
  <c r="BV273" i="1"/>
  <c r="BW273" i="1" s="1"/>
  <c r="BS73" i="1"/>
  <c r="CC73" i="1"/>
  <c r="CF73" i="1" s="1"/>
  <c r="BV169" i="1"/>
  <c r="BW169" i="1" s="1"/>
  <c r="BL169" i="1"/>
  <c r="BM169" i="1" s="1"/>
  <c r="BS383" i="1"/>
  <c r="BS437" i="1"/>
  <c r="CC437" i="1"/>
  <c r="CF437" i="1" s="1"/>
  <c r="CC297" i="1"/>
  <c r="CF297" i="1" s="1"/>
  <c r="BS297" i="1"/>
  <c r="BV198" i="1"/>
  <c r="BW198" i="1" s="1"/>
  <c r="BX198" i="1" s="1"/>
  <c r="CC261" i="1"/>
  <c r="CF261" i="1" s="1"/>
  <c r="BS261" i="1"/>
  <c r="BY243" i="1"/>
  <c r="CA243" i="1" s="1"/>
  <c r="BS269" i="1"/>
  <c r="BL273" i="1"/>
  <c r="BM273" i="1" s="1"/>
  <c r="BS393" i="1"/>
  <c r="CC393" i="1"/>
  <c r="CF393" i="1" s="1"/>
  <c r="BY67" i="1"/>
  <c r="CA67" i="1" s="1"/>
  <c r="BY443" i="1"/>
  <c r="CA443" i="1" s="1"/>
  <c r="BN446" i="1"/>
  <c r="BS457" i="1"/>
  <c r="CC265" i="1"/>
  <c r="CF265" i="1" s="1"/>
  <c r="BS265" i="1"/>
  <c r="BV355" i="1"/>
  <c r="BW355" i="1" s="1"/>
  <c r="BX355" i="1" s="1"/>
  <c r="BV306" i="1"/>
  <c r="BW306" i="1" s="1"/>
  <c r="BX306" i="1" s="1"/>
  <c r="CC389" i="1"/>
  <c r="CF389" i="1" s="1"/>
  <c r="BS389" i="1"/>
  <c r="BN343" i="1"/>
  <c r="BY343" i="1" s="1"/>
  <c r="CA343" i="1" s="1"/>
  <c r="BS433" i="1"/>
  <c r="CC293" i="1"/>
  <c r="CF293" i="1" s="1"/>
  <c r="BS293" i="1"/>
  <c r="BV90" i="1"/>
  <c r="BW90" i="1" s="1"/>
  <c r="BX90" i="1" s="1"/>
  <c r="BY339" i="1"/>
  <c r="CA339" i="1" s="1"/>
  <c r="BY195" i="1"/>
  <c r="CA195" i="1" s="1"/>
  <c r="BL421" i="1"/>
  <c r="BM421" i="1" s="1"/>
  <c r="BV421" i="1"/>
  <c r="BW421" i="1" s="1"/>
  <c r="BX73" i="1"/>
  <c r="BS421" i="1"/>
  <c r="CC421" i="1"/>
  <c r="CF421" i="1" s="1"/>
  <c r="BV177" i="1"/>
  <c r="BW177" i="1" s="1"/>
  <c r="BL177" i="1"/>
  <c r="BM177" i="1" s="1"/>
  <c r="BV209" i="1"/>
  <c r="BW209" i="1" s="1"/>
  <c r="BL209" i="1"/>
  <c r="BM209" i="1" s="1"/>
  <c r="BP289" i="1"/>
  <c r="BQ289" i="1" s="1"/>
  <c r="BR289" i="1" s="1"/>
  <c r="BK289" i="1"/>
  <c r="BV457" i="1"/>
  <c r="BW457" i="1" s="1"/>
  <c r="BX457" i="1" s="1"/>
  <c r="BX173" i="1"/>
  <c r="BN173" i="1"/>
  <c r="BY173" i="1" s="1"/>
  <c r="CA173" i="1" s="1"/>
  <c r="BP153" i="1"/>
  <c r="BQ153" i="1" s="1"/>
  <c r="BR153" i="1" s="1"/>
  <c r="BK153" i="1"/>
  <c r="BY213" i="1"/>
  <c r="CA213" i="1" s="1"/>
  <c r="BY253" i="1"/>
  <c r="CA253" i="1" s="1"/>
  <c r="BP193" i="1"/>
  <c r="BQ193" i="1" s="1"/>
  <c r="BR193" i="1" s="1"/>
  <c r="BK193" i="1"/>
  <c r="BL141" i="1"/>
  <c r="BM141" i="1" s="1"/>
  <c r="BV141" i="1"/>
  <c r="BW141" i="1" s="1"/>
  <c r="BV269" i="1"/>
  <c r="BW269" i="1" s="1"/>
  <c r="BP285" i="1"/>
  <c r="BQ285" i="1" s="1"/>
  <c r="BR285" i="1" s="1"/>
  <c r="BK285" i="1"/>
  <c r="BP149" i="1"/>
  <c r="BQ149" i="1" s="1"/>
  <c r="BR149" i="1" s="1"/>
  <c r="BK149" i="1"/>
  <c r="BP425" i="1"/>
  <c r="BQ425" i="1" s="1"/>
  <c r="BR425" i="1" s="1"/>
  <c r="BK425" i="1"/>
  <c r="BP145" i="1"/>
  <c r="BQ145" i="1" s="1"/>
  <c r="BR145" i="1" s="1"/>
  <c r="BK145" i="1"/>
  <c r="BP189" i="1"/>
  <c r="BQ189" i="1" s="1"/>
  <c r="BR189" i="1" s="1"/>
  <c r="BK189" i="1"/>
  <c r="BS464" i="1"/>
  <c r="CC464" i="1"/>
  <c r="CF464" i="1" s="1"/>
  <c r="BV462" i="1"/>
  <c r="BW462" i="1" s="1"/>
  <c r="BL462" i="1"/>
  <c r="BM462" i="1" s="1"/>
  <c r="CC458" i="1"/>
  <c r="CF458" i="1" s="1"/>
  <c r="BS458" i="1"/>
  <c r="BX465" i="1"/>
  <c r="BN465" i="1"/>
  <c r="BY465" i="1" s="1"/>
  <c r="CA465" i="1" s="1"/>
  <c r="CC462" i="1"/>
  <c r="CF462" i="1" s="1"/>
  <c r="BS462" i="1"/>
  <c r="BV458" i="1"/>
  <c r="BW458" i="1" s="1"/>
  <c r="BL458" i="1"/>
  <c r="BM458" i="1" s="1"/>
  <c r="BX461" i="1"/>
  <c r="BY461" i="1"/>
  <c r="CA461" i="1" s="1"/>
  <c r="BK463" i="1"/>
  <c r="BP463" i="1"/>
  <c r="BQ463" i="1" s="1"/>
  <c r="BR463" i="1" s="1"/>
  <c r="BV460" i="1"/>
  <c r="BW460" i="1" s="1"/>
  <c r="BL460" i="1"/>
  <c r="BM460" i="1" s="1"/>
  <c r="BK459" i="1"/>
  <c r="BP459" i="1"/>
  <c r="BQ459" i="1" s="1"/>
  <c r="BR459" i="1" s="1"/>
  <c r="BL464" i="1"/>
  <c r="BM464" i="1" s="1"/>
  <c r="BV464" i="1"/>
  <c r="BW464" i="1" s="1"/>
  <c r="BS460" i="1"/>
  <c r="CC460" i="1"/>
  <c r="CF460" i="1" s="1"/>
  <c r="CC454" i="1"/>
  <c r="CF454" i="1" s="1"/>
  <c r="BS454" i="1"/>
  <c r="BK451" i="1"/>
  <c r="BP451" i="1"/>
  <c r="BQ451" i="1" s="1"/>
  <c r="BR451" i="1" s="1"/>
  <c r="BK455" i="1"/>
  <c r="BP455" i="1"/>
  <c r="BQ455" i="1" s="1"/>
  <c r="BR455" i="1" s="1"/>
  <c r="BV454" i="1"/>
  <c r="BW454" i="1" s="1"/>
  <c r="BL454" i="1"/>
  <c r="BM454" i="1" s="1"/>
  <c r="BX453" i="1"/>
  <c r="BN453" i="1"/>
  <c r="BY453" i="1" s="1"/>
  <c r="CA453" i="1" s="1"/>
  <c r="BK450" i="1"/>
  <c r="BP450" i="1"/>
  <c r="BQ450" i="1" s="1"/>
  <c r="BR450" i="1" s="1"/>
  <c r="BP452" i="1"/>
  <c r="BQ452" i="1" s="1"/>
  <c r="BR452" i="1" s="1"/>
  <c r="BK452" i="1"/>
  <c r="BP456" i="1"/>
  <c r="BQ456" i="1" s="1"/>
  <c r="BR456" i="1" s="1"/>
  <c r="BK456" i="1"/>
  <c r="CC444" i="1"/>
  <c r="CF444" i="1" s="1"/>
  <c r="BS444" i="1"/>
  <c r="BV444" i="1"/>
  <c r="BW444" i="1" s="1"/>
  <c r="BL444" i="1"/>
  <c r="BM444" i="1" s="1"/>
  <c r="BV448" i="1"/>
  <c r="BW448" i="1" s="1"/>
  <c r="BL448" i="1"/>
  <c r="BM448" i="1" s="1"/>
  <c r="CC442" i="1"/>
  <c r="CF442" i="1" s="1"/>
  <c r="BS442" i="1"/>
  <c r="BX447" i="1"/>
  <c r="BN447" i="1"/>
  <c r="BY447" i="1" s="1"/>
  <c r="CA447" i="1" s="1"/>
  <c r="BL442" i="1"/>
  <c r="BM442" i="1" s="1"/>
  <c r="BV442" i="1"/>
  <c r="BW442" i="1" s="1"/>
  <c r="BP445" i="1"/>
  <c r="BQ445" i="1" s="1"/>
  <c r="BR445" i="1" s="1"/>
  <c r="BK445" i="1"/>
  <c r="CC448" i="1"/>
  <c r="CF448" i="1" s="1"/>
  <c r="BS448" i="1"/>
  <c r="BP449" i="1"/>
  <c r="BQ449" i="1" s="1"/>
  <c r="BR449" i="1" s="1"/>
  <c r="BK449" i="1"/>
  <c r="BX443" i="1"/>
  <c r="BV428" i="1"/>
  <c r="BW428" i="1" s="1"/>
  <c r="BL428" i="1"/>
  <c r="BM428" i="1" s="1"/>
  <c r="BV440" i="1"/>
  <c r="BW440" i="1" s="1"/>
  <c r="BL440" i="1"/>
  <c r="BM440" i="1" s="1"/>
  <c r="CC428" i="1"/>
  <c r="BS428" i="1"/>
  <c r="CC440" i="1"/>
  <c r="CF440" i="1" s="1"/>
  <c r="BS440" i="1"/>
  <c r="BK427" i="1"/>
  <c r="BP427" i="1"/>
  <c r="BQ427" i="1" s="1"/>
  <c r="BR427" i="1" s="1"/>
  <c r="CC434" i="1"/>
  <c r="CF434" i="1" s="1"/>
  <c r="BS434" i="1"/>
  <c r="BV436" i="1"/>
  <c r="BW436" i="1" s="1"/>
  <c r="BL436" i="1"/>
  <c r="BM436" i="1" s="1"/>
  <c r="BK439" i="1"/>
  <c r="BP439" i="1"/>
  <c r="BQ439" i="1" s="1"/>
  <c r="BR439" i="1" s="1"/>
  <c r="BV432" i="1"/>
  <c r="BW432" i="1" s="1"/>
  <c r="BL432" i="1"/>
  <c r="BM432" i="1" s="1"/>
  <c r="BV434" i="1"/>
  <c r="BW434" i="1" s="1"/>
  <c r="BL434" i="1"/>
  <c r="BM434" i="1" s="1"/>
  <c r="BK431" i="1"/>
  <c r="BP431" i="1"/>
  <c r="BQ431" i="1" s="1"/>
  <c r="BR431" i="1" s="1"/>
  <c r="BX429" i="1"/>
  <c r="BN429" i="1"/>
  <c r="BY429" i="1" s="1"/>
  <c r="CA429" i="1" s="1"/>
  <c r="BS432" i="1"/>
  <c r="CC430" i="1"/>
  <c r="BS430" i="1"/>
  <c r="CC438" i="1"/>
  <c r="CF438" i="1" s="1"/>
  <c r="BS438" i="1"/>
  <c r="BX441" i="1"/>
  <c r="BN441" i="1"/>
  <c r="BY441" i="1" s="1"/>
  <c r="CA441" i="1" s="1"/>
  <c r="BK435" i="1"/>
  <c r="BP435" i="1"/>
  <c r="BQ435" i="1" s="1"/>
  <c r="BR435" i="1" s="1"/>
  <c r="CC436" i="1"/>
  <c r="CF436" i="1" s="1"/>
  <c r="BS436" i="1"/>
  <c r="BV430" i="1"/>
  <c r="BW430" i="1" s="1"/>
  <c r="BL430" i="1"/>
  <c r="BM430" i="1" s="1"/>
  <c r="BV438" i="1"/>
  <c r="BW438" i="1" s="1"/>
  <c r="BL438" i="1"/>
  <c r="BM438" i="1" s="1"/>
  <c r="CC426" i="1"/>
  <c r="BS426" i="1"/>
  <c r="BN433" i="1"/>
  <c r="BV426" i="1"/>
  <c r="BW426" i="1" s="1"/>
  <c r="BL426" i="1"/>
  <c r="BM426" i="1" s="1"/>
  <c r="BV418" i="1"/>
  <c r="BW418" i="1" s="1"/>
  <c r="BL418" i="1"/>
  <c r="BM418" i="1" s="1"/>
  <c r="BL420" i="1"/>
  <c r="BM420" i="1" s="1"/>
  <c r="BV420" i="1"/>
  <c r="BW420" i="1" s="1"/>
  <c r="BL424" i="1"/>
  <c r="BM424" i="1" s="1"/>
  <c r="BV424" i="1"/>
  <c r="BW424" i="1" s="1"/>
  <c r="CC420" i="1"/>
  <c r="CF420" i="1" s="1"/>
  <c r="BS420" i="1"/>
  <c r="CC424" i="1"/>
  <c r="CF424" i="1" s="1"/>
  <c r="BS424" i="1"/>
  <c r="CC422" i="1"/>
  <c r="CF422" i="1" s="1"/>
  <c r="BS422" i="1"/>
  <c r="BK419" i="1"/>
  <c r="BP419" i="1"/>
  <c r="BQ419" i="1" s="1"/>
  <c r="BR419" i="1" s="1"/>
  <c r="BV422" i="1"/>
  <c r="BW422" i="1" s="1"/>
  <c r="BL422" i="1"/>
  <c r="BM422" i="1" s="1"/>
  <c r="CC418" i="1"/>
  <c r="CF418" i="1" s="1"/>
  <c r="BS418" i="1"/>
  <c r="BK423" i="1"/>
  <c r="BP423" i="1"/>
  <c r="BQ423" i="1" s="1"/>
  <c r="BR423" i="1" s="1"/>
  <c r="CC410" i="1"/>
  <c r="CF410" i="1" s="1"/>
  <c r="BS410" i="1"/>
  <c r="BL416" i="1"/>
  <c r="BM416" i="1" s="1"/>
  <c r="BV416" i="1"/>
  <c r="BW416" i="1" s="1"/>
  <c r="CC416" i="1"/>
  <c r="CF416" i="1" s="1"/>
  <c r="BS416" i="1"/>
  <c r="CC414" i="1"/>
  <c r="CF414" i="1" s="1"/>
  <c r="BS414" i="1"/>
  <c r="BV414" i="1"/>
  <c r="BW414" i="1" s="1"/>
  <c r="BL414" i="1"/>
  <c r="BM414" i="1" s="1"/>
  <c r="BV410" i="1"/>
  <c r="BW410" i="1" s="1"/>
  <c r="BL410" i="1"/>
  <c r="BM410" i="1" s="1"/>
  <c r="BP413" i="1"/>
  <c r="BQ413" i="1" s="1"/>
  <c r="BR413" i="1" s="1"/>
  <c r="BK413" i="1"/>
  <c r="BK415" i="1"/>
  <c r="BP415" i="1"/>
  <c r="BQ415" i="1" s="1"/>
  <c r="BR415" i="1" s="1"/>
  <c r="BP417" i="1"/>
  <c r="BQ417" i="1" s="1"/>
  <c r="BR417" i="1" s="1"/>
  <c r="BK417" i="1"/>
  <c r="BV412" i="1"/>
  <c r="BW412" i="1" s="1"/>
  <c r="BL412" i="1"/>
  <c r="BM412" i="1" s="1"/>
  <c r="BK411" i="1"/>
  <c r="BP411" i="1"/>
  <c r="BQ411" i="1" s="1"/>
  <c r="BR411" i="1" s="1"/>
  <c r="CC412" i="1"/>
  <c r="CF412" i="1" s="1"/>
  <c r="BS412" i="1"/>
  <c r="CC408" i="1"/>
  <c r="CF408" i="1" s="1"/>
  <c r="BS408" i="1"/>
  <c r="BN399" i="1"/>
  <c r="BP397" i="1"/>
  <c r="BQ397" i="1" s="1"/>
  <c r="BR397" i="1" s="1"/>
  <c r="BK397" i="1"/>
  <c r="BP409" i="1"/>
  <c r="BQ409" i="1" s="1"/>
  <c r="BR409" i="1" s="1"/>
  <c r="BK409" i="1"/>
  <c r="BK394" i="1"/>
  <c r="BP394" i="1"/>
  <c r="BQ394" i="1" s="1"/>
  <c r="BR394" i="1" s="1"/>
  <c r="BV400" i="1"/>
  <c r="BW400" i="1" s="1"/>
  <c r="BL400" i="1"/>
  <c r="BM400" i="1" s="1"/>
  <c r="CC404" i="1"/>
  <c r="CF404" i="1" s="1"/>
  <c r="BS404" i="1"/>
  <c r="CC396" i="1"/>
  <c r="CF396" i="1" s="1"/>
  <c r="BS396" i="1"/>
  <c r="CC400" i="1"/>
  <c r="CF400" i="1" s="1"/>
  <c r="BS400" i="1"/>
  <c r="BX407" i="1"/>
  <c r="BP405" i="1"/>
  <c r="BQ405" i="1" s="1"/>
  <c r="BR405" i="1" s="1"/>
  <c r="BK405" i="1"/>
  <c r="BP401" i="1"/>
  <c r="BQ401" i="1" s="1"/>
  <c r="BR401" i="1" s="1"/>
  <c r="BK401" i="1"/>
  <c r="BV408" i="1"/>
  <c r="BW408" i="1" s="1"/>
  <c r="BL408" i="1"/>
  <c r="BM408" i="1" s="1"/>
  <c r="CC406" i="1"/>
  <c r="CF406" i="1" s="1"/>
  <c r="BS406" i="1"/>
  <c r="BN403" i="1"/>
  <c r="CC402" i="1"/>
  <c r="CF402" i="1" s="1"/>
  <c r="BS402" i="1"/>
  <c r="CC398" i="1"/>
  <c r="CF398" i="1" s="1"/>
  <c r="BS398" i="1"/>
  <c r="BV396" i="1"/>
  <c r="BW396" i="1" s="1"/>
  <c r="BL396" i="1"/>
  <c r="BM396" i="1" s="1"/>
  <c r="BY407" i="1"/>
  <c r="CA407" i="1" s="1"/>
  <c r="BV406" i="1"/>
  <c r="BW406" i="1" s="1"/>
  <c r="BL406" i="1"/>
  <c r="BM406" i="1" s="1"/>
  <c r="BV404" i="1"/>
  <c r="BW404" i="1" s="1"/>
  <c r="BL404" i="1"/>
  <c r="BM404" i="1" s="1"/>
  <c r="BV402" i="1"/>
  <c r="BW402" i="1" s="1"/>
  <c r="BL402" i="1"/>
  <c r="BM402" i="1" s="1"/>
  <c r="BV398" i="1"/>
  <c r="BW398" i="1" s="1"/>
  <c r="BL398" i="1"/>
  <c r="BM398" i="1" s="1"/>
  <c r="CC390" i="1"/>
  <c r="CF390" i="1" s="1"/>
  <c r="BS390" i="1"/>
  <c r="BV392" i="1"/>
  <c r="BW392" i="1" s="1"/>
  <c r="BL392" i="1"/>
  <c r="BM392" i="1" s="1"/>
  <c r="BV390" i="1"/>
  <c r="BW390" i="1" s="1"/>
  <c r="BL390" i="1"/>
  <c r="BM390" i="1" s="1"/>
  <c r="CC392" i="1"/>
  <c r="CF392" i="1" s="1"/>
  <c r="BS392" i="1"/>
  <c r="CC386" i="1"/>
  <c r="CF386" i="1" s="1"/>
  <c r="BS386" i="1"/>
  <c r="BV386" i="1"/>
  <c r="BW386" i="1" s="1"/>
  <c r="BL386" i="1"/>
  <c r="BM386" i="1" s="1"/>
  <c r="BN393" i="1"/>
  <c r="BX389" i="1"/>
  <c r="BN389" i="1"/>
  <c r="BY389" i="1" s="1"/>
  <c r="CA389" i="1" s="1"/>
  <c r="BV388" i="1"/>
  <c r="BW388" i="1" s="1"/>
  <c r="BL388" i="1"/>
  <c r="BM388" i="1" s="1"/>
  <c r="CC388" i="1"/>
  <c r="CF388" i="1" s="1"/>
  <c r="BS388" i="1"/>
  <c r="BK391" i="1"/>
  <c r="BP391" i="1"/>
  <c r="BQ391" i="1" s="1"/>
  <c r="BR391" i="1" s="1"/>
  <c r="BK387" i="1"/>
  <c r="BP387" i="1"/>
  <c r="BQ387" i="1" s="1"/>
  <c r="BR387" i="1" s="1"/>
  <c r="BL378" i="1"/>
  <c r="BM378" i="1" s="1"/>
  <c r="BV378" i="1"/>
  <c r="BW378" i="1" s="1"/>
  <c r="BV372" i="1"/>
  <c r="BW372" i="1" s="1"/>
  <c r="BL372" i="1"/>
  <c r="BM372" i="1" s="1"/>
  <c r="CC378" i="1"/>
  <c r="CF378" i="1" s="1"/>
  <c r="BS378" i="1"/>
  <c r="BV376" i="1"/>
  <c r="BW376" i="1" s="1"/>
  <c r="BL376" i="1"/>
  <c r="BM376" i="1" s="1"/>
  <c r="BK370" i="1"/>
  <c r="BP370" i="1"/>
  <c r="BQ370" i="1" s="1"/>
  <c r="BR370" i="1" s="1"/>
  <c r="CC380" i="1"/>
  <c r="CF380" i="1" s="1"/>
  <c r="BS380" i="1"/>
  <c r="CC372" i="1"/>
  <c r="BS372" i="1"/>
  <c r="BV373" i="1"/>
  <c r="BW373" i="1" s="1"/>
  <c r="BL373" i="1"/>
  <c r="BM373" i="1" s="1"/>
  <c r="BL380" i="1"/>
  <c r="BM380" i="1" s="1"/>
  <c r="BV380" i="1"/>
  <c r="BW380" i="1" s="1"/>
  <c r="CC374" i="1"/>
  <c r="BS374" i="1"/>
  <c r="BL374" i="1"/>
  <c r="BM374" i="1" s="1"/>
  <c r="BV374" i="1"/>
  <c r="BW374" i="1" s="1"/>
  <c r="CC376" i="1"/>
  <c r="BS376" i="1"/>
  <c r="CC384" i="1"/>
  <c r="CF384" i="1" s="1"/>
  <c r="BS384" i="1"/>
  <c r="CC382" i="1"/>
  <c r="CF382" i="1" s="1"/>
  <c r="BS382" i="1"/>
  <c r="BV382" i="1"/>
  <c r="BW382" i="1" s="1"/>
  <c r="BL382" i="1"/>
  <c r="BM382" i="1" s="1"/>
  <c r="BV381" i="1"/>
  <c r="BW381" i="1" s="1"/>
  <c r="BL381" i="1"/>
  <c r="BM381" i="1" s="1"/>
  <c r="BP385" i="1"/>
  <c r="BQ385" i="1" s="1"/>
  <c r="BR385" i="1" s="1"/>
  <c r="BK385" i="1"/>
  <c r="BV377" i="1"/>
  <c r="BW377" i="1" s="1"/>
  <c r="BL377" i="1"/>
  <c r="BM377" i="1" s="1"/>
  <c r="BV384" i="1"/>
  <c r="BW384" i="1" s="1"/>
  <c r="BL384" i="1"/>
  <c r="BM384" i="1" s="1"/>
  <c r="CC373" i="1"/>
  <c r="BS373" i="1"/>
  <c r="CC381" i="1"/>
  <c r="CF381" i="1" s="1"/>
  <c r="BS381" i="1"/>
  <c r="CC377" i="1"/>
  <c r="BS377" i="1"/>
  <c r="CC366" i="1"/>
  <c r="CF366" i="1" s="1"/>
  <c r="BS366" i="1"/>
  <c r="CC364" i="1"/>
  <c r="CF364" i="1" s="1"/>
  <c r="BS364" i="1"/>
  <c r="BV366" i="1"/>
  <c r="BW366" i="1" s="1"/>
  <c r="BL366" i="1"/>
  <c r="BM366" i="1" s="1"/>
  <c r="BV368" i="1"/>
  <c r="BW368" i="1" s="1"/>
  <c r="BL368" i="1"/>
  <c r="BM368" i="1" s="1"/>
  <c r="BV364" i="1"/>
  <c r="BW364" i="1" s="1"/>
  <c r="BL364" i="1"/>
  <c r="BM364" i="1" s="1"/>
  <c r="BK362" i="1"/>
  <c r="BP362" i="1"/>
  <c r="BQ362" i="1" s="1"/>
  <c r="BR362" i="1" s="1"/>
  <c r="BK363" i="1"/>
  <c r="BP363" i="1"/>
  <c r="BQ363" i="1" s="1"/>
  <c r="BR363" i="1" s="1"/>
  <c r="BN369" i="1"/>
  <c r="CC368" i="1"/>
  <c r="CF368" i="1" s="1"/>
  <c r="BS368" i="1"/>
  <c r="BK367" i="1"/>
  <c r="BP367" i="1"/>
  <c r="BQ367" i="1" s="1"/>
  <c r="BR367" i="1" s="1"/>
  <c r="BL359" i="1"/>
  <c r="BM359" i="1" s="1"/>
  <c r="BV359" i="1"/>
  <c r="BW359" i="1" s="1"/>
  <c r="BL356" i="1"/>
  <c r="BM356" i="1" s="1"/>
  <c r="BV356" i="1"/>
  <c r="BW356" i="1" s="1"/>
  <c r="BV360" i="1"/>
  <c r="BW360" i="1" s="1"/>
  <c r="BL360" i="1"/>
  <c r="BM360" i="1" s="1"/>
  <c r="BS358" i="1"/>
  <c r="CC358" i="1"/>
  <c r="CF358" i="1" s="1"/>
  <c r="CC356" i="1"/>
  <c r="CF356" i="1" s="1"/>
  <c r="BS356" i="1"/>
  <c r="CC360" i="1"/>
  <c r="CF360" i="1" s="1"/>
  <c r="BS360" i="1"/>
  <c r="BL358" i="1"/>
  <c r="BM358" i="1" s="1"/>
  <c r="BV358" i="1"/>
  <c r="BW358" i="1" s="1"/>
  <c r="BN355" i="1"/>
  <c r="BP357" i="1"/>
  <c r="BQ357" i="1" s="1"/>
  <c r="BR357" i="1" s="1"/>
  <c r="BK357" i="1"/>
  <c r="BS354" i="1"/>
  <c r="CC354" i="1"/>
  <c r="CF354" i="1" s="1"/>
  <c r="BV354" i="1"/>
  <c r="BW354" i="1" s="1"/>
  <c r="BL354" i="1"/>
  <c r="BM354" i="1" s="1"/>
  <c r="BP361" i="1"/>
  <c r="BQ361" i="1" s="1"/>
  <c r="BR361" i="1" s="1"/>
  <c r="BK361" i="1"/>
  <c r="CC359" i="1"/>
  <c r="CF359" i="1" s="1"/>
  <c r="BS359" i="1"/>
  <c r="BN353" i="1"/>
  <c r="BX353" i="1"/>
  <c r="BN349" i="1"/>
  <c r="BY349" i="1" s="1"/>
  <c r="CA349" i="1" s="1"/>
  <c r="BX349" i="1"/>
  <c r="CC352" i="1"/>
  <c r="CF352" i="1" s="1"/>
  <c r="BS352" i="1"/>
  <c r="BK351" i="1"/>
  <c r="BP351" i="1"/>
  <c r="BQ351" i="1" s="1"/>
  <c r="BR351" i="1" s="1"/>
  <c r="BS347" i="1"/>
  <c r="CC347" i="1"/>
  <c r="CF347" i="1" s="1"/>
  <c r="BL347" i="1"/>
  <c r="BM347" i="1" s="1"/>
  <c r="BV347" i="1"/>
  <c r="BW347" i="1" s="1"/>
  <c r="BV346" i="1"/>
  <c r="BW346" i="1" s="1"/>
  <c r="BL346" i="1"/>
  <c r="BM346" i="1" s="1"/>
  <c r="BL350" i="1"/>
  <c r="BM350" i="1" s="1"/>
  <c r="BV350" i="1"/>
  <c r="BW350" i="1" s="1"/>
  <c r="CC350" i="1"/>
  <c r="CF350" i="1" s="1"/>
  <c r="BS350" i="1"/>
  <c r="CC348" i="1"/>
  <c r="CF348" i="1" s="1"/>
  <c r="BS348" i="1"/>
  <c r="BV352" i="1"/>
  <c r="BW352" i="1" s="1"/>
  <c r="BL352" i="1"/>
  <c r="BM352" i="1" s="1"/>
  <c r="CC346" i="1"/>
  <c r="CF346" i="1" s="1"/>
  <c r="BS346" i="1"/>
  <c r="BV348" i="1"/>
  <c r="BW348" i="1" s="1"/>
  <c r="BL348" i="1"/>
  <c r="BM348" i="1" s="1"/>
  <c r="BP341" i="1"/>
  <c r="BQ341" i="1" s="1"/>
  <c r="BR341" i="1" s="1"/>
  <c r="BK341" i="1"/>
  <c r="CC338" i="1"/>
  <c r="CF338" i="1" s="1"/>
  <c r="BS338" i="1"/>
  <c r="CC344" i="1"/>
  <c r="CF344" i="1" s="1"/>
  <c r="BS344" i="1"/>
  <c r="BV338" i="1"/>
  <c r="BW338" i="1" s="1"/>
  <c r="BL338" i="1"/>
  <c r="BM338" i="1" s="1"/>
  <c r="BV344" i="1"/>
  <c r="BW344" i="1" s="1"/>
  <c r="BL344" i="1"/>
  <c r="BM344" i="1" s="1"/>
  <c r="BV340" i="1"/>
  <c r="BW340" i="1" s="1"/>
  <c r="BL340" i="1"/>
  <c r="BM340" i="1" s="1"/>
  <c r="BP345" i="1"/>
  <c r="BQ345" i="1" s="1"/>
  <c r="BR345" i="1" s="1"/>
  <c r="BK345" i="1"/>
  <c r="CC340" i="1"/>
  <c r="CF340" i="1" s="1"/>
  <c r="BS340" i="1"/>
  <c r="BV336" i="1"/>
  <c r="BW336" i="1" s="1"/>
  <c r="BL336" i="1"/>
  <c r="BM336" i="1" s="1"/>
  <c r="CC336" i="1"/>
  <c r="CF336" i="1" s="1"/>
  <c r="BS336" i="1"/>
  <c r="BN335" i="1"/>
  <c r="BY335" i="1" s="1"/>
  <c r="CA335" i="1" s="1"/>
  <c r="BK334" i="1"/>
  <c r="BP334" i="1"/>
  <c r="BQ334" i="1" s="1"/>
  <c r="BR334" i="1" s="1"/>
  <c r="BP337" i="1"/>
  <c r="BQ337" i="1" s="1"/>
  <c r="BR337" i="1" s="1"/>
  <c r="BK337" i="1"/>
  <c r="BP333" i="1"/>
  <c r="BQ333" i="1" s="1"/>
  <c r="BR333" i="1" s="1"/>
  <c r="BK333" i="1"/>
  <c r="BV332" i="1"/>
  <c r="BW332" i="1" s="1"/>
  <c r="BL332" i="1"/>
  <c r="BM332" i="1" s="1"/>
  <c r="CC332" i="1"/>
  <c r="CF332" i="1" s="1"/>
  <c r="BS332" i="1"/>
  <c r="BK330" i="1"/>
  <c r="BP330" i="1"/>
  <c r="BQ330" i="1" s="1"/>
  <c r="BR330" i="1" s="1"/>
  <c r="BV322" i="1"/>
  <c r="BW322" i="1" s="1"/>
  <c r="BL322" i="1"/>
  <c r="BM322" i="1" s="1"/>
  <c r="BV324" i="1"/>
  <c r="BW324" i="1" s="1"/>
  <c r="BL324" i="1"/>
  <c r="BM324" i="1" s="1"/>
  <c r="BL328" i="1"/>
  <c r="BM328" i="1" s="1"/>
  <c r="BV328" i="1"/>
  <c r="BW328" i="1" s="1"/>
  <c r="CC324" i="1"/>
  <c r="CF324" i="1" s="1"/>
  <c r="BS324" i="1"/>
  <c r="CC328" i="1"/>
  <c r="CF328" i="1" s="1"/>
  <c r="BS328" i="1"/>
  <c r="CC326" i="1"/>
  <c r="CF326" i="1" s="1"/>
  <c r="BS326" i="1"/>
  <c r="BY327" i="1"/>
  <c r="CA327" i="1" s="1"/>
  <c r="BL326" i="1"/>
  <c r="BM326" i="1" s="1"/>
  <c r="BV326" i="1"/>
  <c r="BW326" i="1" s="1"/>
  <c r="BP325" i="1"/>
  <c r="BQ325" i="1" s="1"/>
  <c r="BR325" i="1" s="1"/>
  <c r="BK325" i="1"/>
  <c r="CC322" i="1"/>
  <c r="CF322" i="1" s="1"/>
  <c r="BS322" i="1"/>
  <c r="BP329" i="1"/>
  <c r="BQ329" i="1" s="1"/>
  <c r="BR329" i="1" s="1"/>
  <c r="BK329" i="1"/>
  <c r="BS320" i="1"/>
  <c r="CC320" i="1"/>
  <c r="CF320" i="1" s="1"/>
  <c r="BL318" i="1"/>
  <c r="BM318" i="1" s="1"/>
  <c r="BV318" i="1"/>
  <c r="BW318" i="1" s="1"/>
  <c r="CC314" i="1"/>
  <c r="CF314" i="1" s="1"/>
  <c r="BS314" i="1"/>
  <c r="BS315" i="1"/>
  <c r="CC315" i="1"/>
  <c r="CF315" i="1" s="1"/>
  <c r="BL315" i="1"/>
  <c r="BM315" i="1" s="1"/>
  <c r="BV315" i="1"/>
  <c r="BW315" i="1" s="1"/>
  <c r="CC316" i="1"/>
  <c r="CF316" i="1" s="1"/>
  <c r="BS316" i="1"/>
  <c r="BV314" i="1"/>
  <c r="BW314" i="1" s="1"/>
  <c r="BL314" i="1"/>
  <c r="BM314" i="1" s="1"/>
  <c r="BV320" i="1"/>
  <c r="BW320" i="1" s="1"/>
  <c r="BL320" i="1"/>
  <c r="BM320" i="1" s="1"/>
  <c r="BV316" i="1"/>
  <c r="BW316" i="1" s="1"/>
  <c r="BL316" i="1"/>
  <c r="BM316" i="1" s="1"/>
  <c r="BS319" i="1"/>
  <c r="CC319" i="1"/>
  <c r="CF319" i="1" s="1"/>
  <c r="BV321" i="1"/>
  <c r="BW321" i="1" s="1"/>
  <c r="BL321" i="1"/>
  <c r="BM321" i="1" s="1"/>
  <c r="BP317" i="1"/>
  <c r="BQ317" i="1" s="1"/>
  <c r="BR317" i="1" s="1"/>
  <c r="BK317" i="1"/>
  <c r="CC318" i="1"/>
  <c r="CF318" i="1" s="1"/>
  <c r="BS318" i="1"/>
  <c r="BV319" i="1"/>
  <c r="BW319" i="1" s="1"/>
  <c r="BL319" i="1"/>
  <c r="BM319" i="1" s="1"/>
  <c r="CC321" i="1"/>
  <c r="CF321" i="1" s="1"/>
  <c r="BS321" i="1"/>
  <c r="BL311" i="1"/>
  <c r="BM311" i="1" s="1"/>
  <c r="BV311" i="1"/>
  <c r="BW311" i="1" s="1"/>
  <c r="BX307" i="1"/>
  <c r="BN307" i="1"/>
  <c r="BY307" i="1" s="1"/>
  <c r="CA307" i="1" s="1"/>
  <c r="CC311" i="1"/>
  <c r="CF311" i="1" s="1"/>
  <c r="BS311" i="1"/>
  <c r="BV308" i="1"/>
  <c r="BW308" i="1" s="1"/>
  <c r="BL308" i="1"/>
  <c r="BM308" i="1" s="1"/>
  <c r="BN310" i="1"/>
  <c r="BY310" i="1" s="1"/>
  <c r="CA310" i="1" s="1"/>
  <c r="BX310" i="1"/>
  <c r="BK309" i="1"/>
  <c r="BP309" i="1"/>
  <c r="BQ309" i="1" s="1"/>
  <c r="BR309" i="1" s="1"/>
  <c r="BV312" i="1"/>
  <c r="BW312" i="1" s="1"/>
  <c r="BL312" i="1"/>
  <c r="BM312" i="1" s="1"/>
  <c r="BS308" i="1"/>
  <c r="CC308" i="1"/>
  <c r="CF308" i="1" s="1"/>
  <c r="BK313" i="1"/>
  <c r="BQ313" i="1"/>
  <c r="BR313" i="1" s="1"/>
  <c r="BS312" i="1"/>
  <c r="CC312" i="1"/>
  <c r="CF312" i="1" s="1"/>
  <c r="CC304" i="1"/>
  <c r="CF304" i="1" s="1"/>
  <c r="BS304" i="1"/>
  <c r="BP302" i="1"/>
  <c r="BQ302" i="1" s="1"/>
  <c r="BR302" i="1" s="1"/>
  <c r="BK302" i="1"/>
  <c r="BK298" i="1"/>
  <c r="BP298" i="1"/>
  <c r="BQ298" i="1" s="1"/>
  <c r="BR298" i="1" s="1"/>
  <c r="BV300" i="1"/>
  <c r="BW300" i="1" s="1"/>
  <c r="BL300" i="1"/>
  <c r="BM300" i="1" s="1"/>
  <c r="CC300" i="1"/>
  <c r="CF300" i="1" s="1"/>
  <c r="BS300" i="1"/>
  <c r="BP301" i="1"/>
  <c r="BQ301" i="1" s="1"/>
  <c r="BR301" i="1" s="1"/>
  <c r="BK301" i="1"/>
  <c r="BP305" i="1"/>
  <c r="BQ305" i="1" s="1"/>
  <c r="BR305" i="1" s="1"/>
  <c r="BK305" i="1"/>
  <c r="BV304" i="1"/>
  <c r="BW304" i="1" s="1"/>
  <c r="BL304" i="1"/>
  <c r="BM304" i="1" s="1"/>
  <c r="BV296" i="1"/>
  <c r="BW296" i="1" s="1"/>
  <c r="BL296" i="1"/>
  <c r="BM296" i="1" s="1"/>
  <c r="CC296" i="1"/>
  <c r="CF296" i="1" s="1"/>
  <c r="BS296" i="1"/>
  <c r="BK291" i="1"/>
  <c r="BP291" i="1"/>
  <c r="BQ291" i="1" s="1"/>
  <c r="BR291" i="1" s="1"/>
  <c r="BX293" i="1"/>
  <c r="BN293" i="1"/>
  <c r="BY293" i="1" s="1"/>
  <c r="CA293" i="1" s="1"/>
  <c r="CC294" i="1"/>
  <c r="CF294" i="1" s="1"/>
  <c r="BS294" i="1"/>
  <c r="BX297" i="1"/>
  <c r="BN297" i="1"/>
  <c r="BY297" i="1" s="1"/>
  <c r="CA297" i="1" s="1"/>
  <c r="BK295" i="1"/>
  <c r="BP295" i="1"/>
  <c r="BQ295" i="1" s="1"/>
  <c r="BR295" i="1" s="1"/>
  <c r="BV294" i="1"/>
  <c r="BW294" i="1" s="1"/>
  <c r="BL294" i="1"/>
  <c r="BM294" i="1" s="1"/>
  <c r="CC290" i="1"/>
  <c r="CF290" i="1" s="1"/>
  <c r="BS290" i="1"/>
  <c r="BV292" i="1"/>
  <c r="BW292" i="1" s="1"/>
  <c r="BL292" i="1"/>
  <c r="BM292" i="1" s="1"/>
  <c r="BV290" i="1"/>
  <c r="BW290" i="1" s="1"/>
  <c r="BL290" i="1"/>
  <c r="BM290" i="1" s="1"/>
  <c r="CC292" i="1"/>
  <c r="CF292" i="1" s="1"/>
  <c r="BS292" i="1"/>
  <c r="BV288" i="1"/>
  <c r="BW288" i="1" s="1"/>
  <c r="BL288" i="1"/>
  <c r="BM288" i="1" s="1"/>
  <c r="CC288" i="1"/>
  <c r="CF288" i="1" s="1"/>
  <c r="BS288" i="1"/>
  <c r="BP283" i="1"/>
  <c r="BQ283" i="1" s="1"/>
  <c r="BR283" i="1" s="1"/>
  <c r="BK283" i="1"/>
  <c r="CC282" i="1"/>
  <c r="CF282" i="1" s="1"/>
  <c r="BS282" i="1"/>
  <c r="BL284" i="1"/>
  <c r="BM284" i="1" s="1"/>
  <c r="BV284" i="1"/>
  <c r="BW284" i="1" s="1"/>
  <c r="BK287" i="1"/>
  <c r="BP287" i="1"/>
  <c r="BQ287" i="1" s="1"/>
  <c r="BR287" i="1" s="1"/>
  <c r="CC284" i="1"/>
  <c r="CF284" i="1" s="1"/>
  <c r="BS284" i="1"/>
  <c r="CC286" i="1"/>
  <c r="CF286" i="1" s="1"/>
  <c r="BS286" i="1"/>
  <c r="BV282" i="1"/>
  <c r="BW282" i="1" s="1"/>
  <c r="BL282" i="1"/>
  <c r="BM282" i="1" s="1"/>
  <c r="BV286" i="1"/>
  <c r="BW286" i="1" s="1"/>
  <c r="BL286" i="1"/>
  <c r="BM286" i="1" s="1"/>
  <c r="BV280" i="1"/>
  <c r="BW280" i="1" s="1"/>
  <c r="BL280" i="1"/>
  <c r="BM280" i="1" s="1"/>
  <c r="CC280" i="1"/>
  <c r="CF280" i="1" s="1"/>
  <c r="BS280" i="1"/>
  <c r="BV276" i="1"/>
  <c r="BW276" i="1" s="1"/>
  <c r="BL276" i="1"/>
  <c r="BM276" i="1" s="1"/>
  <c r="CC279" i="1"/>
  <c r="CF279" i="1" s="1"/>
  <c r="BS279" i="1"/>
  <c r="BP277" i="1"/>
  <c r="BQ277" i="1" s="1"/>
  <c r="BR277" i="1" s="1"/>
  <c r="BK277" i="1"/>
  <c r="CC276" i="1"/>
  <c r="CF276" i="1" s="1"/>
  <c r="BS276" i="1"/>
  <c r="BV279" i="1"/>
  <c r="BW279" i="1" s="1"/>
  <c r="BL279" i="1"/>
  <c r="BM279" i="1" s="1"/>
  <c r="BP281" i="1"/>
  <c r="BQ281" i="1" s="1"/>
  <c r="BR281" i="1" s="1"/>
  <c r="BK281" i="1"/>
  <c r="BK274" i="1"/>
  <c r="BP274" i="1"/>
  <c r="BQ274" i="1" s="1"/>
  <c r="BR274" i="1" s="1"/>
  <c r="BK271" i="1"/>
  <c r="BP271" i="1"/>
  <c r="BQ271" i="1" s="1"/>
  <c r="BR271" i="1" s="1"/>
  <c r="CC270" i="1"/>
  <c r="CF270" i="1" s="1"/>
  <c r="BS270" i="1"/>
  <c r="BV268" i="1"/>
  <c r="BW268" i="1" s="1"/>
  <c r="BL268" i="1"/>
  <c r="BM268" i="1" s="1"/>
  <c r="BK266" i="1"/>
  <c r="BP266" i="1"/>
  <c r="BQ266" i="1" s="1"/>
  <c r="BR266" i="1" s="1"/>
  <c r="BV272" i="1"/>
  <c r="BW272" i="1" s="1"/>
  <c r="BL272" i="1"/>
  <c r="BM272" i="1" s="1"/>
  <c r="CC272" i="1"/>
  <c r="CF272" i="1" s="1"/>
  <c r="BS272" i="1"/>
  <c r="BV270" i="1"/>
  <c r="BW270" i="1" s="1"/>
  <c r="BL270" i="1"/>
  <c r="BM270" i="1" s="1"/>
  <c r="BK267" i="1"/>
  <c r="BP267" i="1"/>
  <c r="BQ267" i="1" s="1"/>
  <c r="BR267" i="1" s="1"/>
  <c r="CC268" i="1"/>
  <c r="CF268" i="1" s="1"/>
  <c r="BS268" i="1"/>
  <c r="BV260" i="1"/>
  <c r="BW260" i="1" s="1"/>
  <c r="BL260" i="1"/>
  <c r="BM260" i="1" s="1"/>
  <c r="CC260" i="1"/>
  <c r="CF260" i="1" s="1"/>
  <c r="BS260" i="1"/>
  <c r="CC258" i="1"/>
  <c r="CF258" i="1" s="1"/>
  <c r="BS258" i="1"/>
  <c r="BX261" i="1"/>
  <c r="BN261" i="1"/>
  <c r="BY261" i="1" s="1"/>
  <c r="CA261" i="1" s="1"/>
  <c r="CC264" i="1"/>
  <c r="CF264" i="1" s="1"/>
  <c r="BS264" i="1"/>
  <c r="BK263" i="1"/>
  <c r="BP263" i="1"/>
  <c r="BQ263" i="1" s="1"/>
  <c r="BR263" i="1" s="1"/>
  <c r="BV264" i="1"/>
  <c r="BW264" i="1" s="1"/>
  <c r="BL264" i="1"/>
  <c r="BM264" i="1" s="1"/>
  <c r="BX265" i="1"/>
  <c r="BN265" i="1"/>
  <c r="BY265" i="1" s="1"/>
  <c r="CA265" i="1" s="1"/>
  <c r="BL262" i="1"/>
  <c r="BM262" i="1" s="1"/>
  <c r="BV262" i="1"/>
  <c r="BW262" i="1" s="1"/>
  <c r="BV258" i="1"/>
  <c r="BW258" i="1" s="1"/>
  <c r="BL258" i="1"/>
  <c r="BM258" i="1" s="1"/>
  <c r="CC262" i="1"/>
  <c r="CF262" i="1" s="1"/>
  <c r="BS262" i="1"/>
  <c r="BK259" i="1"/>
  <c r="BP259" i="1"/>
  <c r="BQ259" i="1" s="1"/>
  <c r="BR259" i="1" s="1"/>
  <c r="BV254" i="1"/>
  <c r="BW254" i="1" s="1"/>
  <c r="BL254" i="1"/>
  <c r="BM254" i="1" s="1"/>
  <c r="BK251" i="1"/>
  <c r="BP251" i="1"/>
  <c r="BQ251" i="1" s="1"/>
  <c r="BR251" i="1" s="1"/>
  <c r="BP252" i="1"/>
  <c r="BQ252" i="1" s="1"/>
  <c r="BR252" i="1" s="1"/>
  <c r="BK252" i="1"/>
  <c r="CC250" i="1"/>
  <c r="CF250" i="1" s="1"/>
  <c r="BS250" i="1"/>
  <c r="BL256" i="1"/>
  <c r="BM256" i="1" s="1"/>
  <c r="BV256" i="1"/>
  <c r="BW256" i="1" s="1"/>
  <c r="CC256" i="1"/>
  <c r="CF256" i="1" s="1"/>
  <c r="BS256" i="1"/>
  <c r="BK255" i="1"/>
  <c r="BP255" i="1"/>
  <c r="BQ255" i="1" s="1"/>
  <c r="BR255" i="1" s="1"/>
  <c r="BL250" i="1"/>
  <c r="BM250" i="1" s="1"/>
  <c r="BV250" i="1"/>
  <c r="BW250" i="1" s="1"/>
  <c r="BX257" i="1"/>
  <c r="BN257" i="1"/>
  <c r="BY257" i="1" s="1"/>
  <c r="CA257" i="1" s="1"/>
  <c r="CC254" i="1"/>
  <c r="CF254" i="1" s="1"/>
  <c r="BS254" i="1"/>
  <c r="BX253" i="1"/>
  <c r="BP244" i="1"/>
  <c r="BQ244" i="1" s="1"/>
  <c r="BR244" i="1" s="1"/>
  <c r="BK244" i="1"/>
  <c r="CA249" i="1"/>
  <c r="BK242" i="1"/>
  <c r="BP242" i="1"/>
  <c r="BQ242" i="1" s="1"/>
  <c r="BR242" i="1" s="1"/>
  <c r="CA245" i="1"/>
  <c r="BV248" i="1"/>
  <c r="BW248" i="1" s="1"/>
  <c r="BL248" i="1"/>
  <c r="BM248" i="1" s="1"/>
  <c r="BX249" i="1"/>
  <c r="CC246" i="1"/>
  <c r="CF246" i="1" s="1"/>
  <c r="BS246" i="1"/>
  <c r="BX245" i="1"/>
  <c r="BK247" i="1"/>
  <c r="BP247" i="1"/>
  <c r="BQ247" i="1" s="1"/>
  <c r="BR247" i="1" s="1"/>
  <c r="BV246" i="1"/>
  <c r="BW246" i="1" s="1"/>
  <c r="BL246" i="1"/>
  <c r="BM246" i="1" s="1"/>
  <c r="CC248" i="1"/>
  <c r="CF248" i="1" s="1"/>
  <c r="BS248" i="1"/>
  <c r="BX243" i="1"/>
  <c r="BP241" i="1"/>
  <c r="BQ241" i="1" s="1"/>
  <c r="BR241" i="1" s="1"/>
  <c r="BK241" i="1"/>
  <c r="BP237" i="1"/>
  <c r="BQ237" i="1" s="1"/>
  <c r="BR237" i="1" s="1"/>
  <c r="BK237" i="1"/>
  <c r="BX235" i="1"/>
  <c r="BN235" i="1"/>
  <c r="BY235" i="1" s="1"/>
  <c r="CA235" i="1" s="1"/>
  <c r="BL240" i="1"/>
  <c r="BM240" i="1" s="1"/>
  <c r="BV240" i="1"/>
  <c r="BW240" i="1" s="1"/>
  <c r="BK234" i="1"/>
  <c r="BP234" i="1"/>
  <c r="BQ234" i="1" s="1"/>
  <c r="BR234" i="1" s="1"/>
  <c r="CC236" i="1"/>
  <c r="CF236" i="1" s="1"/>
  <c r="BS236" i="1"/>
  <c r="CC240" i="1"/>
  <c r="CF240" i="1" s="1"/>
  <c r="BS240" i="1"/>
  <c r="BV236" i="1"/>
  <c r="BW236" i="1" s="1"/>
  <c r="BL236" i="1"/>
  <c r="BM236" i="1" s="1"/>
  <c r="BL228" i="1"/>
  <c r="BM228" i="1" s="1"/>
  <c r="BV228" i="1"/>
  <c r="BW228" i="1" s="1"/>
  <c r="BS228" i="1"/>
  <c r="CC228" i="1"/>
  <c r="CF228" i="1" s="1"/>
  <c r="BV230" i="1"/>
  <c r="BW230" i="1" s="1"/>
  <c r="BL230" i="1"/>
  <c r="BM230" i="1" s="1"/>
  <c r="BS232" i="1"/>
  <c r="CC232" i="1"/>
  <c r="CF232" i="1" s="1"/>
  <c r="CC230" i="1"/>
  <c r="CF230" i="1" s="1"/>
  <c r="BS230" i="1"/>
  <c r="BP227" i="1"/>
  <c r="BQ227" i="1" s="1"/>
  <c r="BR227" i="1" s="1"/>
  <c r="BK227" i="1"/>
  <c r="BK226" i="1"/>
  <c r="BP226" i="1"/>
  <c r="BQ226" i="1" s="1"/>
  <c r="BR226" i="1" s="1"/>
  <c r="BV232" i="1"/>
  <c r="BW232" i="1" s="1"/>
  <c r="BL232" i="1"/>
  <c r="BM232" i="1" s="1"/>
  <c r="BP231" i="1"/>
  <c r="BQ231" i="1" s="1"/>
  <c r="BR231" i="1" s="1"/>
  <c r="BK231" i="1"/>
  <c r="CC221" i="1"/>
  <c r="CF221" i="1" s="1"/>
  <c r="BS221" i="1"/>
  <c r="CC218" i="1"/>
  <c r="CF218" i="1" s="1"/>
  <c r="BS218" i="1"/>
  <c r="CC222" i="1"/>
  <c r="CF222" i="1" s="1"/>
  <c r="BS222" i="1"/>
  <c r="BL218" i="1"/>
  <c r="BM218" i="1" s="1"/>
  <c r="BV218" i="1"/>
  <c r="BW218" i="1" s="1"/>
  <c r="BV222" i="1"/>
  <c r="BW222" i="1" s="1"/>
  <c r="BL222" i="1"/>
  <c r="BM222" i="1" s="1"/>
  <c r="BL220" i="1"/>
  <c r="BM220" i="1" s="1"/>
  <c r="BV220" i="1"/>
  <c r="BW220" i="1" s="1"/>
  <c r="CC220" i="1"/>
  <c r="CF220" i="1" s="1"/>
  <c r="BS220" i="1"/>
  <c r="BK223" i="1"/>
  <c r="BP223" i="1"/>
  <c r="BQ223" i="1" s="1"/>
  <c r="BR223" i="1" s="1"/>
  <c r="BK219" i="1"/>
  <c r="BP219" i="1"/>
  <c r="BQ219" i="1" s="1"/>
  <c r="BR219" i="1" s="1"/>
  <c r="BL224" i="1"/>
  <c r="BM224" i="1" s="1"/>
  <c r="BV224" i="1"/>
  <c r="BW224" i="1" s="1"/>
  <c r="BX225" i="1"/>
  <c r="BN225" i="1"/>
  <c r="BY225" i="1" s="1"/>
  <c r="CA225" i="1" s="1"/>
  <c r="CC224" i="1"/>
  <c r="CF224" i="1" s="1"/>
  <c r="BS224" i="1"/>
  <c r="BV221" i="1"/>
  <c r="BW221" i="1" s="1"/>
  <c r="BL221" i="1"/>
  <c r="BM221" i="1" s="1"/>
  <c r="CC210" i="1"/>
  <c r="CF210" i="1" s="1"/>
  <c r="BS210" i="1"/>
  <c r="BV210" i="1"/>
  <c r="BW210" i="1" s="1"/>
  <c r="BL210" i="1"/>
  <c r="BM210" i="1" s="1"/>
  <c r="BK215" i="1"/>
  <c r="BP215" i="1"/>
  <c r="BQ215" i="1" s="1"/>
  <c r="BR215" i="1" s="1"/>
  <c r="BP216" i="1"/>
  <c r="BQ216" i="1" s="1"/>
  <c r="BR216" i="1" s="1"/>
  <c r="BK216" i="1"/>
  <c r="BX217" i="1"/>
  <c r="BN217" i="1"/>
  <c r="BY217" i="1" s="1"/>
  <c r="CA217" i="1" s="1"/>
  <c r="CC214" i="1"/>
  <c r="CF214" i="1" s="1"/>
  <c r="BS214" i="1"/>
  <c r="BK211" i="1"/>
  <c r="BP211" i="1"/>
  <c r="BQ211" i="1" s="1"/>
  <c r="BR211" i="1" s="1"/>
  <c r="BL214" i="1"/>
  <c r="BM214" i="1" s="1"/>
  <c r="BV214" i="1"/>
  <c r="BW214" i="1" s="1"/>
  <c r="CC212" i="1"/>
  <c r="CF212" i="1" s="1"/>
  <c r="BS212" i="1"/>
  <c r="BV212" i="1"/>
  <c r="BW212" i="1" s="1"/>
  <c r="BL212" i="1"/>
  <c r="BM212" i="1" s="1"/>
  <c r="BX213" i="1"/>
  <c r="BY76" i="1"/>
  <c r="CA76" i="1" s="1"/>
  <c r="BV202" i="1"/>
  <c r="BW202" i="1" s="1"/>
  <c r="BL202" i="1"/>
  <c r="BM202" i="1" s="1"/>
  <c r="BS208" i="1"/>
  <c r="CC208" i="1"/>
  <c r="CF208" i="1" s="1"/>
  <c r="BS202" i="1"/>
  <c r="CC202" i="1"/>
  <c r="CF202" i="1" s="1"/>
  <c r="BP203" i="1"/>
  <c r="BQ203" i="1" s="1"/>
  <c r="BR203" i="1" s="1"/>
  <c r="BK203" i="1"/>
  <c r="BV208" i="1"/>
  <c r="BW208" i="1" s="1"/>
  <c r="BL208" i="1"/>
  <c r="BM208" i="1" s="1"/>
  <c r="BV206" i="1"/>
  <c r="BW206" i="1" s="1"/>
  <c r="BL206" i="1"/>
  <c r="BM206" i="1" s="1"/>
  <c r="BL204" i="1"/>
  <c r="BM204" i="1" s="1"/>
  <c r="BV204" i="1"/>
  <c r="BW204" i="1" s="1"/>
  <c r="CC206" i="1"/>
  <c r="CF206" i="1" s="1"/>
  <c r="BS206" i="1"/>
  <c r="BS204" i="1"/>
  <c r="CC204" i="1"/>
  <c r="CF204" i="1" s="1"/>
  <c r="BK207" i="1"/>
  <c r="BP207" i="1"/>
  <c r="BQ207" i="1" s="1"/>
  <c r="BR207" i="1" s="1"/>
  <c r="BV196" i="1"/>
  <c r="BW196" i="1" s="1"/>
  <c r="BL196" i="1"/>
  <c r="BM196" i="1" s="1"/>
  <c r="CC196" i="1"/>
  <c r="CF196" i="1" s="1"/>
  <c r="BS196" i="1"/>
  <c r="BP197" i="1"/>
  <c r="BQ197" i="1" s="1"/>
  <c r="BR197" i="1" s="1"/>
  <c r="BK197" i="1"/>
  <c r="BK194" i="1"/>
  <c r="BP194" i="1"/>
  <c r="BQ194" i="1" s="1"/>
  <c r="BR194" i="1" s="1"/>
  <c r="BP201" i="1"/>
  <c r="BQ201" i="1" s="1"/>
  <c r="BR201" i="1" s="1"/>
  <c r="BK201" i="1"/>
  <c r="BX199" i="1"/>
  <c r="BN199" i="1"/>
  <c r="BY199" i="1" s="1"/>
  <c r="CA199" i="1" s="1"/>
  <c r="BV200" i="1"/>
  <c r="BW200" i="1" s="1"/>
  <c r="BL200" i="1"/>
  <c r="BM200" i="1" s="1"/>
  <c r="BX195" i="1"/>
  <c r="CC200" i="1"/>
  <c r="CF200" i="1" s="1"/>
  <c r="BS200" i="1"/>
  <c r="BS192" i="1"/>
  <c r="CC192" i="1"/>
  <c r="CF192" i="1" s="1"/>
  <c r="CC190" i="1"/>
  <c r="CF190" i="1" s="1"/>
  <c r="BS190" i="1"/>
  <c r="CC186" i="1"/>
  <c r="CF186" i="1" s="1"/>
  <c r="BS186" i="1"/>
  <c r="BV190" i="1"/>
  <c r="BW190" i="1" s="1"/>
  <c r="BL190" i="1"/>
  <c r="BM190" i="1" s="1"/>
  <c r="BV186" i="1"/>
  <c r="BW186" i="1" s="1"/>
  <c r="BL186" i="1"/>
  <c r="BM186" i="1" s="1"/>
  <c r="BL188" i="1"/>
  <c r="BM188" i="1" s="1"/>
  <c r="BV188" i="1"/>
  <c r="BW188" i="1" s="1"/>
  <c r="CC188" i="1"/>
  <c r="CF188" i="1" s="1"/>
  <c r="BS188" i="1"/>
  <c r="BV192" i="1"/>
  <c r="BW192" i="1" s="1"/>
  <c r="BL192" i="1"/>
  <c r="BM192" i="1" s="1"/>
  <c r="BP191" i="1"/>
  <c r="BQ191" i="1" s="1"/>
  <c r="BR191" i="1" s="1"/>
  <c r="BK191" i="1"/>
  <c r="BP187" i="1"/>
  <c r="BQ187" i="1" s="1"/>
  <c r="BR187" i="1" s="1"/>
  <c r="BK187" i="1"/>
  <c r="BL184" i="1"/>
  <c r="BM184" i="1" s="1"/>
  <c r="BV184" i="1"/>
  <c r="BW184" i="1" s="1"/>
  <c r="CC182" i="1"/>
  <c r="CF182" i="1" s="1"/>
  <c r="BS182" i="1"/>
  <c r="BK183" i="1"/>
  <c r="BP183" i="1"/>
  <c r="BQ183" i="1" s="1"/>
  <c r="BR183" i="1" s="1"/>
  <c r="CC184" i="1"/>
  <c r="CF184" i="1" s="1"/>
  <c r="BS184" i="1"/>
  <c r="BV178" i="1"/>
  <c r="BW178" i="1" s="1"/>
  <c r="BL178" i="1"/>
  <c r="BM178" i="1" s="1"/>
  <c r="CC180" i="1"/>
  <c r="CF180" i="1" s="1"/>
  <c r="BS180" i="1"/>
  <c r="BP181" i="1"/>
  <c r="BQ181" i="1" s="1"/>
  <c r="BR181" i="1" s="1"/>
  <c r="BK181" i="1"/>
  <c r="BK179" i="1"/>
  <c r="BP179" i="1"/>
  <c r="BQ179" i="1" s="1"/>
  <c r="BR179" i="1" s="1"/>
  <c r="BP185" i="1"/>
  <c r="BQ185" i="1" s="1"/>
  <c r="BR185" i="1" s="1"/>
  <c r="BK185" i="1"/>
  <c r="BL182" i="1"/>
  <c r="BM182" i="1" s="1"/>
  <c r="BV182" i="1"/>
  <c r="BW182" i="1" s="1"/>
  <c r="CC178" i="1"/>
  <c r="CF178" i="1" s="1"/>
  <c r="BS178" i="1"/>
  <c r="BV180" i="1"/>
  <c r="BW180" i="1" s="1"/>
  <c r="BL180" i="1"/>
  <c r="BM180" i="1" s="1"/>
  <c r="CC168" i="1"/>
  <c r="BS168" i="1"/>
  <c r="BS174" i="1"/>
  <c r="CC174" i="1"/>
  <c r="CF174" i="1" s="1"/>
  <c r="CC170" i="1"/>
  <c r="CF170" i="1" s="1"/>
  <c r="BS170" i="1"/>
  <c r="BV162" i="1"/>
  <c r="BW162" i="1" s="1"/>
  <c r="BL162" i="1"/>
  <c r="BM162" i="1" s="1"/>
  <c r="BS164" i="1"/>
  <c r="CC164" i="1"/>
  <c r="BL174" i="1"/>
  <c r="BM174" i="1" s="1"/>
  <c r="BV174" i="1"/>
  <c r="BW174" i="1" s="1"/>
  <c r="CC166" i="1"/>
  <c r="BS166" i="1"/>
  <c r="BK163" i="1"/>
  <c r="BP163" i="1"/>
  <c r="BQ163" i="1" s="1"/>
  <c r="BR163" i="1" s="1"/>
  <c r="BV172" i="1"/>
  <c r="BW172" i="1" s="1"/>
  <c r="BL172" i="1"/>
  <c r="BM172" i="1" s="1"/>
  <c r="BV170" i="1"/>
  <c r="BW170" i="1" s="1"/>
  <c r="BL170" i="1"/>
  <c r="BM170" i="1" s="1"/>
  <c r="CC162" i="1"/>
  <c r="BS162" i="1"/>
  <c r="BK175" i="1"/>
  <c r="BP175" i="1"/>
  <c r="BQ175" i="1" s="1"/>
  <c r="BR175" i="1" s="1"/>
  <c r="BP167" i="1"/>
  <c r="BQ167" i="1" s="1"/>
  <c r="BR167" i="1" s="1"/>
  <c r="BK167" i="1"/>
  <c r="BL166" i="1"/>
  <c r="BM166" i="1" s="1"/>
  <c r="BV166" i="1"/>
  <c r="BW166" i="1" s="1"/>
  <c r="CC172" i="1"/>
  <c r="CF172" i="1" s="1"/>
  <c r="BS172" i="1"/>
  <c r="BS176" i="1"/>
  <c r="CC176" i="1"/>
  <c r="CF176" i="1" s="1"/>
  <c r="BK171" i="1"/>
  <c r="BP171" i="1"/>
  <c r="BQ171" i="1" s="1"/>
  <c r="BR171" i="1" s="1"/>
  <c r="BL168" i="1"/>
  <c r="BM168" i="1" s="1"/>
  <c r="BV168" i="1"/>
  <c r="BW168" i="1" s="1"/>
  <c r="BL176" i="1"/>
  <c r="BM176" i="1" s="1"/>
  <c r="BV176" i="1"/>
  <c r="BW176" i="1" s="1"/>
  <c r="BV164" i="1"/>
  <c r="BW164" i="1" s="1"/>
  <c r="BL164" i="1"/>
  <c r="BM164" i="1" s="1"/>
  <c r="CC160" i="1"/>
  <c r="CF160" i="1" s="1"/>
  <c r="BS160" i="1"/>
  <c r="CC156" i="1"/>
  <c r="CF156" i="1" s="1"/>
  <c r="BS156" i="1"/>
  <c r="BX157" i="1"/>
  <c r="BN157" i="1"/>
  <c r="BY157" i="1" s="1"/>
  <c r="CA157" i="1" s="1"/>
  <c r="BK155" i="1"/>
  <c r="BP155" i="1"/>
  <c r="BQ155" i="1" s="1"/>
  <c r="BR155" i="1" s="1"/>
  <c r="CC158" i="1"/>
  <c r="CF158" i="1" s="1"/>
  <c r="BS158" i="1"/>
  <c r="BK159" i="1"/>
  <c r="BP159" i="1"/>
  <c r="BQ159" i="1" s="1"/>
  <c r="BR159" i="1" s="1"/>
  <c r="BL158" i="1"/>
  <c r="BM158" i="1" s="1"/>
  <c r="BV158" i="1"/>
  <c r="BW158" i="1" s="1"/>
  <c r="BX161" i="1"/>
  <c r="BN161" i="1"/>
  <c r="BY161" i="1" s="1"/>
  <c r="CA161" i="1" s="1"/>
  <c r="BK154" i="1"/>
  <c r="BP154" i="1"/>
  <c r="BQ154" i="1" s="1"/>
  <c r="BR154" i="1" s="1"/>
  <c r="BL160" i="1"/>
  <c r="BM160" i="1" s="1"/>
  <c r="BV160" i="1"/>
  <c r="BW160" i="1" s="1"/>
  <c r="BL156" i="1"/>
  <c r="BM156" i="1" s="1"/>
  <c r="BV156" i="1"/>
  <c r="BW156" i="1" s="1"/>
  <c r="CC138" i="1"/>
  <c r="CF138" i="1" s="1"/>
  <c r="BS138" i="1"/>
  <c r="BS146" i="1"/>
  <c r="CC146" i="1"/>
  <c r="CF146" i="1" s="1"/>
  <c r="BP139" i="1"/>
  <c r="BQ139" i="1" s="1"/>
  <c r="BR139" i="1" s="1"/>
  <c r="BK139" i="1"/>
  <c r="BV144" i="1"/>
  <c r="BW144" i="1" s="1"/>
  <c r="BL144" i="1"/>
  <c r="BM144" i="1" s="1"/>
  <c r="BV152" i="1"/>
  <c r="BW152" i="1" s="1"/>
  <c r="BL152" i="1"/>
  <c r="BM152" i="1" s="1"/>
  <c r="BP151" i="1"/>
  <c r="BQ151" i="1" s="1"/>
  <c r="BR151" i="1" s="1"/>
  <c r="BK151" i="1"/>
  <c r="BL148" i="1"/>
  <c r="BM148" i="1" s="1"/>
  <c r="BV148" i="1"/>
  <c r="BW148" i="1" s="1"/>
  <c r="BL142" i="1"/>
  <c r="BM142" i="1" s="1"/>
  <c r="BV142" i="1"/>
  <c r="BW142" i="1" s="1"/>
  <c r="BL138" i="1"/>
  <c r="BM138" i="1" s="1"/>
  <c r="BV138" i="1"/>
  <c r="BW138" i="1" s="1"/>
  <c r="CC144" i="1"/>
  <c r="CF144" i="1" s="1"/>
  <c r="BS144" i="1"/>
  <c r="BL140" i="1"/>
  <c r="BM140" i="1" s="1"/>
  <c r="BV140" i="1"/>
  <c r="BW140" i="1" s="1"/>
  <c r="BS142" i="1"/>
  <c r="CC142" i="1"/>
  <c r="CF142" i="1" s="1"/>
  <c r="BS148" i="1"/>
  <c r="CC148" i="1"/>
  <c r="CF148" i="1" s="1"/>
  <c r="CC150" i="1"/>
  <c r="CF150" i="1" s="1"/>
  <c r="BS150" i="1"/>
  <c r="BL146" i="1"/>
  <c r="BM146" i="1" s="1"/>
  <c r="BV146" i="1"/>
  <c r="BW146" i="1" s="1"/>
  <c r="BS152" i="1"/>
  <c r="CC152" i="1"/>
  <c r="CF152" i="1" s="1"/>
  <c r="BS140" i="1"/>
  <c r="CC140" i="1"/>
  <c r="CF140" i="1" s="1"/>
  <c r="BK147" i="1"/>
  <c r="BP147" i="1"/>
  <c r="BQ147" i="1" s="1"/>
  <c r="BR147" i="1" s="1"/>
  <c r="BK143" i="1"/>
  <c r="BP143" i="1"/>
  <c r="BQ143" i="1" s="1"/>
  <c r="BR143" i="1" s="1"/>
  <c r="BV150" i="1"/>
  <c r="BW150" i="1" s="1"/>
  <c r="BL150" i="1"/>
  <c r="BM150" i="1" s="1"/>
  <c r="BL134" i="1"/>
  <c r="BM134" i="1" s="1"/>
  <c r="BV134" i="1"/>
  <c r="BW134" i="1" s="1"/>
  <c r="BP131" i="1"/>
  <c r="BQ131" i="1" s="1"/>
  <c r="BR131" i="1" s="1"/>
  <c r="BK131" i="1"/>
  <c r="BS132" i="1"/>
  <c r="CC132" i="1"/>
  <c r="CF132" i="1" s="1"/>
  <c r="BP135" i="1"/>
  <c r="BQ135" i="1" s="1"/>
  <c r="BR135" i="1" s="1"/>
  <c r="BK135" i="1"/>
  <c r="BV136" i="1"/>
  <c r="BW136" i="1" s="1"/>
  <c r="BL136" i="1"/>
  <c r="BM136" i="1" s="1"/>
  <c r="BS136" i="1"/>
  <c r="CC136" i="1"/>
  <c r="CF136" i="1" s="1"/>
  <c r="CC130" i="1"/>
  <c r="CF130" i="1" s="1"/>
  <c r="BS130" i="1"/>
  <c r="BL132" i="1"/>
  <c r="BM132" i="1" s="1"/>
  <c r="BV132" i="1"/>
  <c r="BW132" i="1" s="1"/>
  <c r="CC134" i="1"/>
  <c r="CF134" i="1" s="1"/>
  <c r="BS134" i="1"/>
  <c r="BV130" i="1"/>
  <c r="BW130" i="1" s="1"/>
  <c r="BL130" i="1"/>
  <c r="BM130" i="1" s="1"/>
  <c r="BL122" i="1"/>
  <c r="BM122" i="1" s="1"/>
  <c r="BV122" i="1"/>
  <c r="BW122" i="1" s="1"/>
  <c r="BV124" i="1"/>
  <c r="BW124" i="1" s="1"/>
  <c r="BL124" i="1"/>
  <c r="BM124" i="1" s="1"/>
  <c r="CC122" i="1"/>
  <c r="CF122" i="1" s="1"/>
  <c r="BS122" i="1"/>
  <c r="BV125" i="1"/>
  <c r="BW125" i="1" s="1"/>
  <c r="BL125" i="1"/>
  <c r="BM125" i="1" s="1"/>
  <c r="CC125" i="1"/>
  <c r="CF125" i="1" s="1"/>
  <c r="BS125" i="1"/>
  <c r="BV126" i="1"/>
  <c r="BW126" i="1" s="1"/>
  <c r="BL126" i="1"/>
  <c r="BM126" i="1" s="1"/>
  <c r="BS128" i="1"/>
  <c r="CC128" i="1"/>
  <c r="CF128" i="1" s="1"/>
  <c r="BS124" i="1"/>
  <c r="CC124" i="1"/>
  <c r="CF124" i="1" s="1"/>
  <c r="BL128" i="1"/>
  <c r="BM128" i="1" s="1"/>
  <c r="BV128" i="1"/>
  <c r="BW128" i="1" s="1"/>
  <c r="BL129" i="1"/>
  <c r="BM129" i="1" s="1"/>
  <c r="BV129" i="1"/>
  <c r="BW129" i="1" s="1"/>
  <c r="CC126" i="1"/>
  <c r="CF126" i="1" s="1"/>
  <c r="BS126" i="1"/>
  <c r="BK127" i="1"/>
  <c r="BP127" i="1"/>
  <c r="BQ127" i="1" s="1"/>
  <c r="BR127" i="1" s="1"/>
  <c r="BK123" i="1"/>
  <c r="BP123" i="1"/>
  <c r="BQ123" i="1" s="1"/>
  <c r="BR123" i="1" s="1"/>
  <c r="BS129" i="1"/>
  <c r="CC129" i="1"/>
  <c r="CF129" i="1" s="1"/>
  <c r="BV121" i="1"/>
  <c r="BW121" i="1" s="1"/>
  <c r="BL121" i="1"/>
  <c r="BM121" i="1" s="1"/>
  <c r="BK115" i="1"/>
  <c r="BP115" i="1"/>
  <c r="BQ115" i="1" s="1"/>
  <c r="BR115" i="1" s="1"/>
  <c r="CC121" i="1"/>
  <c r="CF121" i="1" s="1"/>
  <c r="BS121" i="1"/>
  <c r="CC116" i="1"/>
  <c r="CF116" i="1" s="1"/>
  <c r="BS116" i="1"/>
  <c r="BP120" i="1"/>
  <c r="BQ120" i="1" s="1"/>
  <c r="BR120" i="1" s="1"/>
  <c r="BK120" i="1"/>
  <c r="BK114" i="1"/>
  <c r="BP114" i="1"/>
  <c r="BQ114" i="1" s="1"/>
  <c r="BR114" i="1" s="1"/>
  <c r="BK118" i="1"/>
  <c r="BP118" i="1"/>
  <c r="BQ118" i="1" s="1"/>
  <c r="BR118" i="1" s="1"/>
  <c r="BV117" i="1"/>
  <c r="BW117" i="1" s="1"/>
  <c r="BL117" i="1"/>
  <c r="BM117" i="1" s="1"/>
  <c r="BV116" i="1"/>
  <c r="BW116" i="1" s="1"/>
  <c r="BL116" i="1"/>
  <c r="BM116" i="1" s="1"/>
  <c r="CC117" i="1"/>
  <c r="CF117" i="1" s="1"/>
  <c r="BS117" i="1"/>
  <c r="BK119" i="1"/>
  <c r="BP119" i="1"/>
  <c r="BQ119" i="1" s="1"/>
  <c r="BR119" i="1" s="1"/>
  <c r="BS107" i="1"/>
  <c r="CC107" i="1"/>
  <c r="CF107" i="1" s="1"/>
  <c r="BV106" i="1"/>
  <c r="BW106" i="1" s="1"/>
  <c r="BL106" i="1"/>
  <c r="BM106" i="1" s="1"/>
  <c r="BL110" i="1"/>
  <c r="BM110" i="1" s="1"/>
  <c r="BV110" i="1"/>
  <c r="BW110" i="1" s="1"/>
  <c r="BL109" i="1"/>
  <c r="BM109" i="1" s="1"/>
  <c r="BV109" i="1"/>
  <c r="BW109" i="1" s="1"/>
  <c r="BV111" i="1"/>
  <c r="BW111" i="1" s="1"/>
  <c r="BL111" i="1"/>
  <c r="BM111" i="1" s="1"/>
  <c r="BL112" i="1"/>
  <c r="BM112" i="1" s="1"/>
  <c r="BV112" i="1"/>
  <c r="BW112" i="1" s="1"/>
  <c r="CC110" i="1"/>
  <c r="CF110" i="1" s="1"/>
  <c r="BS110" i="1"/>
  <c r="CC109" i="1"/>
  <c r="CF109" i="1" s="1"/>
  <c r="BS109" i="1"/>
  <c r="CC112" i="1"/>
  <c r="CF112" i="1" s="1"/>
  <c r="BS112" i="1"/>
  <c r="BS111" i="1"/>
  <c r="CC111" i="1"/>
  <c r="CF111" i="1" s="1"/>
  <c r="BV108" i="1"/>
  <c r="BW108" i="1" s="1"/>
  <c r="BL108" i="1"/>
  <c r="BM108" i="1" s="1"/>
  <c r="BL107" i="1"/>
  <c r="BM107" i="1" s="1"/>
  <c r="BV107" i="1"/>
  <c r="BW107" i="1" s="1"/>
  <c r="CC106" i="1"/>
  <c r="CF106" i="1" s="1"/>
  <c r="BS106" i="1"/>
  <c r="BS108" i="1"/>
  <c r="CC108" i="1"/>
  <c r="CF108" i="1" s="1"/>
  <c r="BS104" i="1"/>
  <c r="CC104" i="1"/>
  <c r="CF104" i="1" s="1"/>
  <c r="BV103" i="1"/>
  <c r="BW103" i="1" s="1"/>
  <c r="BL103" i="1"/>
  <c r="BM103" i="1" s="1"/>
  <c r="BV104" i="1"/>
  <c r="BW104" i="1" s="1"/>
  <c r="BL104" i="1"/>
  <c r="BM104" i="1" s="1"/>
  <c r="CC98" i="1"/>
  <c r="CF98" i="1" s="1"/>
  <c r="BS98" i="1"/>
  <c r="BL102" i="1"/>
  <c r="BM102" i="1" s="1"/>
  <c r="BV102" i="1"/>
  <c r="BW102" i="1" s="1"/>
  <c r="BS102" i="1"/>
  <c r="CC102" i="1"/>
  <c r="CF102" i="1" s="1"/>
  <c r="BS103" i="1"/>
  <c r="CC103" i="1"/>
  <c r="CF103" i="1" s="1"/>
  <c r="BL98" i="1"/>
  <c r="BM98" i="1" s="1"/>
  <c r="BV98" i="1"/>
  <c r="BW98" i="1" s="1"/>
  <c r="BS99" i="1"/>
  <c r="CC99" i="1"/>
  <c r="CF99" i="1" s="1"/>
  <c r="BV99" i="1"/>
  <c r="BW99" i="1" s="1"/>
  <c r="BL99" i="1"/>
  <c r="BM99" i="1" s="1"/>
  <c r="CC100" i="1"/>
  <c r="CF100" i="1" s="1"/>
  <c r="BS100" i="1"/>
  <c r="BP101" i="1"/>
  <c r="BQ101" i="1" s="1"/>
  <c r="BR101" i="1" s="1"/>
  <c r="BK101" i="1"/>
  <c r="BP105" i="1"/>
  <c r="BQ105" i="1" s="1"/>
  <c r="BR105" i="1" s="1"/>
  <c r="BK105" i="1"/>
  <c r="BL100" i="1"/>
  <c r="BM100" i="1" s="1"/>
  <c r="BV100" i="1"/>
  <c r="BW100" i="1" s="1"/>
  <c r="CC92" i="1"/>
  <c r="CF92" i="1" s="1"/>
  <c r="BS92" i="1"/>
  <c r="CC91" i="1"/>
  <c r="CF91" i="1" s="1"/>
  <c r="BS91" i="1"/>
  <c r="BL96" i="1"/>
  <c r="BM96" i="1" s="1"/>
  <c r="BV96" i="1"/>
  <c r="BW96" i="1" s="1"/>
  <c r="BP97" i="1"/>
  <c r="BQ97" i="1" s="1"/>
  <c r="BR97" i="1" s="1"/>
  <c r="BK97" i="1"/>
  <c r="BV91" i="1"/>
  <c r="BW91" i="1" s="1"/>
  <c r="BL91" i="1"/>
  <c r="BM91" i="1" s="1"/>
  <c r="BL92" i="1"/>
  <c r="BM92" i="1" s="1"/>
  <c r="BV92" i="1"/>
  <c r="BW92" i="1" s="1"/>
  <c r="CC96" i="1"/>
  <c r="CF96" i="1" s="1"/>
  <c r="BS96" i="1"/>
  <c r="BP93" i="1"/>
  <c r="BQ93" i="1" s="1"/>
  <c r="BR93" i="1" s="1"/>
  <c r="BK93" i="1"/>
  <c r="BK83" i="1"/>
  <c r="BP83" i="1"/>
  <c r="BQ83" i="1" s="1"/>
  <c r="BR83" i="1" s="1"/>
  <c r="BV88" i="1"/>
  <c r="BW88" i="1" s="1"/>
  <c r="BL88" i="1"/>
  <c r="BM88" i="1" s="1"/>
  <c r="BS88" i="1"/>
  <c r="CC88" i="1"/>
  <c r="CF88" i="1" s="1"/>
  <c r="BK87" i="1"/>
  <c r="BP87" i="1"/>
  <c r="BQ87" i="1" s="1"/>
  <c r="BR87" i="1" s="1"/>
  <c r="CC85" i="1"/>
  <c r="CF85" i="1" s="1"/>
  <c r="BS85" i="1"/>
  <c r="BL86" i="1"/>
  <c r="BM86" i="1" s="1"/>
  <c r="BV86" i="1"/>
  <c r="BW86" i="1" s="1"/>
  <c r="BV82" i="1"/>
  <c r="BW82" i="1" s="1"/>
  <c r="BL82" i="1"/>
  <c r="BM82" i="1" s="1"/>
  <c r="BV85" i="1"/>
  <c r="BW85" i="1" s="1"/>
  <c r="BL85" i="1"/>
  <c r="BM85" i="1" s="1"/>
  <c r="CC82" i="1"/>
  <c r="CF82" i="1" s="1"/>
  <c r="BS82" i="1"/>
  <c r="BV84" i="1"/>
  <c r="BW84" i="1" s="1"/>
  <c r="BL84" i="1"/>
  <c r="BM84" i="1" s="1"/>
  <c r="CC89" i="1"/>
  <c r="CF89" i="1" s="1"/>
  <c r="BS89" i="1"/>
  <c r="CC86" i="1"/>
  <c r="CF86" i="1" s="1"/>
  <c r="BS86" i="1"/>
  <c r="CC84" i="1"/>
  <c r="CF84" i="1" s="1"/>
  <c r="BS84" i="1"/>
  <c r="BV89" i="1"/>
  <c r="BW89" i="1" s="1"/>
  <c r="BL89" i="1"/>
  <c r="BM89" i="1" s="1"/>
  <c r="BI2" i="1"/>
  <c r="CC81" i="1"/>
  <c r="CF81" i="1" s="1"/>
  <c r="BS81" i="1"/>
  <c r="BK78" i="1"/>
  <c r="BP78" i="1"/>
  <c r="BQ78" i="1" s="1"/>
  <c r="BR78" i="1" s="1"/>
  <c r="BX80" i="1"/>
  <c r="BN80" i="1"/>
  <c r="BY80" i="1" s="1"/>
  <c r="CA80" i="1" s="1"/>
  <c r="BP79" i="1"/>
  <c r="BQ79" i="1" s="1"/>
  <c r="BR79" i="1" s="1"/>
  <c r="BK79" i="1"/>
  <c r="BL81" i="1"/>
  <c r="BM81" i="1" s="1"/>
  <c r="BV81" i="1"/>
  <c r="BW81" i="1" s="1"/>
  <c r="BK74" i="1"/>
  <c r="BP74" i="1"/>
  <c r="BQ74" i="1" s="1"/>
  <c r="BR74" i="1" s="1"/>
  <c r="CC77" i="1"/>
  <c r="CF77" i="1" s="1"/>
  <c r="BS77" i="1"/>
  <c r="BP75" i="1"/>
  <c r="BQ75" i="1" s="1"/>
  <c r="BR75" i="1" s="1"/>
  <c r="BK75" i="1"/>
  <c r="BV77" i="1"/>
  <c r="BW77" i="1" s="1"/>
  <c r="BL77" i="1"/>
  <c r="BM77" i="1" s="1"/>
  <c r="BS69" i="1"/>
  <c r="CC69" i="1"/>
  <c r="CF69" i="1" s="1"/>
  <c r="BP71" i="1"/>
  <c r="BQ71" i="1" s="1"/>
  <c r="BR71" i="1" s="1"/>
  <c r="BK71" i="1"/>
  <c r="BL72" i="1"/>
  <c r="BM72" i="1" s="1"/>
  <c r="BV72" i="1"/>
  <c r="BW72" i="1" s="1"/>
  <c r="BP70" i="1"/>
  <c r="BQ70" i="1" s="1"/>
  <c r="BR70" i="1" s="1"/>
  <c r="BK70" i="1"/>
  <c r="CC68" i="1"/>
  <c r="CF68" i="1" s="1"/>
  <c r="BS68" i="1"/>
  <c r="CC72" i="1"/>
  <c r="CF72" i="1" s="1"/>
  <c r="BS72" i="1"/>
  <c r="BL68" i="1"/>
  <c r="BM68" i="1" s="1"/>
  <c r="BV68" i="1"/>
  <c r="BW68" i="1" s="1"/>
  <c r="BV69" i="1"/>
  <c r="BW69" i="1" s="1"/>
  <c r="BL69" i="1"/>
  <c r="BM69" i="1" s="1"/>
  <c r="BP64" i="1"/>
  <c r="BQ64" i="1" s="1"/>
  <c r="BR64" i="1" s="1"/>
  <c r="BK64" i="1"/>
  <c r="BV63" i="1"/>
  <c r="BW63" i="1" s="1"/>
  <c r="BL63" i="1"/>
  <c r="BM63" i="1" s="1"/>
  <c r="BX60" i="1"/>
  <c r="BN60" i="1"/>
  <c r="BY60" i="1" s="1"/>
  <c r="CA60" i="1" s="1"/>
  <c r="BS63" i="1"/>
  <c r="CC63" i="1"/>
  <c r="CF63" i="1" s="1"/>
  <c r="BK65" i="1"/>
  <c r="BP65" i="1"/>
  <c r="BQ65" i="1" s="1"/>
  <c r="BR65" i="1" s="1"/>
  <c r="BV59" i="1"/>
  <c r="BW59" i="1" s="1"/>
  <c r="BL59" i="1"/>
  <c r="BM59" i="1" s="1"/>
  <c r="BY61" i="1"/>
  <c r="CA61" i="1" s="1"/>
  <c r="BV58" i="1"/>
  <c r="BW58" i="1" s="1"/>
  <c r="BL58" i="1"/>
  <c r="BM58" i="1" s="1"/>
  <c r="CC62" i="1"/>
  <c r="CF62" i="1" s="1"/>
  <c r="BS62" i="1"/>
  <c r="CC59" i="1"/>
  <c r="CF59" i="1" s="1"/>
  <c r="BS59" i="1"/>
  <c r="CC58" i="1"/>
  <c r="CF58" i="1" s="1"/>
  <c r="BS58" i="1"/>
  <c r="BV62" i="1"/>
  <c r="BW62" i="1" s="1"/>
  <c r="BL62" i="1"/>
  <c r="BM62" i="1" s="1"/>
  <c r="BX61" i="1"/>
  <c r="BK50" i="1"/>
  <c r="BP50" i="1"/>
  <c r="BQ50" i="1" s="1"/>
  <c r="BR50" i="1" s="1"/>
  <c r="BJ53" i="1"/>
  <c r="BU53" i="1" s="1"/>
  <c r="BK54" i="1"/>
  <c r="BP54" i="1"/>
  <c r="BQ54" i="1" s="1"/>
  <c r="BR54" i="1" s="1"/>
  <c r="BK57" i="1"/>
  <c r="BP57" i="1"/>
  <c r="BQ57" i="1" s="1"/>
  <c r="BR57" i="1" s="1"/>
  <c r="BJ51" i="1"/>
  <c r="BU51" i="1" s="1"/>
  <c r="BJ52" i="1"/>
  <c r="BU52" i="1" s="1"/>
  <c r="BJ55" i="1"/>
  <c r="BU55" i="1" s="1"/>
  <c r="BJ56" i="1"/>
  <c r="BI31" i="1"/>
  <c r="BI20" i="1"/>
  <c r="BI37" i="1"/>
  <c r="BH32" i="1"/>
  <c r="BH16" i="1"/>
  <c r="BI8" i="1"/>
  <c r="BH37" i="1"/>
  <c r="BH48" i="1"/>
  <c r="BI45" i="1"/>
  <c r="BH33" i="1"/>
  <c r="BH45" i="1"/>
  <c r="BI47" i="1"/>
  <c r="BI3" i="1"/>
  <c r="BI29" i="1"/>
  <c r="BH3" i="1"/>
  <c r="BH13" i="1"/>
  <c r="BI34" i="1"/>
  <c r="BI18" i="1"/>
  <c r="BF48" i="1"/>
  <c r="BH27" i="1"/>
  <c r="BH8" i="1"/>
  <c r="BH35" i="1"/>
  <c r="BF16" i="1"/>
  <c r="BI15" i="1"/>
  <c r="BH5" i="1"/>
  <c r="BH21" i="1"/>
  <c r="BI13" i="1"/>
  <c r="BI32" i="1"/>
  <c r="BI23" i="1"/>
  <c r="BG45" i="1"/>
  <c r="BH40" i="1"/>
  <c r="BI28" i="1"/>
  <c r="M165" i="2"/>
  <c r="M166" i="2" s="1"/>
  <c r="M167" i="2" s="1"/>
  <c r="M168" i="2" s="1"/>
  <c r="M169" i="2" s="1"/>
  <c r="M170" i="2" s="1"/>
  <c r="M171" i="2" s="1"/>
  <c r="M172" i="2" s="1"/>
  <c r="M173" i="2" s="1"/>
  <c r="F120" i="2"/>
  <c r="F121" i="2" s="1"/>
  <c r="F122" i="2" s="1"/>
  <c r="F123" i="2" s="1"/>
  <c r="N125" i="2"/>
  <c r="N126" i="2" s="1"/>
  <c r="N127" i="2" s="1"/>
  <c r="N128" i="2" s="1"/>
  <c r="E165" i="2"/>
  <c r="E166" i="2" s="1"/>
  <c r="E167" i="2" s="1"/>
  <c r="E168" i="2" s="1"/>
  <c r="E169" i="2" s="1"/>
  <c r="E170" i="2" s="1"/>
  <c r="E171" i="2" s="1"/>
  <c r="E172" i="2" s="1"/>
  <c r="E173" i="2" s="1"/>
  <c r="N155" i="2"/>
  <c r="N156" i="2" s="1"/>
  <c r="N157" i="2" s="1"/>
  <c r="N158" i="2" s="1"/>
  <c r="E160" i="2"/>
  <c r="E161" i="2" s="1"/>
  <c r="E162" i="2" s="1"/>
  <c r="E163" i="2" s="1"/>
  <c r="F155" i="2"/>
  <c r="F156" i="2" s="1"/>
  <c r="F157" i="2" s="1"/>
  <c r="F158" i="2" s="1"/>
  <c r="BI42" i="1"/>
  <c r="BH18" i="1"/>
  <c r="BF8" i="1"/>
  <c r="BH2" i="1"/>
  <c r="BH43" i="1"/>
  <c r="BI40" i="1"/>
  <c r="BI36" i="1"/>
  <c r="BF31" i="1"/>
  <c r="BH26" i="1"/>
  <c r="BG18" i="1"/>
  <c r="BI10" i="1"/>
  <c r="BH42" i="1"/>
  <c r="BH10" i="1"/>
  <c r="BH49" i="1"/>
  <c r="BI39" i="1"/>
  <c r="BF34" i="1"/>
  <c r="BF32" i="1"/>
  <c r="BH29" i="1"/>
  <c r="BI26" i="1"/>
  <c r="BH24" i="1"/>
  <c r="BH17" i="1"/>
  <c r="BI7" i="1"/>
  <c r="BI5" i="1"/>
  <c r="BF18" i="1"/>
  <c r="BI24" i="1"/>
  <c r="BI48" i="1"/>
  <c r="BI44" i="1"/>
  <c r="BH34" i="1"/>
  <c r="BG26" i="1"/>
  <c r="BI21" i="1"/>
  <c r="BI16" i="1"/>
  <c r="BI12" i="1"/>
  <c r="BH25" i="1"/>
  <c r="BH41" i="1"/>
  <c r="BG33" i="1"/>
  <c r="BH9" i="1"/>
  <c r="BH4" i="1"/>
  <c r="K130" i="2"/>
  <c r="K131" i="2" s="1"/>
  <c r="K132" i="2" s="1"/>
  <c r="K133" i="2" s="1"/>
  <c r="K134" i="2" s="1"/>
  <c r="K135" i="2" s="1"/>
  <c r="K136" i="2" s="1"/>
  <c r="K137" i="2" s="1"/>
  <c r="K138" i="2" s="1"/>
  <c r="F130" i="2"/>
  <c r="F131" i="2" s="1"/>
  <c r="F132" i="2" s="1"/>
  <c r="F133" i="2" s="1"/>
  <c r="F134" i="2" s="1"/>
  <c r="F135" i="2" s="1"/>
  <c r="F136" i="2" s="1"/>
  <c r="F137" i="2" s="1"/>
  <c r="F138" i="2" s="1"/>
  <c r="E125" i="2"/>
  <c r="E126" i="2" s="1"/>
  <c r="E127" i="2" s="1"/>
  <c r="E128" i="2" s="1"/>
  <c r="E130" i="2"/>
  <c r="E131" i="2" s="1"/>
  <c r="E132" i="2" s="1"/>
  <c r="E133" i="2" s="1"/>
  <c r="E134" i="2" s="1"/>
  <c r="E135" i="2" s="1"/>
  <c r="E136" i="2" s="1"/>
  <c r="E137" i="2" s="1"/>
  <c r="E138" i="2" s="1"/>
  <c r="N130" i="2"/>
  <c r="N131" i="2"/>
  <c r="N132" i="2" s="1"/>
  <c r="N133" i="2" s="1"/>
  <c r="N134" i="2" s="1"/>
  <c r="N135" i="2" s="1"/>
  <c r="N136" i="2" s="1"/>
  <c r="N137" i="2" s="1"/>
  <c r="N138" i="2" s="1"/>
  <c r="H130" i="2"/>
  <c r="H131" i="2" s="1"/>
  <c r="H132" i="2" s="1"/>
  <c r="H133" i="2" s="1"/>
  <c r="H134" i="2" s="1"/>
  <c r="H135" i="2" s="1"/>
  <c r="H136" i="2" s="1"/>
  <c r="H137" i="2" s="1"/>
  <c r="H138" i="2" s="1"/>
  <c r="BH31" i="1"/>
  <c r="BH44" i="1"/>
  <c r="BH36" i="1"/>
  <c r="BH28" i="1"/>
  <c r="BH20" i="1"/>
  <c r="BH12" i="1"/>
  <c r="BH47" i="1"/>
  <c r="BG44" i="1"/>
  <c r="BH39" i="1"/>
  <c r="BG36" i="1"/>
  <c r="BG28" i="1"/>
  <c r="BH23" i="1"/>
  <c r="BG20" i="1"/>
  <c r="BH15" i="1"/>
  <c r="BG12" i="1"/>
  <c r="BH7" i="1"/>
  <c r="BG4" i="1"/>
  <c r="BI35" i="1"/>
  <c r="BI27" i="1"/>
  <c r="BI19" i="1"/>
  <c r="BI11" i="1"/>
  <c r="BI30" i="1"/>
  <c r="BI22" i="1"/>
  <c r="BH19" i="1"/>
  <c r="BH11" i="1"/>
  <c r="BI6" i="1"/>
  <c r="BI49" i="1"/>
  <c r="BG43" i="1"/>
  <c r="BH38" i="1"/>
  <c r="BG35" i="1"/>
  <c r="BI33" i="1"/>
  <c r="BH30" i="1"/>
  <c r="BG27" i="1"/>
  <c r="BI25" i="1"/>
  <c r="BH22" i="1"/>
  <c r="BI17" i="1"/>
  <c r="BH14" i="1"/>
  <c r="BI9" i="1"/>
  <c r="BH6" i="1"/>
  <c r="BI43" i="1"/>
  <c r="BI46" i="1"/>
  <c r="BI38" i="1"/>
  <c r="BI14" i="1"/>
  <c r="BH46" i="1"/>
  <c r="BI41" i="1"/>
  <c r="BI4" i="1"/>
  <c r="CF474" i="1" l="1"/>
  <c r="CF162" i="1"/>
  <c r="CF475" i="1"/>
  <c r="CF166" i="1"/>
  <c r="CF479" i="1"/>
  <c r="CF428" i="1"/>
  <c r="CF469" i="1"/>
  <c r="CF473" i="1"/>
  <c r="CF373" i="1"/>
  <c r="CF486" i="1"/>
  <c r="CF376" i="1"/>
  <c r="CF489" i="1"/>
  <c r="BY437" i="1"/>
  <c r="CA437" i="1" s="1"/>
  <c r="CF430" i="1"/>
  <c r="CF471" i="1"/>
  <c r="CF372" i="1"/>
  <c r="CF485" i="1"/>
  <c r="CF429" i="1"/>
  <c r="CF470" i="1"/>
  <c r="CF164" i="1"/>
  <c r="CF477" i="1"/>
  <c r="CF168" i="1"/>
  <c r="CF481" i="1"/>
  <c r="CF426" i="1"/>
  <c r="CF467" i="1"/>
  <c r="CF377" i="1"/>
  <c r="CF374" i="1"/>
  <c r="CF487" i="1"/>
  <c r="BY353" i="1"/>
  <c r="CA353" i="1" s="1"/>
  <c r="BY403" i="1"/>
  <c r="CA403" i="1" s="1"/>
  <c r="BY133" i="1"/>
  <c r="CA133" i="1" s="1"/>
  <c r="BY278" i="1"/>
  <c r="CA278" i="1" s="1"/>
  <c r="BY369" i="1"/>
  <c r="CA369" i="1" s="1"/>
  <c r="BY446" i="1"/>
  <c r="CA446" i="1" s="1"/>
  <c r="BY229" i="1"/>
  <c r="CA229" i="1" s="1"/>
  <c r="BY399" i="1"/>
  <c r="CA399" i="1" s="1"/>
  <c r="BY233" i="1"/>
  <c r="CA233" i="1" s="1"/>
  <c r="BY371" i="1"/>
  <c r="CA371" i="1" s="1"/>
  <c r="BY331" i="1"/>
  <c r="CA331" i="1" s="1"/>
  <c r="BX365" i="1"/>
  <c r="BY342" i="1"/>
  <c r="CA342" i="1" s="1"/>
  <c r="BY379" i="1"/>
  <c r="CA379" i="1" s="1"/>
  <c r="BX383" i="1"/>
  <c r="BY94" i="1"/>
  <c r="CA94" i="1" s="1"/>
  <c r="BX165" i="1"/>
  <c r="BN165" i="1"/>
  <c r="BY165" i="1" s="1"/>
  <c r="CA165" i="1" s="1"/>
  <c r="BY90" i="1"/>
  <c r="CA90" i="1" s="1"/>
  <c r="BY355" i="1"/>
  <c r="CA355" i="1" s="1"/>
  <c r="BY393" i="1"/>
  <c r="CA393" i="1" s="1"/>
  <c r="BY395" i="1"/>
  <c r="CA395" i="1" s="1"/>
  <c r="BY433" i="1"/>
  <c r="CA433" i="1" s="1"/>
  <c r="BX273" i="1"/>
  <c r="BN273" i="1"/>
  <c r="BY273" i="1" s="1"/>
  <c r="CA273" i="1" s="1"/>
  <c r="BY306" i="1"/>
  <c r="CA306" i="1" s="1"/>
  <c r="BY198" i="1"/>
  <c r="CA198" i="1" s="1"/>
  <c r="BP56" i="1"/>
  <c r="BQ56" i="1" s="1"/>
  <c r="BR56" i="1" s="1"/>
  <c r="BU56" i="1"/>
  <c r="BX169" i="1"/>
  <c r="BN169" i="1"/>
  <c r="BY169" i="1" s="1"/>
  <c r="CA169" i="1" s="1"/>
  <c r="BY457" i="1"/>
  <c r="CA457" i="1" s="1"/>
  <c r="BV145" i="1"/>
  <c r="BW145" i="1" s="1"/>
  <c r="BL145" i="1"/>
  <c r="BM145" i="1" s="1"/>
  <c r="BY269" i="1"/>
  <c r="CA269" i="1" s="1"/>
  <c r="BX269" i="1"/>
  <c r="BS153" i="1"/>
  <c r="CC153" i="1"/>
  <c r="CF153" i="1" s="1"/>
  <c r="BX177" i="1"/>
  <c r="BN177" i="1"/>
  <c r="BY177" i="1" s="1"/>
  <c r="CA177" i="1" s="1"/>
  <c r="CC193" i="1"/>
  <c r="CF193" i="1" s="1"/>
  <c r="BS193" i="1"/>
  <c r="CC145" i="1"/>
  <c r="CF145" i="1" s="1"/>
  <c r="BS145" i="1"/>
  <c r="BV425" i="1"/>
  <c r="BW425" i="1" s="1"/>
  <c r="BL425" i="1"/>
  <c r="BM425" i="1" s="1"/>
  <c r="BX141" i="1"/>
  <c r="BN141" i="1"/>
  <c r="BY141" i="1" s="1"/>
  <c r="CA141" i="1" s="1"/>
  <c r="BS425" i="1"/>
  <c r="CC425" i="1"/>
  <c r="CF425" i="1" s="1"/>
  <c r="BV193" i="1"/>
  <c r="BW193" i="1" s="1"/>
  <c r="BL193" i="1"/>
  <c r="BM193" i="1" s="1"/>
  <c r="BV149" i="1"/>
  <c r="BW149" i="1" s="1"/>
  <c r="BL149" i="1"/>
  <c r="BM149" i="1" s="1"/>
  <c r="CC149" i="1"/>
  <c r="CF149" i="1" s="1"/>
  <c r="BS149" i="1"/>
  <c r="CC289" i="1"/>
  <c r="CF289" i="1" s="1"/>
  <c r="BS289" i="1"/>
  <c r="BV289" i="1"/>
  <c r="BW289" i="1" s="1"/>
  <c r="BL289" i="1"/>
  <c r="BM289" i="1" s="1"/>
  <c r="BV189" i="1"/>
  <c r="BW189" i="1" s="1"/>
  <c r="BL189" i="1"/>
  <c r="BM189" i="1" s="1"/>
  <c r="BN189" i="1" s="1"/>
  <c r="BV285" i="1"/>
  <c r="BW285" i="1" s="1"/>
  <c r="BL285" i="1"/>
  <c r="BM285" i="1" s="1"/>
  <c r="BX209" i="1"/>
  <c r="BN209" i="1"/>
  <c r="BY209" i="1" s="1"/>
  <c r="CA209" i="1" s="1"/>
  <c r="CC189" i="1"/>
  <c r="CF189" i="1" s="1"/>
  <c r="BS189" i="1"/>
  <c r="CC285" i="1"/>
  <c r="CF285" i="1" s="1"/>
  <c r="BS285" i="1"/>
  <c r="BL153" i="1"/>
  <c r="BM153" i="1" s="1"/>
  <c r="BV153" i="1"/>
  <c r="BW153" i="1" s="1"/>
  <c r="BX421" i="1"/>
  <c r="BN421" i="1"/>
  <c r="BY421" i="1" s="1"/>
  <c r="CA421" i="1" s="1"/>
  <c r="CC459" i="1"/>
  <c r="CF459" i="1" s="1"/>
  <c r="BS459" i="1"/>
  <c r="BX460" i="1"/>
  <c r="BN460" i="1"/>
  <c r="BY460" i="1" s="1"/>
  <c r="CA460" i="1" s="1"/>
  <c r="BL459" i="1"/>
  <c r="BM459" i="1" s="1"/>
  <c r="BV459" i="1"/>
  <c r="BW459" i="1" s="1"/>
  <c r="BN458" i="1"/>
  <c r="BY458" i="1" s="1"/>
  <c r="CA458" i="1" s="1"/>
  <c r="BX458" i="1"/>
  <c r="CC463" i="1"/>
  <c r="CF463" i="1" s="1"/>
  <c r="BS463" i="1"/>
  <c r="BN462" i="1"/>
  <c r="BY462" i="1" s="1"/>
  <c r="CA462" i="1" s="1"/>
  <c r="BX462" i="1"/>
  <c r="BX464" i="1"/>
  <c r="BN464" i="1"/>
  <c r="BY464" i="1" s="1"/>
  <c r="CA464" i="1" s="1"/>
  <c r="BL463" i="1"/>
  <c r="BM463" i="1" s="1"/>
  <c r="BV463" i="1"/>
  <c r="BW463" i="1" s="1"/>
  <c r="CC452" i="1"/>
  <c r="CF452" i="1" s="1"/>
  <c r="BS452" i="1"/>
  <c r="CC455" i="1"/>
  <c r="CF455" i="1" s="1"/>
  <c r="BS455" i="1"/>
  <c r="CC450" i="1"/>
  <c r="CF450" i="1" s="1"/>
  <c r="BS450" i="1"/>
  <c r="BL455" i="1"/>
  <c r="BM455" i="1" s="1"/>
  <c r="BV455" i="1"/>
  <c r="BW455" i="1" s="1"/>
  <c r="BV450" i="1"/>
  <c r="BW450" i="1" s="1"/>
  <c r="BL450" i="1"/>
  <c r="BM450" i="1" s="1"/>
  <c r="CC451" i="1"/>
  <c r="CF451" i="1" s="1"/>
  <c r="BS451" i="1"/>
  <c r="BL451" i="1"/>
  <c r="BM451" i="1" s="1"/>
  <c r="BV451" i="1"/>
  <c r="BW451" i="1" s="1"/>
  <c r="CC456" i="1"/>
  <c r="CF456" i="1" s="1"/>
  <c r="BS456" i="1"/>
  <c r="BX454" i="1"/>
  <c r="BN454" i="1"/>
  <c r="BY454" i="1" s="1"/>
  <c r="CA454" i="1" s="1"/>
  <c r="BV456" i="1"/>
  <c r="BW456" i="1" s="1"/>
  <c r="BL456" i="1"/>
  <c r="BM456" i="1" s="1"/>
  <c r="BL452" i="1"/>
  <c r="BM452" i="1" s="1"/>
  <c r="BV452" i="1"/>
  <c r="BW452" i="1" s="1"/>
  <c r="CC449" i="1"/>
  <c r="CF449" i="1" s="1"/>
  <c r="BS449" i="1"/>
  <c r="BX444" i="1"/>
  <c r="BN444" i="1"/>
  <c r="BY444" i="1" s="1"/>
  <c r="CA444" i="1" s="1"/>
  <c r="BV449" i="1"/>
  <c r="BW449" i="1" s="1"/>
  <c r="BL449" i="1"/>
  <c r="BM449" i="1" s="1"/>
  <c r="CC445" i="1"/>
  <c r="CF445" i="1" s="1"/>
  <c r="BS445" i="1"/>
  <c r="BX442" i="1"/>
  <c r="BN442" i="1"/>
  <c r="BY442" i="1" s="1"/>
  <c r="CA442" i="1" s="1"/>
  <c r="BV445" i="1"/>
  <c r="BW445" i="1" s="1"/>
  <c r="BL445" i="1"/>
  <c r="BM445" i="1" s="1"/>
  <c r="BX448" i="1"/>
  <c r="BN448" i="1"/>
  <c r="BY448" i="1" s="1"/>
  <c r="CA448" i="1" s="1"/>
  <c r="BV435" i="1"/>
  <c r="BW435" i="1" s="1"/>
  <c r="BL435" i="1"/>
  <c r="BM435" i="1" s="1"/>
  <c r="BX430" i="1"/>
  <c r="BN430" i="1"/>
  <c r="BY430" i="1" s="1"/>
  <c r="CA430" i="1" s="1"/>
  <c r="BX432" i="1"/>
  <c r="BN432" i="1"/>
  <c r="BY432" i="1" s="1"/>
  <c r="CA432" i="1" s="1"/>
  <c r="BX440" i="1"/>
  <c r="BN440" i="1"/>
  <c r="BY440" i="1" s="1"/>
  <c r="CA440" i="1" s="1"/>
  <c r="CC427" i="1"/>
  <c r="BS427" i="1"/>
  <c r="BX426" i="1"/>
  <c r="BN426" i="1"/>
  <c r="BY426" i="1" s="1"/>
  <c r="CA426" i="1" s="1"/>
  <c r="CC431" i="1"/>
  <c r="BS431" i="1"/>
  <c r="CC439" i="1"/>
  <c r="CF439" i="1" s="1"/>
  <c r="BS439" i="1"/>
  <c r="BV427" i="1"/>
  <c r="BW427" i="1" s="1"/>
  <c r="BL427" i="1"/>
  <c r="BM427" i="1" s="1"/>
  <c r="BX428" i="1"/>
  <c r="BN428" i="1"/>
  <c r="BY428" i="1" s="1"/>
  <c r="CA428" i="1" s="1"/>
  <c r="BX438" i="1"/>
  <c r="BN438" i="1"/>
  <c r="BY438" i="1" s="1"/>
  <c r="CA438" i="1" s="1"/>
  <c r="BV431" i="1"/>
  <c r="BW431" i="1" s="1"/>
  <c r="BL431" i="1"/>
  <c r="BM431" i="1" s="1"/>
  <c r="BV439" i="1"/>
  <c r="BW439" i="1" s="1"/>
  <c r="BL439" i="1"/>
  <c r="BM439" i="1" s="1"/>
  <c r="CC435" i="1"/>
  <c r="CF435" i="1" s="1"/>
  <c r="BS435" i="1"/>
  <c r="BX434" i="1"/>
  <c r="BN434" i="1"/>
  <c r="BY434" i="1" s="1"/>
  <c r="CA434" i="1" s="1"/>
  <c r="BX436" i="1"/>
  <c r="BN436" i="1"/>
  <c r="BY436" i="1" s="1"/>
  <c r="CA436" i="1" s="1"/>
  <c r="CC423" i="1"/>
  <c r="CF423" i="1" s="1"/>
  <c r="BS423" i="1"/>
  <c r="BL419" i="1"/>
  <c r="BM419" i="1" s="1"/>
  <c r="BV419" i="1"/>
  <c r="BW419" i="1" s="1"/>
  <c r="BX424" i="1"/>
  <c r="BN424" i="1"/>
  <c r="BY424" i="1" s="1"/>
  <c r="CA424" i="1" s="1"/>
  <c r="BL423" i="1"/>
  <c r="BM423" i="1" s="1"/>
  <c r="BV423" i="1"/>
  <c r="BW423" i="1" s="1"/>
  <c r="BX420" i="1"/>
  <c r="BN420" i="1"/>
  <c r="BY420" i="1" s="1"/>
  <c r="CA420" i="1" s="1"/>
  <c r="BX422" i="1"/>
  <c r="BN422" i="1"/>
  <c r="BY422" i="1" s="1"/>
  <c r="CA422" i="1" s="1"/>
  <c r="BX418" i="1"/>
  <c r="BN418" i="1"/>
  <c r="BY418" i="1" s="1"/>
  <c r="CA418" i="1" s="1"/>
  <c r="CC419" i="1"/>
  <c r="CF419" i="1" s="1"/>
  <c r="BS419" i="1"/>
  <c r="BX412" i="1"/>
  <c r="BN412" i="1"/>
  <c r="BY412" i="1" s="1"/>
  <c r="CA412" i="1" s="1"/>
  <c r="BS413" i="1"/>
  <c r="CC413" i="1"/>
  <c r="CF413" i="1" s="1"/>
  <c r="BX410" i="1"/>
  <c r="BN410" i="1"/>
  <c r="BY410" i="1" s="1"/>
  <c r="CA410" i="1" s="1"/>
  <c r="BV417" i="1"/>
  <c r="BW417" i="1" s="1"/>
  <c r="BL417" i="1"/>
  <c r="BM417" i="1" s="1"/>
  <c r="BS417" i="1"/>
  <c r="CC417" i="1"/>
  <c r="CF417" i="1" s="1"/>
  <c r="BX414" i="1"/>
  <c r="BN414" i="1"/>
  <c r="BY414" i="1" s="1"/>
  <c r="CA414" i="1" s="1"/>
  <c r="BX416" i="1"/>
  <c r="BN416" i="1"/>
  <c r="BY416" i="1" s="1"/>
  <c r="CA416" i="1" s="1"/>
  <c r="CC415" i="1"/>
  <c r="CF415" i="1" s="1"/>
  <c r="BS415" i="1"/>
  <c r="CC411" i="1"/>
  <c r="CF411" i="1" s="1"/>
  <c r="BS411" i="1"/>
  <c r="BV415" i="1"/>
  <c r="BW415" i="1" s="1"/>
  <c r="BL415" i="1"/>
  <c r="BM415" i="1" s="1"/>
  <c r="BV411" i="1"/>
  <c r="BW411" i="1" s="1"/>
  <c r="BL411" i="1"/>
  <c r="BM411" i="1" s="1"/>
  <c r="BV413" i="1"/>
  <c r="BW413" i="1" s="1"/>
  <c r="BL413" i="1"/>
  <c r="BM413" i="1" s="1"/>
  <c r="BS405" i="1"/>
  <c r="CC405" i="1"/>
  <c r="CF405" i="1" s="1"/>
  <c r="BL409" i="1"/>
  <c r="BM409" i="1" s="1"/>
  <c r="BV409" i="1"/>
  <c r="BW409" i="1" s="1"/>
  <c r="BX406" i="1"/>
  <c r="BN406" i="1"/>
  <c r="BY406" i="1" s="1"/>
  <c r="CA406" i="1" s="1"/>
  <c r="BX398" i="1"/>
  <c r="BN398" i="1"/>
  <c r="BY398" i="1" s="1"/>
  <c r="CA398" i="1" s="1"/>
  <c r="BX408" i="1"/>
  <c r="BN408" i="1"/>
  <c r="BY408" i="1" s="1"/>
  <c r="CA408" i="1" s="1"/>
  <c r="BS409" i="1"/>
  <c r="CC409" i="1"/>
  <c r="CF409" i="1" s="1"/>
  <c r="BX400" i="1"/>
  <c r="BN400" i="1"/>
  <c r="BY400" i="1" s="1"/>
  <c r="CA400" i="1" s="1"/>
  <c r="BS397" i="1"/>
  <c r="CC397" i="1"/>
  <c r="CF397" i="1" s="1"/>
  <c r="BL397" i="1"/>
  <c r="BM397" i="1" s="1"/>
  <c r="BV397" i="1"/>
  <c r="BW397" i="1" s="1"/>
  <c r="BV401" i="1"/>
  <c r="BW401" i="1" s="1"/>
  <c r="BL401" i="1"/>
  <c r="BM401" i="1" s="1"/>
  <c r="BS401" i="1"/>
  <c r="CC401" i="1"/>
  <c r="CF401" i="1" s="1"/>
  <c r="BX396" i="1"/>
  <c r="BN396" i="1"/>
  <c r="BY396" i="1" s="1"/>
  <c r="CA396" i="1" s="1"/>
  <c r="CC394" i="1"/>
  <c r="CF394" i="1" s="1"/>
  <c r="BS394" i="1"/>
  <c r="BX402" i="1"/>
  <c r="BN402" i="1"/>
  <c r="BY402" i="1" s="1"/>
  <c r="CA402" i="1" s="1"/>
  <c r="BX404" i="1"/>
  <c r="BN404" i="1"/>
  <c r="BY404" i="1" s="1"/>
  <c r="CA404" i="1" s="1"/>
  <c r="BV405" i="1"/>
  <c r="BW405" i="1" s="1"/>
  <c r="BL405" i="1"/>
  <c r="BM405" i="1" s="1"/>
  <c r="BV394" i="1"/>
  <c r="BW394" i="1" s="1"/>
  <c r="BL394" i="1"/>
  <c r="BM394" i="1" s="1"/>
  <c r="CC391" i="1"/>
  <c r="CF391" i="1" s="1"/>
  <c r="BS391" i="1"/>
  <c r="BX390" i="1"/>
  <c r="BN390" i="1"/>
  <c r="BY390" i="1" s="1"/>
  <c r="CA390" i="1" s="1"/>
  <c r="BX388" i="1"/>
  <c r="BN388" i="1"/>
  <c r="BY388" i="1" s="1"/>
  <c r="CA388" i="1" s="1"/>
  <c r="BX386" i="1"/>
  <c r="BN386" i="1"/>
  <c r="BY386" i="1" s="1"/>
  <c r="CA386" i="1" s="1"/>
  <c r="CC387" i="1"/>
  <c r="CF387" i="1" s="1"/>
  <c r="BS387" i="1"/>
  <c r="BV387" i="1"/>
  <c r="BW387" i="1" s="1"/>
  <c r="BL387" i="1"/>
  <c r="BM387" i="1" s="1"/>
  <c r="BX392" i="1"/>
  <c r="BN392" i="1"/>
  <c r="BY392" i="1" s="1"/>
  <c r="CA392" i="1" s="1"/>
  <c r="BV391" i="1"/>
  <c r="BW391" i="1" s="1"/>
  <c r="BL391" i="1"/>
  <c r="BM391" i="1" s="1"/>
  <c r="BX372" i="1"/>
  <c r="BN372" i="1"/>
  <c r="BY372" i="1" s="1"/>
  <c r="CA372" i="1" s="1"/>
  <c r="CC370" i="1"/>
  <c r="BS370" i="1"/>
  <c r="BX373" i="1"/>
  <c r="BN373" i="1"/>
  <c r="BY373" i="1" s="1"/>
  <c r="CA373" i="1" s="1"/>
  <c r="BX384" i="1"/>
  <c r="BN384" i="1"/>
  <c r="BY384" i="1" s="1"/>
  <c r="CA384" i="1" s="1"/>
  <c r="BX381" i="1"/>
  <c r="BN381" i="1"/>
  <c r="BY381" i="1" s="1"/>
  <c r="CA381" i="1" s="1"/>
  <c r="BX382" i="1"/>
  <c r="BN382" i="1"/>
  <c r="BY382" i="1" s="1"/>
  <c r="CA382" i="1" s="1"/>
  <c r="BX374" i="1"/>
  <c r="BN374" i="1"/>
  <c r="BY374" i="1" s="1"/>
  <c r="CA374" i="1" s="1"/>
  <c r="BX376" i="1"/>
  <c r="BN376" i="1"/>
  <c r="BY376" i="1" s="1"/>
  <c r="CA376" i="1" s="1"/>
  <c r="BV370" i="1"/>
  <c r="BW370" i="1" s="1"/>
  <c r="BL370" i="1"/>
  <c r="BM370" i="1" s="1"/>
  <c r="BL385" i="1"/>
  <c r="BM385" i="1" s="1"/>
  <c r="BV385" i="1"/>
  <c r="BW385" i="1" s="1"/>
  <c r="BX378" i="1"/>
  <c r="BN378" i="1"/>
  <c r="BY378" i="1" s="1"/>
  <c r="CA378" i="1" s="1"/>
  <c r="BX380" i="1"/>
  <c r="BN380" i="1"/>
  <c r="BY380" i="1" s="1"/>
  <c r="CA380" i="1" s="1"/>
  <c r="BX377" i="1"/>
  <c r="BN377" i="1"/>
  <c r="BY377" i="1" s="1"/>
  <c r="CA377" i="1" s="1"/>
  <c r="CC385" i="1"/>
  <c r="CF385" i="1" s="1"/>
  <c r="BS385" i="1"/>
  <c r="BL362" i="1"/>
  <c r="BM362" i="1" s="1"/>
  <c r="BV362" i="1"/>
  <c r="BW362" i="1" s="1"/>
  <c r="BV367" i="1"/>
  <c r="BW367" i="1" s="1"/>
  <c r="BL367" i="1"/>
  <c r="BM367" i="1" s="1"/>
  <c r="BL363" i="1"/>
  <c r="BM363" i="1" s="1"/>
  <c r="BV363" i="1"/>
  <c r="BW363" i="1" s="1"/>
  <c r="CC362" i="1"/>
  <c r="CF362" i="1" s="1"/>
  <c r="BS362" i="1"/>
  <c r="BX368" i="1"/>
  <c r="BN368" i="1"/>
  <c r="BY368" i="1" s="1"/>
  <c r="CA368" i="1" s="1"/>
  <c r="BX366" i="1"/>
  <c r="BN366" i="1"/>
  <c r="BY366" i="1" s="1"/>
  <c r="CA366" i="1" s="1"/>
  <c r="BX364" i="1"/>
  <c r="BN364" i="1"/>
  <c r="BY364" i="1" s="1"/>
  <c r="CA364" i="1" s="1"/>
  <c r="CC367" i="1"/>
  <c r="CF367" i="1" s="1"/>
  <c r="BS367" i="1"/>
  <c r="CC363" i="1"/>
  <c r="CF363" i="1" s="1"/>
  <c r="BS363" i="1"/>
  <c r="BL357" i="1"/>
  <c r="BM357" i="1" s="1"/>
  <c r="BV357" i="1"/>
  <c r="BW357" i="1" s="1"/>
  <c r="BL361" i="1"/>
  <c r="BM361" i="1" s="1"/>
  <c r="BV361" i="1"/>
  <c r="BW361" i="1" s="1"/>
  <c r="CC357" i="1"/>
  <c r="CF357" i="1" s="1"/>
  <c r="BS357" i="1"/>
  <c r="BN356" i="1"/>
  <c r="BY356" i="1" s="1"/>
  <c r="CA356" i="1" s="1"/>
  <c r="BX356" i="1"/>
  <c r="CC361" i="1"/>
  <c r="CF361" i="1" s="1"/>
  <c r="BS361" i="1"/>
  <c r="BX359" i="1"/>
  <c r="BN359" i="1"/>
  <c r="BY359" i="1" s="1"/>
  <c r="CA359" i="1" s="1"/>
  <c r="BX354" i="1"/>
  <c r="BN354" i="1"/>
  <c r="BY354" i="1" s="1"/>
  <c r="CA354" i="1" s="1"/>
  <c r="BX358" i="1"/>
  <c r="BN358" i="1"/>
  <c r="BY358" i="1" s="1"/>
  <c r="CA358" i="1" s="1"/>
  <c r="BN360" i="1"/>
  <c r="BY360" i="1" s="1"/>
  <c r="CA360" i="1" s="1"/>
  <c r="BX360" i="1"/>
  <c r="BL351" i="1"/>
  <c r="BM351" i="1" s="1"/>
  <c r="BV351" i="1"/>
  <c r="BW351" i="1" s="1"/>
  <c r="BX350" i="1"/>
  <c r="BN350" i="1"/>
  <c r="BY350" i="1" s="1"/>
  <c r="CA350" i="1" s="1"/>
  <c r="BX346" i="1"/>
  <c r="BN346" i="1"/>
  <c r="BY346" i="1" s="1"/>
  <c r="CA346" i="1" s="1"/>
  <c r="BX347" i="1"/>
  <c r="BN347" i="1"/>
  <c r="BY347" i="1" s="1"/>
  <c r="CA347" i="1" s="1"/>
  <c r="BX352" i="1"/>
  <c r="BN352" i="1"/>
  <c r="BY352" i="1" s="1"/>
  <c r="CA352" i="1" s="1"/>
  <c r="BX348" i="1"/>
  <c r="BN348" i="1"/>
  <c r="BY348" i="1" s="1"/>
  <c r="CA348" i="1" s="1"/>
  <c r="BS351" i="1"/>
  <c r="CC351" i="1"/>
  <c r="CF351" i="1" s="1"/>
  <c r="CC345" i="1"/>
  <c r="CF345" i="1" s="1"/>
  <c r="BS345" i="1"/>
  <c r="BX340" i="1"/>
  <c r="BN340" i="1"/>
  <c r="BY340" i="1" s="1"/>
  <c r="CA340" i="1" s="1"/>
  <c r="BX344" i="1"/>
  <c r="BN344" i="1"/>
  <c r="BY344" i="1" s="1"/>
  <c r="CA344" i="1" s="1"/>
  <c r="BV341" i="1"/>
  <c r="BW341" i="1" s="1"/>
  <c r="BL341" i="1"/>
  <c r="BM341" i="1" s="1"/>
  <c r="BL345" i="1"/>
  <c r="BM345" i="1" s="1"/>
  <c r="BV345" i="1"/>
  <c r="BW345" i="1" s="1"/>
  <c r="BX338" i="1"/>
  <c r="BN338" i="1"/>
  <c r="BY338" i="1" s="1"/>
  <c r="CA338" i="1" s="1"/>
  <c r="CC341" i="1"/>
  <c r="CF341" i="1" s="1"/>
  <c r="BS341" i="1"/>
  <c r="BV330" i="1"/>
  <c r="BW330" i="1" s="1"/>
  <c r="BL330" i="1"/>
  <c r="BM330" i="1" s="1"/>
  <c r="BV333" i="1"/>
  <c r="BW333" i="1" s="1"/>
  <c r="BL333" i="1"/>
  <c r="BM333" i="1" s="1"/>
  <c r="CC337" i="1"/>
  <c r="CF337" i="1" s="1"/>
  <c r="BS337" i="1"/>
  <c r="CC334" i="1"/>
  <c r="CF334" i="1" s="1"/>
  <c r="BS334" i="1"/>
  <c r="CC330" i="1"/>
  <c r="CF330" i="1" s="1"/>
  <c r="BS330" i="1"/>
  <c r="BL337" i="1"/>
  <c r="BM337" i="1" s="1"/>
  <c r="BV337" i="1"/>
  <c r="BW337" i="1" s="1"/>
  <c r="BX332" i="1"/>
  <c r="BN332" i="1"/>
  <c r="BY332" i="1" s="1"/>
  <c r="CA332" i="1" s="1"/>
  <c r="BV334" i="1"/>
  <c r="BW334" i="1" s="1"/>
  <c r="BL334" i="1"/>
  <c r="BM334" i="1" s="1"/>
  <c r="CC333" i="1"/>
  <c r="CF333" i="1" s="1"/>
  <c r="BS333" i="1"/>
  <c r="BX336" i="1"/>
  <c r="BN336" i="1"/>
  <c r="BY336" i="1" s="1"/>
  <c r="CA336" i="1" s="1"/>
  <c r="BX328" i="1"/>
  <c r="BN328" i="1"/>
  <c r="BY328" i="1" s="1"/>
  <c r="CA328" i="1" s="1"/>
  <c r="BX324" i="1"/>
  <c r="BN324" i="1"/>
  <c r="BY324" i="1" s="1"/>
  <c r="CA324" i="1" s="1"/>
  <c r="BV325" i="1"/>
  <c r="BW325" i="1" s="1"/>
  <c r="BL325" i="1"/>
  <c r="BM325" i="1" s="1"/>
  <c r="BS325" i="1"/>
  <c r="CC325" i="1"/>
  <c r="CF325" i="1" s="1"/>
  <c r="BX322" i="1"/>
  <c r="BN322" i="1"/>
  <c r="BY322" i="1" s="1"/>
  <c r="CA322" i="1" s="1"/>
  <c r="BV329" i="1"/>
  <c r="BW329" i="1" s="1"/>
  <c r="BL329" i="1"/>
  <c r="BM329" i="1" s="1"/>
  <c r="BX326" i="1"/>
  <c r="BN326" i="1"/>
  <c r="BY326" i="1" s="1"/>
  <c r="CA326" i="1" s="1"/>
  <c r="BS329" i="1"/>
  <c r="CC329" i="1"/>
  <c r="CF329" i="1" s="1"/>
  <c r="CC317" i="1"/>
  <c r="CF317" i="1" s="1"/>
  <c r="BS317" i="1"/>
  <c r="BX319" i="1"/>
  <c r="BN319" i="1"/>
  <c r="BY319" i="1" s="1"/>
  <c r="CA319" i="1" s="1"/>
  <c r="BX315" i="1"/>
  <c r="BN315" i="1"/>
  <c r="BY315" i="1" s="1"/>
  <c r="CA315" i="1" s="1"/>
  <c r="BX316" i="1"/>
  <c r="BN316" i="1"/>
  <c r="BY316" i="1" s="1"/>
  <c r="CA316" i="1" s="1"/>
  <c r="BV317" i="1"/>
  <c r="BW317" i="1" s="1"/>
  <c r="BL317" i="1"/>
  <c r="BM317" i="1" s="1"/>
  <c r="BX320" i="1"/>
  <c r="BN320" i="1"/>
  <c r="BY320" i="1" s="1"/>
  <c r="CA320" i="1" s="1"/>
  <c r="BN321" i="1"/>
  <c r="BY321" i="1" s="1"/>
  <c r="CA321" i="1" s="1"/>
  <c r="BX321" i="1"/>
  <c r="BN318" i="1"/>
  <c r="BY318" i="1" s="1"/>
  <c r="CA318" i="1" s="1"/>
  <c r="BX318" i="1"/>
  <c r="BX314" i="1"/>
  <c r="BN314" i="1"/>
  <c r="BY314" i="1" s="1"/>
  <c r="CA314" i="1" s="1"/>
  <c r="CC309" i="1"/>
  <c r="CF309" i="1" s="1"/>
  <c r="BS309" i="1"/>
  <c r="BV313" i="1"/>
  <c r="BW313" i="1" s="1"/>
  <c r="BL313" i="1"/>
  <c r="BM313" i="1" s="1"/>
  <c r="CC313" i="1"/>
  <c r="CF313" i="1" s="1"/>
  <c r="BS313" i="1"/>
  <c r="BX312" i="1"/>
  <c r="BN312" i="1"/>
  <c r="BY312" i="1" s="1"/>
  <c r="CA312" i="1" s="1"/>
  <c r="BX308" i="1"/>
  <c r="BN308" i="1"/>
  <c r="BY308" i="1" s="1"/>
  <c r="CA308" i="1" s="1"/>
  <c r="BV309" i="1"/>
  <c r="BW309" i="1" s="1"/>
  <c r="BL309" i="1"/>
  <c r="BM309" i="1" s="1"/>
  <c r="BX311" i="1"/>
  <c r="BN311" i="1"/>
  <c r="BY311" i="1" s="1"/>
  <c r="CA311" i="1" s="1"/>
  <c r="CC298" i="1"/>
  <c r="CF298" i="1" s="1"/>
  <c r="BS298" i="1"/>
  <c r="BV298" i="1"/>
  <c r="BW298" i="1" s="1"/>
  <c r="BL298" i="1"/>
  <c r="BM298" i="1" s="1"/>
  <c r="BL305" i="1"/>
  <c r="BM305" i="1" s="1"/>
  <c r="BV305" i="1"/>
  <c r="BW305" i="1" s="1"/>
  <c r="CC301" i="1"/>
  <c r="CF301" i="1" s="1"/>
  <c r="BS301" i="1"/>
  <c r="BS302" i="1"/>
  <c r="CC302" i="1"/>
  <c r="CF302" i="1" s="1"/>
  <c r="CC305" i="1"/>
  <c r="CF305" i="1" s="1"/>
  <c r="BS305" i="1"/>
  <c r="BV302" i="1"/>
  <c r="BW302" i="1" s="1"/>
  <c r="BL302" i="1"/>
  <c r="BM302" i="1" s="1"/>
  <c r="BX304" i="1"/>
  <c r="BN304" i="1"/>
  <c r="BY304" i="1" s="1"/>
  <c r="CA304" i="1" s="1"/>
  <c r="BV301" i="1"/>
  <c r="BW301" i="1" s="1"/>
  <c r="BL301" i="1"/>
  <c r="BM301" i="1" s="1"/>
  <c r="BX300" i="1"/>
  <c r="BN300" i="1"/>
  <c r="BY300" i="1" s="1"/>
  <c r="CA300" i="1" s="1"/>
  <c r="BX290" i="1"/>
  <c r="BN290" i="1"/>
  <c r="BY290" i="1" s="1"/>
  <c r="CA290" i="1" s="1"/>
  <c r="BX292" i="1"/>
  <c r="BN292" i="1"/>
  <c r="BY292" i="1" s="1"/>
  <c r="CA292" i="1" s="1"/>
  <c r="CC291" i="1"/>
  <c r="CF291" i="1" s="1"/>
  <c r="BS291" i="1"/>
  <c r="CC295" i="1"/>
  <c r="CF295" i="1" s="1"/>
  <c r="BS295" i="1"/>
  <c r="BV295" i="1"/>
  <c r="BW295" i="1" s="1"/>
  <c r="BL295" i="1"/>
  <c r="BM295" i="1" s="1"/>
  <c r="BV291" i="1"/>
  <c r="BW291" i="1" s="1"/>
  <c r="BL291" i="1"/>
  <c r="BM291" i="1" s="1"/>
  <c r="BX296" i="1"/>
  <c r="BN296" i="1"/>
  <c r="BY296" i="1" s="1"/>
  <c r="CA296" i="1" s="1"/>
  <c r="BX294" i="1"/>
  <c r="BN294" i="1"/>
  <c r="BY294" i="1" s="1"/>
  <c r="CA294" i="1" s="1"/>
  <c r="CC287" i="1"/>
  <c r="CF287" i="1" s="1"/>
  <c r="BS287" i="1"/>
  <c r="BX286" i="1"/>
  <c r="BN286" i="1"/>
  <c r="BY286" i="1" s="1"/>
  <c r="CA286" i="1" s="1"/>
  <c r="BX282" i="1"/>
  <c r="BN282" i="1"/>
  <c r="BY282" i="1" s="1"/>
  <c r="CA282" i="1" s="1"/>
  <c r="BV287" i="1"/>
  <c r="BW287" i="1" s="1"/>
  <c r="BL287" i="1"/>
  <c r="BM287" i="1" s="1"/>
  <c r="BL283" i="1"/>
  <c r="BM283" i="1" s="1"/>
  <c r="BV283" i="1"/>
  <c r="BW283" i="1" s="1"/>
  <c r="BX284" i="1"/>
  <c r="BN284" i="1"/>
  <c r="BY284" i="1" s="1"/>
  <c r="CA284" i="1" s="1"/>
  <c r="BX288" i="1"/>
  <c r="BN288" i="1"/>
  <c r="BY288" i="1" s="1"/>
  <c r="CA288" i="1" s="1"/>
  <c r="CC283" i="1"/>
  <c r="CF283" i="1" s="1"/>
  <c r="BS283" i="1"/>
  <c r="BN276" i="1"/>
  <c r="BY276" i="1" s="1"/>
  <c r="CA276" i="1" s="1"/>
  <c r="BX276" i="1"/>
  <c r="BS274" i="1"/>
  <c r="CC274" i="1"/>
  <c r="CF274" i="1" s="1"/>
  <c r="BV274" i="1"/>
  <c r="BW274" i="1" s="1"/>
  <c r="BL274" i="1"/>
  <c r="BM274" i="1" s="1"/>
  <c r="BV277" i="1"/>
  <c r="BW277" i="1" s="1"/>
  <c r="BL277" i="1"/>
  <c r="BM277" i="1" s="1"/>
  <c r="BV281" i="1"/>
  <c r="BW281" i="1" s="1"/>
  <c r="BL281" i="1"/>
  <c r="BM281" i="1" s="1"/>
  <c r="CC277" i="1"/>
  <c r="CF277" i="1" s="1"/>
  <c r="BS277" i="1"/>
  <c r="BN280" i="1"/>
  <c r="BY280" i="1" s="1"/>
  <c r="CA280" i="1" s="1"/>
  <c r="BX280" i="1"/>
  <c r="CC281" i="1"/>
  <c r="CF281" i="1" s="1"/>
  <c r="BS281" i="1"/>
  <c r="BX279" i="1"/>
  <c r="BN279" i="1"/>
  <c r="BY279" i="1" s="1"/>
  <c r="CA279" i="1" s="1"/>
  <c r="CC267" i="1"/>
  <c r="CF267" i="1" s="1"/>
  <c r="BS267" i="1"/>
  <c r="BV267" i="1"/>
  <c r="BW267" i="1" s="1"/>
  <c r="BL267" i="1"/>
  <c r="BM267" i="1" s="1"/>
  <c r="CC266" i="1"/>
  <c r="CF266" i="1" s="1"/>
  <c r="BS266" i="1"/>
  <c r="BL266" i="1"/>
  <c r="BM266" i="1" s="1"/>
  <c r="BV266" i="1"/>
  <c r="BW266" i="1" s="1"/>
  <c r="BX268" i="1"/>
  <c r="BN268" i="1"/>
  <c r="BY268" i="1" s="1"/>
  <c r="CA268" i="1" s="1"/>
  <c r="BX270" i="1"/>
  <c r="BN270" i="1"/>
  <c r="BY270" i="1" s="1"/>
  <c r="CA270" i="1" s="1"/>
  <c r="CC271" i="1"/>
  <c r="CF271" i="1" s="1"/>
  <c r="BS271" i="1"/>
  <c r="BX272" i="1"/>
  <c r="BN272" i="1"/>
  <c r="BY272" i="1" s="1"/>
  <c r="CA272" i="1" s="1"/>
  <c r="BV271" i="1"/>
  <c r="BW271" i="1" s="1"/>
  <c r="BL271" i="1"/>
  <c r="BM271" i="1" s="1"/>
  <c r="CC263" i="1"/>
  <c r="CF263" i="1" s="1"/>
  <c r="BS263" i="1"/>
  <c r="CC259" i="1"/>
  <c r="CF259" i="1" s="1"/>
  <c r="BS259" i="1"/>
  <c r="BV259" i="1"/>
  <c r="BW259" i="1" s="1"/>
  <c r="BL259" i="1"/>
  <c r="BM259" i="1" s="1"/>
  <c r="BX260" i="1"/>
  <c r="BN260" i="1"/>
  <c r="BY260" i="1" s="1"/>
  <c r="CA260" i="1" s="1"/>
  <c r="BL263" i="1"/>
  <c r="BM263" i="1" s="1"/>
  <c r="BV263" i="1"/>
  <c r="BW263" i="1" s="1"/>
  <c r="BX258" i="1"/>
  <c r="BN258" i="1"/>
  <c r="BY258" i="1" s="1"/>
  <c r="CA258" i="1" s="1"/>
  <c r="BX262" i="1"/>
  <c r="BN262" i="1"/>
  <c r="BY262" i="1" s="1"/>
  <c r="CA262" i="1" s="1"/>
  <c r="BX264" i="1"/>
  <c r="BN264" i="1"/>
  <c r="BY264" i="1" s="1"/>
  <c r="CA264" i="1" s="1"/>
  <c r="CC252" i="1"/>
  <c r="CF252" i="1" s="1"/>
  <c r="BS252" i="1"/>
  <c r="BX256" i="1"/>
  <c r="BN256" i="1"/>
  <c r="BY256" i="1" s="1"/>
  <c r="CA256" i="1" s="1"/>
  <c r="BX254" i="1"/>
  <c r="BN254" i="1"/>
  <c r="BY254" i="1" s="1"/>
  <c r="CA254" i="1" s="1"/>
  <c r="BV255" i="1"/>
  <c r="BW255" i="1" s="1"/>
  <c r="BL255" i="1"/>
  <c r="BM255" i="1" s="1"/>
  <c r="CC251" i="1"/>
  <c r="CF251" i="1" s="1"/>
  <c r="BS251" i="1"/>
  <c r="BL251" i="1"/>
  <c r="BM251" i="1" s="1"/>
  <c r="BV251" i="1"/>
  <c r="BW251" i="1" s="1"/>
  <c r="BX250" i="1"/>
  <c r="BN250" i="1"/>
  <c r="BY250" i="1" s="1"/>
  <c r="CA250" i="1" s="1"/>
  <c r="CC255" i="1"/>
  <c r="CF255" i="1" s="1"/>
  <c r="BS255" i="1"/>
  <c r="BV252" i="1"/>
  <c r="BW252" i="1" s="1"/>
  <c r="BL252" i="1"/>
  <c r="BM252" i="1" s="1"/>
  <c r="CC247" i="1"/>
  <c r="CF247" i="1" s="1"/>
  <c r="BS247" i="1"/>
  <c r="BV247" i="1"/>
  <c r="BW247" i="1" s="1"/>
  <c r="BL247" i="1"/>
  <c r="BM247" i="1" s="1"/>
  <c r="CC242" i="1"/>
  <c r="CF242" i="1" s="1"/>
  <c r="BS242" i="1"/>
  <c r="BX246" i="1"/>
  <c r="BN246" i="1"/>
  <c r="BY246" i="1" s="1"/>
  <c r="CA246" i="1" s="1"/>
  <c r="BV244" i="1"/>
  <c r="BW244" i="1" s="1"/>
  <c r="BL244" i="1"/>
  <c r="BM244" i="1" s="1"/>
  <c r="BV242" i="1"/>
  <c r="BW242" i="1" s="1"/>
  <c r="BL242" i="1"/>
  <c r="BM242" i="1" s="1"/>
  <c r="BX248" i="1"/>
  <c r="BN248" i="1"/>
  <c r="BY248" i="1" s="1"/>
  <c r="CA248" i="1" s="1"/>
  <c r="CC244" i="1"/>
  <c r="CF244" i="1" s="1"/>
  <c r="BS244" i="1"/>
  <c r="BX240" i="1"/>
  <c r="BN240" i="1"/>
  <c r="BY240" i="1" s="1"/>
  <c r="CA240" i="1" s="1"/>
  <c r="BV237" i="1"/>
  <c r="BW237" i="1" s="1"/>
  <c r="BL237" i="1"/>
  <c r="BM237" i="1" s="1"/>
  <c r="CC234" i="1"/>
  <c r="CF234" i="1" s="1"/>
  <c r="BS234" i="1"/>
  <c r="CC237" i="1"/>
  <c r="CF237" i="1" s="1"/>
  <c r="BS237" i="1"/>
  <c r="BX236" i="1"/>
  <c r="BN236" i="1"/>
  <c r="BY236" i="1" s="1"/>
  <c r="CA236" i="1" s="1"/>
  <c r="BV234" i="1"/>
  <c r="BW234" i="1" s="1"/>
  <c r="BL234" i="1"/>
  <c r="BM234" i="1" s="1"/>
  <c r="BV241" i="1"/>
  <c r="BW241" i="1" s="1"/>
  <c r="BL241" i="1"/>
  <c r="BM241" i="1" s="1"/>
  <c r="CC241" i="1"/>
  <c r="CF241" i="1" s="1"/>
  <c r="BS241" i="1"/>
  <c r="BV226" i="1"/>
  <c r="BW226" i="1" s="1"/>
  <c r="BL226" i="1"/>
  <c r="BM226" i="1" s="1"/>
  <c r="BV227" i="1"/>
  <c r="BW227" i="1" s="1"/>
  <c r="BL227" i="1"/>
  <c r="BM227" i="1" s="1"/>
  <c r="CC227" i="1"/>
  <c r="CF227" i="1" s="1"/>
  <c r="BS227" i="1"/>
  <c r="CC231" i="1"/>
  <c r="CF231" i="1" s="1"/>
  <c r="BS231" i="1"/>
  <c r="BX232" i="1"/>
  <c r="BN232" i="1"/>
  <c r="BY232" i="1" s="1"/>
  <c r="CA232" i="1" s="1"/>
  <c r="BN230" i="1"/>
  <c r="BY230" i="1" s="1"/>
  <c r="CA230" i="1" s="1"/>
  <c r="BX230" i="1"/>
  <c r="BX228" i="1"/>
  <c r="BN228" i="1"/>
  <c r="BY228" i="1" s="1"/>
  <c r="CA228" i="1" s="1"/>
  <c r="CC226" i="1"/>
  <c r="CF226" i="1" s="1"/>
  <c r="BS226" i="1"/>
  <c r="BL231" i="1"/>
  <c r="BM231" i="1" s="1"/>
  <c r="BV231" i="1"/>
  <c r="BW231" i="1" s="1"/>
  <c r="BX221" i="1"/>
  <c r="BN221" i="1"/>
  <c r="BY221" i="1" s="1"/>
  <c r="CA221" i="1" s="1"/>
  <c r="BX224" i="1"/>
  <c r="BN224" i="1"/>
  <c r="BY224" i="1" s="1"/>
  <c r="CA224" i="1" s="1"/>
  <c r="BX218" i="1"/>
  <c r="BN218" i="1"/>
  <c r="BY218" i="1" s="1"/>
  <c r="CA218" i="1" s="1"/>
  <c r="BX220" i="1"/>
  <c r="BN220" i="1"/>
  <c r="BY220" i="1" s="1"/>
  <c r="CA220" i="1" s="1"/>
  <c r="BV219" i="1"/>
  <c r="BW219" i="1" s="1"/>
  <c r="BL219" i="1"/>
  <c r="BM219" i="1" s="1"/>
  <c r="CC223" i="1"/>
  <c r="CF223" i="1" s="1"/>
  <c r="BS223" i="1"/>
  <c r="BV223" i="1"/>
  <c r="BW223" i="1" s="1"/>
  <c r="BL223" i="1"/>
  <c r="BM223" i="1" s="1"/>
  <c r="CC219" i="1"/>
  <c r="CF219" i="1" s="1"/>
  <c r="BS219" i="1"/>
  <c r="BX222" i="1"/>
  <c r="BN222" i="1"/>
  <c r="BY222" i="1" s="1"/>
  <c r="CA222" i="1" s="1"/>
  <c r="CC216" i="1"/>
  <c r="CF216" i="1" s="1"/>
  <c r="BS216" i="1"/>
  <c r="CC211" i="1"/>
  <c r="CF211" i="1" s="1"/>
  <c r="BS211" i="1"/>
  <c r="CC215" i="1"/>
  <c r="CF215" i="1" s="1"/>
  <c r="BS215" i="1"/>
  <c r="BV211" i="1"/>
  <c r="BW211" i="1" s="1"/>
  <c r="BL211" i="1"/>
  <c r="BM211" i="1" s="1"/>
  <c r="BV215" i="1"/>
  <c r="BW215" i="1" s="1"/>
  <c r="BL215" i="1"/>
  <c r="BM215" i="1" s="1"/>
  <c r="BX210" i="1"/>
  <c r="BN210" i="1"/>
  <c r="BY210" i="1" s="1"/>
  <c r="CA210" i="1" s="1"/>
  <c r="BX212" i="1"/>
  <c r="BN212" i="1"/>
  <c r="BY212" i="1" s="1"/>
  <c r="CA212" i="1" s="1"/>
  <c r="BX214" i="1"/>
  <c r="BN214" i="1"/>
  <c r="BY214" i="1" s="1"/>
  <c r="CA214" i="1" s="1"/>
  <c r="BV216" i="1"/>
  <c r="BW216" i="1" s="1"/>
  <c r="BL216" i="1"/>
  <c r="BM216" i="1" s="1"/>
  <c r="CC207" i="1"/>
  <c r="CF207" i="1" s="1"/>
  <c r="BS207" i="1"/>
  <c r="CC203" i="1"/>
  <c r="CF203" i="1" s="1"/>
  <c r="BS203" i="1"/>
  <c r="BN206" i="1"/>
  <c r="BY206" i="1" s="1"/>
  <c r="CA206" i="1" s="1"/>
  <c r="BX206" i="1"/>
  <c r="BN202" i="1"/>
  <c r="BY202" i="1" s="1"/>
  <c r="CA202" i="1" s="1"/>
  <c r="BX202" i="1"/>
  <c r="BV207" i="1"/>
  <c r="BW207" i="1" s="1"/>
  <c r="BL207" i="1"/>
  <c r="BM207" i="1" s="1"/>
  <c r="BX208" i="1"/>
  <c r="BN208" i="1"/>
  <c r="BY208" i="1" s="1"/>
  <c r="CA208" i="1" s="1"/>
  <c r="BX204" i="1"/>
  <c r="BN204" i="1"/>
  <c r="BY204" i="1" s="1"/>
  <c r="CA204" i="1" s="1"/>
  <c r="BL203" i="1"/>
  <c r="BM203" i="1" s="1"/>
  <c r="BV203" i="1"/>
  <c r="BW203" i="1" s="1"/>
  <c r="BL197" i="1"/>
  <c r="BM197" i="1" s="1"/>
  <c r="BV197" i="1"/>
  <c r="BW197" i="1" s="1"/>
  <c r="BV194" i="1"/>
  <c r="BW194" i="1" s="1"/>
  <c r="BL194" i="1"/>
  <c r="BM194" i="1" s="1"/>
  <c r="CC197" i="1"/>
  <c r="CF197" i="1" s="1"/>
  <c r="BS197" i="1"/>
  <c r="BV201" i="1"/>
  <c r="BW201" i="1" s="1"/>
  <c r="BL201" i="1"/>
  <c r="BM201" i="1" s="1"/>
  <c r="BX196" i="1"/>
  <c r="BN196" i="1"/>
  <c r="BY196" i="1" s="1"/>
  <c r="CA196" i="1" s="1"/>
  <c r="BX200" i="1"/>
  <c r="BN200" i="1"/>
  <c r="BY200" i="1" s="1"/>
  <c r="CA200" i="1" s="1"/>
  <c r="CC201" i="1"/>
  <c r="CF201" i="1" s="1"/>
  <c r="BS201" i="1"/>
  <c r="CC194" i="1"/>
  <c r="CF194" i="1" s="1"/>
  <c r="BS194" i="1"/>
  <c r="CC187" i="1"/>
  <c r="CF187" i="1" s="1"/>
  <c r="BS187" i="1"/>
  <c r="BV191" i="1"/>
  <c r="BW191" i="1" s="1"/>
  <c r="BL191" i="1"/>
  <c r="BM191" i="1" s="1"/>
  <c r="BX188" i="1"/>
  <c r="BN188" i="1"/>
  <c r="BY188" i="1" s="1"/>
  <c r="CA188" i="1" s="1"/>
  <c r="CC191" i="1"/>
  <c r="CF191" i="1" s="1"/>
  <c r="BS191" i="1"/>
  <c r="BX192" i="1"/>
  <c r="BN192" i="1"/>
  <c r="BY192" i="1" s="1"/>
  <c r="CA192" i="1" s="1"/>
  <c r="BX186" i="1"/>
  <c r="BN186" i="1"/>
  <c r="BY186" i="1" s="1"/>
  <c r="CA186" i="1" s="1"/>
  <c r="BV187" i="1"/>
  <c r="BW187" i="1" s="1"/>
  <c r="BL187" i="1"/>
  <c r="BM187" i="1" s="1"/>
  <c r="BN190" i="1"/>
  <c r="BY190" i="1" s="1"/>
  <c r="CA190" i="1" s="1"/>
  <c r="BX190" i="1"/>
  <c r="BX182" i="1"/>
  <c r="BN182" i="1"/>
  <c r="BY182" i="1" s="1"/>
  <c r="CA182" i="1" s="1"/>
  <c r="BL181" i="1"/>
  <c r="BM181" i="1" s="1"/>
  <c r="BV181" i="1"/>
  <c r="BW181" i="1" s="1"/>
  <c r="BS181" i="1"/>
  <c r="CC181" i="1"/>
  <c r="CF181" i="1" s="1"/>
  <c r="BS183" i="1"/>
  <c r="CC183" i="1"/>
  <c r="CF183" i="1" s="1"/>
  <c r="BV183" i="1"/>
  <c r="BW183" i="1" s="1"/>
  <c r="BL183" i="1"/>
  <c r="BM183" i="1" s="1"/>
  <c r="BV185" i="1"/>
  <c r="BW185" i="1" s="1"/>
  <c r="BL185" i="1"/>
  <c r="BM185" i="1" s="1"/>
  <c r="BX178" i="1"/>
  <c r="BN178" i="1"/>
  <c r="BY178" i="1" s="1"/>
  <c r="CA178" i="1" s="1"/>
  <c r="BX180" i="1"/>
  <c r="BN180" i="1"/>
  <c r="BY180" i="1" s="1"/>
  <c r="CA180" i="1" s="1"/>
  <c r="BS179" i="1"/>
  <c r="CC179" i="1"/>
  <c r="CF179" i="1" s="1"/>
  <c r="BX184" i="1"/>
  <c r="BN184" i="1"/>
  <c r="BY184" i="1" s="1"/>
  <c r="CA184" i="1" s="1"/>
  <c r="BS185" i="1"/>
  <c r="CC185" i="1"/>
  <c r="CF185" i="1" s="1"/>
  <c r="BV179" i="1"/>
  <c r="BW179" i="1" s="1"/>
  <c r="BL179" i="1"/>
  <c r="BM179" i="1" s="1"/>
  <c r="BX164" i="1"/>
  <c r="BN164" i="1"/>
  <c r="BY164" i="1" s="1"/>
  <c r="CA164" i="1" s="1"/>
  <c r="BN166" i="1"/>
  <c r="BY166" i="1" s="1"/>
  <c r="CA166" i="1" s="1"/>
  <c r="BX166" i="1"/>
  <c r="BX170" i="1"/>
  <c r="BN170" i="1"/>
  <c r="BY170" i="1" s="1"/>
  <c r="CA170" i="1" s="1"/>
  <c r="CC175" i="1"/>
  <c r="CF175" i="1" s="1"/>
  <c r="BS175" i="1"/>
  <c r="CC171" i="1"/>
  <c r="CF171" i="1" s="1"/>
  <c r="BS171" i="1"/>
  <c r="BL171" i="1"/>
  <c r="BM171" i="1" s="1"/>
  <c r="BV171" i="1"/>
  <c r="BW171" i="1" s="1"/>
  <c r="BX174" i="1"/>
  <c r="BN174" i="1"/>
  <c r="BY174" i="1" s="1"/>
  <c r="CA174" i="1" s="1"/>
  <c r="BV175" i="1"/>
  <c r="BW175" i="1" s="1"/>
  <c r="BL175" i="1"/>
  <c r="BM175" i="1" s="1"/>
  <c r="BN172" i="1"/>
  <c r="BY172" i="1" s="1"/>
  <c r="CA172" i="1" s="1"/>
  <c r="BX172" i="1"/>
  <c r="CC163" i="1"/>
  <c r="BS163" i="1"/>
  <c r="BL167" i="1"/>
  <c r="BM167" i="1" s="1"/>
  <c r="BV167" i="1"/>
  <c r="BW167" i="1" s="1"/>
  <c r="CC167" i="1"/>
  <c r="BS167" i="1"/>
  <c r="BN176" i="1"/>
  <c r="BY176" i="1" s="1"/>
  <c r="CA176" i="1" s="1"/>
  <c r="BX176" i="1"/>
  <c r="BX168" i="1"/>
  <c r="BN168" i="1"/>
  <c r="BY168" i="1" s="1"/>
  <c r="CA168" i="1" s="1"/>
  <c r="BL163" i="1"/>
  <c r="BM163" i="1" s="1"/>
  <c r="BV163" i="1"/>
  <c r="BW163" i="1" s="1"/>
  <c r="BX162" i="1"/>
  <c r="BN162" i="1"/>
  <c r="BY162" i="1" s="1"/>
  <c r="CA162" i="1" s="1"/>
  <c r="CC155" i="1"/>
  <c r="CF155" i="1" s="1"/>
  <c r="BS155" i="1"/>
  <c r="BV155" i="1"/>
  <c r="BW155" i="1" s="1"/>
  <c r="BL155" i="1"/>
  <c r="BM155" i="1" s="1"/>
  <c r="BX158" i="1"/>
  <c r="BN158" i="1"/>
  <c r="BY158" i="1" s="1"/>
  <c r="CA158" i="1" s="1"/>
  <c r="CC154" i="1"/>
  <c r="CF154" i="1" s="1"/>
  <c r="BS154" i="1"/>
  <c r="BV159" i="1"/>
  <c r="BW159" i="1" s="1"/>
  <c r="BL159" i="1"/>
  <c r="BM159" i="1" s="1"/>
  <c r="BX160" i="1"/>
  <c r="BN160" i="1"/>
  <c r="BY160" i="1" s="1"/>
  <c r="CA160" i="1" s="1"/>
  <c r="CC159" i="1"/>
  <c r="CF159" i="1" s="1"/>
  <c r="BS159" i="1"/>
  <c r="BV154" i="1"/>
  <c r="BW154" i="1" s="1"/>
  <c r="BL154" i="1"/>
  <c r="BM154" i="1" s="1"/>
  <c r="BX156" i="1"/>
  <c r="BN156" i="1"/>
  <c r="BY156" i="1" s="1"/>
  <c r="CA156" i="1" s="1"/>
  <c r="BL139" i="1"/>
  <c r="BM139" i="1" s="1"/>
  <c r="BV139" i="1"/>
  <c r="BW139" i="1" s="1"/>
  <c r="BX150" i="1"/>
  <c r="BN150" i="1"/>
  <c r="BY150" i="1" s="1"/>
  <c r="CA150" i="1" s="1"/>
  <c r="BX148" i="1"/>
  <c r="BN148" i="1"/>
  <c r="BY148" i="1" s="1"/>
  <c r="CA148" i="1" s="1"/>
  <c r="BV151" i="1"/>
  <c r="BW151" i="1" s="1"/>
  <c r="BL151" i="1"/>
  <c r="BM151" i="1" s="1"/>
  <c r="CC139" i="1"/>
  <c r="CF139" i="1" s="1"/>
  <c r="BS139" i="1"/>
  <c r="BX152" i="1"/>
  <c r="BN152" i="1"/>
  <c r="BY152" i="1" s="1"/>
  <c r="CA152" i="1" s="1"/>
  <c r="CC147" i="1"/>
  <c r="CF147" i="1" s="1"/>
  <c r="BS147" i="1"/>
  <c r="BX140" i="1"/>
  <c r="BN140" i="1"/>
  <c r="BY140" i="1" s="1"/>
  <c r="CA140" i="1" s="1"/>
  <c r="BN142" i="1"/>
  <c r="BY142" i="1" s="1"/>
  <c r="CA142" i="1" s="1"/>
  <c r="BX142" i="1"/>
  <c r="CC143" i="1"/>
  <c r="CF143" i="1" s="1"/>
  <c r="BS143" i="1"/>
  <c r="BV143" i="1"/>
  <c r="BW143" i="1" s="1"/>
  <c r="BL143" i="1"/>
  <c r="BM143" i="1" s="1"/>
  <c r="BX146" i="1"/>
  <c r="BN146" i="1"/>
  <c r="BY146" i="1" s="1"/>
  <c r="CA146" i="1" s="1"/>
  <c r="BV147" i="1"/>
  <c r="BW147" i="1" s="1"/>
  <c r="BL147" i="1"/>
  <c r="BM147" i="1" s="1"/>
  <c r="BN138" i="1"/>
  <c r="BY138" i="1" s="1"/>
  <c r="CA138" i="1" s="1"/>
  <c r="BX138" i="1"/>
  <c r="CC151" i="1"/>
  <c r="CF151" i="1" s="1"/>
  <c r="BS151" i="1"/>
  <c r="BN144" i="1"/>
  <c r="BY144" i="1" s="1"/>
  <c r="CA144" i="1" s="1"/>
  <c r="BX144" i="1"/>
  <c r="BN130" i="1"/>
  <c r="BY130" i="1" s="1"/>
  <c r="CA130" i="1" s="1"/>
  <c r="BX130" i="1"/>
  <c r="CC135" i="1"/>
  <c r="CF135" i="1" s="1"/>
  <c r="BS135" i="1"/>
  <c r="CC131" i="1"/>
  <c r="CF131" i="1" s="1"/>
  <c r="BS131" i="1"/>
  <c r="BX136" i="1"/>
  <c r="BN136" i="1"/>
  <c r="BY136" i="1" s="1"/>
  <c r="CA136" i="1" s="1"/>
  <c r="BX132" i="1"/>
  <c r="BN132" i="1"/>
  <c r="BY132" i="1" s="1"/>
  <c r="CA132" i="1" s="1"/>
  <c r="BX134" i="1"/>
  <c r="BN134" i="1"/>
  <c r="BY134" i="1" s="1"/>
  <c r="CA134" i="1" s="1"/>
  <c r="BL131" i="1"/>
  <c r="BM131" i="1" s="1"/>
  <c r="BV131" i="1"/>
  <c r="BW131" i="1" s="1"/>
  <c r="BL135" i="1"/>
  <c r="BM135" i="1" s="1"/>
  <c r="BV135" i="1"/>
  <c r="BW135" i="1" s="1"/>
  <c r="BS127" i="1"/>
  <c r="CC127" i="1"/>
  <c r="CF127" i="1" s="1"/>
  <c r="BS123" i="1"/>
  <c r="CC123" i="1"/>
  <c r="CF123" i="1" s="1"/>
  <c r="BX126" i="1"/>
  <c r="BN126" i="1"/>
  <c r="BY126" i="1" s="1"/>
  <c r="CA126" i="1" s="1"/>
  <c r="BL123" i="1"/>
  <c r="BM123" i="1" s="1"/>
  <c r="BV123" i="1"/>
  <c r="BW123" i="1" s="1"/>
  <c r="BX128" i="1"/>
  <c r="BN128" i="1"/>
  <c r="BY128" i="1" s="1"/>
  <c r="CA128" i="1" s="1"/>
  <c r="BN125" i="1"/>
  <c r="BY125" i="1" s="1"/>
  <c r="CA125" i="1" s="1"/>
  <c r="BX125" i="1"/>
  <c r="BL127" i="1"/>
  <c r="BM127" i="1" s="1"/>
  <c r="BV127" i="1"/>
  <c r="BW127" i="1" s="1"/>
  <c r="BX122" i="1"/>
  <c r="BN122" i="1"/>
  <c r="BY122" i="1" s="1"/>
  <c r="CA122" i="1" s="1"/>
  <c r="BX124" i="1"/>
  <c r="BN124" i="1"/>
  <c r="BY124" i="1" s="1"/>
  <c r="CA124" i="1" s="1"/>
  <c r="BN129" i="1"/>
  <c r="BY129" i="1" s="1"/>
  <c r="CA129" i="1" s="1"/>
  <c r="BX129" i="1"/>
  <c r="CC115" i="1"/>
  <c r="CF115" i="1" s="1"/>
  <c r="BS115" i="1"/>
  <c r="BV119" i="1"/>
  <c r="BW119" i="1" s="1"/>
  <c r="BL119" i="1"/>
  <c r="BM119" i="1" s="1"/>
  <c r="CC118" i="1"/>
  <c r="CF118" i="1" s="1"/>
  <c r="BS118" i="1"/>
  <c r="BV118" i="1"/>
  <c r="BW118" i="1" s="1"/>
  <c r="BL118" i="1"/>
  <c r="BM118" i="1" s="1"/>
  <c r="CC114" i="1"/>
  <c r="CF114" i="1" s="1"/>
  <c r="BS114" i="1"/>
  <c r="BL115" i="1"/>
  <c r="BM115" i="1" s="1"/>
  <c r="BV115" i="1"/>
  <c r="BW115" i="1" s="1"/>
  <c r="BX121" i="1"/>
  <c r="BN121" i="1"/>
  <c r="BY121" i="1" s="1"/>
  <c r="CA121" i="1" s="1"/>
  <c r="BX117" i="1"/>
  <c r="BN117" i="1"/>
  <c r="BY117" i="1" s="1"/>
  <c r="CA117" i="1" s="1"/>
  <c r="CC120" i="1"/>
  <c r="CF120" i="1" s="1"/>
  <c r="BS120" i="1"/>
  <c r="BX116" i="1"/>
  <c r="BN116" i="1"/>
  <c r="BY116" i="1" s="1"/>
  <c r="CA116" i="1" s="1"/>
  <c r="BV114" i="1"/>
  <c r="BW114" i="1" s="1"/>
  <c r="BL114" i="1"/>
  <c r="BM114" i="1" s="1"/>
  <c r="BV120" i="1"/>
  <c r="BW120" i="1" s="1"/>
  <c r="BL120" i="1"/>
  <c r="BM120" i="1" s="1"/>
  <c r="CC119" i="1"/>
  <c r="CF119" i="1" s="1"/>
  <c r="BS119" i="1"/>
  <c r="BX112" i="1"/>
  <c r="BN112" i="1"/>
  <c r="BY112" i="1" s="1"/>
  <c r="CA112" i="1" s="1"/>
  <c r="BN110" i="1"/>
  <c r="BY110" i="1" s="1"/>
  <c r="CA110" i="1" s="1"/>
  <c r="BX110" i="1"/>
  <c r="BN106" i="1"/>
  <c r="BY106" i="1" s="1"/>
  <c r="CA106" i="1" s="1"/>
  <c r="BX106" i="1"/>
  <c r="BX107" i="1"/>
  <c r="BN107" i="1"/>
  <c r="BY107" i="1" s="1"/>
  <c r="CA107" i="1" s="1"/>
  <c r="BX108" i="1"/>
  <c r="BN108" i="1"/>
  <c r="BY108" i="1" s="1"/>
  <c r="CA108" i="1" s="1"/>
  <c r="BN109" i="1"/>
  <c r="BY109" i="1" s="1"/>
  <c r="CA109" i="1" s="1"/>
  <c r="BX109" i="1"/>
  <c r="BN111" i="1"/>
  <c r="BY111" i="1" s="1"/>
  <c r="CA111" i="1" s="1"/>
  <c r="BX111" i="1"/>
  <c r="BL105" i="1"/>
  <c r="BM105" i="1" s="1"/>
  <c r="BV105" i="1"/>
  <c r="BW105" i="1" s="1"/>
  <c r="CC105" i="1"/>
  <c r="CF105" i="1" s="1"/>
  <c r="BS105" i="1"/>
  <c r="BN104" i="1"/>
  <c r="BY104" i="1" s="1"/>
  <c r="CA104" i="1" s="1"/>
  <c r="BX104" i="1"/>
  <c r="CC101" i="1"/>
  <c r="CF101" i="1" s="1"/>
  <c r="BS101" i="1"/>
  <c r="BX98" i="1"/>
  <c r="BN98" i="1"/>
  <c r="BY98" i="1" s="1"/>
  <c r="CA98" i="1" s="1"/>
  <c r="BL101" i="1"/>
  <c r="BM101" i="1" s="1"/>
  <c r="BV101" i="1"/>
  <c r="BW101" i="1" s="1"/>
  <c r="BX102" i="1"/>
  <c r="BN102" i="1"/>
  <c r="BY102" i="1" s="1"/>
  <c r="CA102" i="1" s="1"/>
  <c r="BX103" i="1"/>
  <c r="BN103" i="1"/>
  <c r="BY103" i="1" s="1"/>
  <c r="CA103" i="1" s="1"/>
  <c r="BN100" i="1"/>
  <c r="BY100" i="1" s="1"/>
  <c r="CA100" i="1" s="1"/>
  <c r="BX100" i="1"/>
  <c r="BX99" i="1"/>
  <c r="BN99" i="1"/>
  <c r="BY99" i="1" s="1"/>
  <c r="CA99" i="1" s="1"/>
  <c r="BX96" i="1"/>
  <c r="BN96" i="1"/>
  <c r="BY96" i="1" s="1"/>
  <c r="CA96" i="1" s="1"/>
  <c r="BV93" i="1"/>
  <c r="BW93" i="1" s="1"/>
  <c r="BL93" i="1"/>
  <c r="BM93" i="1" s="1"/>
  <c r="BS97" i="1"/>
  <c r="CC97" i="1"/>
  <c r="CF97" i="1" s="1"/>
  <c r="BX92" i="1"/>
  <c r="BN92" i="1"/>
  <c r="BY92" i="1" s="1"/>
  <c r="CA92" i="1" s="1"/>
  <c r="BS93" i="1"/>
  <c r="CC93" i="1"/>
  <c r="CF93" i="1" s="1"/>
  <c r="BX91" i="1"/>
  <c r="BN91" i="1"/>
  <c r="BY91" i="1" s="1"/>
  <c r="CA91" i="1" s="1"/>
  <c r="BV97" i="1"/>
  <c r="BW97" i="1" s="1"/>
  <c r="BL97" i="1"/>
  <c r="BM97" i="1" s="1"/>
  <c r="BV87" i="1"/>
  <c r="BW87" i="1" s="1"/>
  <c r="BL87" i="1"/>
  <c r="BM87" i="1" s="1"/>
  <c r="BX86" i="1"/>
  <c r="BN86" i="1"/>
  <c r="BY86" i="1" s="1"/>
  <c r="CA86" i="1" s="1"/>
  <c r="BX85" i="1"/>
  <c r="BN85" i="1"/>
  <c r="BY85" i="1" s="1"/>
  <c r="CA85" i="1" s="1"/>
  <c r="BX89" i="1"/>
  <c r="BN89" i="1"/>
  <c r="BY89" i="1" s="1"/>
  <c r="CA89" i="1" s="1"/>
  <c r="CC83" i="1"/>
  <c r="CF83" i="1" s="1"/>
  <c r="BS83" i="1"/>
  <c r="BX88" i="1"/>
  <c r="BN88" i="1"/>
  <c r="BY88" i="1" s="1"/>
  <c r="CA88" i="1" s="1"/>
  <c r="BX84" i="1"/>
  <c r="BN84" i="1"/>
  <c r="BY84" i="1" s="1"/>
  <c r="CA84" i="1" s="1"/>
  <c r="BX82" i="1"/>
  <c r="BN82" i="1"/>
  <c r="BY82" i="1" s="1"/>
  <c r="CA82" i="1" s="1"/>
  <c r="CC87" i="1"/>
  <c r="CF87" i="1" s="1"/>
  <c r="BS87" i="1"/>
  <c r="BL83" i="1"/>
  <c r="BM83" i="1" s="1"/>
  <c r="BV83" i="1"/>
  <c r="BW83" i="1" s="1"/>
  <c r="CC74" i="1"/>
  <c r="CF74" i="1" s="1"/>
  <c r="BS74" i="1"/>
  <c r="BV79" i="1"/>
  <c r="BW79" i="1" s="1"/>
  <c r="BL79" i="1"/>
  <c r="BM79" i="1" s="1"/>
  <c r="BV78" i="1"/>
  <c r="BW78" i="1" s="1"/>
  <c r="BL78" i="1"/>
  <c r="BM78" i="1" s="1"/>
  <c r="BV75" i="1"/>
  <c r="BW75" i="1" s="1"/>
  <c r="BL75" i="1"/>
  <c r="BM75" i="1" s="1"/>
  <c r="CC75" i="1"/>
  <c r="CF75" i="1" s="1"/>
  <c r="BS75" i="1"/>
  <c r="CC78" i="1"/>
  <c r="CF78" i="1" s="1"/>
  <c r="BS78" i="1"/>
  <c r="BX77" i="1"/>
  <c r="BN77" i="1"/>
  <c r="BY77" i="1" s="1"/>
  <c r="CA77" i="1" s="1"/>
  <c r="CC79" i="1"/>
  <c r="CF79" i="1" s="1"/>
  <c r="BS79" i="1"/>
  <c r="BL74" i="1"/>
  <c r="BM74" i="1" s="1"/>
  <c r="BV74" i="1"/>
  <c r="BW74" i="1" s="1"/>
  <c r="BX81" i="1"/>
  <c r="BN81" i="1"/>
  <c r="BY81" i="1" s="1"/>
  <c r="CA81" i="1" s="1"/>
  <c r="CC70" i="1"/>
  <c r="CF70" i="1" s="1"/>
  <c r="BS70" i="1"/>
  <c r="BX68" i="1"/>
  <c r="BN68" i="1"/>
  <c r="BY68" i="1" s="1"/>
  <c r="CA68" i="1" s="1"/>
  <c r="BV71" i="1"/>
  <c r="BW71" i="1" s="1"/>
  <c r="BL71" i="1"/>
  <c r="BM71" i="1" s="1"/>
  <c r="BX69" i="1"/>
  <c r="BN69" i="1"/>
  <c r="BY69" i="1" s="1"/>
  <c r="CA69" i="1" s="1"/>
  <c r="BX72" i="1"/>
  <c r="BN72" i="1"/>
  <c r="BY72" i="1" s="1"/>
  <c r="CA72" i="1" s="1"/>
  <c r="CC71" i="1"/>
  <c r="CF71" i="1" s="1"/>
  <c r="BS71" i="1"/>
  <c r="BV70" i="1"/>
  <c r="BW70" i="1" s="1"/>
  <c r="BL70" i="1"/>
  <c r="BM70" i="1" s="1"/>
  <c r="BX62" i="1"/>
  <c r="BN62" i="1"/>
  <c r="BY62" i="1" s="1"/>
  <c r="CA62" i="1" s="1"/>
  <c r="BX58" i="1"/>
  <c r="BN58" i="1"/>
  <c r="BY58" i="1" s="1"/>
  <c r="CA58" i="1" s="1"/>
  <c r="CC65" i="1"/>
  <c r="CF65" i="1" s="1"/>
  <c r="BS65" i="1"/>
  <c r="BN59" i="1"/>
  <c r="BY59" i="1" s="1"/>
  <c r="CA59" i="1" s="1"/>
  <c r="BX59" i="1"/>
  <c r="BV65" i="1"/>
  <c r="BW65" i="1" s="1"/>
  <c r="BL65" i="1"/>
  <c r="BM65" i="1" s="1"/>
  <c r="BV64" i="1"/>
  <c r="BW64" i="1" s="1"/>
  <c r="BL64" i="1"/>
  <c r="BM64" i="1" s="1"/>
  <c r="BN63" i="1"/>
  <c r="BY63" i="1" s="1"/>
  <c r="CA63" i="1" s="1"/>
  <c r="BX63" i="1"/>
  <c r="CC64" i="1"/>
  <c r="CF64" i="1" s="1"/>
  <c r="BS64" i="1"/>
  <c r="BS57" i="1"/>
  <c r="CC57" i="1"/>
  <c r="CF57" i="1" s="1"/>
  <c r="CC50" i="1"/>
  <c r="CF50" i="1" s="1"/>
  <c r="BS50" i="1"/>
  <c r="BL50" i="1"/>
  <c r="BM50" i="1" s="1"/>
  <c r="BV50" i="1"/>
  <c r="BW50" i="1" s="1"/>
  <c r="BL54" i="1"/>
  <c r="BM54" i="1" s="1"/>
  <c r="BV54" i="1"/>
  <c r="BW54" i="1" s="1"/>
  <c r="BK51" i="1"/>
  <c r="BP51" i="1"/>
  <c r="BQ51" i="1" s="1"/>
  <c r="BR51" i="1" s="1"/>
  <c r="BL57" i="1"/>
  <c r="BM57" i="1" s="1"/>
  <c r="BV57" i="1"/>
  <c r="BW57" i="1" s="1"/>
  <c r="BK56" i="1"/>
  <c r="CC54" i="1"/>
  <c r="CF54" i="1" s="1"/>
  <c r="BS54" i="1"/>
  <c r="BK55" i="1"/>
  <c r="BP55" i="1"/>
  <c r="BQ55" i="1" s="1"/>
  <c r="BR55" i="1" s="1"/>
  <c r="CC55" i="1" s="1"/>
  <c r="BK52" i="1"/>
  <c r="BP52" i="1"/>
  <c r="BQ52" i="1" s="1"/>
  <c r="BR52" i="1" s="1"/>
  <c r="BK53" i="1"/>
  <c r="BP53" i="1"/>
  <c r="BQ53" i="1" s="1"/>
  <c r="BR53" i="1" s="1"/>
  <c r="BJ48" i="1"/>
  <c r="BU48" i="1" s="1"/>
  <c r="BJ14" i="1"/>
  <c r="BJ38" i="1"/>
  <c r="BK38" i="1" s="1"/>
  <c r="BJ20" i="1"/>
  <c r="BJ25" i="1"/>
  <c r="BU25" i="1" s="1"/>
  <c r="BJ26" i="1"/>
  <c r="BJ23" i="1"/>
  <c r="BJ28" i="1"/>
  <c r="BJ40" i="1"/>
  <c r="BJ35" i="1"/>
  <c r="BJ3" i="1"/>
  <c r="BP3" i="1" s="1"/>
  <c r="BQ3" i="1" s="1"/>
  <c r="BR3" i="1" s="1"/>
  <c r="BJ33" i="1"/>
  <c r="BJ6" i="1"/>
  <c r="BJ21" i="1"/>
  <c r="BU21" i="1" s="1"/>
  <c r="BJ15" i="1"/>
  <c r="BJ12" i="1"/>
  <c r="BK12" i="1" s="1"/>
  <c r="BJ41" i="1"/>
  <c r="BJ29" i="1"/>
  <c r="BJ18" i="1"/>
  <c r="BJ5" i="1"/>
  <c r="BU5" i="1" s="1"/>
  <c r="BJ37" i="1"/>
  <c r="BU37" i="1" s="1"/>
  <c r="BJ16" i="1"/>
  <c r="BU16" i="1" s="1"/>
  <c r="BJ36" i="1"/>
  <c r="BJ8" i="1"/>
  <c r="BJ32" i="1"/>
  <c r="BU32" i="1" s="1"/>
  <c r="BJ22" i="1"/>
  <c r="BJ11" i="1"/>
  <c r="BJ39" i="1"/>
  <c r="BJ31" i="1"/>
  <c r="BJ4" i="1"/>
  <c r="BJ17" i="1"/>
  <c r="BJ10" i="1"/>
  <c r="BJ27" i="1"/>
  <c r="BJ13" i="1"/>
  <c r="BU13" i="1" s="1"/>
  <c r="BJ30" i="1"/>
  <c r="BJ19" i="1"/>
  <c r="BJ7" i="1"/>
  <c r="BJ9" i="1"/>
  <c r="BJ34" i="1"/>
  <c r="BJ24" i="1"/>
  <c r="BJ44" i="1"/>
  <c r="BJ49" i="1"/>
  <c r="BJ43" i="1"/>
  <c r="BJ47" i="1"/>
  <c r="BJ42" i="1"/>
  <c r="BJ46" i="1"/>
  <c r="BJ45" i="1"/>
  <c r="BJ2" i="1"/>
  <c r="BU2" i="1" s="1"/>
  <c r="H120" i="2"/>
  <c r="H121" i="2" s="1"/>
  <c r="H125" i="2"/>
  <c r="H126" i="2" s="1"/>
  <c r="H127" i="2" s="1"/>
  <c r="H128" i="2" s="1"/>
  <c r="D130" i="2"/>
  <c r="D131" i="2" s="1"/>
  <c r="D132" i="2" s="1"/>
  <c r="D133" i="2" s="1"/>
  <c r="D134" i="2" s="1"/>
  <c r="D135" i="2" s="1"/>
  <c r="D136" i="2" s="1"/>
  <c r="D137" i="2" s="1"/>
  <c r="D138" i="2" s="1"/>
  <c r="D125" i="2"/>
  <c r="D126" i="2" s="1"/>
  <c r="D127" i="2" s="1"/>
  <c r="D128" i="2" s="1"/>
  <c r="K120" i="2"/>
  <c r="K121" i="2" s="1"/>
  <c r="K122" i="2" s="1"/>
  <c r="K123" i="2" s="1"/>
  <c r="I160" i="2"/>
  <c r="I161" i="2" s="1"/>
  <c r="I162" i="2" s="1"/>
  <c r="I163" i="2" s="1"/>
  <c r="I165" i="2"/>
  <c r="I166" i="2" s="1"/>
  <c r="I167" i="2" s="1"/>
  <c r="I168" i="2" s="1"/>
  <c r="I169" i="2" s="1"/>
  <c r="I170" i="2" s="1"/>
  <c r="I171" i="2" s="1"/>
  <c r="I172" i="2" s="1"/>
  <c r="I173" i="2" s="1"/>
  <c r="L155" i="2"/>
  <c r="L156" i="2" s="1"/>
  <c r="L157" i="2" s="1"/>
  <c r="L158" i="2" s="1"/>
  <c r="K155" i="2"/>
  <c r="K156" i="2" s="1"/>
  <c r="K157" i="2" s="1"/>
  <c r="K158" i="2" s="1"/>
  <c r="M155" i="2"/>
  <c r="M156" i="2" s="1"/>
  <c r="M157" i="2" s="1"/>
  <c r="M158" i="2" s="1"/>
  <c r="M160" i="2"/>
  <c r="M161" i="2" s="1"/>
  <c r="M162" i="2" s="1"/>
  <c r="M163" i="2" s="1"/>
  <c r="K160" i="2"/>
  <c r="K161" i="2" s="1"/>
  <c r="K162" i="2" s="1"/>
  <c r="K163" i="2" s="1"/>
  <c r="K165" i="2"/>
  <c r="K166" i="2" s="1"/>
  <c r="K167" i="2" s="1"/>
  <c r="K168" i="2" s="1"/>
  <c r="K169" i="2" s="1"/>
  <c r="K170" i="2" s="1"/>
  <c r="K171" i="2" s="1"/>
  <c r="K172" i="2" s="1"/>
  <c r="K173" i="2" s="1"/>
  <c r="G155" i="2"/>
  <c r="G156" i="2" s="1"/>
  <c r="G157" i="2" s="1"/>
  <c r="G158" i="2" s="1"/>
  <c r="J120" i="2"/>
  <c r="J125" i="2"/>
  <c r="J126" i="2" s="1"/>
  <c r="J127" i="2" s="1"/>
  <c r="J128" i="2" s="1"/>
  <c r="J130" i="2"/>
  <c r="J131" i="2" s="1"/>
  <c r="J132" i="2" s="1"/>
  <c r="J133" i="2" s="1"/>
  <c r="J134" i="2" s="1"/>
  <c r="J135" i="2" s="1"/>
  <c r="J136" i="2" s="1"/>
  <c r="J137" i="2" s="1"/>
  <c r="J138" i="2" s="1"/>
  <c r="L160" i="2"/>
  <c r="L161" i="2" s="1"/>
  <c r="L162" i="2" s="1"/>
  <c r="L163" i="2" s="1"/>
  <c r="L165" i="2"/>
  <c r="L166" i="2" s="1"/>
  <c r="L167" i="2" s="1"/>
  <c r="L168" i="2" s="1"/>
  <c r="L169" i="2" s="1"/>
  <c r="L170" i="2" s="1"/>
  <c r="L171" i="2" s="1"/>
  <c r="L172" i="2" s="1"/>
  <c r="L173" i="2" s="1"/>
  <c r="D160" i="2"/>
  <c r="D161" i="2" s="1"/>
  <c r="D162" i="2" s="1"/>
  <c r="D163" i="2" s="1"/>
  <c r="D165" i="2"/>
  <c r="D166" i="2"/>
  <c r="D167" i="2" s="1"/>
  <c r="D168" i="2" s="1"/>
  <c r="D169" i="2" s="1"/>
  <c r="D170" i="2" s="1"/>
  <c r="D171" i="2" s="1"/>
  <c r="D172" i="2" s="1"/>
  <c r="D173" i="2" s="1"/>
  <c r="I155" i="2"/>
  <c r="I156" i="2" s="1"/>
  <c r="I157" i="2" s="1"/>
  <c r="I158" i="2" s="1"/>
  <c r="D120" i="2"/>
  <c r="D121" i="2" s="1"/>
  <c r="D122" i="2" s="1"/>
  <c r="D123" i="2" s="1"/>
  <c r="J155" i="2"/>
  <c r="J156" i="2" s="1"/>
  <c r="J160" i="2"/>
  <c r="J161" i="2" s="1"/>
  <c r="J162" i="2" s="1"/>
  <c r="J163" i="2" s="1"/>
  <c r="F165" i="2"/>
  <c r="F166" i="2" s="1"/>
  <c r="F167" i="2" s="1"/>
  <c r="F168" i="2" s="1"/>
  <c r="F169" i="2" s="1"/>
  <c r="F170" i="2" s="1"/>
  <c r="F171" i="2" s="1"/>
  <c r="F172" i="2" s="1"/>
  <c r="F173" i="2" s="1"/>
  <c r="F160" i="2"/>
  <c r="F161" i="2" s="1"/>
  <c r="F162" i="2" s="1"/>
  <c r="F163" i="2" s="1"/>
  <c r="E155" i="2"/>
  <c r="E156" i="2" s="1"/>
  <c r="E157" i="2" s="1"/>
  <c r="E158" i="2" s="1"/>
  <c r="N165" i="2"/>
  <c r="N166" i="2" s="1"/>
  <c r="N167" i="2" s="1"/>
  <c r="N168" i="2" s="1"/>
  <c r="N169" i="2" s="1"/>
  <c r="N170" i="2" s="1"/>
  <c r="N171" i="2" s="1"/>
  <c r="N172" i="2" s="1"/>
  <c r="N173" i="2" s="1"/>
  <c r="N160" i="2"/>
  <c r="N161" i="2" s="1"/>
  <c r="N162" i="2" s="1"/>
  <c r="N163" i="2" s="1"/>
  <c r="E120" i="2"/>
  <c r="E121" i="2" s="1"/>
  <c r="E122" i="2" s="1"/>
  <c r="E123" i="2" s="1"/>
  <c r="K125" i="2"/>
  <c r="K126" i="2" s="1"/>
  <c r="K127" i="2" s="1"/>
  <c r="K128" i="2" s="1"/>
  <c r="G160" i="2"/>
  <c r="G161" i="2" s="1"/>
  <c r="G162" i="2" s="1"/>
  <c r="G163" i="2" s="1"/>
  <c r="G165" i="2"/>
  <c r="G166" i="2" s="1"/>
  <c r="G167" i="2" s="1"/>
  <c r="G168" i="2" s="1"/>
  <c r="G169" i="2" s="1"/>
  <c r="G170" i="2" s="1"/>
  <c r="G171" i="2" s="1"/>
  <c r="G172" i="2" s="1"/>
  <c r="G173" i="2" s="1"/>
  <c r="N120" i="2"/>
  <c r="N121" i="2" s="1"/>
  <c r="N122" i="2" s="1"/>
  <c r="N123" i="2" s="1"/>
  <c r="F125" i="2"/>
  <c r="F126" i="2" s="1"/>
  <c r="F127" i="2" s="1"/>
  <c r="F128" i="2" s="1"/>
  <c r="H160" i="2"/>
  <c r="H161" i="2" s="1"/>
  <c r="H162" i="2" s="1"/>
  <c r="H163" i="2" s="1"/>
  <c r="H165" i="2"/>
  <c r="H166" i="2" s="1"/>
  <c r="H167" i="2" s="1"/>
  <c r="H168" i="2" s="1"/>
  <c r="H169" i="2" s="1"/>
  <c r="H170" i="2" s="1"/>
  <c r="H171" i="2" s="1"/>
  <c r="H172" i="2" s="1"/>
  <c r="H173" i="2" s="1"/>
  <c r="H155" i="2"/>
  <c r="D155" i="2"/>
  <c r="D156" i="2" s="1"/>
  <c r="D157" i="2" s="1"/>
  <c r="D158" i="2" s="1"/>
  <c r="CF370" i="1" l="1"/>
  <c r="CF483" i="1"/>
  <c r="CF431" i="1"/>
  <c r="CF472" i="1"/>
  <c r="CF167" i="1"/>
  <c r="CF480" i="1"/>
  <c r="CF427" i="1"/>
  <c r="CF468" i="1"/>
  <c r="CF490" i="1"/>
  <c r="CF163" i="1"/>
  <c r="CF476" i="1"/>
  <c r="BP25" i="1"/>
  <c r="BQ25" i="1" s="1"/>
  <c r="BR25" i="1" s="1"/>
  <c r="BS25" i="1" s="1"/>
  <c r="BK21" i="1"/>
  <c r="BV21" i="1" s="1"/>
  <c r="BW21" i="1" s="1"/>
  <c r="BK25" i="1"/>
  <c r="BV25" i="1" s="1"/>
  <c r="BW25" i="1" s="1"/>
  <c r="BK43" i="1"/>
  <c r="BL43" i="1" s="1"/>
  <c r="BM43" i="1" s="1"/>
  <c r="BN43" i="1" s="1"/>
  <c r="BU43" i="1"/>
  <c r="BK18" i="1"/>
  <c r="BL18" i="1" s="1"/>
  <c r="BM18" i="1" s="1"/>
  <c r="BN18" i="1" s="1"/>
  <c r="BU18" i="1"/>
  <c r="BP38" i="1"/>
  <c r="BQ38" i="1" s="1"/>
  <c r="BR38" i="1" s="1"/>
  <c r="BS38" i="1" s="1"/>
  <c r="BU38" i="1"/>
  <c r="BV38" i="1" s="1"/>
  <c r="BW38" i="1" s="1"/>
  <c r="BK29" i="1"/>
  <c r="BU29" i="1"/>
  <c r="BP47" i="1"/>
  <c r="BQ47" i="1" s="1"/>
  <c r="BR47" i="1" s="1"/>
  <c r="CC47" i="1" s="1"/>
  <c r="CF47" i="1" s="1"/>
  <c r="BU47" i="1"/>
  <c r="BK19" i="1"/>
  <c r="BU19" i="1"/>
  <c r="BK39" i="1"/>
  <c r="BL39" i="1" s="1"/>
  <c r="BM39" i="1" s="1"/>
  <c r="BU39" i="1"/>
  <c r="BK33" i="1"/>
  <c r="BL33" i="1" s="1"/>
  <c r="BM33" i="1" s="1"/>
  <c r="BU33" i="1"/>
  <c r="BK20" i="1"/>
  <c r="BL20" i="1" s="1"/>
  <c r="BM20" i="1" s="1"/>
  <c r="BU20" i="1"/>
  <c r="BP49" i="1"/>
  <c r="BQ49" i="1" s="1"/>
  <c r="BR49" i="1" s="1"/>
  <c r="CC49" i="1" s="1"/>
  <c r="CF49" i="1" s="1"/>
  <c r="BU49" i="1"/>
  <c r="BK44" i="1"/>
  <c r="BL44" i="1" s="1"/>
  <c r="BM44" i="1" s="1"/>
  <c r="BN44" i="1" s="1"/>
  <c r="BU44" i="1"/>
  <c r="BP41" i="1"/>
  <c r="BQ41" i="1" s="1"/>
  <c r="BR41" i="1" s="1"/>
  <c r="CC41" i="1" s="1"/>
  <c r="CF41" i="1" s="1"/>
  <c r="BU41" i="1"/>
  <c r="BK14" i="1"/>
  <c r="BL14" i="1" s="1"/>
  <c r="BM14" i="1" s="1"/>
  <c r="BN14" i="1" s="1"/>
  <c r="BK45" i="1"/>
  <c r="BL45" i="1" s="1"/>
  <c r="BM45" i="1" s="1"/>
  <c r="BN45" i="1" s="1"/>
  <c r="BU45" i="1"/>
  <c r="BK34" i="1"/>
  <c r="BL34" i="1" s="1"/>
  <c r="BM34" i="1" s="1"/>
  <c r="BU34" i="1"/>
  <c r="BK17" i="1"/>
  <c r="BL17" i="1" s="1"/>
  <c r="BM17" i="1" s="1"/>
  <c r="BN17" i="1" s="1"/>
  <c r="BU17" i="1"/>
  <c r="BP36" i="1"/>
  <c r="BQ36" i="1" s="1"/>
  <c r="BR36" i="1" s="1"/>
  <c r="CC36" i="1" s="1"/>
  <c r="CF36" i="1" s="1"/>
  <c r="BU36" i="1"/>
  <c r="BK15" i="1"/>
  <c r="BL15" i="1" s="1"/>
  <c r="BM15" i="1" s="1"/>
  <c r="BN15" i="1" s="1"/>
  <c r="BU15" i="1"/>
  <c r="BP23" i="1"/>
  <c r="BQ23" i="1" s="1"/>
  <c r="BR23" i="1" s="1"/>
  <c r="BS23" i="1" s="1"/>
  <c r="BU23" i="1"/>
  <c r="BP30" i="1"/>
  <c r="BQ30" i="1" s="1"/>
  <c r="BR30" i="1" s="1"/>
  <c r="BS30" i="1" s="1"/>
  <c r="BU30" i="1"/>
  <c r="BK3" i="1"/>
  <c r="BL3" i="1" s="1"/>
  <c r="BM3" i="1" s="1"/>
  <c r="BN3" i="1" s="1"/>
  <c r="BU3" i="1"/>
  <c r="BK35" i="1"/>
  <c r="BL35" i="1" s="1"/>
  <c r="BM35" i="1" s="1"/>
  <c r="BU35" i="1"/>
  <c r="BP27" i="1"/>
  <c r="BQ27" i="1" s="1"/>
  <c r="BR27" i="1" s="1"/>
  <c r="CC27" i="1" s="1"/>
  <c r="CF27" i="1" s="1"/>
  <c r="BU27" i="1"/>
  <c r="BK40" i="1"/>
  <c r="BU40" i="1"/>
  <c r="BP10" i="1"/>
  <c r="BQ10" i="1" s="1"/>
  <c r="BR10" i="1" s="1"/>
  <c r="CC10" i="1" s="1"/>
  <c r="CF10" i="1" s="1"/>
  <c r="BU10" i="1"/>
  <c r="BP12" i="1"/>
  <c r="BQ12" i="1" s="1"/>
  <c r="BR12" i="1" s="1"/>
  <c r="BS12" i="1" s="1"/>
  <c r="BU12" i="1"/>
  <c r="BV12" i="1" s="1"/>
  <c r="BW12" i="1" s="1"/>
  <c r="BP18" i="1"/>
  <c r="BQ18" i="1" s="1"/>
  <c r="BR18" i="1" s="1"/>
  <c r="BS18" i="1" s="1"/>
  <c r="BP46" i="1"/>
  <c r="BQ46" i="1" s="1"/>
  <c r="BR46" i="1" s="1"/>
  <c r="CC46" i="1" s="1"/>
  <c r="CF46" i="1" s="1"/>
  <c r="BU46" i="1"/>
  <c r="BK9" i="1"/>
  <c r="BL9" i="1" s="1"/>
  <c r="BM9" i="1" s="1"/>
  <c r="BU9" i="1"/>
  <c r="BK4" i="1"/>
  <c r="BL4" i="1" s="1"/>
  <c r="BM4" i="1" s="1"/>
  <c r="BN4" i="1" s="1"/>
  <c r="BU4" i="1"/>
  <c r="BP26" i="1"/>
  <c r="BQ26" i="1" s="1"/>
  <c r="BR26" i="1" s="1"/>
  <c r="BS26" i="1" s="1"/>
  <c r="BU26" i="1"/>
  <c r="BK11" i="1"/>
  <c r="BL11" i="1" s="1"/>
  <c r="BM11" i="1" s="1"/>
  <c r="BU11" i="1"/>
  <c r="BP22" i="1"/>
  <c r="BQ22" i="1" s="1"/>
  <c r="BR22" i="1" s="1"/>
  <c r="CC22" i="1" s="1"/>
  <c r="CF22" i="1" s="1"/>
  <c r="BU22" i="1"/>
  <c r="BP14" i="1"/>
  <c r="BQ14" i="1" s="1"/>
  <c r="BR14" i="1" s="1"/>
  <c r="BS14" i="1" s="1"/>
  <c r="BU14" i="1"/>
  <c r="BP24" i="1"/>
  <c r="BQ24" i="1" s="1"/>
  <c r="BR24" i="1" s="1"/>
  <c r="BS24" i="1" s="1"/>
  <c r="BU24" i="1"/>
  <c r="BK8" i="1"/>
  <c r="BL8" i="1" s="1"/>
  <c r="BM8" i="1" s="1"/>
  <c r="BU8" i="1"/>
  <c r="BK28" i="1"/>
  <c r="BU28" i="1"/>
  <c r="BK42" i="1"/>
  <c r="BL42" i="1" s="1"/>
  <c r="BM42" i="1" s="1"/>
  <c r="BU42" i="1"/>
  <c r="BK7" i="1"/>
  <c r="BL7" i="1" s="1"/>
  <c r="BM7" i="1" s="1"/>
  <c r="BU7" i="1"/>
  <c r="BK31" i="1"/>
  <c r="BL31" i="1" s="1"/>
  <c r="BM31" i="1" s="1"/>
  <c r="BN31" i="1" s="1"/>
  <c r="BU31" i="1"/>
  <c r="BP6" i="1"/>
  <c r="BQ6" i="1" s="1"/>
  <c r="BR6" i="1" s="1"/>
  <c r="BS6" i="1" s="1"/>
  <c r="BU6" i="1"/>
  <c r="BX189" i="1"/>
  <c r="BN149" i="1"/>
  <c r="BY149" i="1" s="1"/>
  <c r="CA149" i="1" s="1"/>
  <c r="BX149" i="1"/>
  <c r="BN289" i="1"/>
  <c r="BY289" i="1" s="1"/>
  <c r="CA289" i="1" s="1"/>
  <c r="BX289" i="1"/>
  <c r="BN425" i="1"/>
  <c r="BY425" i="1" s="1"/>
  <c r="CA425" i="1" s="1"/>
  <c r="BX425" i="1"/>
  <c r="BX193" i="1"/>
  <c r="BN193" i="1"/>
  <c r="BY193" i="1" s="1"/>
  <c r="CA193" i="1" s="1"/>
  <c r="BP35" i="1"/>
  <c r="BQ35" i="1" s="1"/>
  <c r="BR35" i="1" s="1"/>
  <c r="BS35" i="1" s="1"/>
  <c r="BN153" i="1"/>
  <c r="BY153" i="1" s="1"/>
  <c r="CA153" i="1" s="1"/>
  <c r="BX153" i="1"/>
  <c r="BX145" i="1"/>
  <c r="BN145" i="1"/>
  <c r="BY145" i="1" s="1"/>
  <c r="CA145" i="1" s="1"/>
  <c r="BX285" i="1"/>
  <c r="BN285" i="1"/>
  <c r="BY285" i="1" s="1"/>
  <c r="CA285" i="1" s="1"/>
  <c r="BY189" i="1"/>
  <c r="CA189" i="1" s="1"/>
  <c r="BX459" i="1"/>
  <c r="BN459" i="1"/>
  <c r="BY459" i="1" s="1"/>
  <c r="CA459" i="1" s="1"/>
  <c r="BN463" i="1"/>
  <c r="BY463" i="1" s="1"/>
  <c r="CA463" i="1" s="1"/>
  <c r="BX463" i="1"/>
  <c r="BX456" i="1"/>
  <c r="BN456" i="1"/>
  <c r="BY456" i="1" s="1"/>
  <c r="CA456" i="1" s="1"/>
  <c r="BN451" i="1"/>
  <c r="BY451" i="1" s="1"/>
  <c r="CA451" i="1" s="1"/>
  <c r="BX451" i="1"/>
  <c r="BX455" i="1"/>
  <c r="BN455" i="1"/>
  <c r="BY455" i="1" s="1"/>
  <c r="CA455" i="1" s="1"/>
  <c r="BX450" i="1"/>
  <c r="BN450" i="1"/>
  <c r="BY450" i="1" s="1"/>
  <c r="CA450" i="1" s="1"/>
  <c r="BX452" i="1"/>
  <c r="BN452" i="1"/>
  <c r="BY452" i="1" s="1"/>
  <c r="CA452" i="1" s="1"/>
  <c r="BX445" i="1"/>
  <c r="BN445" i="1"/>
  <c r="BY445" i="1" s="1"/>
  <c r="CA445" i="1" s="1"/>
  <c r="BX449" i="1"/>
  <c r="BN449" i="1"/>
  <c r="BY449" i="1" s="1"/>
  <c r="CA449" i="1" s="1"/>
  <c r="BX439" i="1"/>
  <c r="BN439" i="1"/>
  <c r="BY439" i="1" s="1"/>
  <c r="CA439" i="1" s="1"/>
  <c r="BX435" i="1"/>
  <c r="BN435" i="1"/>
  <c r="BY435" i="1" s="1"/>
  <c r="CA435" i="1" s="1"/>
  <c r="BX431" i="1"/>
  <c r="BN431" i="1"/>
  <c r="BY431" i="1" s="1"/>
  <c r="CA431" i="1" s="1"/>
  <c r="BX427" i="1"/>
  <c r="BN427" i="1"/>
  <c r="BY427" i="1" s="1"/>
  <c r="CA427" i="1" s="1"/>
  <c r="BX419" i="1"/>
  <c r="BN419" i="1"/>
  <c r="BY419" i="1" s="1"/>
  <c r="CA419" i="1" s="1"/>
  <c r="BN423" i="1"/>
  <c r="BY423" i="1" s="1"/>
  <c r="CA423" i="1" s="1"/>
  <c r="BX423" i="1"/>
  <c r="BX413" i="1"/>
  <c r="BN413" i="1"/>
  <c r="BY413" i="1" s="1"/>
  <c r="CA413" i="1" s="1"/>
  <c r="BN411" i="1"/>
  <c r="BY411" i="1" s="1"/>
  <c r="CA411" i="1" s="1"/>
  <c r="BX411" i="1"/>
  <c r="BX417" i="1"/>
  <c r="BN417" i="1"/>
  <c r="BY417" i="1" s="1"/>
  <c r="CA417" i="1" s="1"/>
  <c r="BX415" i="1"/>
  <c r="BN415" i="1"/>
  <c r="BY415" i="1" s="1"/>
  <c r="CA415" i="1" s="1"/>
  <c r="BX394" i="1"/>
  <c r="BN394" i="1"/>
  <c r="BY394" i="1" s="1"/>
  <c r="CA394" i="1" s="1"/>
  <c r="BX397" i="1"/>
  <c r="BN397" i="1"/>
  <c r="BY397" i="1" s="1"/>
  <c r="CA397" i="1" s="1"/>
  <c r="BX409" i="1"/>
  <c r="BN409" i="1"/>
  <c r="BY409" i="1" s="1"/>
  <c r="CA409" i="1" s="1"/>
  <c r="BX405" i="1"/>
  <c r="BN405" i="1"/>
  <c r="BY405" i="1" s="1"/>
  <c r="CA405" i="1" s="1"/>
  <c r="BX401" i="1"/>
  <c r="BN401" i="1"/>
  <c r="BY401" i="1" s="1"/>
  <c r="CA401" i="1" s="1"/>
  <c r="BX387" i="1"/>
  <c r="BN387" i="1"/>
  <c r="BY387" i="1" s="1"/>
  <c r="CA387" i="1" s="1"/>
  <c r="BX391" i="1"/>
  <c r="BN391" i="1"/>
  <c r="BY391" i="1" s="1"/>
  <c r="CA391" i="1" s="1"/>
  <c r="BX370" i="1"/>
  <c r="BN370" i="1"/>
  <c r="BY370" i="1" s="1"/>
  <c r="CA370" i="1" s="1"/>
  <c r="BX385" i="1"/>
  <c r="BN385" i="1"/>
  <c r="BY385" i="1" s="1"/>
  <c r="CA385" i="1" s="1"/>
  <c r="BX363" i="1"/>
  <c r="BN363" i="1"/>
  <c r="BY363" i="1" s="1"/>
  <c r="CA363" i="1" s="1"/>
  <c r="BX367" i="1"/>
  <c r="BN367" i="1"/>
  <c r="BY367" i="1" s="1"/>
  <c r="CA367" i="1" s="1"/>
  <c r="BX362" i="1"/>
  <c r="BN362" i="1"/>
  <c r="BY362" i="1" s="1"/>
  <c r="CA362" i="1" s="1"/>
  <c r="BX361" i="1"/>
  <c r="BN361" i="1"/>
  <c r="BY361" i="1" s="1"/>
  <c r="CA361" i="1" s="1"/>
  <c r="BX357" i="1"/>
  <c r="BN357" i="1"/>
  <c r="BY357" i="1" s="1"/>
  <c r="CA357" i="1" s="1"/>
  <c r="BX351" i="1"/>
  <c r="BN351" i="1"/>
  <c r="BY351" i="1" s="1"/>
  <c r="CA351" i="1" s="1"/>
  <c r="BX345" i="1"/>
  <c r="BN345" i="1"/>
  <c r="BY345" i="1" s="1"/>
  <c r="CA345" i="1" s="1"/>
  <c r="BX341" i="1"/>
  <c r="BN341" i="1"/>
  <c r="BY341" i="1" s="1"/>
  <c r="CA341" i="1" s="1"/>
  <c r="BX330" i="1"/>
  <c r="BN330" i="1"/>
  <c r="BY330" i="1" s="1"/>
  <c r="CA330" i="1" s="1"/>
  <c r="BX337" i="1"/>
  <c r="BN337" i="1"/>
  <c r="BY337" i="1" s="1"/>
  <c r="CA337" i="1" s="1"/>
  <c r="BX334" i="1"/>
  <c r="BN334" i="1"/>
  <c r="BY334" i="1" s="1"/>
  <c r="CA334" i="1" s="1"/>
  <c r="BX333" i="1"/>
  <c r="BN333" i="1"/>
  <c r="BY333" i="1" s="1"/>
  <c r="CA333" i="1" s="1"/>
  <c r="BX329" i="1"/>
  <c r="BN329" i="1"/>
  <c r="BY329" i="1" s="1"/>
  <c r="CA329" i="1" s="1"/>
  <c r="BX325" i="1"/>
  <c r="BN325" i="1"/>
  <c r="BY325" i="1" s="1"/>
  <c r="CA325" i="1" s="1"/>
  <c r="BN317" i="1"/>
  <c r="BY317" i="1" s="1"/>
  <c r="CA317" i="1" s="1"/>
  <c r="BX317" i="1"/>
  <c r="BX313" i="1"/>
  <c r="BN313" i="1"/>
  <c r="BY313" i="1" s="1"/>
  <c r="CA313" i="1" s="1"/>
  <c r="BX309" i="1"/>
  <c r="BN309" i="1"/>
  <c r="BY309" i="1" s="1"/>
  <c r="CA309" i="1" s="1"/>
  <c r="BX301" i="1"/>
  <c r="BN301" i="1"/>
  <c r="BY301" i="1" s="1"/>
  <c r="CA301" i="1" s="1"/>
  <c r="BX305" i="1"/>
  <c r="BN305" i="1"/>
  <c r="BY305" i="1" s="1"/>
  <c r="CA305" i="1" s="1"/>
  <c r="BX298" i="1"/>
  <c r="BN298" i="1"/>
  <c r="BY298" i="1" s="1"/>
  <c r="CA298" i="1" s="1"/>
  <c r="BX302" i="1"/>
  <c r="BN302" i="1"/>
  <c r="BY302" i="1" s="1"/>
  <c r="CA302" i="1" s="1"/>
  <c r="BX291" i="1"/>
  <c r="BN291" i="1"/>
  <c r="BY291" i="1" s="1"/>
  <c r="CA291" i="1" s="1"/>
  <c r="BX295" i="1"/>
  <c r="BN295" i="1"/>
  <c r="BY295" i="1" s="1"/>
  <c r="CA295" i="1" s="1"/>
  <c r="BX283" i="1"/>
  <c r="BN283" i="1"/>
  <c r="BY283" i="1" s="1"/>
  <c r="CA283" i="1" s="1"/>
  <c r="BX287" i="1"/>
  <c r="BN287" i="1"/>
  <c r="BY287" i="1" s="1"/>
  <c r="CA287" i="1" s="1"/>
  <c r="BX281" i="1"/>
  <c r="BN281" i="1"/>
  <c r="BY281" i="1" s="1"/>
  <c r="CA281" i="1" s="1"/>
  <c r="BX277" i="1"/>
  <c r="BN277" i="1"/>
  <c r="BY277" i="1" s="1"/>
  <c r="CA277" i="1" s="1"/>
  <c r="BX274" i="1"/>
  <c r="BN274" i="1"/>
  <c r="BY274" i="1" s="1"/>
  <c r="CA274" i="1" s="1"/>
  <c r="BX267" i="1"/>
  <c r="BN267" i="1"/>
  <c r="BY267" i="1" s="1"/>
  <c r="CA267" i="1" s="1"/>
  <c r="BX266" i="1"/>
  <c r="BN266" i="1"/>
  <c r="BY266" i="1" s="1"/>
  <c r="CA266" i="1" s="1"/>
  <c r="BX271" i="1"/>
  <c r="BN271" i="1"/>
  <c r="BY271" i="1" s="1"/>
  <c r="CA271" i="1" s="1"/>
  <c r="BX259" i="1"/>
  <c r="BN259" i="1"/>
  <c r="BY259" i="1" s="1"/>
  <c r="CA259" i="1" s="1"/>
  <c r="BN263" i="1"/>
  <c r="BY263" i="1" s="1"/>
  <c r="CA263" i="1" s="1"/>
  <c r="BX263" i="1"/>
  <c r="BX252" i="1"/>
  <c r="BN252" i="1"/>
  <c r="BY252" i="1" s="1"/>
  <c r="CA252" i="1" s="1"/>
  <c r="BX255" i="1"/>
  <c r="BN255" i="1"/>
  <c r="BY255" i="1" s="1"/>
  <c r="CA255" i="1" s="1"/>
  <c r="BX251" i="1"/>
  <c r="BN251" i="1"/>
  <c r="BY251" i="1" s="1"/>
  <c r="CA251" i="1" s="1"/>
  <c r="BX244" i="1"/>
  <c r="BN244" i="1"/>
  <c r="BY244" i="1" s="1"/>
  <c r="CA244" i="1" s="1"/>
  <c r="BX247" i="1"/>
  <c r="BN247" i="1"/>
  <c r="BY247" i="1" s="1"/>
  <c r="CA247" i="1" s="1"/>
  <c r="BX242" i="1"/>
  <c r="BN242" i="1"/>
  <c r="BY242" i="1" s="1"/>
  <c r="CA242" i="1" s="1"/>
  <c r="BX234" i="1"/>
  <c r="BN234" i="1"/>
  <c r="BY234" i="1" s="1"/>
  <c r="CA234" i="1" s="1"/>
  <c r="BX237" i="1"/>
  <c r="BN237" i="1"/>
  <c r="BY237" i="1" s="1"/>
  <c r="CA237" i="1" s="1"/>
  <c r="BX241" i="1"/>
  <c r="BN241" i="1"/>
  <c r="BY241" i="1" s="1"/>
  <c r="CA241" i="1" s="1"/>
  <c r="BX227" i="1"/>
  <c r="BN227" i="1"/>
  <c r="BY227" i="1" s="1"/>
  <c r="CA227" i="1" s="1"/>
  <c r="BN226" i="1"/>
  <c r="BY226" i="1" s="1"/>
  <c r="CA226" i="1" s="1"/>
  <c r="BX226" i="1"/>
  <c r="BX231" i="1"/>
  <c r="BN231" i="1"/>
  <c r="BY231" i="1" s="1"/>
  <c r="CA231" i="1" s="1"/>
  <c r="BX223" i="1"/>
  <c r="BN223" i="1"/>
  <c r="BY223" i="1" s="1"/>
  <c r="CA223" i="1" s="1"/>
  <c r="BN219" i="1"/>
  <c r="BY219" i="1" s="1"/>
  <c r="CA219" i="1" s="1"/>
  <c r="BX219" i="1"/>
  <c r="BX216" i="1"/>
  <c r="BN216" i="1"/>
  <c r="BY216" i="1" s="1"/>
  <c r="CA216" i="1" s="1"/>
  <c r="BX211" i="1"/>
  <c r="BN211" i="1"/>
  <c r="BY211" i="1" s="1"/>
  <c r="CA211" i="1" s="1"/>
  <c r="BX215" i="1"/>
  <c r="BN215" i="1"/>
  <c r="BY215" i="1" s="1"/>
  <c r="CA215" i="1" s="1"/>
  <c r="BN203" i="1"/>
  <c r="BY203" i="1" s="1"/>
  <c r="CA203" i="1" s="1"/>
  <c r="BX203" i="1"/>
  <c r="BX207" i="1"/>
  <c r="BN207" i="1"/>
  <c r="BY207" i="1" s="1"/>
  <c r="CA207" i="1" s="1"/>
  <c r="BX194" i="1"/>
  <c r="BN194" i="1"/>
  <c r="BY194" i="1" s="1"/>
  <c r="CA194" i="1" s="1"/>
  <c r="BX197" i="1"/>
  <c r="BN197" i="1"/>
  <c r="BY197" i="1" s="1"/>
  <c r="CA197" i="1" s="1"/>
  <c r="BX201" i="1"/>
  <c r="BN201" i="1"/>
  <c r="BY201" i="1" s="1"/>
  <c r="CA201" i="1" s="1"/>
  <c r="BX191" i="1"/>
  <c r="BN191" i="1"/>
  <c r="BY191" i="1" s="1"/>
  <c r="CA191" i="1" s="1"/>
  <c r="BN187" i="1"/>
  <c r="BY187" i="1" s="1"/>
  <c r="CA187" i="1" s="1"/>
  <c r="BX187" i="1"/>
  <c r="BX179" i="1"/>
  <c r="BN179" i="1"/>
  <c r="BY179" i="1" s="1"/>
  <c r="CA179" i="1" s="1"/>
  <c r="BN185" i="1"/>
  <c r="BY185" i="1" s="1"/>
  <c r="CA185" i="1" s="1"/>
  <c r="BX185" i="1"/>
  <c r="BN181" i="1"/>
  <c r="BY181" i="1" s="1"/>
  <c r="CA181" i="1" s="1"/>
  <c r="BX181" i="1"/>
  <c r="BX183" i="1"/>
  <c r="BN183" i="1"/>
  <c r="BY183" i="1" s="1"/>
  <c r="CA183" i="1" s="1"/>
  <c r="BX175" i="1"/>
  <c r="BN175" i="1"/>
  <c r="BY175" i="1" s="1"/>
  <c r="CA175" i="1" s="1"/>
  <c r="BX171" i="1"/>
  <c r="BN171" i="1"/>
  <c r="BY171" i="1" s="1"/>
  <c r="CA171" i="1" s="1"/>
  <c r="BX167" i="1"/>
  <c r="BN167" i="1"/>
  <c r="BY167" i="1" s="1"/>
  <c r="CA167" i="1" s="1"/>
  <c r="BX163" i="1"/>
  <c r="BN163" i="1"/>
  <c r="BY163" i="1" s="1"/>
  <c r="CA163" i="1" s="1"/>
  <c r="BN159" i="1"/>
  <c r="BY159" i="1" s="1"/>
  <c r="CA159" i="1" s="1"/>
  <c r="BX159" i="1"/>
  <c r="BX155" i="1"/>
  <c r="BN155" i="1"/>
  <c r="BY155" i="1" s="1"/>
  <c r="CA155" i="1" s="1"/>
  <c r="BX154" i="1"/>
  <c r="BN154" i="1"/>
  <c r="BY154" i="1" s="1"/>
  <c r="CA154" i="1" s="1"/>
  <c r="BX143" i="1"/>
  <c r="BN143" i="1"/>
  <c r="BY143" i="1" s="1"/>
  <c r="CA143" i="1" s="1"/>
  <c r="BX147" i="1"/>
  <c r="BN147" i="1"/>
  <c r="BY147" i="1" s="1"/>
  <c r="CA147" i="1" s="1"/>
  <c r="BX139" i="1"/>
  <c r="BN139" i="1"/>
  <c r="BY139" i="1" s="1"/>
  <c r="CA139" i="1" s="1"/>
  <c r="BN151" i="1"/>
  <c r="BY151" i="1" s="1"/>
  <c r="CA151" i="1" s="1"/>
  <c r="BX151" i="1"/>
  <c r="BX135" i="1"/>
  <c r="BN135" i="1"/>
  <c r="BY135" i="1" s="1"/>
  <c r="CA135" i="1" s="1"/>
  <c r="BN131" i="1"/>
  <c r="BY131" i="1" s="1"/>
  <c r="CA131" i="1" s="1"/>
  <c r="BX131" i="1"/>
  <c r="BN123" i="1"/>
  <c r="BY123" i="1" s="1"/>
  <c r="CA123" i="1" s="1"/>
  <c r="BX123" i="1"/>
  <c r="BN127" i="1"/>
  <c r="BY127" i="1" s="1"/>
  <c r="CA127" i="1" s="1"/>
  <c r="BX127" i="1"/>
  <c r="BX120" i="1"/>
  <c r="BN120" i="1"/>
  <c r="BY120" i="1" s="1"/>
  <c r="CA120" i="1" s="1"/>
  <c r="BX115" i="1"/>
  <c r="BN115" i="1"/>
  <c r="BY115" i="1" s="1"/>
  <c r="CA115" i="1" s="1"/>
  <c r="BX114" i="1"/>
  <c r="BN114" i="1"/>
  <c r="BY114" i="1" s="1"/>
  <c r="CA114" i="1" s="1"/>
  <c r="BX119" i="1"/>
  <c r="BN119" i="1"/>
  <c r="BY119" i="1" s="1"/>
  <c r="CA119" i="1" s="1"/>
  <c r="BX118" i="1"/>
  <c r="BN118" i="1"/>
  <c r="BY118" i="1" s="1"/>
  <c r="CA118" i="1" s="1"/>
  <c r="BN101" i="1"/>
  <c r="BY101" i="1" s="1"/>
  <c r="CA101" i="1" s="1"/>
  <c r="BX101" i="1"/>
  <c r="BN105" i="1"/>
  <c r="BY105" i="1" s="1"/>
  <c r="CA105" i="1" s="1"/>
  <c r="BX105" i="1"/>
  <c r="BX93" i="1"/>
  <c r="BN93" i="1"/>
  <c r="BY93" i="1" s="1"/>
  <c r="CA93" i="1" s="1"/>
  <c r="BX97" i="1"/>
  <c r="BN97" i="1"/>
  <c r="BY97" i="1" s="1"/>
  <c r="CA97" i="1" s="1"/>
  <c r="BX87" i="1"/>
  <c r="BN87" i="1"/>
  <c r="BY87" i="1" s="1"/>
  <c r="CA87" i="1" s="1"/>
  <c r="BX83" i="1"/>
  <c r="BN83" i="1"/>
  <c r="BY83" i="1" s="1"/>
  <c r="CA83" i="1" s="1"/>
  <c r="BP40" i="1"/>
  <c r="BQ40" i="1" s="1"/>
  <c r="BR40" i="1" s="1"/>
  <c r="BS40" i="1" s="1"/>
  <c r="BK41" i="1"/>
  <c r="BL41" i="1" s="1"/>
  <c r="BM41" i="1" s="1"/>
  <c r="BN41" i="1" s="1"/>
  <c r="BX74" i="1"/>
  <c r="BN74" i="1"/>
  <c r="BY74" i="1" s="1"/>
  <c r="CA74" i="1" s="1"/>
  <c r="BX79" i="1"/>
  <c r="BN79" i="1"/>
  <c r="BY79" i="1" s="1"/>
  <c r="CA79" i="1" s="1"/>
  <c r="BN78" i="1"/>
  <c r="BY78" i="1" s="1"/>
  <c r="CA78" i="1" s="1"/>
  <c r="BX78" i="1"/>
  <c r="BX75" i="1"/>
  <c r="BN75" i="1"/>
  <c r="BY75" i="1" s="1"/>
  <c r="CA75" i="1" s="1"/>
  <c r="BX70" i="1"/>
  <c r="BN70" i="1"/>
  <c r="BY70" i="1" s="1"/>
  <c r="CA70" i="1" s="1"/>
  <c r="BN71" i="1"/>
  <c r="BY71" i="1" s="1"/>
  <c r="CA71" i="1" s="1"/>
  <c r="BX71" i="1"/>
  <c r="BN64" i="1"/>
  <c r="BY64" i="1" s="1"/>
  <c r="CA64" i="1" s="1"/>
  <c r="BX64" i="1"/>
  <c r="BX65" i="1"/>
  <c r="BN65" i="1"/>
  <c r="BY65" i="1" s="1"/>
  <c r="CA65" i="1" s="1"/>
  <c r="BL56" i="1"/>
  <c r="BM56" i="1" s="1"/>
  <c r="BN56" i="1" s="1"/>
  <c r="BV56" i="1"/>
  <c r="BW56" i="1" s="1"/>
  <c r="BS52" i="1"/>
  <c r="CC52" i="1"/>
  <c r="CF52" i="1" s="1"/>
  <c r="BL52" i="1"/>
  <c r="BM52" i="1" s="1"/>
  <c r="BV52" i="1"/>
  <c r="BW52" i="1" s="1"/>
  <c r="BK23" i="1"/>
  <c r="BS51" i="1"/>
  <c r="CC51" i="1"/>
  <c r="CF51" i="1" s="1"/>
  <c r="BL51" i="1"/>
  <c r="BM51" i="1" s="1"/>
  <c r="BV51" i="1"/>
  <c r="BW51" i="1" s="1"/>
  <c r="BN54" i="1"/>
  <c r="BY54" i="1" s="1"/>
  <c r="CA54" i="1" s="1"/>
  <c r="BX54" i="1"/>
  <c r="BS55" i="1"/>
  <c r="CF55" i="1"/>
  <c r="BN50" i="1"/>
  <c r="BY50" i="1" s="1"/>
  <c r="CA50" i="1" s="1"/>
  <c r="BX50" i="1"/>
  <c r="BP39" i="1"/>
  <c r="BQ39" i="1" s="1"/>
  <c r="BR39" i="1" s="1"/>
  <c r="BS39" i="1" s="1"/>
  <c r="BL55" i="1"/>
  <c r="BM55" i="1" s="1"/>
  <c r="BV55" i="1"/>
  <c r="BW55" i="1" s="1"/>
  <c r="BP20" i="1"/>
  <c r="BQ20" i="1" s="1"/>
  <c r="BR20" i="1" s="1"/>
  <c r="CC20" i="1" s="1"/>
  <c r="CF20" i="1" s="1"/>
  <c r="BK36" i="1"/>
  <c r="BL36" i="1" s="1"/>
  <c r="BM36" i="1" s="1"/>
  <c r="BK26" i="1"/>
  <c r="BL26" i="1" s="1"/>
  <c r="BM26" i="1" s="1"/>
  <c r="BN26" i="1" s="1"/>
  <c r="BP33" i="1"/>
  <c r="BQ33" i="1" s="1"/>
  <c r="BR33" i="1" s="1"/>
  <c r="CC33" i="1" s="1"/>
  <c r="CF33" i="1" s="1"/>
  <c r="BP15" i="1"/>
  <c r="BQ15" i="1" s="1"/>
  <c r="BR15" i="1" s="1"/>
  <c r="BS15" i="1" s="1"/>
  <c r="BP31" i="1"/>
  <c r="BQ31" i="1" s="1"/>
  <c r="BR31" i="1" s="1"/>
  <c r="BS31" i="1" s="1"/>
  <c r="BL53" i="1"/>
  <c r="BM53" i="1" s="1"/>
  <c r="BV53" i="1"/>
  <c r="BW53" i="1" s="1"/>
  <c r="BN57" i="1"/>
  <c r="BY57" i="1" s="1"/>
  <c r="CA57" i="1" s="1"/>
  <c r="BX57" i="1"/>
  <c r="BS53" i="1"/>
  <c r="CC53" i="1"/>
  <c r="CF53" i="1" s="1"/>
  <c r="BS56" i="1"/>
  <c r="CC56" i="1"/>
  <c r="CF56" i="1" s="1"/>
  <c r="BK24" i="1"/>
  <c r="BL24" i="1" s="1"/>
  <c r="BM24" i="1" s="1"/>
  <c r="BN24" i="1" s="1"/>
  <c r="BK5" i="1"/>
  <c r="BL5" i="1" s="1"/>
  <c r="BM5" i="1" s="1"/>
  <c r="BP9" i="1"/>
  <c r="BQ9" i="1" s="1"/>
  <c r="BR9" i="1" s="1"/>
  <c r="CC9" i="1" s="1"/>
  <c r="CF9" i="1" s="1"/>
  <c r="BP28" i="1"/>
  <c r="BQ28" i="1" s="1"/>
  <c r="BR28" i="1" s="1"/>
  <c r="CC28" i="1" s="1"/>
  <c r="CF28" i="1" s="1"/>
  <c r="BK13" i="1"/>
  <c r="BV13" i="1" s="1"/>
  <c r="BW13" i="1" s="1"/>
  <c r="BK22" i="1"/>
  <c r="BL22" i="1" s="1"/>
  <c r="BM22" i="1" s="1"/>
  <c r="BN22" i="1" s="1"/>
  <c r="BP19" i="1"/>
  <c r="BQ19" i="1" s="1"/>
  <c r="BR19" i="1" s="1"/>
  <c r="BS19" i="1" s="1"/>
  <c r="BL38" i="1"/>
  <c r="BM38" i="1" s="1"/>
  <c r="BN38" i="1" s="1"/>
  <c r="BP13" i="1"/>
  <c r="BQ13" i="1" s="1"/>
  <c r="BR13" i="1" s="1"/>
  <c r="BL12" i="1"/>
  <c r="BM12" i="1" s="1"/>
  <c r="BN12" i="1" s="1"/>
  <c r="BS3" i="1"/>
  <c r="CC3" i="1"/>
  <c r="CF3" i="1" s="1"/>
  <c r="CC25" i="1"/>
  <c r="CF25" i="1" s="1"/>
  <c r="BK49" i="1"/>
  <c r="BK27" i="1"/>
  <c r="BK48" i="1"/>
  <c r="BP48" i="1"/>
  <c r="BP8" i="1"/>
  <c r="BQ8" i="1" s="1"/>
  <c r="BR8" i="1" s="1"/>
  <c r="BP17" i="1"/>
  <c r="BQ17" i="1" s="1"/>
  <c r="BR17" i="1" s="1"/>
  <c r="BK16" i="1"/>
  <c r="BP16" i="1"/>
  <c r="BQ16" i="1" s="1"/>
  <c r="BR16" i="1" s="1"/>
  <c r="BK32" i="1"/>
  <c r="BP32" i="1"/>
  <c r="BQ32" i="1" s="1"/>
  <c r="BR32" i="1" s="1"/>
  <c r="BK37" i="1"/>
  <c r="BP37" i="1"/>
  <c r="BQ37" i="1" s="1"/>
  <c r="BR37" i="1" s="1"/>
  <c r="BL21" i="1"/>
  <c r="BM21" i="1" s="1"/>
  <c r="BK10" i="1"/>
  <c r="BP7" i="1"/>
  <c r="BQ7" i="1" s="1"/>
  <c r="BR7" i="1" s="1"/>
  <c r="BP34" i="1"/>
  <c r="BQ34" i="1" s="1"/>
  <c r="BR34" i="1" s="1"/>
  <c r="BP11" i="1"/>
  <c r="BQ11" i="1" s="1"/>
  <c r="BR11" i="1" s="1"/>
  <c r="BK46" i="1"/>
  <c r="BK47" i="1"/>
  <c r="BP42" i="1"/>
  <c r="BQ42" i="1" s="1"/>
  <c r="BR42" i="1" s="1"/>
  <c r="BP43" i="1"/>
  <c r="BQ43" i="1" s="1"/>
  <c r="BR43" i="1" s="1"/>
  <c r="BP2" i="1"/>
  <c r="BQ2" i="1" s="1"/>
  <c r="BR2" i="1" s="1"/>
  <c r="BK2" i="1"/>
  <c r="BV2" i="1" s="1"/>
  <c r="J157" i="2"/>
  <c r="J158" i="2" s="1"/>
  <c r="H156" i="2"/>
  <c r="J121" i="2"/>
  <c r="J122" i="2" s="1"/>
  <c r="J123" i="2" s="1"/>
  <c r="H157" i="2"/>
  <c r="H122" i="2"/>
  <c r="BP4" i="1" s="1"/>
  <c r="BQ4" i="1" s="1"/>
  <c r="BR4" i="1" s="1"/>
  <c r="BS4" i="1" s="1"/>
  <c r="BS10" i="1" l="1"/>
  <c r="BV3" i="1"/>
  <c r="BW3" i="1" s="1"/>
  <c r="BV17" i="1"/>
  <c r="BW17" i="1" s="1"/>
  <c r="BL25" i="1"/>
  <c r="BM25" i="1" s="1"/>
  <c r="BN25" i="1" s="1"/>
  <c r="BV28" i="1"/>
  <c r="BW28" i="1" s="1"/>
  <c r="BS36" i="1"/>
  <c r="BV46" i="1"/>
  <c r="BW46" i="1" s="1"/>
  <c r="BV20" i="1"/>
  <c r="BW20" i="1" s="1"/>
  <c r="BX20" i="1" s="1"/>
  <c r="BV36" i="1"/>
  <c r="BW36" i="1" s="1"/>
  <c r="BX36" i="1" s="1"/>
  <c r="CC24" i="1"/>
  <c r="CF24" i="1" s="1"/>
  <c r="CC14" i="1"/>
  <c r="CF14" i="1" s="1"/>
  <c r="BS49" i="1"/>
  <c r="CC12" i="1"/>
  <c r="CF12" i="1" s="1"/>
  <c r="BS47" i="1"/>
  <c r="BV34" i="1"/>
  <c r="BW34" i="1" s="1"/>
  <c r="BX34" i="1" s="1"/>
  <c r="BV7" i="1"/>
  <c r="BW7" i="1" s="1"/>
  <c r="BX7" i="1" s="1"/>
  <c r="BV42" i="1"/>
  <c r="BW42" i="1" s="1"/>
  <c r="BX42" i="1" s="1"/>
  <c r="BV14" i="1"/>
  <c r="BW14" i="1" s="1"/>
  <c r="BY14" i="1" s="1"/>
  <c r="CA14" i="1" s="1"/>
  <c r="BV4" i="1"/>
  <c r="BW4" i="1" s="1"/>
  <c r="BY4" i="1" s="1"/>
  <c r="CA4" i="1" s="1"/>
  <c r="BV43" i="1"/>
  <c r="BW43" i="1" s="1"/>
  <c r="BX43" i="1" s="1"/>
  <c r="BS20" i="1"/>
  <c r="BV29" i="1"/>
  <c r="BW29" i="1" s="1"/>
  <c r="CC26" i="1"/>
  <c r="CF26" i="1" s="1"/>
  <c r="BV15" i="1"/>
  <c r="BW15" i="1" s="1"/>
  <c r="BX15" i="1" s="1"/>
  <c r="CC35" i="1"/>
  <c r="CF35" i="1" s="1"/>
  <c r="BV44" i="1"/>
  <c r="BW44" i="1" s="1"/>
  <c r="BY44" i="1" s="1"/>
  <c r="CA44" i="1" s="1"/>
  <c r="BV31" i="1"/>
  <c r="BW31" i="1" s="1"/>
  <c r="BX31" i="1" s="1"/>
  <c r="BV8" i="1"/>
  <c r="BW8" i="1" s="1"/>
  <c r="BX8" i="1" s="1"/>
  <c r="BV11" i="1"/>
  <c r="BW11" i="1" s="1"/>
  <c r="BX11" i="1" s="1"/>
  <c r="BV39" i="1"/>
  <c r="BW39" i="1" s="1"/>
  <c r="BX39" i="1" s="1"/>
  <c r="BV45" i="1"/>
  <c r="BW45" i="1" s="1"/>
  <c r="BX45" i="1" s="1"/>
  <c r="CC40" i="1"/>
  <c r="CF40" i="1" s="1"/>
  <c r="BL28" i="1"/>
  <c r="BM28" i="1" s="1"/>
  <c r="BN28" i="1" s="1"/>
  <c r="BV26" i="1"/>
  <c r="BW26" i="1" s="1"/>
  <c r="BX26" i="1" s="1"/>
  <c r="BV49" i="1"/>
  <c r="BW49" i="1" s="1"/>
  <c r="BV35" i="1"/>
  <c r="BW35" i="1" s="1"/>
  <c r="BX35" i="1" s="1"/>
  <c r="BL49" i="1"/>
  <c r="BM49" i="1" s="1"/>
  <c r="BN49" i="1" s="1"/>
  <c r="BV40" i="1"/>
  <c r="BW40" i="1" s="1"/>
  <c r="BS22" i="1"/>
  <c r="BV9" i="1"/>
  <c r="BW9" i="1" s="1"/>
  <c r="BX9" i="1" s="1"/>
  <c r="BV33" i="1"/>
  <c r="BW33" i="1" s="1"/>
  <c r="BX33" i="1" s="1"/>
  <c r="BL29" i="1"/>
  <c r="BM29" i="1" s="1"/>
  <c r="BV19" i="1"/>
  <c r="BW19" i="1" s="1"/>
  <c r="BV18" i="1"/>
  <c r="BW18" i="1" s="1"/>
  <c r="BX18" i="1" s="1"/>
  <c r="BS41" i="1"/>
  <c r="CC6" i="1"/>
  <c r="CF6" i="1" s="1"/>
  <c r="BS46" i="1"/>
  <c r="CC38" i="1"/>
  <c r="CF38" i="1" s="1"/>
  <c r="BV5" i="1"/>
  <c r="BW5" i="1" s="1"/>
  <c r="BX5" i="1" s="1"/>
  <c r="BV23" i="1"/>
  <c r="BW23" i="1" s="1"/>
  <c r="BS9" i="1"/>
  <c r="BV41" i="1"/>
  <c r="BW41" i="1" s="1"/>
  <c r="BY41" i="1" s="1"/>
  <c r="CC18" i="1"/>
  <c r="CF18" i="1" s="1"/>
  <c r="CC30" i="1"/>
  <c r="CF30" i="1" s="1"/>
  <c r="BL19" i="1"/>
  <c r="BM19" i="1" s="1"/>
  <c r="BN19" i="1" s="1"/>
  <c r="BS27" i="1"/>
  <c r="CC23" i="1"/>
  <c r="CF23" i="1" s="1"/>
  <c r="BL40" i="1"/>
  <c r="BM40" i="1" s="1"/>
  <c r="BN40" i="1" s="1"/>
  <c r="BS33" i="1"/>
  <c r="CC39" i="1"/>
  <c r="CF39" i="1" s="1"/>
  <c r="BL23" i="1"/>
  <c r="BM23" i="1" s="1"/>
  <c r="BN23" i="1" s="1"/>
  <c r="BV24" i="1"/>
  <c r="BW24" i="1" s="1"/>
  <c r="BX24" i="1" s="1"/>
  <c r="BN55" i="1"/>
  <c r="BY55" i="1" s="1"/>
  <c r="CA55" i="1" s="1"/>
  <c r="BX55" i="1"/>
  <c r="BN52" i="1"/>
  <c r="BY52" i="1" s="1"/>
  <c r="CA52" i="1" s="1"/>
  <c r="BX52" i="1"/>
  <c r="CC31" i="1"/>
  <c r="CF31" i="1" s="1"/>
  <c r="CC15" i="1"/>
  <c r="CF15" i="1" s="1"/>
  <c r="BN51" i="1"/>
  <c r="BY51" i="1" s="1"/>
  <c r="CA51" i="1" s="1"/>
  <c r="BX51" i="1"/>
  <c r="BN53" i="1"/>
  <c r="BY53" i="1" s="1"/>
  <c r="CA53" i="1" s="1"/>
  <c r="BX53" i="1"/>
  <c r="BY56" i="1"/>
  <c r="CA56" i="1" s="1"/>
  <c r="BX56" i="1"/>
  <c r="BL13" i="1"/>
  <c r="BM13" i="1" s="1"/>
  <c r="BX13" i="1" s="1"/>
  <c r="BY17" i="1"/>
  <c r="CA17" i="1" s="1"/>
  <c r="BS28" i="1"/>
  <c r="BY25" i="1"/>
  <c r="CA25" i="1" s="1"/>
  <c r="CC19" i="1"/>
  <c r="CF19" i="1" s="1"/>
  <c r="BV22" i="1"/>
  <c r="BW22" i="1" s="1"/>
  <c r="BY22" i="1" s="1"/>
  <c r="CA22" i="1" s="1"/>
  <c r="BY38" i="1"/>
  <c r="CA38" i="1" s="1"/>
  <c r="BP5" i="1"/>
  <c r="BQ5" i="1" s="1"/>
  <c r="BR5" i="1" s="1"/>
  <c r="BK6" i="1"/>
  <c r="BP45" i="1"/>
  <c r="BQ45" i="1" s="1"/>
  <c r="BR45" i="1" s="1"/>
  <c r="BS45" i="1" s="1"/>
  <c r="CC4" i="1"/>
  <c r="CF4" i="1" s="1"/>
  <c r="BP29" i="1"/>
  <c r="BQ29" i="1" s="1"/>
  <c r="BR29" i="1" s="1"/>
  <c r="CC29" i="1" s="1"/>
  <c r="CF29" i="1" s="1"/>
  <c r="BP21" i="1"/>
  <c r="BQ21" i="1" s="1"/>
  <c r="BR21" i="1" s="1"/>
  <c r="BK30" i="1"/>
  <c r="BV30" i="1" s="1"/>
  <c r="BW30" i="1" s="1"/>
  <c r="BY3" i="1"/>
  <c r="CA3" i="1" s="1"/>
  <c r="BY12" i="1"/>
  <c r="CA12" i="1" s="1"/>
  <c r="BS32" i="1"/>
  <c r="CC32" i="1"/>
  <c r="CF32" i="1" s="1"/>
  <c r="BS8" i="1"/>
  <c r="CC8" i="1"/>
  <c r="CF8" i="1" s="1"/>
  <c r="BL48" i="1"/>
  <c r="BM48" i="1" s="1"/>
  <c r="BV48" i="1"/>
  <c r="BW48" i="1" s="1"/>
  <c r="BL27" i="1"/>
  <c r="BM27" i="1" s="1"/>
  <c r="BN27" i="1" s="1"/>
  <c r="BS42" i="1"/>
  <c r="CC42" i="1"/>
  <c r="CF42" i="1" s="1"/>
  <c r="BS16" i="1"/>
  <c r="CC16" i="1"/>
  <c r="CF16" i="1" s="1"/>
  <c r="BV47" i="1"/>
  <c r="BW47" i="1" s="1"/>
  <c r="BX25" i="1"/>
  <c r="BL46" i="1"/>
  <c r="BM46" i="1" s="1"/>
  <c r="BN46" i="1" s="1"/>
  <c r="BS7" i="1"/>
  <c r="CC7" i="1"/>
  <c r="CF7" i="1" s="1"/>
  <c r="BX12" i="1"/>
  <c r="BX3" i="1"/>
  <c r="BS13" i="1"/>
  <c r="CC13" i="1"/>
  <c r="CF13" i="1" s="1"/>
  <c r="BS11" i="1"/>
  <c r="CC11" i="1"/>
  <c r="CF11" i="1" s="1"/>
  <c r="BS37" i="1"/>
  <c r="CC37" i="1"/>
  <c r="CF37" i="1" s="1"/>
  <c r="BX17" i="1"/>
  <c r="BS43" i="1"/>
  <c r="CC43" i="1"/>
  <c r="CF43" i="1" s="1"/>
  <c r="BX38" i="1"/>
  <c r="BS2" i="1"/>
  <c r="CC2" i="1"/>
  <c r="CF2" i="1" s="1"/>
  <c r="BS34" i="1"/>
  <c r="CC34" i="1"/>
  <c r="CF34" i="1" s="1"/>
  <c r="BV27" i="1"/>
  <c r="BW27" i="1" s="1"/>
  <c r="BS17" i="1"/>
  <c r="CC17" i="1"/>
  <c r="CF17" i="1" s="1"/>
  <c r="B9" i="3" s="1"/>
  <c r="E9" i="3" s="1"/>
  <c r="BQ48" i="1"/>
  <c r="BR48" i="1" s="1"/>
  <c r="CC48" i="1" s="1"/>
  <c r="CF48" i="1" s="1"/>
  <c r="BN42" i="1"/>
  <c r="BV37" i="1"/>
  <c r="BW37" i="1" s="1"/>
  <c r="BL37" i="1"/>
  <c r="BM37" i="1" s="1"/>
  <c r="BN20" i="1"/>
  <c r="BY20" i="1" s="1"/>
  <c r="CA20" i="1" s="1"/>
  <c r="BL2" i="1"/>
  <c r="BM2" i="1" s="1"/>
  <c r="BW2" i="1"/>
  <c r="BN5" i="1"/>
  <c r="BN21" i="1"/>
  <c r="BY21" i="1" s="1"/>
  <c r="CA21" i="1" s="1"/>
  <c r="BX21" i="1"/>
  <c r="BL16" i="1"/>
  <c r="BM16" i="1" s="1"/>
  <c r="BV16" i="1"/>
  <c r="BW16" i="1" s="1"/>
  <c r="BN7" i="1"/>
  <c r="BN36" i="1"/>
  <c r="BN33" i="1"/>
  <c r="BN11" i="1"/>
  <c r="BN35" i="1"/>
  <c r="BN9" i="1"/>
  <c r="BY9" i="1" s="1"/>
  <c r="CA9" i="1" s="1"/>
  <c r="BN34" i="1"/>
  <c r="BL32" i="1"/>
  <c r="BM32" i="1" s="1"/>
  <c r="BV32" i="1"/>
  <c r="BW32" i="1" s="1"/>
  <c r="BN8" i="1"/>
  <c r="BL10" i="1"/>
  <c r="BM10" i="1" s="1"/>
  <c r="BV10" i="1"/>
  <c r="BW10" i="1" s="1"/>
  <c r="BN39" i="1"/>
  <c r="BL47" i="1"/>
  <c r="BM47" i="1" s="1"/>
  <c r="BN47" i="1" s="1"/>
  <c r="H123" i="2"/>
  <c r="BP44" i="1" s="1"/>
  <c r="BQ44" i="1" s="1"/>
  <c r="BR44" i="1" s="1"/>
  <c r="H158" i="2"/>
  <c r="BY43" i="1" l="1"/>
  <c r="CA43" i="1" s="1"/>
  <c r="BY46" i="1"/>
  <c r="CA46" i="1" s="1"/>
  <c r="BY28" i="1"/>
  <c r="CA28" i="1" s="1"/>
  <c r="BY26" i="1"/>
  <c r="CA26" i="1" s="1"/>
  <c r="BY36" i="1"/>
  <c r="CA36" i="1" s="1"/>
  <c r="B6" i="3"/>
  <c r="E6" i="3" s="1"/>
  <c r="BY18" i="1"/>
  <c r="CA18" i="1" s="1"/>
  <c r="BY45" i="1"/>
  <c r="CA45" i="1" s="1"/>
  <c r="BY34" i="1"/>
  <c r="CA34" i="1" s="1"/>
  <c r="BX29" i="1"/>
  <c r="BY5" i="1"/>
  <c r="CA5" i="1" s="1"/>
  <c r="BX44" i="1"/>
  <c r="BX14" i="1"/>
  <c r="BY39" i="1"/>
  <c r="CA39" i="1" s="1"/>
  <c r="BY7" i="1"/>
  <c r="CA7" i="1" s="1"/>
  <c r="BX28" i="1"/>
  <c r="BY15" i="1"/>
  <c r="CA15" i="1" s="1"/>
  <c r="BY33" i="1"/>
  <c r="CA33" i="1" s="1"/>
  <c r="BY42" i="1"/>
  <c r="CA42" i="1" s="1"/>
  <c r="BY49" i="1"/>
  <c r="CA49" i="1" s="1"/>
  <c r="BX49" i="1"/>
  <c r="BX4" i="1"/>
  <c r="BY11" i="1"/>
  <c r="CA11" i="1" s="1"/>
  <c r="BY8" i="1"/>
  <c r="CA8" i="1" s="1"/>
  <c r="BY19" i="1"/>
  <c r="CA19" i="1" s="1"/>
  <c r="BX19" i="1"/>
  <c r="BY31" i="1"/>
  <c r="CA31" i="1" s="1"/>
  <c r="BY23" i="1"/>
  <c r="CA23" i="1" s="1"/>
  <c r="BN13" i="1"/>
  <c r="BY13" i="1" s="1"/>
  <c r="CA13" i="1" s="1"/>
  <c r="BY35" i="1"/>
  <c r="CA35" i="1" s="1"/>
  <c r="BX41" i="1"/>
  <c r="BY40" i="1"/>
  <c r="CA40" i="1" s="1"/>
  <c r="BN29" i="1"/>
  <c r="BY29" i="1" s="1"/>
  <c r="CA29" i="1" s="1"/>
  <c r="CA41" i="1"/>
  <c r="BX40" i="1"/>
  <c r="BX23" i="1"/>
  <c r="BY24" i="1"/>
  <c r="CA24" i="1" s="1"/>
  <c r="BX22" i="1"/>
  <c r="B7" i="3"/>
  <c r="E7" i="3" s="1"/>
  <c r="B3" i="3"/>
  <c r="E3" i="3" s="1"/>
  <c r="BL30" i="1"/>
  <c r="BM30" i="1" s="1"/>
  <c r="BN30" i="1" s="1"/>
  <c r="BY30" i="1" s="1"/>
  <c r="CA30" i="1" s="1"/>
  <c r="CC45" i="1"/>
  <c r="CF45" i="1" s="1"/>
  <c r="BS29" i="1"/>
  <c r="BL6" i="1"/>
  <c r="BM6" i="1" s="1"/>
  <c r="BV6" i="1"/>
  <c r="BW6" i="1" s="1"/>
  <c r="BS21" i="1"/>
  <c r="CC21" i="1"/>
  <c r="CF21" i="1" s="1"/>
  <c r="CC5" i="1"/>
  <c r="CF5" i="1" s="1"/>
  <c r="BS5" i="1"/>
  <c r="BS44" i="1"/>
  <c r="CC44" i="1"/>
  <c r="CF44" i="1" s="1"/>
  <c r="B4" i="3" s="1"/>
  <c r="E4" i="3" s="1"/>
  <c r="BS48" i="1"/>
  <c r="B2" i="3"/>
  <c r="E2" i="3" s="1"/>
  <c r="BY47" i="1"/>
  <c r="CA47" i="1" s="1"/>
  <c r="B8" i="3"/>
  <c r="E8" i="3" s="1"/>
  <c r="BX47" i="1"/>
  <c r="BX27" i="1"/>
  <c r="BX46" i="1"/>
  <c r="BY27" i="1"/>
  <c r="CA27" i="1" s="1"/>
  <c r="BN48" i="1"/>
  <c r="BY48" i="1" s="1"/>
  <c r="CA48" i="1" s="1"/>
  <c r="BX48" i="1"/>
  <c r="BX2" i="1"/>
  <c r="BN16" i="1"/>
  <c r="BY16" i="1" s="1"/>
  <c r="CA16" i="1" s="1"/>
  <c r="BX16" i="1"/>
  <c r="BN2" i="1"/>
  <c r="BY2" i="1" s="1"/>
  <c r="CA2" i="1" s="1"/>
  <c r="BN10" i="1"/>
  <c r="BY10" i="1" s="1"/>
  <c r="CA10" i="1" s="1"/>
  <c r="BX10" i="1"/>
  <c r="BN32" i="1"/>
  <c r="BY32" i="1" s="1"/>
  <c r="CA32" i="1" s="1"/>
  <c r="BX32" i="1"/>
  <c r="BX37" i="1"/>
  <c r="BN37" i="1"/>
  <c r="BY37" i="1" s="1"/>
  <c r="CA37" i="1" s="1"/>
  <c r="BX30" i="1" l="1"/>
  <c r="B5" i="3"/>
  <c r="E5" i="3" s="1"/>
  <c r="BN6" i="1"/>
  <c r="BY6" i="1" s="1"/>
  <c r="CA6" i="1" s="1"/>
  <c r="BX6" i="1"/>
  <c r="BB49" i="1"/>
  <c r="CE49" i="1" s="1"/>
  <c r="BB48" i="1"/>
  <c r="CE48" i="1" s="1"/>
  <c r="BB47" i="1"/>
  <c r="CE47" i="1" s="1"/>
  <c r="BB46" i="1"/>
  <c r="CE46" i="1" s="1"/>
  <c r="BB45" i="1"/>
  <c r="CE45" i="1" s="1"/>
  <c r="BB44" i="1"/>
  <c r="CE44" i="1" s="1"/>
  <c r="BB43" i="1"/>
  <c r="CE43" i="1" s="1"/>
  <c r="BB42" i="1"/>
  <c r="CE42" i="1" s="1"/>
  <c r="BB41" i="1"/>
  <c r="CE41" i="1" s="1"/>
  <c r="BB40" i="1"/>
  <c r="CE40" i="1" s="1"/>
  <c r="BB39" i="1"/>
  <c r="CE39" i="1" s="1"/>
  <c r="BB38" i="1"/>
  <c r="CE38" i="1" s="1"/>
  <c r="BB37" i="1"/>
  <c r="CE37" i="1" s="1"/>
  <c r="BB36" i="1"/>
  <c r="CE36" i="1" s="1"/>
  <c r="BB35" i="1"/>
  <c r="CE35" i="1" s="1"/>
  <c r="BB34" i="1"/>
  <c r="CE34" i="1" s="1"/>
  <c r="BB33" i="1"/>
  <c r="CE33" i="1" s="1"/>
  <c r="BB32" i="1"/>
  <c r="CE32" i="1" s="1"/>
  <c r="BB31" i="1"/>
  <c r="CE31" i="1" s="1"/>
  <c r="BB30" i="1"/>
  <c r="CE30" i="1" s="1"/>
  <c r="BB29" i="1"/>
  <c r="CE29" i="1" s="1"/>
  <c r="BB28" i="1"/>
  <c r="CE28" i="1" s="1"/>
  <c r="BB27" i="1"/>
  <c r="CE27" i="1" s="1"/>
  <c r="BB26" i="1"/>
  <c r="CE26" i="1" s="1"/>
  <c r="BB25" i="1"/>
  <c r="CE25" i="1" s="1"/>
  <c r="BB24" i="1"/>
  <c r="CE24" i="1" s="1"/>
  <c r="BB23" i="1"/>
  <c r="CE23" i="1" s="1"/>
  <c r="BB22" i="1"/>
  <c r="CE22" i="1" s="1"/>
  <c r="BB21" i="1"/>
  <c r="CE21" i="1" s="1"/>
  <c r="BB20" i="1"/>
  <c r="CE20" i="1" s="1"/>
  <c r="BB19" i="1"/>
  <c r="CE19" i="1" s="1"/>
  <c r="BB18" i="1"/>
  <c r="CE18" i="1" s="1"/>
  <c r="BB17" i="1"/>
  <c r="CE17" i="1" s="1"/>
  <c r="BB16" i="1"/>
  <c r="CE16" i="1" s="1"/>
  <c r="BB15" i="1"/>
  <c r="CE15" i="1" s="1"/>
  <c r="BB14" i="1"/>
  <c r="CE14" i="1" s="1"/>
  <c r="BB13" i="1"/>
  <c r="CE13" i="1" s="1"/>
  <c r="BB12" i="1"/>
  <c r="CE12" i="1" s="1"/>
  <c r="BB11" i="1"/>
  <c r="CE11" i="1" s="1"/>
  <c r="BB10" i="1"/>
  <c r="CE10" i="1" s="1"/>
  <c r="C2" i="3" s="1"/>
  <c r="F2" i="3" s="1"/>
  <c r="BB3" i="1"/>
  <c r="CE3" i="1" s="1"/>
  <c r="C3" i="3" s="1"/>
  <c r="F3" i="3" s="1"/>
  <c r="BB4" i="1"/>
  <c r="CE4" i="1" s="1"/>
  <c r="BB5" i="1"/>
  <c r="CE5" i="1" s="1"/>
  <c r="BB6" i="1"/>
  <c r="CE6" i="1" s="1"/>
  <c r="C6" i="3" s="1"/>
  <c r="F6" i="3" s="1"/>
  <c r="BB7" i="1"/>
  <c r="CE7" i="1" s="1"/>
  <c r="BB8" i="1"/>
  <c r="CE8" i="1" s="1"/>
  <c r="BB9" i="1"/>
  <c r="CE9" i="1" s="1"/>
  <c r="C5" i="3" l="1"/>
  <c r="F5" i="3" s="1"/>
  <c r="C4" i="3"/>
  <c r="F4" i="3" s="1"/>
  <c r="C9" i="3"/>
  <c r="F9" i="3" s="1"/>
  <c r="C8" i="3"/>
  <c r="F8" i="3" s="1"/>
  <c r="C7" i="3"/>
  <c r="F7" i="3" s="1"/>
</calcChain>
</file>

<file path=xl/sharedStrings.xml><?xml version="1.0" encoding="utf-8"?>
<sst xmlns="http://schemas.openxmlformats.org/spreadsheetml/2006/main" count="3153" uniqueCount="709">
  <si>
    <t>CENSUSID</t>
  </si>
  <si>
    <t>Year of Reporting</t>
  </si>
  <si>
    <t>plan_idx</t>
  </si>
  <si>
    <t>unique_id</t>
  </si>
  <si>
    <t>Month of Reporting</t>
  </si>
  <si>
    <t>State Name</t>
  </si>
  <si>
    <t>Plan Name</t>
  </si>
  <si>
    <t>Plan Abbreviation</t>
  </si>
  <si>
    <t>Available?</t>
  </si>
  <si>
    <t>Service Cost</t>
  </si>
  <si>
    <t>Interest Cost</t>
  </si>
  <si>
    <t>Changes in Benefit Terms</t>
  </si>
  <si>
    <t>Expected vs Actual Experience</t>
  </si>
  <si>
    <t>Assumption Changes</t>
  </si>
  <si>
    <t>Benefit Payments (including Refunds if combined)</t>
  </si>
  <si>
    <t>Refunds</t>
  </si>
  <si>
    <t>Net Change in TPL</t>
  </si>
  <si>
    <t>TPL boy</t>
  </si>
  <si>
    <t>TPL eoy</t>
  </si>
  <si>
    <t>Employer Contribs</t>
  </si>
  <si>
    <t>Non-Employer/State Contributions</t>
  </si>
  <si>
    <t>Member Contributions</t>
  </si>
  <si>
    <t>Net Inv Inc</t>
  </si>
  <si>
    <t>Transfers Among Employers</t>
  </si>
  <si>
    <t>Administrative Expenses</t>
  </si>
  <si>
    <t>Other (+ = improves)</t>
  </si>
  <si>
    <t>Net Change in FNP</t>
  </si>
  <si>
    <t>FNP boy</t>
  </si>
  <si>
    <t>FNP eoy</t>
  </si>
  <si>
    <t>NPL eoy</t>
  </si>
  <si>
    <t>NPL boy</t>
  </si>
  <si>
    <t>Net Changes to NPL</t>
  </si>
  <si>
    <t> Covered Employee Payroll</t>
  </si>
  <si>
    <t>State Contributions as a % of Payroll</t>
  </si>
  <si>
    <t>Check</t>
  </si>
  <si>
    <t>Imputed Flag</t>
  </si>
  <si>
    <t>Discount Rate Previous Year</t>
  </si>
  <si>
    <t>Discount Rate (current year)</t>
  </si>
  <si>
    <t>Expected Rate of Return</t>
  </si>
  <si>
    <t>Prior Year's Expected Rate of Return</t>
  </si>
  <si>
    <t>State/Local Plan</t>
  </si>
  <si>
    <t>Discount - Expected</t>
  </si>
  <si>
    <t>Muni Rate</t>
  </si>
  <si>
    <t>Exhaustion</t>
  </si>
  <si>
    <t>NPL - 1%</t>
  </si>
  <si>
    <t>NPL + 1%</t>
  </si>
  <si>
    <t>Exact Source</t>
  </si>
  <si>
    <t>Link to Exact Source</t>
  </si>
  <si>
    <t>plan134_y2021</t>
  </si>
  <si>
    <t>California</t>
  </si>
  <si>
    <t>California State Teachers Retirement System</t>
  </si>
  <si>
    <t>CalSTRS</t>
  </si>
  <si>
    <t>p75 of CAFR</t>
  </si>
  <si>
    <t>https://www.calstrs.com/sites/main/files/file-attachments/cafr2015.pdf</t>
  </si>
  <si>
    <t>p80 of CAFR</t>
  </si>
  <si>
    <t>https://www.calstrs.com/sites/main/files/file-attachments/cafr2016.pdf</t>
  </si>
  <si>
    <t>p88 of CAFR</t>
  </si>
  <si>
    <t>https://www.calstrs.com/sites/main/files/file-attachments/cafr2017.pdf</t>
  </si>
  <si>
    <t>p94 of CAFR</t>
  </si>
  <si>
    <t>https://www.calstrs.com/sites/main/files/file-attachments/cafr2018.pdf</t>
  </si>
  <si>
    <t>p86 of CAFR</t>
  </si>
  <si>
    <t>https://www.calstrs.com/sites/main/files/file-attachments/cafr2019.pdf</t>
  </si>
  <si>
    <t>p83 of CAFR</t>
  </si>
  <si>
    <t>https://www.calstrs.com/sites/main/files/file-attachments/cafr2020.pdf</t>
  </si>
  <si>
    <t>p78 of CAFR</t>
  </si>
  <si>
    <t>https://www.calstrs.com/files/621ec3ae1/ACFR2021-22.pdf</t>
  </si>
  <si>
    <t>plan314_y2021</t>
  </si>
  <si>
    <t>Texas</t>
  </si>
  <si>
    <t>Teachers Retirement System of Texas</t>
  </si>
  <si>
    <t>TRS</t>
  </si>
  <si>
    <t>https://www.trs.texas.gov/TRS%20Documents/cafr_2016.pdf</t>
  </si>
  <si>
    <t>https://www.trs.texas.gov/TRS%20Documents/cafr_2017.pdf</t>
  </si>
  <si>
    <t>p82 of CAFR</t>
  </si>
  <si>
    <t>https://www.trs.texas.gov/TRS%20Documents/cafr_2018.pdf</t>
  </si>
  <si>
    <t>https://www.trs.texas.gov/TRS%20Documents/cafr_2019.pdf</t>
  </si>
  <si>
    <t>p87 of CAFR</t>
  </si>
  <si>
    <t>https://www.trs.texas.gov/TRS%20Documents/cafr_2020.pdf</t>
  </si>
  <si>
    <t>https://www.trs.texas.gov/TRS%20Documents/acfr-2022.pdf</t>
  </si>
  <si>
    <t>plan70_y2021</t>
  </si>
  <si>
    <t>Florida</t>
  </si>
  <si>
    <t>Florida Retirement System Pension Plan</t>
  </si>
  <si>
    <t>FRS</t>
  </si>
  <si>
    <t>p66 of CAFR</t>
  </si>
  <si>
    <t>https://www.rol.frs.state.fl.us/forms/2015-16_CAFR.pdf</t>
  </si>
  <si>
    <t>p71 of CAFR</t>
  </si>
  <si>
    <t>https://www.rol.frs.state.fl.us/forms/2016-17_CAFR.pdf</t>
  </si>
  <si>
    <t>p73 of CAFR</t>
  </si>
  <si>
    <t>https://www.rol.frs.state.fl.us/forms/2017-18_CAFR.pdf</t>
  </si>
  <si>
    <t>https://frs.fl.gov/forms/2018-19_CAFR.pdf</t>
  </si>
  <si>
    <t>https://frs.fl.gov/forms/2019-20_CAFR.pdf</t>
  </si>
  <si>
    <t>https://employer.frs.fl.gov/forms/2021-22_ACFR.pdf</t>
  </si>
  <si>
    <t>plan315_y2021</t>
  </si>
  <si>
    <t>Georgia</t>
  </si>
  <si>
    <t>Teachers' Retirement System of Georgia</t>
  </si>
  <si>
    <t>p37 of CAFR</t>
  </si>
  <si>
    <t>http://www.trsga.com/downloadPublications/CAFR2016_web.pdf</t>
  </si>
  <si>
    <t>p211 of CAFR</t>
  </si>
  <si>
    <t>https://sao.georgia.gov/sites/sao.georgia.gov/files/related_files/site_page/sao-17-cafr.pdf</t>
  </si>
  <si>
    <t>p238 of CAFR</t>
  </si>
  <si>
    <t>https://sao.georgia.gov/statewide-reporting/comprehensive-annual-financial-reports</t>
  </si>
  <si>
    <t>p233 of CAFR</t>
  </si>
  <si>
    <t>p41 of CAFR</t>
  </si>
  <si>
    <t>https://www.trsga.com/uploads/TRS_CAFR_2020_final_web.pdf</t>
  </si>
  <si>
    <t>https://api.trsga.com/library/files/publications/TRS%20ACFR%202022_Final.pdf</t>
  </si>
  <si>
    <t>plan24_y2021</t>
  </si>
  <si>
    <t>Massachusetts</t>
  </si>
  <si>
    <t>Massachusetts Teachers' Retirement System</t>
  </si>
  <si>
    <t>p137 of CAFR</t>
  </si>
  <si>
    <t>http://www.mass.gov/comptroller/docs/reports-audits/cafr/fy2015-cafr.pdf</t>
  </si>
  <si>
    <t>p139 of CAFR</t>
  </si>
  <si>
    <t>http://www.mass.gov/comptroller/docs/reports-audits/cafr/2016-cafr.pdf</t>
  </si>
  <si>
    <t>p143 of CAFR</t>
  </si>
  <si>
    <t>http://www.macomptroller.info/comptroller/docs/reports-audits/cafr/cafr-fy17.pdf</t>
  </si>
  <si>
    <t>p142 of CAFR</t>
  </si>
  <si>
    <t>http://www.macomptroller.info/comptroller/docs/reports-audits/cafr/cafr-fy18.pdf</t>
  </si>
  <si>
    <t>p144 of CAFR</t>
  </si>
  <si>
    <t>http://www.macomptroller.info/comptroller/docs/reports-audits/ComprehensiveAnnualFinancialReport/comprehensiveannualfinancialreport_fy2019.pdf</t>
  </si>
  <si>
    <t>p152 of CAFR</t>
  </si>
  <si>
    <t>http://www.macomptroller.info/comptroller/docs/reports-audits/ComprehensiveAnnualFinancialReport/comprehensiveannualfinancialreport_fy2020.pdf</t>
  </si>
  <si>
    <t>p117 of CAFR</t>
  </si>
  <si>
    <t>https://www.macomptroller.org/wp-content/uploads/acfr_fy-2021.pdf</t>
  </si>
  <si>
    <t>https://www.macomptroller.org/wp-content/uploads/acfr_fy-2022.pdf</t>
  </si>
  <si>
    <t>Minnesota</t>
  </si>
  <si>
    <t>Stated Funding Ratio</t>
  </si>
  <si>
    <t>Duration Calculation</t>
  </si>
  <si>
    <t>Dur(-)</t>
  </si>
  <si>
    <t>Dur(+)</t>
  </si>
  <si>
    <t>Dur</t>
  </si>
  <si>
    <t>Conv/2</t>
  </si>
  <si>
    <t>Rounded Duration</t>
  </si>
  <si>
    <t>March</t>
  </si>
  <si>
    <t>June</t>
  </si>
  <si>
    <t>August</t>
  </si>
  <si>
    <t>September</t>
  </si>
  <si>
    <t>December</t>
  </si>
  <si>
    <t>Treas Zero eoy</t>
  </si>
  <si>
    <t>Treas Zero boy</t>
  </si>
  <si>
    <t>TPL * boy</t>
  </si>
  <si>
    <t>NPL * boy</t>
  </si>
  <si>
    <t>TPL * eoy</t>
  </si>
  <si>
    <t>NPL * eoy</t>
  </si>
  <si>
    <t>Adj eoy</t>
  </si>
  <si>
    <t>SC Duration</t>
  </si>
  <si>
    <t>Service Cost *</t>
  </si>
  <si>
    <t>SC Adj</t>
  </si>
  <si>
    <t>Adj boy</t>
  </si>
  <si>
    <t>Interest Cost *</t>
  </si>
  <si>
    <t>plan80_y2021</t>
  </si>
  <si>
    <t>Teachers Retirement Association</t>
  </si>
  <si>
    <t>TRA</t>
  </si>
  <si>
    <t>p42 of CAFR</t>
  </si>
  <si>
    <t>https://www.minnesotatra.org/images/pdf/2016%20CAFR.pdf</t>
  </si>
  <si>
    <t>p46 of CAFR</t>
  </si>
  <si>
    <t>https://minnesotatra.org/wp-content/uploads/2018/07/2017-CAFR.pdf</t>
  </si>
  <si>
    <t>p47 of CAFR</t>
  </si>
  <si>
    <t>https://minnesotatra.org/wp-content/uploads/2018/12/2018-CAFR.pdf</t>
  </si>
  <si>
    <t>https://minnesotatra.org/wp-content/uploads/2019/12/TRA-FY19-CAFR-final-4.pdf</t>
  </si>
  <si>
    <t>https://minnesotatra.org/wp-content/uploads/2020/12/MNTRACAFR2020.pdf</t>
  </si>
  <si>
    <t>https://minnesotatra.org/wp-content/uploads/2023/01/TRA-ACFR-2022.pdf</t>
  </si>
  <si>
    <t>Interest on NPL*</t>
  </si>
  <si>
    <t>SC Orig + IC Orig</t>
  </si>
  <si>
    <t>SC + IntNPLAdj</t>
  </si>
  <si>
    <t>TPL*</t>
  </si>
  <si>
    <t>FNP / TPL</t>
  </si>
  <si>
    <t>FNP / TPL*</t>
  </si>
  <si>
    <t>Six-State Average</t>
  </si>
  <si>
    <t>Adjusted Avg</t>
  </si>
  <si>
    <t>Stated Funding Level</t>
  </si>
  <si>
    <t>Year</t>
  </si>
  <si>
    <t>total_contributions_pp</t>
  </si>
  <si>
    <t>State Employees' Retirement System</t>
  </si>
  <si>
    <t>SERS</t>
  </si>
  <si>
    <t>p135 of CAFR</t>
  </si>
  <si>
    <t>p140 of CAFR</t>
  </si>
  <si>
    <t>p148 of CAFR</t>
  </si>
  <si>
    <t>plan239_y2021</t>
  </si>
  <si>
    <t>New Jersey</t>
  </si>
  <si>
    <t>Teachers's Pension and Annuity Fund</t>
  </si>
  <si>
    <t>TPAF -Teachers</t>
  </si>
  <si>
    <t>http://www.state.nj.us/treasury/pensions/annrpts/cafr-fy2016.pdf</t>
  </si>
  <si>
    <t>p60 of CAFR</t>
  </si>
  <si>
    <t>https://www.state.nj.us/treasury/pensions/documents/financial/annrpt2017/2017divisioncombined.pdf</t>
  </si>
  <si>
    <t>https://www.nj.gov/treasury/pensions/documents/financial/annrpt2018/cafr-fy2018.pdf</t>
  </si>
  <si>
    <t>https://www.nj.gov/treasury/pensions/documents/financial/annrpt2019/2019divisioncombined.pdf</t>
  </si>
  <si>
    <t>p62 of CAFR</t>
  </si>
  <si>
    <t>https://www.nj.gov/treasury/pensions/documents/financial/annrpt2020/2020divisioncombined.pdf</t>
  </si>
  <si>
    <t>https://www.nj.gov/treasury/pensions/documents/financial/annrpt2022/2022-ACFR-NJDPB.pdf</t>
  </si>
  <si>
    <t>plan277_y2021</t>
  </si>
  <si>
    <t>Alabama</t>
  </si>
  <si>
    <t>Teachers' Retirement System of Alabama</t>
  </si>
  <si>
    <t>P60 of CAFR</t>
  </si>
  <si>
    <t>http://www.rsa-al.gov/uploads/files/2016_CAFR.pdf</t>
  </si>
  <si>
    <t>P62 of CAFR</t>
  </si>
  <si>
    <t>https://www.rsa-al.gov/uploads/files/RSA_2017_CAFR.pdf</t>
  </si>
  <si>
    <t>https://www.rsa-al.gov/uploads/files/2019_RSA_CAFR.pdf</t>
  </si>
  <si>
    <t>p64 of CAFR</t>
  </si>
  <si>
    <t>https://www.rsa-al.gov/uploads/files/2020_RSA_CAFR.pdf</t>
  </si>
  <si>
    <t>https://www.rsa-al.gov/uploads/files/2022_RSA_ACFR.pdf</t>
  </si>
  <si>
    <t>plan10_y2021</t>
  </si>
  <si>
    <t>Alaska</t>
  </si>
  <si>
    <t>State of Alaska Teachers' Retirement System</t>
  </si>
  <si>
    <t>p49 of CAFR</t>
  </si>
  <si>
    <t>http://doa.alaska.gov/drb/pdf/trs/cafr/2015TrsCafr.pdf</t>
  </si>
  <si>
    <t>p45 of CAFR</t>
  </si>
  <si>
    <t>http://doa.alaska.gov/drb/pdf/trs/cafr/2016TrsCafr.pdf</t>
  </si>
  <si>
    <t>http://doa.alaska.gov/drb/pdf/trs/cafr/2017TrsCafr.pdf</t>
  </si>
  <si>
    <t>http://doa.alaska.gov/drb/pdf/trs/cafr/2018TrsCafr.pdf</t>
  </si>
  <si>
    <t>http://doa.alaska.gov/drb/pdf/trs/cafr/2019TrsCafr.pdf</t>
  </si>
  <si>
    <t>pg58 of CAFR</t>
  </si>
  <si>
    <t>http://doa.alaska.gov/drb/pdf/trs/cafr/2020TrsCafr.pdf</t>
  </si>
  <si>
    <t>https://drb.alaska.gov/docs/reports/TRSacfr_2022.pdf</t>
  </si>
  <si>
    <t>plan127_y2021</t>
  </si>
  <si>
    <t>Arizona</t>
  </si>
  <si>
    <t>Arizona State Retirement System</t>
  </si>
  <si>
    <t>SRS</t>
  </si>
  <si>
    <t>https://www.azasrs.gov/sites/default/files/pdf/2015%20CAFR.pdf</t>
  </si>
  <si>
    <t>p48 of CAFR</t>
  </si>
  <si>
    <t>https://www.azasrs.gov/sites/default/files/pdf/ASRS%202016%20CAFR.PDF</t>
  </si>
  <si>
    <t>https://www.azasrs.gov/sites/default/files/ASRS_CAFR_FY17.pdf</t>
  </si>
  <si>
    <t>p44 of CAFR</t>
  </si>
  <si>
    <t>https://www.azasrs.gov/sites/default/files/pdf/CAFR_FY_2018.pdf</t>
  </si>
  <si>
    <t>https://www.azasrs.gov/sites/default/files/2019_ASRS_CAFR_Web.pdf</t>
  </si>
  <si>
    <t>https://www.azasrs.gov/sites/default/files/2020_ASRS_CAFR_Web.pdf</t>
  </si>
  <si>
    <t>https://www.azasrs.gov/sites/default/files/pdf/FY22%20ACFR.pdf</t>
  </si>
  <si>
    <t>plan122_y2021</t>
  </si>
  <si>
    <t>Arkansas</t>
  </si>
  <si>
    <t>Arkansas Teacher Retirement System</t>
  </si>
  <si>
    <t>ATRS</t>
  </si>
  <si>
    <t>p30 of CAFR</t>
  </si>
  <si>
    <t>https://www.artrs.gov/Forms/ATRS_2016_Annual_Report.pdf</t>
  </si>
  <si>
    <t>https://www.artrs.gov/Publications/ATRS_2017_Annual_Report.pdf</t>
  </si>
  <si>
    <t>https://www.artrs.gov/Publications/ATRS_2018_Annual_Report.pdf</t>
  </si>
  <si>
    <t>p32 of CAFR</t>
  </si>
  <si>
    <t>https://www.artrs.gov/Publications/ATRS_2019_Annual_Report.pdf</t>
  </si>
  <si>
    <t>https://www.artrs.gov/Publications/ATRS_2020_Annual_Report.pdf</t>
  </si>
  <si>
    <t>https://www.artrs.gov/Publications/ATRS_2021_Annual_Report.pdf</t>
  </si>
  <si>
    <t>p A-5</t>
  </si>
  <si>
    <t>https://www.artrs.gov/Publications/ATRS_2022_Annual_Report.pdf</t>
  </si>
  <si>
    <t>plan153_y2021</t>
  </si>
  <si>
    <t>Colorado</t>
  </si>
  <si>
    <t>Colorado Public Employees' Retirement Association - School Division</t>
  </si>
  <si>
    <t>PERA - School Division</t>
  </si>
  <si>
    <t>p98 of CAFR</t>
  </si>
  <si>
    <t>https://www.copera.org/sites/default/files/documents/5-20-16.pdf</t>
  </si>
  <si>
    <t>p102 of CAFR</t>
  </si>
  <si>
    <t>https://www.copera.org/sites/default/files/documents/5-20-17.pdf</t>
  </si>
  <si>
    <t>p110 of CAFR</t>
  </si>
  <si>
    <t>https://www.copera.org/sites/default/files/documents/5-20-18.pdf</t>
  </si>
  <si>
    <t>p89 of CAFR</t>
  </si>
  <si>
    <t>https://www.copera.org/sites/default/files/documents/5-20-19.pdf</t>
  </si>
  <si>
    <t>https://www.copera.org/sites/default/files/documents/5-20-20.pdf</t>
  </si>
  <si>
    <t>https://www.copera.org/files/ff845b8ac/2022_ACFR.pdf</t>
  </si>
  <si>
    <t>plan98_y2021</t>
  </si>
  <si>
    <t>Connecticut</t>
  </si>
  <si>
    <t>Teachers' Retirement System</t>
  </si>
  <si>
    <t>p8 of GASB</t>
  </si>
  <si>
    <t>https://portal.ct.gov/-/media/TRB/FormsAndPubs/CTRBGASB672015pdf.pdf</t>
  </si>
  <si>
    <t>https://portal.ct.gov/-/media/TRB/FormsAndPubs/CTRBGASB672016pdf.pdf</t>
  </si>
  <si>
    <t>https://portal.ct.gov/-/media/TRB/FormsAndPubs/CTRBGASB672017pdf.pdf</t>
  </si>
  <si>
    <t>https://portal.ct.gov/-/media/TRB/Content/StatisticsResearch/SR_GASB6719.pdf</t>
  </si>
  <si>
    <t>p10 of GASB 67 Report</t>
  </si>
  <si>
    <t>https://portal.ct.gov/-/media/TRB/Content/StatisticsResearch/SR_GASB6720.pdf</t>
  </si>
  <si>
    <t>https://portal.ct.gov/-/media/TRB/Content/StatisticsResearch/SR_GASB6722.pdf</t>
  </si>
  <si>
    <t>plan55_y2021</t>
  </si>
  <si>
    <t>DC</t>
  </si>
  <si>
    <t>Washington DC Teachers' Retirement Fund</t>
  </si>
  <si>
    <t>p54</t>
  </si>
  <si>
    <t>https://dcrb.dc.gov/sites/default/files/dc/sites/dcrb/publication/attachments/FY%202015%20DCRB%20CAFR_v2.12-FINAL_0.pdf</t>
  </si>
  <si>
    <t>https://cfo.dc.gov/sites/default/files/dc/sites/ocfo/publication/attachments/FY%202016%20DC%20CAFR.pdf</t>
  </si>
  <si>
    <t>p50 of CAFR</t>
  </si>
  <si>
    <t>https://dcrb.dc.gov/sites/default/files/dc/sites/dcrb/publication/attachments/FY%202017%20DCRB-FINAL-CAFR_v8%20Web-version.pdf</t>
  </si>
  <si>
    <t>https://dcrb.dc.gov/sites/default/files/dc/sites/dcrb/publication/attachments/FY%202018%20DCRB%20CAFR_v8_Reduced-FINAL.pdf</t>
  </si>
  <si>
    <t>https://dcrb.dc.gov/sites/default/files/dc/sites/dcrb/publication/attachments/DCRB%202022%20Fiscal%20Year%20Annual%20Comprehensive%20Financial%20Report%20%28ACFR%29_2.pdf</t>
  </si>
  <si>
    <t>plan94_y2021</t>
  </si>
  <si>
    <t>Delaware</t>
  </si>
  <si>
    <t>Delaware Public Employees' Retirement System - State Employees' Plan</t>
  </si>
  <si>
    <t>PERS - State Employees' Plan</t>
  </si>
  <si>
    <t>p51 of CAFR</t>
  </si>
  <si>
    <t>https://open.omb.delaware.gov/FinancialReports/financials/fy16cafr.pdf</t>
  </si>
  <si>
    <t>https://open.omb.delaware.gov/FinancialReports/financials/fy17cafr.pdf</t>
  </si>
  <si>
    <t>https://open.omb.delaware.gov/FinancialReports/financials/fy18cafr.pdf</t>
  </si>
  <si>
    <t>https://open.omb.delaware.gov/FinancialReports/financials/FULL-2019-CAFR-VERSION-FINAL.pdf</t>
  </si>
  <si>
    <t>https://open.omb.delaware.gov/FinancialReports/financials/fy-20-CAFR-FINAL.pdf</t>
  </si>
  <si>
    <t>p54 of CAFR</t>
  </si>
  <si>
    <t>https://open.omb.delaware.gov/FinancialReports/financials/FY22AnnualReport.pdf</t>
  </si>
  <si>
    <t>plan58_y2021</t>
  </si>
  <si>
    <t xml:space="preserve">Hawaii </t>
  </si>
  <si>
    <t>Employees' Retirement System of the State of Hawaii</t>
  </si>
  <si>
    <t>ERS</t>
  </si>
  <si>
    <t>pC-3 of GASB</t>
  </si>
  <si>
    <t>https://ers.ehawaii.gov/wp-content/uploads/2013/09/GASB67Rpt_Hawaii-ERS_2015.pdf</t>
  </si>
  <si>
    <t>pC-1 of GASB</t>
  </si>
  <si>
    <t>http://ers.ehawaii.gov/wp-content/uploads/2013/02/GASB67Rpt_2016.pdf</t>
  </si>
  <si>
    <t>http://ers.ehawaii.gov/wp-content/uploads/2018/11/CAFR-2017-Web.pdf</t>
  </si>
  <si>
    <t>https://ers.ehawaii.gov/wp-content/uploads/2019/09/June-30-2018.pdf</t>
  </si>
  <si>
    <t>https://ers.ehawaii.gov/wp-content/uploads/2020/10/CAFR-2019-Web_Final.pdf</t>
  </si>
  <si>
    <t>p77 of CAFR</t>
  </si>
  <si>
    <t>https://ers.ehawaii.gov/wp-content/uploads/2021/11/ACFR-2020-Web_Finalr.pdf</t>
  </si>
  <si>
    <t>https://ers.ehawaii.gov/wp-content/uploads/2022/12/ACFR-2021-Webversionr2.pdf</t>
  </si>
  <si>
    <t>https://ers.ehawaii.gov/wp-content/uploads/2023/08/GASB-67-and-68-June-30-2022_Final.pdf</t>
  </si>
  <si>
    <t>plan267_y2021</t>
  </si>
  <si>
    <t>Idaho</t>
  </si>
  <si>
    <t>Public Employee Retirement System of Idaho</t>
  </si>
  <si>
    <t>PERSI</t>
  </si>
  <si>
    <t>p57 of CAFR</t>
  </si>
  <si>
    <t>https://www.persi.idaho.gov/Documents/Investments/FY16/AnnualReport_2016.pdf</t>
  </si>
  <si>
    <t>p59 of CAFR</t>
  </si>
  <si>
    <t>https://persi.idaho.gov/Documents/Investments/FY17/AnnualReport_2017.pdf</t>
  </si>
  <si>
    <t>https://persi.idaho.gov/Documents/Investments/FY18/AnnualReport_2018.pdf</t>
  </si>
  <si>
    <t>https://www.persi.idaho.gov/docs/employers/gasb/PERSI-2019-Financial-Statements.pdf</t>
  </si>
  <si>
    <t>https://www.persi.idaho.gov/docs/news/publications/2020-Annual-Report-CAFR.pdf</t>
  </si>
  <si>
    <t>https://www.persi.idaho.gov/docs/news/publications/2022-ACFR-web.pdf</t>
  </si>
  <si>
    <t>plan316_y2021</t>
  </si>
  <si>
    <t>Illinois</t>
  </si>
  <si>
    <t>Illinois Teachers Retirement System</t>
  </si>
  <si>
    <t>p52 of CAFR</t>
  </si>
  <si>
    <t>https://www.trsil.org/sites/default/files/documents/fy15_0.pdf</t>
  </si>
  <si>
    <t>p56 of CAFR</t>
  </si>
  <si>
    <t>https://www.trsil.org/sites/default/files/documents/CAFRfy16.pdf</t>
  </si>
  <si>
    <t>https://www.trsil.org/sites/default/files/documents/fy2017_8.pdf</t>
  </si>
  <si>
    <t>https://www.trsil.org/sites/default/files/documents/CAFR-FY2018_0.pdf</t>
  </si>
  <si>
    <t>https://www.trsil.org/sites/default/files/documents/CAFR-FY2019_1.pdf</t>
  </si>
  <si>
    <t>p53 of CAFR</t>
  </si>
  <si>
    <t>https://www.trsil.org/sites/default/files/documents/FY20CAFR-Web.pdf</t>
  </si>
  <si>
    <t>https://www.trsil.org/sites/default/files/documents/GASB-67-68-Actuarial-Valuation-06.30.2022.pdf</t>
  </si>
  <si>
    <t>plan51_y2021</t>
  </si>
  <si>
    <t>Public School Teachers' Pension and Retirement Fund of Chicago</t>
  </si>
  <si>
    <t>http://www.ctpf.org/AnnualReports/Actuarial2015.pdf</t>
  </si>
  <si>
    <t>p123 of CAFR</t>
  </si>
  <si>
    <t>http://www.ctpf.org/AnnualReports/cafr2016.pdf</t>
  </si>
  <si>
    <t>https://www.ctpf.org/sites/main/files/file-attachments/2017_cafr_final_vk.pdf</t>
  </si>
  <si>
    <t>https://www.ctpf.org/sites/main/files/file-attachments/2018_ctpf_cafr_final_1.pdf</t>
  </si>
  <si>
    <t>p55 of CAFR</t>
  </si>
  <si>
    <t>https://www.ctpf.org/sites/main/files/file-attachments/2019_ctpf_cafr_final_post.pdf</t>
  </si>
  <si>
    <t>https://ctpf.org/sites/files/2021-05/FY%202020%20Financial%20Annual%20Report%20-%20FINAL.pdf</t>
  </si>
  <si>
    <t>https://ctpf.org/sites/files/2023-02/2022%20ACFR%20DRAFT_vk10_FINAL.pdf</t>
  </si>
  <si>
    <t>plan191_y2021</t>
  </si>
  <si>
    <t>Indiana</t>
  </si>
  <si>
    <t>Teachers' Retirement Fund 1996 Account</t>
  </si>
  <si>
    <t>TRF - 1996</t>
  </si>
  <si>
    <t>p97 of CAFR</t>
  </si>
  <si>
    <t>https://www.in.gov/inprs/files/2016INPRSCAFRBook_Financial.pdf</t>
  </si>
  <si>
    <t>https://www.in.gov/inprs/files/2018_INPRSCAFRBook.pdf</t>
  </si>
  <si>
    <t>https://www.in.gov/inprs/files/2019_INPRSCAFRBook.pdf</t>
  </si>
  <si>
    <t>p74 of CAFR</t>
  </si>
  <si>
    <t>https://www.in.gov/inprs/files/INPRSConsolidatedCAFR_FY20.pdf</t>
  </si>
  <si>
    <t>https://www.in.gov/inprs/files/INPRSAnnualReportBook_FY22.pdf</t>
  </si>
  <si>
    <t>Teachers' Retirement Fund Pre-1996 Account</t>
  </si>
  <si>
    <t>TRF - Pre 1996</t>
  </si>
  <si>
    <t>p96 of CAFR</t>
  </si>
  <si>
    <t>p85 of CAFR</t>
  </si>
  <si>
    <t>p72 of CAFR</t>
  </si>
  <si>
    <t>plan192_y2021</t>
  </si>
  <si>
    <t>Iowa</t>
  </si>
  <si>
    <t xml:space="preserve">Iowa Public Employees' Retirement System </t>
  </si>
  <si>
    <t>IPERS</t>
  </si>
  <si>
    <t>https://www.ipers.org/sites/default/files/CAFR%202016.pdf</t>
  </si>
  <si>
    <t>p43 of CAFR</t>
  </si>
  <si>
    <t>https://www.ipers.org/sites/default/files/CAFR_2018.pdf</t>
  </si>
  <si>
    <t>https://www.ipers.org/sites/default/files/IPERS%20CAFR%202019_0.pdf</t>
  </si>
  <si>
    <t>https://www.ipers.org/sites/default/files/IPERS%20CAFR%202020%20Digital%20%281%29.pdf</t>
  </si>
  <si>
    <t>https://ipers.org/sites/default/files/2023-02/2022%20IPERS%20GASB%2067%20Report.pdf</t>
  </si>
  <si>
    <t>plan198_y2021</t>
  </si>
  <si>
    <t>Kansas</t>
  </si>
  <si>
    <t>Kansas Public Employees Retirement System</t>
  </si>
  <si>
    <t>KPERS</t>
  </si>
  <si>
    <t>https://www.kpers.org/annualreport2016.pdf</t>
  </si>
  <si>
    <t>p23 of GASB Statement</t>
  </si>
  <si>
    <t>https://www.kpers.org/reports/gasb67_fy2018.pdf</t>
  </si>
  <si>
    <t>p24 of GASB</t>
  </si>
  <si>
    <t>https://www.kpers.org/reports/gasb67_fy2019.pdf</t>
  </si>
  <si>
    <t>p25 of GASB</t>
  </si>
  <si>
    <t>https://www.kpers.org/reports/gasb67_fy2020.pdf</t>
  </si>
  <si>
    <t>https://www.kpers.org/annualreport2022.pdf</t>
  </si>
  <si>
    <t>plan111_y2021</t>
  </si>
  <si>
    <t>Kentucky</t>
  </si>
  <si>
    <t>Kentucky Teachers Retirement System</t>
  </si>
  <si>
    <t>https://trs.ky.gov/wp-content/uploads/2016/01/A-FULL-2015-CAFR.pdf</t>
  </si>
  <si>
    <t>p162 of CAFR</t>
  </si>
  <si>
    <t>https://trs.ky.gov/wp-content/uploads/2016/12/2016.CAFR-FINAL.pdf</t>
  </si>
  <si>
    <t>https://trs.ky.gov/wp-content/uploads/2017/12/2017.CAFR-FINAL.pdf</t>
  </si>
  <si>
    <t>p70 of CAFR</t>
  </si>
  <si>
    <t>https://trs.ky.gov/wp-content/uploads/2018/12/2018-TRS-CAFR.pdf</t>
  </si>
  <si>
    <t>p76 of CAFR</t>
  </si>
  <si>
    <t>https://trs.ky.gov/wp-content/uploads/2019/12/2019-TRS-CAFR-Final.pdf</t>
  </si>
  <si>
    <t>https://trs.ky.gov/wp-content/uploads/2020/12/2020-TRS-CAFR-Final.pdf</t>
  </si>
  <si>
    <t>https://trs.ky.gov/wp-content/uploads/2022/12/2022-TRS-ACFR-Final.pdf</t>
  </si>
  <si>
    <t>plan65_y2021</t>
  </si>
  <si>
    <t>Louisiana</t>
  </si>
  <si>
    <t>Teachers' Retirement System of Louisiana</t>
  </si>
  <si>
    <t>TRSL</t>
  </si>
  <si>
    <t>https://www.trsl.org/uploads/File/Annual%20Reports/CAFR_2016_web.pdf</t>
  </si>
  <si>
    <t>http://fluxconsole.com/files/item/202/20774/CAFR_2017_web.pdf</t>
  </si>
  <si>
    <t>https://fluxconsole.com/files/item/202/38416/CAFR_2016_web.pdf</t>
  </si>
  <si>
    <t>http://fluxconsole.com/files/item/202/63999/2019_CAFR_web.pdf</t>
  </si>
  <si>
    <t>p84 of CAFR</t>
  </si>
  <si>
    <t>https://fluxconsole.com/files/item/202/95429/2020_CAFR_FINAL.pdf</t>
  </si>
  <si>
    <t>https://fluxconsole.com/files/item/202/161156/ACFR_2022_FINAL.pdf</t>
  </si>
  <si>
    <t>plan209_y2021</t>
  </si>
  <si>
    <t>Maine</t>
  </si>
  <si>
    <t>Maine Public Employees Retirement System - State Employee &amp; Teacher Plan</t>
  </si>
  <si>
    <t>PERS - State Employee &amp; Teacher Plan</t>
  </si>
  <si>
    <t>http://www.mainepers.org/PDFs/CAFRS/CAFR16.pdf</t>
  </si>
  <si>
    <t>http://www.mainepers.org/PDFs/CAFRS/CAFR17.pdf</t>
  </si>
  <si>
    <t>p99 of CAFR</t>
  </si>
  <si>
    <t>http://www.mainepers.org/PDFs/CAFRS/CAFR18.pdf</t>
  </si>
  <si>
    <t>https://www.mainepers.org/wp-content/uploads/pdfs/annual-reports/AFR19.pdf</t>
  </si>
  <si>
    <t>p58 of CAFR</t>
  </si>
  <si>
    <t>https://www.mainepers.org/wp-content/uploads/pdfs/annual-reports/AFR20.pdf</t>
  </si>
  <si>
    <t>https://www.mainepers.org/wp-content/uploads/ACFR22.pdf</t>
  </si>
  <si>
    <t>plan108_y2021</t>
  </si>
  <si>
    <t>Maryland</t>
  </si>
  <si>
    <t>Maryland State Retirement and Pension System - Teachers</t>
  </si>
  <si>
    <t>SRPS - Teachers</t>
  </si>
  <si>
    <t>http://www.sra.state.md.us/Agency/Downloads/CAFR/CAFR_FullReport.pdf</t>
  </si>
  <si>
    <t>https://sra.maryland.gov/sites/main/files/file-attachments/cafr_fullreport.pdf</t>
  </si>
  <si>
    <t>https://sra.maryland.gov/sites/main/files/file-attachments/2019-srps-cafr-web.pdf?1586534928</t>
  </si>
  <si>
    <t>https://sra.maryland.gov/sites/main/files/file-attachments/2020_msrps_cafr-web_final.pdf?1609769114</t>
  </si>
  <si>
    <t>https://sra.maryland.gov/sites/main/files/file-attachments/cafr-2022-web-final.pdf?1675443132</t>
  </si>
  <si>
    <t>plan223_y2021</t>
  </si>
  <si>
    <t>Michigan</t>
  </si>
  <si>
    <t>Public School Employees Retirement System</t>
  </si>
  <si>
    <t>PSERS</t>
  </si>
  <si>
    <t>http://www.michigan.gov/documents/orsschools/MPSERS_CAFR_2016_FINAL_550678_7.pdf</t>
  </si>
  <si>
    <t>https://www.michigan.gov/documents/orsschools/MPSERS_CAFR_2017_613536_7.PDF</t>
  </si>
  <si>
    <t>https://www.michigan.gov/documents/orsschools/MPSERS_CAFR_2018_648538_7.pdf</t>
  </si>
  <si>
    <t>https://www.michigan.gov/documents/orsschools/MPSERS_CAFR_-_Fiscal_Year_2019_682490_7.pdf</t>
  </si>
  <si>
    <t>https://www.michigan.gov/documents/orsschools/CAFR_MPSERS_Fiscal_Year_2020_716978_7.pdf</t>
  </si>
  <si>
    <t>https://www.michigan.gov/orsschools/-/media/Project/Websites/orsschools/MPSERS-ACFR/MPSERS-ACFR---2022.pdf?rev=2246e15fba8d46ecb374d5acd3e5b3ba&amp;hash=071FF5382E1C676EB36A3342FA42DC59</t>
  </si>
  <si>
    <t>plan266_y2021</t>
  </si>
  <si>
    <t>Mississippi</t>
  </si>
  <si>
    <t>Public Employees' Retirement System of Mississippi</t>
  </si>
  <si>
    <t>PERS</t>
  </si>
  <si>
    <t>http://www.pers.ms.gov/Content/CAFR/CAFR2016.pdf?</t>
  </si>
  <si>
    <t>https://www.pers.ms.gov/Content/CAFR/CAFR_2017.pdf?</t>
  </si>
  <si>
    <t>https://www.pers.ms.gov/Content/CAFR/PERS_CAFR_2018.pdf?</t>
  </si>
  <si>
    <t>https://www.pers.ms.gov/Content/GASB%20Resource%20Materials/Actuary%27s_2019_GASB_67_Report_PERS.pdf</t>
  </si>
  <si>
    <t>https://www.pers.ms.gov/Content/CAFR/2020_CAFR.pdf</t>
  </si>
  <si>
    <t>https://www.pers.ms.gov/Content/CAFR/2022_ACFR.pdf</t>
  </si>
  <si>
    <t>plan275_y2021</t>
  </si>
  <si>
    <t>Missouri</t>
  </si>
  <si>
    <t>Public School Retirement System of Missouri</t>
  </si>
  <si>
    <t>PSRS</t>
  </si>
  <si>
    <t>https://www.psrs-peers.org/docs/default-source/Investments-Documents/2016-CAFR/CAFR-2016-Financial.pdf?sfvrsn=8</t>
  </si>
  <si>
    <t>https://www.psrs-peers.org/docs/default-source/Investments-Documents/2017-CAFR/CAFR-2017-Financial.pdf?sfvrsn=8</t>
  </si>
  <si>
    <t>https://www.psrs-peers.org/docs/default-source/Investments-Documents/2018-CAFR/CAFR-2018-Financial.pdf?sfvrsn=8</t>
  </si>
  <si>
    <t>https://www.psrs-peers.org/docs/default-source/investments-documents/2019-cafr/financiald56335a81c386ae9b355ff0000291b4c.pdf?sfvrsn=a1245e0d_4</t>
  </si>
  <si>
    <t>https://www.psrs-peers.org/docs/default-source/investments-documents/2020-cafr/financial.pdf?sfvrsn=385a5f0d_2</t>
  </si>
  <si>
    <t>https://www.psrs-peers.org/docs/default-source/investments-documents/2022-annual-comprehensive-financial-reports/2022-annual-comprehensive-financial-report-final.pdf?sfvrsn=3706530d_8</t>
  </si>
  <si>
    <t>plan112_y2021</t>
  </si>
  <si>
    <t>Montana</t>
  </si>
  <si>
    <t>Montana Teachers' Retirement System</t>
  </si>
  <si>
    <t>p13 of GASB 67</t>
  </si>
  <si>
    <t>https://trs.mt.gov/miscellaneous/PdfFiles/Information/GasbReports/2016GASB67Final.pdf</t>
  </si>
  <si>
    <t>https://trs.mt.gov/miscellaneous/PdfFiles/Information/GasbReports/2017GASB67Final.pdf</t>
  </si>
  <si>
    <t>https://trs.mt.gov/miscellaneous/PdfFiles/Information/GasbReports/2018GASB67Final.pdf</t>
  </si>
  <si>
    <t>https://trs.mt.gov/miscellaneous/PdfFiles/Information/AnnualReports/2019cafr.PDF</t>
  </si>
  <si>
    <t>https://trs.mt.gov/miscellaneous/PdfFiles/Information/AnnualReports/2020cafr.PDF</t>
  </si>
  <si>
    <t>https://trs.mt.gov/miscellaneous/PdfFiles/Information/AnnualReports/2022_ACFR.pdf</t>
  </si>
  <si>
    <t>plan38_y2021</t>
  </si>
  <si>
    <t>Nebraska</t>
  </si>
  <si>
    <t>School Retirement System</t>
  </si>
  <si>
    <t>PERS - School</t>
  </si>
  <si>
    <t>p18 of GASB</t>
  </si>
  <si>
    <t>http://www.auditors.nebraska.gov/APA_Reports/2019/SA851-02192019-July_1_2017_through_June_30_2018_Audit_Report.pdf</t>
  </si>
  <si>
    <t>p20 of GASB Statement</t>
  </si>
  <si>
    <t>p35 of GASB</t>
  </si>
  <si>
    <t>https://auditors.nebraska.gov/APA_Reports/2019/SA851-02192019-July_1_2017_through_June_30_2018_Audit_Report.pdf</t>
  </si>
  <si>
    <t>https://auditors.nebraska.gov/APA_Reports/2020/SA851-01282020-July_1_2018_through_June_30_2019_Audit_Report.pdf</t>
  </si>
  <si>
    <t>p33 of GASB</t>
  </si>
  <si>
    <t>https://auditors.nebraska.gov/APA_Reports/2021/SA851-01292021-July_1_2019_through_June_30_2020_Audit_Report_and_Management_Letter.pdf</t>
  </si>
  <si>
    <t>https://auditors.nebraska.gov/APA_Reports/2023/SA851-02092023-July_1_2021_through_June_30_2022_Audit_Report_and_Management_Letter.pdf</t>
  </si>
  <si>
    <t>plan91_y2021</t>
  </si>
  <si>
    <t>Nevada</t>
  </si>
  <si>
    <t>Public Employees' Retirement System</t>
  </si>
  <si>
    <t>p101 of CAFR</t>
  </si>
  <si>
    <t>https://www.nvpers.org/public/publications/FY16CAFR.pdf</t>
  </si>
  <si>
    <t>p107 of CAFR</t>
  </si>
  <si>
    <t>https://www.nvpers.org/public/publications/FY17CAFR.pdf</t>
  </si>
  <si>
    <t>p105 of CAFR</t>
  </si>
  <si>
    <t>https://www.nvpers.org/public/publications/FY18CAFR.pdf</t>
  </si>
  <si>
    <t>https://nvpers.org/sites/default/files/2021-01/FY20CAFR.pdf</t>
  </si>
  <si>
    <t>https://www.nvpers.org/sites/default/files/2022-12/FY22ACFRFinal.pdf</t>
  </si>
  <si>
    <t>plan238_y2021</t>
  </si>
  <si>
    <t>New Hampshire</t>
  </si>
  <si>
    <t>New Hampshire Retirement System</t>
  </si>
  <si>
    <t>NHRS</t>
  </si>
  <si>
    <t>https://www.nhrs.org/docs/default-source/cafr/nhrs-2016-cafr_audited_links.pdf?sfvrsn=4</t>
  </si>
  <si>
    <t>p9 of CAFR</t>
  </si>
  <si>
    <t>https://www.nhrs.org/docs/default-source/actuarial/fy-2017-cafr-tables-and-gasb-67-74.pdf?sfvrsn=4</t>
  </si>
  <si>
    <t>https://www.nhrs.org/docs/default-source/actuarial/fy-2018-cafr-tables-and-gasb-67-74.pdf?sfvrsn=4</t>
  </si>
  <si>
    <t>https://www.nhrs.org/docs/default-source/cafr/2020-cafr.pdf?sfvrsn=2c8f0fb4_11</t>
  </si>
  <si>
    <t>https://www.nhrs.org/docs/default-source/cafr/2022-annual-comprehensive-financial-report.pdf?sfvrsn=e0df0cb4_4</t>
  </si>
  <si>
    <t>plan240_y2021</t>
  </si>
  <si>
    <t>New Mexico</t>
  </si>
  <si>
    <t>Public Employees Retirement Association of New Mexico</t>
  </si>
  <si>
    <t>PERA (PERF)</t>
  </si>
  <si>
    <t>p7 of GASB 67</t>
  </si>
  <si>
    <t>http://www.nmpera.org/assets/uploads/downloads/gasb-67-supplemental-reports/12-13-16-PERA-GASB-67-Supplement-063016-FINAL.pdf</t>
  </si>
  <si>
    <t>http://www.nmpera.org/assets/uploads/downloads/comprehensive-annual-financial-reports/CAFR-2017-Final.pdf</t>
  </si>
  <si>
    <t>http://s3.amazonaws.com/boardaudio/cafr/CAFR2018Final.pdf</t>
  </si>
  <si>
    <t>http://s3.amazonaws.com/boardaudio/cafr/NM%20PERA%20CAFR%202019%20Final.pdf</t>
  </si>
  <si>
    <t>p79 of CAFR</t>
  </si>
  <si>
    <t>http://s3.amazonaws.com/boardaudio/NM%20PERA%20CAFR%202020%20FINAL.pdf</t>
  </si>
  <si>
    <t>http://s3.amazonaws.com/boardaudio/AGENCY%20366%20-%20NM%20PERA%20ACFR%202021%20-%20FINAL.pdf</t>
  </si>
  <si>
    <t>http://s3.amazonaws.com/boardaudio/366%20NM%20PERA%20FY22%20Final.pdf</t>
  </si>
  <si>
    <t>plan358_y2021</t>
  </si>
  <si>
    <t>New York</t>
  </si>
  <si>
    <t>New York State Teachers' Retirement System</t>
  </si>
  <si>
    <t>STRS</t>
  </si>
  <si>
    <t>https://www.nystrs.org/Library/Publications/Annual-Reports/2016CAFR</t>
  </si>
  <si>
    <t>https://www.nystrs.org/Library/Publications/Annual-Reports/2018CAFR</t>
  </si>
  <si>
    <t>https://nystrs.org/Library/Publications/Annual-Reports/2021AR.pdf</t>
  </si>
  <si>
    <t>https://nystrs.org/Library/Publications/Annual-Reports/2022AR.pdf</t>
  </si>
  <si>
    <t>plan356_y2021</t>
  </si>
  <si>
    <t>North Carolina</t>
  </si>
  <si>
    <t>Teachers' and State Employees' Retirement System</t>
  </si>
  <si>
    <t>Teachers and State</t>
  </si>
  <si>
    <t>p174 of CAFR</t>
  </si>
  <si>
    <t>https://www.nctreasurer.com/ret/Retirement%20Reports/June_30_2016_CAFR.pdf</t>
  </si>
  <si>
    <t>p182 of CAFR</t>
  </si>
  <si>
    <t>https://files.nc.gov/ncosc/CAFR/2017/2017%20Comprehensive%20Annual%20Financial%20Report_bookmarks.pdf</t>
  </si>
  <si>
    <t>p192 of CAFR</t>
  </si>
  <si>
    <t>https://files.nc.gov/ncosc/CAFR/2018/2018%20Comprehensive%20Annual%20Financial%20Report_bookmarks.pdf</t>
  </si>
  <si>
    <t>https://www.osc.nc.gov/media/4065/open</t>
  </si>
  <si>
    <t>https://www.osc.nc.gov/media/7498/open</t>
  </si>
  <si>
    <t>https://www.osc.nc.gov/2022-north-carolina-annual-comprehensive-financial-report/open</t>
  </si>
  <si>
    <t>plan276_y2021</t>
  </si>
  <si>
    <t>North Dakota</t>
  </si>
  <si>
    <t>North Dakota Teachers' Fund for Retirement</t>
  </si>
  <si>
    <t>http://www.nd.gov/rio/tffr/Publications/Financial%20Audit/FinalAuditReport2016.pdf</t>
  </si>
  <si>
    <t>http://www.nd.gov/rio/tffr/Publications/Financial%20Audit/FinalAuditReport2017.pdf</t>
  </si>
  <si>
    <t>http://www.nd.gov/rio/tffr/Publications/Financial%20Audit/FinalAuditReport2018.pdf</t>
  </si>
  <si>
    <t>https://www.rio.nd.gov/sites/www/files/documents/PDFs/RIO/Reports/annualreport2020.pdf</t>
  </si>
  <si>
    <t>https://www.omb.nd.gov/sites/www/files/documents/financial-transparency/cafr/2022-acfr.pdf</t>
  </si>
  <si>
    <t>plan307_y2021</t>
  </si>
  <si>
    <t>Ohio</t>
  </si>
  <si>
    <t>State Teachers Retirement System of Ohio</t>
  </si>
  <si>
    <t>p34 of CAFR</t>
  </si>
  <si>
    <t>https://www.strsoh.org/_pdfs/annualreports/cafrs/2016_cafr.pdf</t>
  </si>
  <si>
    <t>p35 of CAFR</t>
  </si>
  <si>
    <t>https://www.strsoh.org/_pdfs/annual-reports/50-143-17.pdf</t>
  </si>
  <si>
    <t>https://www.strsoh.org/_pdfs/annual-reports/50-143-18.pdf</t>
  </si>
  <si>
    <t>p23 of CAFR</t>
  </si>
  <si>
    <t>https://www.strsoh.org/_pdfs/annual-reports/50-143-20.pdf</t>
  </si>
  <si>
    <t>plan332_y2021</t>
  </si>
  <si>
    <t>Oklahoma</t>
  </si>
  <si>
    <t>Oklahoma Teachers Retirement System</t>
  </si>
  <si>
    <t>plan331_y2021</t>
  </si>
  <si>
    <t>https://www.ok.gov/TRS/documents/2016%20CAFR.pdf</t>
  </si>
  <si>
    <t>p100 of CAFR</t>
  </si>
  <si>
    <t>https://www.ok.gov/TRS/documents/CAFR%20FY2017.pdf</t>
  </si>
  <si>
    <t>p91 of CAFR</t>
  </si>
  <si>
    <t>https://www.ok.gov/TRS/documents/2018_CAFR.pdf</t>
  </si>
  <si>
    <t>p134 of CAFR</t>
  </si>
  <si>
    <t>https://www.opprs.ok.gov/wp-content/uploads/2021/05/2020-CAFR-FINAL-WITH-OPINION.pdf</t>
  </si>
  <si>
    <t>https://oklahoma.gov/content/dam/ok/en/trs/documents/publications/GASB6768_2021Report.pdf</t>
  </si>
  <si>
    <t>https://oklahoma.gov/content/dam/ok/en/trs/documents/publications/FY2022-ACFR.pdf</t>
  </si>
  <si>
    <t>plan106_y2021</t>
  </si>
  <si>
    <t>Oregon</t>
  </si>
  <si>
    <t>Oregon Public Employees Retirement System</t>
  </si>
  <si>
    <t>p69 of CAFR</t>
  </si>
  <si>
    <t>http://www.oregon.gov/PERS/Documents/Financials/CAFR/2016-CAFR.pdf</t>
  </si>
  <si>
    <t>https://www.oregon.gov/PERS/Documents/Financials/CAFR/2017-CAFR.pdf</t>
  </si>
  <si>
    <t>https://www.oregon.gov/PERS/Documents/Financials/CAFR/2018-CAFR.pdf</t>
  </si>
  <si>
    <t>https://sos.oregon.gov/audits/Documents/2020-42.pdf</t>
  </si>
  <si>
    <t>https://sos.oregon.gov/audits/Documents/2019-42.pdf</t>
  </si>
  <si>
    <t>https://www.oregon.gov/pers/Documents/Financials/ACFR/2021-ACFR.pdf</t>
  </si>
  <si>
    <t>https://www.oregon.gov/pers/Documents/Financials/ACFR/2022-Annual-Comprehensive-Financial-Report.pdf</t>
  </si>
  <si>
    <t>plan273_y2021</t>
  </si>
  <si>
    <t>Pennsylvania</t>
  </si>
  <si>
    <t>Pennsylvania Public School Employees' Retirement System</t>
  </si>
  <si>
    <t>http://www.psers.pa.gov/FPP/Publications/cafr/Documents/FYE2016/2016%20Financial%20Section.pdf</t>
  </si>
  <si>
    <t>https://www.psers.pa.gov/FPP/Publications/General/Documents/CAFR2017/2017%20Financial%20Section.pdf</t>
  </si>
  <si>
    <t>p68 of CAFR</t>
  </si>
  <si>
    <t>https://www.psers.pa.gov/FPP/Publications/General/Documents/2018%20CAFR-Financial%20Section.pdf</t>
  </si>
  <si>
    <t>https://www.psers.pa.gov/FPP/Publications/General/Documents/PSERS%20FY2019%20CAFR-Website.pdf</t>
  </si>
  <si>
    <t>https://www.psers.pa.gov/FPP/Publications/General/Documents/PSERS%20FY2020%20CAFR_website.pdf</t>
  </si>
  <si>
    <t>https://www.psers.pa.gov/FPP/Publications/General/Documents/ACFR2022/PSERS%20FY2022%20ACFR.pdf</t>
  </si>
  <si>
    <t>plan347_y2021</t>
  </si>
  <si>
    <t>Rhode Island</t>
  </si>
  <si>
    <t>Employees' Retirement System Plan - Teachers</t>
  </si>
  <si>
    <t>ERS - Teachers</t>
  </si>
  <si>
    <t>p49 of Audit Report</t>
  </si>
  <si>
    <t>https://d10k7k7mywg42z.cloudfront.net/assets/589e179da0b5dd08a912ab74/ERSRI_2016_OAG_Final_Audit_Report___02_01_2017.pdf</t>
  </si>
  <si>
    <t>https://d10k7k7mywg42z.cloudfront.net/assets/5a73625c23f812060700cb3a/ERSRI_CAFR_2017.pdf</t>
  </si>
  <si>
    <t>https://d10k7k7mywg42z.cloudfront.net/assets/5c2d18d523f8124fa831642c/ERSRI_CAFR_2018.pdf</t>
  </si>
  <si>
    <t>https://www.ersri.org/sites/default/files/2022-04/FY2021_ACFR_Final.pdf</t>
  </si>
  <si>
    <t>https://www.ersri.org/sites/default/files/2023-01/ACFR_FY22_FINAL%2012_30_2022.pdf</t>
  </si>
  <si>
    <t>plan54_y2021</t>
  </si>
  <si>
    <t>South Carolina</t>
  </si>
  <si>
    <t>South Carolina Retirement System</t>
  </si>
  <si>
    <t>SCRS</t>
  </si>
  <si>
    <t>https://www.peba.sc.gov/assets/cafr.pdf</t>
  </si>
  <si>
    <t>https://www.peba.sc.gov/assets/cafr2017.pdf</t>
  </si>
  <si>
    <t>p81 of CAFR</t>
  </si>
  <si>
    <t>https://dc.statelibrary.sc.gov/bitstream/handle/10827/35784/PEBA_Comprehensive_Annual_Financial_Report_20.pdf?sequence=1&amp;isAllowed=y</t>
  </si>
  <si>
    <t>https://dc.statelibrary.sc.gov/bitstream/handle/10827/47916/PEBA_Comprehensive_Annual_Financial_Report_2022-06-30.pdf?sequence=1&amp;isAllowed=y</t>
  </si>
  <si>
    <t>plan334_y2021</t>
  </si>
  <si>
    <t>South Dakota</t>
  </si>
  <si>
    <t>South Dakota Retirement System</t>
  </si>
  <si>
    <t>RS</t>
  </si>
  <si>
    <t>p38 of CAFR</t>
  </si>
  <si>
    <t>http://www.sdrs.sd.gov/docs/CAFR2016.pdf</t>
  </si>
  <si>
    <t>https://sdrs.sd.gov/docs/CAFR2017.pdf</t>
  </si>
  <si>
    <t>https://sdrs.sd.gov/docs/CAFR2018.pdf</t>
  </si>
  <si>
    <t>https://www.sd.gov/sys_attachment.do?sys_id=4946b5c21b2065100fd94262f54bcb6c</t>
  </si>
  <si>
    <t>plan110_y2021</t>
  </si>
  <si>
    <t>Tennessee</t>
  </si>
  <si>
    <t>Tennessee Consolidated Retirement System - Teacher Retirement Plan</t>
  </si>
  <si>
    <t>CRS - Teacher Retirement Plan</t>
  </si>
  <si>
    <t>http://www.treasury.state.tn.us/TCRS_Report/2016/financial.pdf</t>
  </si>
  <si>
    <t>https://treasury.tn.gov/Portals/0/Documents/Retirement/CAFR%20Reports/2017/TCRS-CAFR-2017.pdf?ver=2018-11-27-080028-097</t>
  </si>
  <si>
    <t>https://treasury.tn.gov/Portals/0/Documents/Retirement/CAFR%20Reports/2018%20TCRS%20CAFR_full%20report_FINAL_hyperlinked.pdf</t>
  </si>
  <si>
    <t>https://treasury.tn.gov/Retirement/Boards-and-Governance/Reporting-and-Investment-Policies</t>
  </si>
  <si>
    <t>p44 of cafr</t>
  </si>
  <si>
    <t>https://treasury.tn.gov/Portals/0/Documents/Retirement/CAFR%20Reports/2022/2022TCRSReport_Full%20Report.pdf</t>
  </si>
  <si>
    <t>Tennessee Consolidated Retirement System - Teacher Legacy Pension Plan</t>
  </si>
  <si>
    <t>CRS - Teacher Legacy Pension Plan</t>
  </si>
  <si>
    <t>p36 of CAFR</t>
  </si>
  <si>
    <t>https://treasury.tn.gov/Portals/0/Documents/Retirement/CAFR%20Reports/2017/TCRS-CAFR-2017.pdf</t>
  </si>
  <si>
    <t>plan319_y2021</t>
  </si>
  <si>
    <t>Utah</t>
  </si>
  <si>
    <t>Public Employees Contributory Retirement System</t>
  </si>
  <si>
    <t>Contributary System</t>
  </si>
  <si>
    <t>p315 of CAFR</t>
  </si>
  <si>
    <t>https://www.urs.org/documents/byfilename/%7CPublic%20Web%20Documents%7CURS%7CReports%7CCAFR%7C2016_CAFR%7C%7Capplication%7Cpdf/</t>
  </si>
  <si>
    <t>p93 of CAFR</t>
  </si>
  <si>
    <t>https://www.urs.org/documents/byfilename/%7CPublic%20Web%20Documents%7CURS%7CReports%7CCAFR%7C2017_CAFR%7C%7Capplication%7Cpdf/</t>
  </si>
  <si>
    <t>p92 of CAFR</t>
  </si>
  <si>
    <t>https://www.urs.org/documents/byfilename/@Public%20Web%20Documents@URS@Reports@ACFR@2018_ACFR@@application@pdf/</t>
  </si>
  <si>
    <t>https://www.urs.org/documents/byfilename/@Public%20Web%20Documents@URS@Reports@ACFR@2022_ACFR@@application@pdf/</t>
  </si>
  <si>
    <t>Tier 2 Public Employees Contributory Retirement System</t>
  </si>
  <si>
    <t>Tier 2 Public Employees</t>
  </si>
  <si>
    <t>https://www.urs.org/documents/byfilename/@Public%20Web%20Documents@URS@Reports@ACFR@2020_ACFR@@application@pdf/</t>
  </si>
  <si>
    <t>plan37_y2021</t>
  </si>
  <si>
    <t>Vermont</t>
  </si>
  <si>
    <t>Vermont State Teachers' Retirement System</t>
  </si>
  <si>
    <t>p4 of GASB 67</t>
  </si>
  <si>
    <t>http://www.vermonttreasurer.gov/sites/treasurer/files/VMERS/VMERS-reports/VMERS%20GASB%2068%20Report%202016%20%28Buck%29.pdf</t>
  </si>
  <si>
    <t>p3 of GASB 67</t>
  </si>
  <si>
    <t>http://www.vermonttreasurer.gov/sites/treasurer/files/VSTRS/VSTERS-reports/VSTRS%206-30-2016%20GASB%2067%20Draft.pdf</t>
  </si>
  <si>
    <t>p165 of CAFR</t>
  </si>
  <si>
    <t>https://legislature.vermont.gov/assets/Legislative-Reports/VT-2017-CAFR-FINAL.pdf</t>
  </si>
  <si>
    <t>p176 of CAFR</t>
  </si>
  <si>
    <t>https://legislature.vermont.gov/assets/Legislative-Reports/VT-2018-CAFR-FINAL.pdf</t>
  </si>
  <si>
    <t>p68 of GASB</t>
  </si>
  <si>
    <t>https://auditor.vermont.gov/sites/auditor/files/documents/Vermont%20CAFR%20-%202020.pdf</t>
  </si>
  <si>
    <t>https://auditor.vermont.gov/sites/auditor/files/documents/VERMONT_2022_ACFR_FINAL.pdf</t>
  </si>
  <si>
    <t>plan321_y2021</t>
  </si>
  <si>
    <t>Virginia</t>
  </si>
  <si>
    <t>Virginia Retirement System - Teachers</t>
  </si>
  <si>
    <t>VRS - Teacher</t>
  </si>
  <si>
    <t>https://www.varetire.org/pdf/publications/2020-annual-report.pdf</t>
  </si>
  <si>
    <t>p113 of CAFR</t>
  </si>
  <si>
    <t>http://www.varetire.org/pdf/publications/2016-annual-report.pdf</t>
  </si>
  <si>
    <t>p109 of CAFR</t>
  </si>
  <si>
    <t>https://www.varetire.org/pdf/publications/2017-annual-report.pdf</t>
  </si>
  <si>
    <t>p114 of CAFR</t>
  </si>
  <si>
    <t>https://www.varetire.org/pdf/publications/2018-annual-report.pdf</t>
  </si>
  <si>
    <t>https://www.varetire.org/pdf/publications/2022-annual-report.pdf</t>
  </si>
  <si>
    <t>plan161_y2021</t>
  </si>
  <si>
    <t>Washington</t>
  </si>
  <si>
    <t>Teachers' Retirement System Plan 1</t>
  </si>
  <si>
    <t>TRS 1</t>
  </si>
  <si>
    <t>http://www.drs.wa.gov/administration/annual-report/default.htm</t>
  </si>
  <si>
    <t>https://www.drs.wa.gov/administration/annual-report/</t>
  </si>
  <si>
    <t>https://www.drs.wa.gov/administration/annual-report/cafr/CAFR-2018.pdf</t>
  </si>
  <si>
    <t>https://www.drs.wa.gov/wp-content/uploads/2021/06/2022-ACFR.pdf</t>
  </si>
  <si>
    <t>Teachers' Retirement System Plan 2/3</t>
  </si>
  <si>
    <t>TRS 2/3</t>
  </si>
  <si>
    <t/>
  </si>
  <si>
    <t>plan338_y2022</t>
  </si>
  <si>
    <t>West Virginia</t>
  </si>
  <si>
    <t>https://www.wvretirement.com/Forms/2016-6-cafr.pdf</t>
  </si>
  <si>
    <t>https://www.wvretirement.com/Forms/2017-CAFR.pdf</t>
  </si>
  <si>
    <t>https://www.wvretirement.com/Forms/2018-CAFR.pdf</t>
  </si>
  <si>
    <t>https://www.wvretirement.com/Forms/2022-ACFR.pdf</t>
  </si>
  <si>
    <t>plan59_y2021</t>
  </si>
  <si>
    <t>Wisconsin</t>
  </si>
  <si>
    <t>Wisconsin Retirement System</t>
  </si>
  <si>
    <t>p49</t>
  </si>
  <si>
    <t>http://etf.wi.gov/publications/15et8600.pdf</t>
  </si>
  <si>
    <t>http://etf.wi.gov/about/2016-cafr.pdf</t>
  </si>
  <si>
    <t>p104 of CAFR</t>
  </si>
  <si>
    <t>http://etf.wi.gov/about/2017-cafr.pdf</t>
  </si>
  <si>
    <t>p106 of CAFR</t>
  </si>
  <si>
    <t>https://etf.wi.gov/publications/cafr-2018/download?inline=</t>
  </si>
  <si>
    <t>https://etf.wi.gov/publications/cafr-2019/download?inline=</t>
  </si>
  <si>
    <t>https://etf.wi.gov/files/acfr-2020</t>
  </si>
  <si>
    <t>https://etf.wi.gov/files/acfr-2021/download?inline=</t>
  </si>
  <si>
    <t>https://etf.wi.gov/publications/acfr-2022/download?inline=</t>
  </si>
  <si>
    <t>plan343_y2021</t>
  </si>
  <si>
    <t>Wyoming</t>
  </si>
  <si>
    <t>Public Employee Pension Plan</t>
  </si>
  <si>
    <t>https://county.milwaukee.gov/EN/Comptroller/Reports</t>
  </si>
  <si>
    <t>p56</t>
  </si>
  <si>
    <t>https://retirement.state.wy.us/-/media/Documents/Financial/WRS-CAFR-2017.ashx</t>
  </si>
  <si>
    <t>https://retirement.wyo.gov/-/media/Documents/Financial/WRS-CAFR-2018.ashx</t>
  </si>
  <si>
    <t>https://retirement.wyo.gov/-/media/Documents/Financial/WRS-ACFR-2021.ashx</t>
  </si>
  <si>
    <t>https://retirement.wyo.gov/-/media/Documents/Financial/WRS-ACFR_2022.ashx</t>
  </si>
  <si>
    <t>Republican</t>
  </si>
  <si>
    <t>Democrat</t>
  </si>
  <si>
    <t>MVL Ratio</t>
  </si>
  <si>
    <t>State</t>
  </si>
  <si>
    <t>Party Affiliation</t>
  </si>
  <si>
    <t>Hawaii</t>
  </si>
  <si>
    <t>Political Affiliation</t>
  </si>
  <si>
    <t>Washington 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</si>
</sst>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
    <numFmt numFmtId="165" formatCode="_(* #,##0_);_(* \(#,##0\);_(* &quot;-&quot;??_);_(@_)"/>
    <numFmt numFmtId="166" formatCode="_(* #,##0.000_);_(* \(#,##0.000\);_(* &quot;-&quot;??_);_(@_)"/>
  </numFmts>
  <fonts count="6" x14ac:knownFonts="1">
    <font>
      <sz val="12"/>
      <color theme="1"/>
      <name val="Aptos Narrow"/>
      <family val="2"/>
      <scheme val="minor"/>
    </font>
    <font>
      <sz val="12"/>
      <color theme="1"/>
      <name val="Aptos Narrow"/>
      <family val="2"/>
      <scheme val="minor"/>
    </font>
    <font>
      <sz val="11"/>
      <color theme="1"/>
      <name val="DengXian"/>
      <family val="2"/>
    </font>
    <font>
      <sz val="11"/>
      <name val="Aptos Narrow"/>
      <family val="2"/>
      <scheme val="minor"/>
    </font>
    <font>
      <sz val="11"/>
      <color rgb="FFFF0000"/>
      <name val="Aptos Narrow"/>
      <family val="2"/>
      <scheme val="minor"/>
    </font>
    <font>
      <sz val="12"/>
      <color rgb="FF000000"/>
      <name val="Aptos"/>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2" fillId="0" borderId="0" xfId="0" applyFont="1"/>
    <xf numFmtId="0" fontId="3" fillId="0" borderId="0" xfId="0" applyFont="1"/>
    <xf numFmtId="164" fontId="4" fillId="0" borderId="0" xfId="0" applyNumberFormat="1" applyFont="1"/>
    <xf numFmtId="0" fontId="4" fillId="0" borderId="0" xfId="0" applyFont="1"/>
    <xf numFmtId="43" fontId="0" fillId="0" borderId="0" xfId="1" applyFont="1"/>
    <xf numFmtId="165" fontId="0" fillId="0" borderId="0" xfId="1" applyNumberFormat="1" applyFont="1"/>
    <xf numFmtId="43" fontId="0" fillId="0" borderId="0" xfId="0" applyNumberFormat="1"/>
    <xf numFmtId="0" fontId="0" fillId="2" borderId="0" xfId="0" applyFill="1"/>
    <xf numFmtId="2" fontId="0" fillId="2" borderId="0" xfId="0" applyNumberFormat="1" applyFill="1"/>
    <xf numFmtId="166" fontId="0" fillId="0" borderId="0" xfId="1" applyNumberFormat="1" applyFont="1"/>
    <xf numFmtId="3" fontId="5" fillId="0" borderId="0" xfId="0" applyNumberFormat="1" applyFont="1"/>
    <xf numFmtId="1" fontId="0" fillId="0" borderId="0" xfId="0" applyNumberFormat="1"/>
    <xf numFmtId="10" fontId="0" fillId="0" borderId="0" xfId="2" applyNumberFormat="1" applyFont="1"/>
    <xf numFmtId="0" fontId="0" fillId="0" borderId="0" xfId="0" applyAlignment="1">
      <alignment horizontal="center"/>
    </xf>
    <xf numFmtId="0" fontId="0" fillId="0" borderId="0" xfId="0" applyFill="1"/>
    <xf numFmtId="10" fontId="0" fillId="0" borderId="0" xfId="2" applyNumberFormat="1" applyFont="1" applyFill="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2484C6"/>
      <color rgb="FFFFCA66"/>
      <color rgb="FF175E54"/>
      <color rgb="FF2D2D29"/>
      <color rgb="FF8C1515"/>
      <color rgb="FF7F7776"/>
      <color rgb="FF766253"/>
      <color rgb="FFB83A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58552586358327E-2"/>
          <c:y val="0.11192155531697576"/>
          <c:w val="0.92770294110908302"/>
          <c:h val="0.69953058315132766"/>
        </c:manualLayout>
      </c:layout>
      <c:lineChart>
        <c:grouping val="standard"/>
        <c:varyColors val="0"/>
        <c:ser>
          <c:idx val="1"/>
          <c:order val="0"/>
          <c:tx>
            <c:v>Reported Funding Ratio</c:v>
          </c:tx>
          <c:spPr>
            <a:ln w="28575" cap="rnd">
              <a:solidFill>
                <a:srgbClr val="8C1515"/>
              </a:solidFill>
              <a:round/>
            </a:ln>
            <a:effectLst/>
          </c:spPr>
          <c:marker>
            <c:symbol val="none"/>
          </c:marker>
          <c:dLbls>
            <c:dLbl>
              <c:idx val="0"/>
              <c:layout>
                <c:manualLayout>
                  <c:x val="-2.9474589906592109E-2"/>
                  <c:y val="6.65583087707597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A1-C947-8DAE-900D4EC9A701}"/>
                </c:ext>
              </c:extLst>
            </c:dLbl>
            <c:dLbl>
              <c:idx val="7"/>
              <c:layout>
                <c:manualLayout>
                  <c:x val="-2.8076531688365557E-2"/>
                  <c:y val="4.3473317832073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A1-C947-8DAE-900D4EC9A70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'State Figures'!$A$2:$A$9</c:f>
              <c:numCache>
                <c:formatCode>General</c:formatCode>
                <c:ptCount val="8"/>
                <c:pt idx="0">
                  <c:v>2015</c:v>
                </c:pt>
                <c:pt idx="1">
                  <c:v>2016</c:v>
                </c:pt>
                <c:pt idx="2">
                  <c:v>2017</c:v>
                </c:pt>
                <c:pt idx="3">
                  <c:v>2018</c:v>
                </c:pt>
                <c:pt idx="4">
                  <c:v>2019</c:v>
                </c:pt>
                <c:pt idx="5">
                  <c:v>2020</c:v>
                </c:pt>
                <c:pt idx="6">
                  <c:v>2021</c:v>
                </c:pt>
                <c:pt idx="7">
                  <c:v>2022</c:v>
                </c:pt>
              </c:numCache>
            </c:numRef>
          </c:cat>
          <c:val>
            <c:numRef>
              <c:f>'State Figures'!$F$2:$F$9</c:f>
              <c:numCache>
                <c:formatCode>0.00</c:formatCode>
                <c:ptCount val="8"/>
                <c:pt idx="0">
                  <c:v>76.585227915190387</c:v>
                </c:pt>
                <c:pt idx="1">
                  <c:v>67.767936572564707</c:v>
                </c:pt>
                <c:pt idx="2">
                  <c:v>70.112380129298515</c:v>
                </c:pt>
                <c:pt idx="3">
                  <c:v>73.694435909681019</c:v>
                </c:pt>
                <c:pt idx="4">
                  <c:v>73.521463973825476</c:v>
                </c:pt>
                <c:pt idx="5">
                  <c:v>71.562286828866917</c:v>
                </c:pt>
                <c:pt idx="6">
                  <c:v>85.515083780365316</c:v>
                </c:pt>
                <c:pt idx="7">
                  <c:v>74.412949361865188</c:v>
                </c:pt>
              </c:numCache>
            </c:numRef>
          </c:val>
          <c:smooth val="0"/>
          <c:extLst>
            <c:ext xmlns:c16="http://schemas.microsoft.com/office/drawing/2014/chart" uri="{C3380CC4-5D6E-409C-BE32-E72D297353CC}">
              <c16:uniqueId val="{00000001-B4A1-C947-8DAE-900D4EC9A701}"/>
            </c:ext>
          </c:extLst>
        </c:ser>
        <c:ser>
          <c:idx val="0"/>
          <c:order val="1"/>
          <c:tx>
            <c:v>Market Value Funding Ratio</c:v>
          </c:tx>
          <c:spPr>
            <a:ln w="28575" cap="rnd">
              <a:solidFill>
                <a:srgbClr val="2D2D29"/>
              </a:solidFill>
              <a:round/>
            </a:ln>
            <a:effectLst/>
          </c:spPr>
          <c:marker>
            <c:symbol val="none"/>
          </c:marker>
          <c:dLbls>
            <c:dLbl>
              <c:idx val="0"/>
              <c:layout>
                <c:manualLayout>
                  <c:x val="-3.1068376275370353E-2"/>
                  <c:y val="3.8457578891758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A1-C947-8DAE-900D4EC9A701}"/>
                </c:ext>
              </c:extLst>
            </c:dLbl>
            <c:dLbl>
              <c:idx val="7"/>
              <c:layout>
                <c:manualLayout>
                  <c:x val="-2.1914736810595904E-2"/>
                  <c:y val="6.1336272139947495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226916456002031E-2"/>
                      <c:h val="5.3417240970049282E-2"/>
                    </c:manualLayout>
                  </c15:layout>
                </c:ext>
                <c:ext xmlns:c16="http://schemas.microsoft.com/office/drawing/2014/chart" uri="{C3380CC4-5D6E-409C-BE32-E72D297353CC}">
                  <c16:uniqueId val="{00000005-B4A1-C947-8DAE-900D4EC9A70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'State Figures'!$A$2:$A$9</c:f>
              <c:numCache>
                <c:formatCode>General</c:formatCode>
                <c:ptCount val="8"/>
                <c:pt idx="0">
                  <c:v>2015</c:v>
                </c:pt>
                <c:pt idx="1">
                  <c:v>2016</c:v>
                </c:pt>
                <c:pt idx="2">
                  <c:v>2017</c:v>
                </c:pt>
                <c:pt idx="3">
                  <c:v>2018</c:v>
                </c:pt>
                <c:pt idx="4">
                  <c:v>2019</c:v>
                </c:pt>
                <c:pt idx="5">
                  <c:v>2020</c:v>
                </c:pt>
                <c:pt idx="6">
                  <c:v>2021</c:v>
                </c:pt>
                <c:pt idx="7">
                  <c:v>2022</c:v>
                </c:pt>
              </c:numCache>
            </c:numRef>
          </c:cat>
          <c:val>
            <c:numRef>
              <c:f>'State Figures'!$E$2:$E$9</c:f>
              <c:numCache>
                <c:formatCode>0.00</c:formatCode>
                <c:ptCount val="8"/>
                <c:pt idx="0">
                  <c:v>48.158855418009452</c:v>
                </c:pt>
                <c:pt idx="1">
                  <c:v>39.73049023994168</c:v>
                </c:pt>
                <c:pt idx="2">
                  <c:v>44.954989394931694</c:v>
                </c:pt>
                <c:pt idx="3">
                  <c:v>47.960483345661729</c:v>
                </c:pt>
                <c:pt idx="4">
                  <c:v>45.711207055157523</c:v>
                </c:pt>
                <c:pt idx="5">
                  <c:v>41.967209668158098</c:v>
                </c:pt>
                <c:pt idx="6">
                  <c:v>53.225215871115097</c:v>
                </c:pt>
                <c:pt idx="7">
                  <c:v>50.915975907291433</c:v>
                </c:pt>
              </c:numCache>
            </c:numRef>
          </c:val>
          <c:smooth val="0"/>
          <c:extLst>
            <c:ext xmlns:c16="http://schemas.microsoft.com/office/drawing/2014/chart" uri="{C3380CC4-5D6E-409C-BE32-E72D297353CC}">
              <c16:uniqueId val="{00000000-B4A1-C947-8DAE-900D4EC9A701}"/>
            </c:ext>
          </c:extLst>
        </c:ser>
        <c:dLbls>
          <c:showLegendKey val="0"/>
          <c:showVal val="0"/>
          <c:showCatName val="0"/>
          <c:showSerName val="0"/>
          <c:showPercent val="0"/>
          <c:showBubbleSize val="0"/>
        </c:dLbls>
        <c:smooth val="0"/>
        <c:axId val="411437567"/>
        <c:axId val="411062975"/>
      </c:lineChart>
      <c:catAx>
        <c:axId val="411437567"/>
        <c:scaling>
          <c:orientation val="minMax"/>
        </c:scaling>
        <c:delete val="0"/>
        <c:axPos val="b"/>
        <c:numFmt formatCode="General" sourceLinked="1"/>
        <c:majorTickMark val="none"/>
        <c:minorTickMark val="out"/>
        <c:tickLblPos val="nextTo"/>
        <c:spPr>
          <a:noFill/>
          <a:ln w="9525" cap="flat" cmpd="sng" algn="ctr">
            <a:solidFill>
              <a:srgbClr val="2D2D29"/>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11062975"/>
        <c:crosses val="autoZero"/>
        <c:auto val="1"/>
        <c:lblAlgn val="ctr"/>
        <c:lblOffset val="100"/>
        <c:noMultiLvlLbl val="0"/>
      </c:catAx>
      <c:valAx>
        <c:axId val="411062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rgbClr val="2D2D29"/>
            </a:solid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11437567"/>
        <c:crosses val="autoZero"/>
        <c:crossBetween val="between"/>
      </c:valAx>
      <c:spPr>
        <a:noFill/>
        <a:ln>
          <a:noFill/>
        </a:ln>
        <a:effectLst/>
      </c:spPr>
    </c:plotArea>
    <c:legend>
      <c:legendPos val="b"/>
      <c:layout>
        <c:manualLayout>
          <c:xMode val="edge"/>
          <c:yMode val="edge"/>
          <c:x val="0.26131115862291948"/>
          <c:y val="0.86568407534920333"/>
          <c:w val="0.48985512106036405"/>
          <c:h val="4.181992888814940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58552586358327E-2"/>
          <c:y val="0.11192155531697576"/>
          <c:w val="0.92770294110908302"/>
          <c:h val="0.69953058315132766"/>
        </c:manualLayout>
      </c:layout>
      <c:lineChart>
        <c:grouping val="standard"/>
        <c:varyColors val="0"/>
        <c:ser>
          <c:idx val="1"/>
          <c:order val="0"/>
          <c:tx>
            <c:strRef>
              <c:f>'State Figures'!$B$14</c:f>
              <c:strCache>
                <c:ptCount val="1"/>
                <c:pt idx="0">
                  <c:v>Massachusetts</c:v>
                </c:pt>
              </c:strCache>
            </c:strRef>
          </c:tx>
          <c:spPr>
            <a:ln w="28575" cap="rnd">
              <a:solidFill>
                <a:schemeClr val="accent1">
                  <a:lumMod val="40000"/>
                  <a:lumOff val="60000"/>
                </a:schemeClr>
              </a:solidFill>
              <a:round/>
            </a:ln>
            <a:effectLst/>
          </c:spPr>
          <c:marker>
            <c:symbol val="none"/>
          </c:marker>
          <c:cat>
            <c:numRef>
              <c:f>'State Figures'!$A$2:$A$9</c:f>
              <c:numCache>
                <c:formatCode>General</c:formatCode>
                <c:ptCount val="8"/>
                <c:pt idx="0">
                  <c:v>2015</c:v>
                </c:pt>
                <c:pt idx="1">
                  <c:v>2016</c:v>
                </c:pt>
                <c:pt idx="2">
                  <c:v>2017</c:v>
                </c:pt>
                <c:pt idx="3">
                  <c:v>2018</c:v>
                </c:pt>
                <c:pt idx="4">
                  <c:v>2019</c:v>
                </c:pt>
                <c:pt idx="5">
                  <c:v>2020</c:v>
                </c:pt>
                <c:pt idx="6">
                  <c:v>2021</c:v>
                </c:pt>
                <c:pt idx="7">
                  <c:v>2022</c:v>
                </c:pt>
              </c:numCache>
            </c:numRef>
          </c:cat>
          <c:val>
            <c:numRef>
              <c:f>'State Figures'!$B$24:$B$31</c:f>
              <c:numCache>
                <c:formatCode>General</c:formatCode>
                <c:ptCount val="8"/>
                <c:pt idx="0">
                  <c:v>56.851779162605418</c:v>
                </c:pt>
                <c:pt idx="1">
                  <c:v>52.731653276955605</c:v>
                </c:pt>
                <c:pt idx="2">
                  <c:v>54.251177434831277</c:v>
                </c:pt>
                <c:pt idx="3">
                  <c:v>54.838220673104402</c:v>
                </c:pt>
                <c:pt idx="4">
                  <c:v>53.947836569195083</c:v>
                </c:pt>
                <c:pt idx="5">
                  <c:v>50.668091115678195</c:v>
                </c:pt>
                <c:pt idx="6">
                  <c:v>62.025460322769469</c:v>
                </c:pt>
                <c:pt idx="7">
                  <c:v>57.749517732116914</c:v>
                </c:pt>
              </c:numCache>
            </c:numRef>
          </c:val>
          <c:smooth val="0"/>
          <c:extLst>
            <c:ext xmlns:c16="http://schemas.microsoft.com/office/drawing/2014/chart" uri="{C3380CC4-5D6E-409C-BE32-E72D297353CC}">
              <c16:uniqueId val="{00000002-9EDE-AA48-A593-D7E9FFB96E82}"/>
            </c:ext>
          </c:extLst>
        </c:ser>
        <c:ser>
          <c:idx val="0"/>
          <c:order val="1"/>
          <c:tx>
            <c:strRef>
              <c:f>'State Figures'!$C$14</c:f>
              <c:strCache>
                <c:ptCount val="1"/>
                <c:pt idx="0">
                  <c:v>California</c:v>
                </c:pt>
              </c:strCache>
            </c:strRef>
          </c:tx>
          <c:spPr>
            <a:ln w="28575" cap="rnd">
              <a:solidFill>
                <a:schemeClr val="accent6"/>
              </a:solidFill>
              <a:round/>
            </a:ln>
            <a:effectLst/>
          </c:spPr>
          <c:marker>
            <c:symbol val="none"/>
          </c:marker>
          <c:cat>
            <c:numRef>
              <c:f>'State Figures'!$A$2:$A$9</c:f>
              <c:numCache>
                <c:formatCode>General</c:formatCode>
                <c:ptCount val="8"/>
                <c:pt idx="0">
                  <c:v>2015</c:v>
                </c:pt>
                <c:pt idx="1">
                  <c:v>2016</c:v>
                </c:pt>
                <c:pt idx="2">
                  <c:v>2017</c:v>
                </c:pt>
                <c:pt idx="3">
                  <c:v>2018</c:v>
                </c:pt>
                <c:pt idx="4">
                  <c:v>2019</c:v>
                </c:pt>
                <c:pt idx="5">
                  <c:v>2020</c:v>
                </c:pt>
                <c:pt idx="6">
                  <c:v>2021</c:v>
                </c:pt>
                <c:pt idx="7">
                  <c:v>2022</c:v>
                </c:pt>
              </c:numCache>
            </c:numRef>
          </c:cat>
          <c:val>
            <c:numRef>
              <c:f>'State Figures'!$C$24:$C$31</c:f>
              <c:numCache>
                <c:formatCode>General</c:formatCode>
                <c:ptCount val="8"/>
                <c:pt idx="0">
                  <c:v>74.020822239201067</c:v>
                </c:pt>
                <c:pt idx="1">
                  <c:v>70.043408372037902</c:v>
                </c:pt>
                <c:pt idx="2">
                  <c:v>69.455261271794669</c:v>
                </c:pt>
                <c:pt idx="3">
                  <c:v>70.986754047023766</c:v>
                </c:pt>
                <c:pt idx="4">
                  <c:v>72.563172508490851</c:v>
                </c:pt>
                <c:pt idx="5">
                  <c:v>71.820013783357027</c:v>
                </c:pt>
                <c:pt idx="6">
                  <c:v>87.209704300999718</c:v>
                </c:pt>
                <c:pt idx="7">
                  <c:v>81.196724594227447</c:v>
                </c:pt>
              </c:numCache>
            </c:numRef>
          </c:val>
          <c:smooth val="0"/>
          <c:extLst>
            <c:ext xmlns:c16="http://schemas.microsoft.com/office/drawing/2014/chart" uri="{C3380CC4-5D6E-409C-BE32-E72D297353CC}">
              <c16:uniqueId val="{00000005-9EDE-AA48-A593-D7E9FFB96E82}"/>
            </c:ext>
          </c:extLst>
        </c:ser>
        <c:ser>
          <c:idx val="2"/>
          <c:order val="2"/>
          <c:tx>
            <c:strRef>
              <c:f>'State Figures'!$D$14</c:f>
              <c:strCache>
                <c:ptCount val="1"/>
                <c:pt idx="0">
                  <c:v>Georgia</c:v>
                </c:pt>
              </c:strCache>
            </c:strRef>
          </c:tx>
          <c:spPr>
            <a:ln w="28575" cap="rnd">
              <a:solidFill>
                <a:srgbClr val="2D2D29"/>
              </a:solidFill>
              <a:round/>
            </a:ln>
            <a:effectLst/>
          </c:spPr>
          <c:marker>
            <c:symbol val="none"/>
          </c:marker>
          <c:val>
            <c:numRef>
              <c:f>'State Figures'!$D$24:$D$31</c:f>
              <c:numCache>
                <c:formatCode>General</c:formatCode>
                <c:ptCount val="8"/>
                <c:pt idx="0">
                  <c:v>81.43937054428973</c:v>
                </c:pt>
                <c:pt idx="1">
                  <c:v>76.061416888420183</c:v>
                </c:pt>
                <c:pt idx="2">
                  <c:v>79.332728986454242</c:v>
                </c:pt>
                <c:pt idx="3">
                  <c:v>80.272991356709483</c:v>
                </c:pt>
                <c:pt idx="4">
                  <c:v>78.559824342688742</c:v>
                </c:pt>
                <c:pt idx="5">
                  <c:v>77.013991074595182</c:v>
                </c:pt>
                <c:pt idx="6">
                  <c:v>92.031487844408602</c:v>
                </c:pt>
                <c:pt idx="7">
                  <c:v>72.848372026099597</c:v>
                </c:pt>
              </c:numCache>
            </c:numRef>
          </c:val>
          <c:smooth val="0"/>
          <c:extLst>
            <c:ext xmlns:c16="http://schemas.microsoft.com/office/drawing/2014/chart" uri="{C3380CC4-5D6E-409C-BE32-E72D297353CC}">
              <c16:uniqueId val="{00000006-9EDE-AA48-A593-D7E9FFB96E82}"/>
            </c:ext>
          </c:extLst>
        </c:ser>
        <c:ser>
          <c:idx val="3"/>
          <c:order val="3"/>
          <c:tx>
            <c:strRef>
              <c:f>'State Figures'!$E$14</c:f>
              <c:strCache>
                <c:ptCount val="1"/>
                <c:pt idx="0">
                  <c:v>Florida</c:v>
                </c:pt>
              </c:strCache>
            </c:strRef>
          </c:tx>
          <c:spPr>
            <a:ln w="28575" cap="rnd">
              <a:solidFill>
                <a:srgbClr val="8C1515"/>
              </a:solidFill>
              <a:round/>
            </a:ln>
            <a:effectLst/>
          </c:spPr>
          <c:marker>
            <c:symbol val="none"/>
          </c:marker>
          <c:val>
            <c:numRef>
              <c:f>'State Figures'!$E$24:$E$31</c:f>
              <c:numCache>
                <c:formatCode>General</c:formatCode>
                <c:ptCount val="8"/>
                <c:pt idx="0">
                  <c:v>91.995859100474448</c:v>
                </c:pt>
                <c:pt idx="1">
                  <c:v>84.882998873759945</c:v>
                </c:pt>
                <c:pt idx="2">
                  <c:v>83.892113770305002</c:v>
                </c:pt>
                <c:pt idx="3">
                  <c:v>84.256257843020336</c:v>
                </c:pt>
                <c:pt idx="4">
                  <c:v>82.607847044517939</c:v>
                </c:pt>
                <c:pt idx="5">
                  <c:v>78.84850460914403</c:v>
                </c:pt>
                <c:pt idx="6">
                  <c:v>96.396677411097514</c:v>
                </c:pt>
                <c:pt idx="7">
                  <c:v>82.887699009928241</c:v>
                </c:pt>
              </c:numCache>
            </c:numRef>
          </c:val>
          <c:smooth val="0"/>
          <c:extLst>
            <c:ext xmlns:c16="http://schemas.microsoft.com/office/drawing/2014/chart" uri="{C3380CC4-5D6E-409C-BE32-E72D297353CC}">
              <c16:uniqueId val="{00000007-9EDE-AA48-A593-D7E9FFB96E82}"/>
            </c:ext>
          </c:extLst>
        </c:ser>
        <c:ser>
          <c:idx val="4"/>
          <c:order val="4"/>
          <c:tx>
            <c:strRef>
              <c:f>'State Figures'!$F$14</c:f>
              <c:strCache>
                <c:ptCount val="1"/>
                <c:pt idx="0">
                  <c:v>Texas</c:v>
                </c:pt>
              </c:strCache>
            </c:strRef>
          </c:tx>
          <c:spPr>
            <a:ln w="28575" cap="rnd">
              <a:solidFill>
                <a:srgbClr val="175E54"/>
              </a:solidFill>
              <a:round/>
            </a:ln>
            <a:effectLst/>
          </c:spPr>
          <c:marker>
            <c:symbol val="none"/>
          </c:marker>
          <c:val>
            <c:numRef>
              <c:f>'State Figures'!$F$24:$F$31</c:f>
              <c:numCache>
                <c:formatCode>General</c:formatCode>
                <c:ptCount val="8"/>
                <c:pt idx="0">
                  <c:v>78.431121372222847</c:v>
                </c:pt>
                <c:pt idx="1">
                  <c:v>78.003993081375327</c:v>
                </c:pt>
                <c:pt idx="2">
                  <c:v>82.170608459676103</c:v>
                </c:pt>
                <c:pt idx="3">
                  <c:v>73.740719424568894</c:v>
                </c:pt>
                <c:pt idx="4">
                  <c:v>75.241570798812603</c:v>
                </c:pt>
                <c:pt idx="5">
                  <c:v>75.54142964008021</c:v>
                </c:pt>
                <c:pt idx="6">
                  <c:v>88.794793042798872</c:v>
                </c:pt>
                <c:pt idx="7">
                  <c:v>75.624436146959283</c:v>
                </c:pt>
              </c:numCache>
            </c:numRef>
          </c:val>
          <c:smooth val="0"/>
          <c:extLst>
            <c:ext xmlns:c16="http://schemas.microsoft.com/office/drawing/2014/chart" uri="{C3380CC4-5D6E-409C-BE32-E72D297353CC}">
              <c16:uniqueId val="{00000008-9EDE-AA48-A593-D7E9FFB96E82}"/>
            </c:ext>
          </c:extLst>
        </c:ser>
        <c:ser>
          <c:idx val="5"/>
          <c:order val="5"/>
          <c:tx>
            <c:strRef>
              <c:f>'State Figures'!$G$14</c:f>
              <c:strCache>
                <c:ptCount val="1"/>
                <c:pt idx="0">
                  <c:v>Minnesota</c:v>
                </c:pt>
              </c:strCache>
            </c:strRef>
          </c:tx>
          <c:spPr>
            <a:ln w="28575" cap="rnd">
              <a:solidFill>
                <a:srgbClr val="7F7776"/>
              </a:solidFill>
              <a:round/>
            </a:ln>
            <a:effectLst/>
          </c:spPr>
          <c:marker>
            <c:symbol val="none"/>
          </c:marker>
          <c:val>
            <c:numRef>
              <c:f>'State Figures'!$G$24:$G$31</c:f>
              <c:numCache>
                <c:formatCode>General</c:formatCode>
                <c:ptCount val="8"/>
                <c:pt idx="0">
                  <c:v>76.772415072348835</c:v>
                </c:pt>
                <c:pt idx="1">
                  <c:v>44.884148942839303</c:v>
                </c:pt>
                <c:pt idx="2">
                  <c:v>51.572390852729789</c:v>
                </c:pt>
                <c:pt idx="3">
                  <c:v>78.071672113659233</c:v>
                </c:pt>
                <c:pt idx="4">
                  <c:v>78.208532579247574</c:v>
                </c:pt>
                <c:pt idx="5">
                  <c:v>75.481690750346871</c:v>
                </c:pt>
                <c:pt idx="6">
                  <c:v>86.632379760117701</c:v>
                </c:pt>
                <c:pt idx="7">
                  <c:v>76.170946661859674</c:v>
                </c:pt>
              </c:numCache>
            </c:numRef>
          </c:val>
          <c:smooth val="0"/>
          <c:extLst>
            <c:ext xmlns:c16="http://schemas.microsoft.com/office/drawing/2014/chart" uri="{C3380CC4-5D6E-409C-BE32-E72D297353CC}">
              <c16:uniqueId val="{00000009-9EDE-AA48-A593-D7E9FFB96E82}"/>
            </c:ext>
          </c:extLst>
        </c:ser>
        <c:dLbls>
          <c:showLegendKey val="0"/>
          <c:showVal val="0"/>
          <c:showCatName val="0"/>
          <c:showSerName val="0"/>
          <c:showPercent val="0"/>
          <c:showBubbleSize val="0"/>
        </c:dLbls>
        <c:smooth val="0"/>
        <c:axId val="411437567"/>
        <c:axId val="411062975"/>
      </c:lineChart>
      <c:catAx>
        <c:axId val="411437567"/>
        <c:scaling>
          <c:orientation val="minMax"/>
        </c:scaling>
        <c:delete val="0"/>
        <c:axPos val="b"/>
        <c:numFmt formatCode="General" sourceLinked="1"/>
        <c:majorTickMark val="none"/>
        <c:minorTickMark val="out"/>
        <c:tickLblPos val="nextTo"/>
        <c:spPr>
          <a:noFill/>
          <a:ln w="9525" cap="flat" cmpd="sng" algn="ctr">
            <a:solidFill>
              <a:srgbClr val="2D2D29"/>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11062975"/>
        <c:crosses val="autoZero"/>
        <c:auto val="1"/>
        <c:lblAlgn val="ctr"/>
        <c:lblOffset val="100"/>
        <c:noMultiLvlLbl val="0"/>
      </c:catAx>
      <c:valAx>
        <c:axId val="411062975"/>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rgbClr val="2D2D29"/>
            </a:solid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11437567"/>
        <c:crosses val="autoZero"/>
        <c:crossBetween val="between"/>
        <c:majorUnit val="10"/>
      </c:valAx>
      <c:spPr>
        <a:noFill/>
        <a:ln>
          <a:noFill/>
        </a:ln>
        <a:effectLst/>
      </c:spPr>
    </c:plotArea>
    <c:legend>
      <c:legendPos val="b"/>
      <c:layout>
        <c:manualLayout>
          <c:xMode val="edge"/>
          <c:yMode val="edge"/>
          <c:x val="0.14967128565337817"/>
          <c:y val="0.87833482688983366"/>
          <c:w val="0.6928586545819716"/>
          <c:h val="4.181993560456164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58552586358327E-2"/>
          <c:y val="0.11192155531697576"/>
          <c:w val="0.92770294110908302"/>
          <c:h val="0.69953058315132766"/>
        </c:manualLayout>
      </c:layout>
      <c:lineChart>
        <c:grouping val="standard"/>
        <c:varyColors val="0"/>
        <c:ser>
          <c:idx val="1"/>
          <c:order val="0"/>
          <c:tx>
            <c:strRef>
              <c:f>'State Figures'!$B$14</c:f>
              <c:strCache>
                <c:ptCount val="1"/>
                <c:pt idx="0">
                  <c:v>Massachusetts</c:v>
                </c:pt>
              </c:strCache>
            </c:strRef>
          </c:tx>
          <c:spPr>
            <a:ln w="28575" cap="rnd">
              <a:solidFill>
                <a:schemeClr val="accent1">
                  <a:lumMod val="60000"/>
                  <a:lumOff val="40000"/>
                </a:schemeClr>
              </a:solidFill>
              <a:round/>
            </a:ln>
            <a:effectLst/>
          </c:spPr>
          <c:marker>
            <c:symbol val="none"/>
          </c:marker>
          <c:cat>
            <c:numRef>
              <c:f>'State Figures'!$A$2:$A$9</c:f>
              <c:numCache>
                <c:formatCode>General</c:formatCode>
                <c:ptCount val="8"/>
                <c:pt idx="0">
                  <c:v>2015</c:v>
                </c:pt>
                <c:pt idx="1">
                  <c:v>2016</c:v>
                </c:pt>
                <c:pt idx="2">
                  <c:v>2017</c:v>
                </c:pt>
                <c:pt idx="3">
                  <c:v>2018</c:v>
                </c:pt>
                <c:pt idx="4">
                  <c:v>2019</c:v>
                </c:pt>
                <c:pt idx="5">
                  <c:v>2020</c:v>
                </c:pt>
                <c:pt idx="6">
                  <c:v>2021</c:v>
                </c:pt>
                <c:pt idx="7">
                  <c:v>2022</c:v>
                </c:pt>
              </c:numCache>
            </c:numRef>
          </c:cat>
          <c:val>
            <c:numRef>
              <c:f>'State Figures'!$J$24:$J$31</c:f>
              <c:numCache>
                <c:formatCode>General</c:formatCode>
                <c:ptCount val="8"/>
                <c:pt idx="0">
                  <c:v>37.095797390360033</c:v>
                </c:pt>
                <c:pt idx="1">
                  <c:v>32.6698743289449</c:v>
                </c:pt>
                <c:pt idx="2">
                  <c:v>35.757261899974033</c:v>
                </c:pt>
                <c:pt idx="3">
                  <c:v>37.438716205271902</c:v>
                </c:pt>
                <c:pt idx="4">
                  <c:v>35.131531827110059</c:v>
                </c:pt>
                <c:pt idx="5">
                  <c:v>31.095015340011127</c:v>
                </c:pt>
                <c:pt idx="6">
                  <c:v>40.346850943535991</c:v>
                </c:pt>
                <c:pt idx="7">
                  <c:v>40.827121795819096</c:v>
                </c:pt>
              </c:numCache>
            </c:numRef>
          </c:val>
          <c:smooth val="0"/>
          <c:extLst>
            <c:ext xmlns:c16="http://schemas.microsoft.com/office/drawing/2014/chart" uri="{C3380CC4-5D6E-409C-BE32-E72D297353CC}">
              <c16:uniqueId val="{00000000-3392-E440-A917-A4E04464BB73}"/>
            </c:ext>
          </c:extLst>
        </c:ser>
        <c:ser>
          <c:idx val="0"/>
          <c:order val="1"/>
          <c:tx>
            <c:strRef>
              <c:f>'State Figures'!$C$14</c:f>
              <c:strCache>
                <c:ptCount val="1"/>
                <c:pt idx="0">
                  <c:v>California</c:v>
                </c:pt>
              </c:strCache>
            </c:strRef>
          </c:tx>
          <c:spPr>
            <a:ln w="28575" cap="rnd">
              <a:solidFill>
                <a:schemeClr val="accent6"/>
              </a:solidFill>
              <a:round/>
            </a:ln>
            <a:effectLst/>
          </c:spPr>
          <c:marker>
            <c:symbol val="none"/>
          </c:marker>
          <c:cat>
            <c:numRef>
              <c:f>'State Figures'!$A$2:$A$9</c:f>
              <c:numCache>
                <c:formatCode>General</c:formatCode>
                <c:ptCount val="8"/>
                <c:pt idx="0">
                  <c:v>2015</c:v>
                </c:pt>
                <c:pt idx="1">
                  <c:v>2016</c:v>
                </c:pt>
                <c:pt idx="2">
                  <c:v>2017</c:v>
                </c:pt>
                <c:pt idx="3">
                  <c:v>2018</c:v>
                </c:pt>
                <c:pt idx="4">
                  <c:v>2019</c:v>
                </c:pt>
                <c:pt idx="5">
                  <c:v>2020</c:v>
                </c:pt>
                <c:pt idx="6">
                  <c:v>2021</c:v>
                </c:pt>
                <c:pt idx="7">
                  <c:v>2022</c:v>
                </c:pt>
              </c:numCache>
            </c:numRef>
          </c:cat>
          <c:val>
            <c:numRef>
              <c:f>'State Figures'!$K$24:$K$31</c:f>
              <c:numCache>
                <c:formatCode>General</c:formatCode>
                <c:ptCount val="8"/>
                <c:pt idx="0">
                  <c:v>46.732994282883787</c:v>
                </c:pt>
                <c:pt idx="1">
                  <c:v>41.024147846409129</c:v>
                </c:pt>
                <c:pt idx="2">
                  <c:v>42.040850893126205</c:v>
                </c:pt>
                <c:pt idx="3">
                  <c:v>46.67096711764674</c:v>
                </c:pt>
                <c:pt idx="4">
                  <c:v>45.309671552344881</c:v>
                </c:pt>
                <c:pt idx="5">
                  <c:v>40.626201068266155</c:v>
                </c:pt>
                <c:pt idx="6">
                  <c:v>54.253205091669379</c:v>
                </c:pt>
                <c:pt idx="7">
                  <c:v>55.411684946376091</c:v>
                </c:pt>
              </c:numCache>
            </c:numRef>
          </c:val>
          <c:smooth val="0"/>
          <c:extLst>
            <c:ext xmlns:c16="http://schemas.microsoft.com/office/drawing/2014/chart" uri="{C3380CC4-5D6E-409C-BE32-E72D297353CC}">
              <c16:uniqueId val="{00000001-3392-E440-A917-A4E04464BB73}"/>
            </c:ext>
          </c:extLst>
        </c:ser>
        <c:ser>
          <c:idx val="2"/>
          <c:order val="2"/>
          <c:tx>
            <c:strRef>
              <c:f>'State Figures'!$D$14</c:f>
              <c:strCache>
                <c:ptCount val="1"/>
                <c:pt idx="0">
                  <c:v>Georgia</c:v>
                </c:pt>
              </c:strCache>
            </c:strRef>
          </c:tx>
          <c:spPr>
            <a:ln w="28575" cap="rnd">
              <a:solidFill>
                <a:srgbClr val="2D2D29"/>
              </a:solidFill>
              <a:round/>
            </a:ln>
            <a:effectLst/>
          </c:spPr>
          <c:marker>
            <c:symbol val="none"/>
          </c:marker>
          <c:val>
            <c:numRef>
              <c:f>'State Figures'!$L$24:$L$31</c:f>
              <c:numCache>
                <c:formatCode>General</c:formatCode>
                <c:ptCount val="8"/>
                <c:pt idx="0">
                  <c:v>51.363698711729597</c:v>
                </c:pt>
                <c:pt idx="1">
                  <c:v>44.713092591454505</c:v>
                </c:pt>
                <c:pt idx="2">
                  <c:v>49.553972762213547</c:v>
                </c:pt>
                <c:pt idx="3">
                  <c:v>51.478045003691072</c:v>
                </c:pt>
                <c:pt idx="4">
                  <c:v>47.730474066697766</c:v>
                </c:pt>
                <c:pt idx="5">
                  <c:v>44.673686698699143</c:v>
                </c:pt>
                <c:pt idx="6">
                  <c:v>56.326000442993575</c:v>
                </c:pt>
                <c:pt idx="7">
                  <c:v>48.606310812576496</c:v>
                </c:pt>
              </c:numCache>
            </c:numRef>
          </c:val>
          <c:smooth val="0"/>
          <c:extLst>
            <c:ext xmlns:c16="http://schemas.microsoft.com/office/drawing/2014/chart" uri="{C3380CC4-5D6E-409C-BE32-E72D297353CC}">
              <c16:uniqueId val="{00000002-3392-E440-A917-A4E04464BB73}"/>
            </c:ext>
          </c:extLst>
        </c:ser>
        <c:ser>
          <c:idx val="3"/>
          <c:order val="3"/>
          <c:tx>
            <c:strRef>
              <c:f>'State Figures'!$E$14</c:f>
              <c:strCache>
                <c:ptCount val="1"/>
                <c:pt idx="0">
                  <c:v>Florida</c:v>
                </c:pt>
              </c:strCache>
            </c:strRef>
          </c:tx>
          <c:spPr>
            <a:ln w="28575" cap="rnd">
              <a:solidFill>
                <a:srgbClr val="8C1515"/>
              </a:solidFill>
              <a:round/>
            </a:ln>
            <a:effectLst/>
          </c:spPr>
          <c:marker>
            <c:symbol val="none"/>
          </c:marker>
          <c:val>
            <c:numRef>
              <c:f>'State Figures'!$M$24:$M$31</c:f>
              <c:numCache>
                <c:formatCode>General</c:formatCode>
                <c:ptCount val="8"/>
                <c:pt idx="0">
                  <c:v>58.245317788092798</c:v>
                </c:pt>
                <c:pt idx="1">
                  <c:v>50.220209465816737</c:v>
                </c:pt>
                <c:pt idx="2">
                  <c:v>52.241301328247317</c:v>
                </c:pt>
                <c:pt idx="3">
                  <c:v>56.088086328767439</c:v>
                </c:pt>
                <c:pt idx="4">
                  <c:v>53.010804800065316</c:v>
                </c:pt>
                <c:pt idx="5">
                  <c:v>47.968368074293281</c:v>
                </c:pt>
                <c:pt idx="6">
                  <c:v>62.776341414897871</c:v>
                </c:pt>
                <c:pt idx="7">
                  <c:v>58.59547442568266</c:v>
                </c:pt>
              </c:numCache>
            </c:numRef>
          </c:val>
          <c:smooth val="0"/>
          <c:extLst>
            <c:ext xmlns:c16="http://schemas.microsoft.com/office/drawing/2014/chart" uri="{C3380CC4-5D6E-409C-BE32-E72D297353CC}">
              <c16:uniqueId val="{00000003-3392-E440-A917-A4E04464BB73}"/>
            </c:ext>
          </c:extLst>
        </c:ser>
        <c:ser>
          <c:idx val="4"/>
          <c:order val="4"/>
          <c:tx>
            <c:strRef>
              <c:f>'State Figures'!$F$14</c:f>
              <c:strCache>
                <c:ptCount val="1"/>
                <c:pt idx="0">
                  <c:v>Texas</c:v>
                </c:pt>
              </c:strCache>
            </c:strRef>
          </c:tx>
          <c:spPr>
            <a:ln w="28575" cap="rnd">
              <a:solidFill>
                <a:srgbClr val="175E54"/>
              </a:solidFill>
              <a:round/>
            </a:ln>
            <a:effectLst/>
          </c:spPr>
          <c:marker>
            <c:symbol val="none"/>
          </c:marker>
          <c:val>
            <c:numRef>
              <c:f>'State Figures'!$N$24:$N$31</c:f>
              <c:numCache>
                <c:formatCode>General</c:formatCode>
                <c:ptCount val="8"/>
                <c:pt idx="0">
                  <c:v>48.381618570762413</c:v>
                </c:pt>
                <c:pt idx="1">
                  <c:v>45.965670015016407</c:v>
                </c:pt>
                <c:pt idx="2">
                  <c:v>50.040012177226025</c:v>
                </c:pt>
                <c:pt idx="3">
                  <c:v>45.50669699239382</c:v>
                </c:pt>
                <c:pt idx="4">
                  <c:v>45.006952171122009</c:v>
                </c:pt>
                <c:pt idx="5">
                  <c:v>43.85170722129466</c:v>
                </c:pt>
                <c:pt idx="6">
                  <c:v>53.832970547180082</c:v>
                </c:pt>
                <c:pt idx="7">
                  <c:v>50.284106280219277</c:v>
                </c:pt>
              </c:numCache>
            </c:numRef>
          </c:val>
          <c:smooth val="0"/>
          <c:extLst>
            <c:ext xmlns:c16="http://schemas.microsoft.com/office/drawing/2014/chart" uri="{C3380CC4-5D6E-409C-BE32-E72D297353CC}">
              <c16:uniqueId val="{00000004-3392-E440-A917-A4E04464BB73}"/>
            </c:ext>
          </c:extLst>
        </c:ser>
        <c:ser>
          <c:idx val="5"/>
          <c:order val="5"/>
          <c:tx>
            <c:strRef>
              <c:f>'State Figures'!$G$14</c:f>
              <c:strCache>
                <c:ptCount val="1"/>
                <c:pt idx="0">
                  <c:v>Minnesota</c:v>
                </c:pt>
              </c:strCache>
            </c:strRef>
          </c:tx>
          <c:spPr>
            <a:ln w="28575" cap="rnd">
              <a:solidFill>
                <a:srgbClr val="7F7776"/>
              </a:solidFill>
              <a:round/>
            </a:ln>
            <a:effectLst/>
          </c:spPr>
          <c:marker>
            <c:symbol val="none"/>
          </c:marker>
          <c:val>
            <c:numRef>
              <c:f>'State Figures'!$O$24:$O$31</c:f>
              <c:numCache>
                <c:formatCode>General</c:formatCode>
                <c:ptCount val="8"/>
                <c:pt idx="0">
                  <c:v>47.133705764228111</c:v>
                </c:pt>
                <c:pt idx="1">
                  <c:v>23.789947192008388</c:v>
                </c:pt>
                <c:pt idx="2">
                  <c:v>40.096537308803029</c:v>
                </c:pt>
                <c:pt idx="3">
                  <c:v>50.580388426199399</c:v>
                </c:pt>
                <c:pt idx="4">
                  <c:v>48.077807913605078</c:v>
                </c:pt>
                <c:pt idx="5">
                  <c:v>43.588279606384184</c:v>
                </c:pt>
                <c:pt idx="6">
                  <c:v>51.815926786413634</c:v>
                </c:pt>
                <c:pt idx="7">
                  <c:v>51.771157183074969</c:v>
                </c:pt>
              </c:numCache>
            </c:numRef>
          </c:val>
          <c:smooth val="0"/>
          <c:extLst>
            <c:ext xmlns:c16="http://schemas.microsoft.com/office/drawing/2014/chart" uri="{C3380CC4-5D6E-409C-BE32-E72D297353CC}">
              <c16:uniqueId val="{00000005-3392-E440-A917-A4E04464BB73}"/>
            </c:ext>
          </c:extLst>
        </c:ser>
        <c:dLbls>
          <c:showLegendKey val="0"/>
          <c:showVal val="0"/>
          <c:showCatName val="0"/>
          <c:showSerName val="0"/>
          <c:showPercent val="0"/>
          <c:showBubbleSize val="0"/>
        </c:dLbls>
        <c:smooth val="0"/>
        <c:axId val="411437567"/>
        <c:axId val="411062975"/>
      </c:lineChart>
      <c:catAx>
        <c:axId val="411437567"/>
        <c:scaling>
          <c:orientation val="minMax"/>
        </c:scaling>
        <c:delete val="0"/>
        <c:axPos val="b"/>
        <c:numFmt formatCode="General" sourceLinked="1"/>
        <c:majorTickMark val="none"/>
        <c:minorTickMark val="out"/>
        <c:tickLblPos val="nextTo"/>
        <c:spPr>
          <a:noFill/>
          <a:ln w="9525" cap="flat" cmpd="sng" algn="ctr">
            <a:solidFill>
              <a:srgbClr val="2D2D29"/>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11062975"/>
        <c:crosses val="autoZero"/>
        <c:auto val="1"/>
        <c:lblAlgn val="ctr"/>
        <c:lblOffset val="100"/>
        <c:noMultiLvlLbl val="0"/>
      </c:catAx>
      <c:valAx>
        <c:axId val="411062975"/>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rgbClr val="2D2D29"/>
            </a:solid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11437567"/>
        <c:crosses val="autoZero"/>
        <c:crossBetween val="between"/>
        <c:majorUnit val="10"/>
      </c:valAx>
      <c:spPr>
        <a:noFill/>
        <a:ln>
          <a:noFill/>
        </a:ln>
        <a:effectLst/>
      </c:spPr>
    </c:plotArea>
    <c:legend>
      <c:legendPos val="b"/>
      <c:layout>
        <c:manualLayout>
          <c:xMode val="edge"/>
          <c:yMode val="edge"/>
          <c:x val="0.14967128565337817"/>
          <c:y val="0.87833482688983366"/>
          <c:w val="0.68941450746458588"/>
          <c:h val="4.302913418394722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582083</xdr:colOff>
      <xdr:row>64</xdr:row>
      <xdr:rowOff>157337</xdr:rowOff>
    </xdr:from>
    <xdr:to>
      <xdr:col>21</xdr:col>
      <xdr:colOff>507999</xdr:colOff>
      <xdr:row>95</xdr:row>
      <xdr:rowOff>84666</xdr:rowOff>
    </xdr:to>
    <xdr:graphicFrame macro="">
      <xdr:nvGraphicFramePr>
        <xdr:cNvPr id="3" name="Chart 2">
          <a:extLst>
            <a:ext uri="{FF2B5EF4-FFF2-40B4-BE49-F238E27FC236}">
              <a16:creationId xmlns:a16="http://schemas.microsoft.com/office/drawing/2014/main" id="{08FC94BE-383E-4A24-FF9F-234A2DAA9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310445</xdr:colOff>
      <xdr:row>33</xdr:row>
      <xdr:rowOff>169333</xdr:rowOff>
    </xdr:from>
    <xdr:to>
      <xdr:col>9</xdr:col>
      <xdr:colOff>814916</xdr:colOff>
      <xdr:row>64</xdr:row>
      <xdr:rowOff>96661</xdr:rowOff>
    </xdr:to>
    <xdr:graphicFrame macro="">
      <xdr:nvGraphicFramePr>
        <xdr:cNvPr id="4" name="Chart 3">
          <a:extLst>
            <a:ext uri="{FF2B5EF4-FFF2-40B4-BE49-F238E27FC236}">
              <a16:creationId xmlns:a16="http://schemas.microsoft.com/office/drawing/2014/main" id="{F8EB2716-7A4E-4841-9937-8BBFC97A7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701321</xdr:colOff>
      <xdr:row>65</xdr:row>
      <xdr:rowOff>88900</xdr:rowOff>
    </xdr:from>
    <xdr:to>
      <xdr:col>10</xdr:col>
      <xdr:colOff>373237</xdr:colOff>
      <xdr:row>96</xdr:row>
      <xdr:rowOff>10584</xdr:rowOff>
    </xdr:to>
    <xdr:graphicFrame macro="">
      <xdr:nvGraphicFramePr>
        <xdr:cNvPr id="7" name="Chart 6">
          <a:extLst>
            <a:ext uri="{FF2B5EF4-FFF2-40B4-BE49-F238E27FC236}">
              <a16:creationId xmlns:a16="http://schemas.microsoft.com/office/drawing/2014/main" id="{DE83D06F-EC57-C04E-8173-41751E05B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0.93353</cdr:x>
      <cdr:y>0.10342</cdr:y>
    </cdr:from>
    <cdr:to>
      <cdr:x>0.9938</cdr:x>
      <cdr:y>0.15652</cdr:y>
    </cdr:to>
    <cdr:sp macro="" textlink="">
      <cdr:nvSpPr>
        <cdr:cNvPr id="2" name="TextBox 1">
          <a:extLst xmlns:a="http://schemas.openxmlformats.org/drawingml/2006/main">
            <a:ext uri="{FF2B5EF4-FFF2-40B4-BE49-F238E27FC236}">
              <a16:creationId xmlns:a16="http://schemas.microsoft.com/office/drawing/2014/main" id="{92F1DD6F-7883-D193-6447-29EC7AA46635}"/>
            </a:ext>
          </a:extLst>
        </cdr:cNvPr>
        <cdr:cNvSpPr txBox="1"/>
      </cdr:nvSpPr>
      <cdr:spPr>
        <a:xfrm xmlns:a="http://schemas.openxmlformats.org/drawingml/2006/main">
          <a:off x="8480222" y="625854"/>
          <a:ext cx="547465" cy="3213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kern="1200"/>
            <a:t>2022</a:t>
          </a:r>
        </a:p>
      </cdr:txBody>
    </cdr:sp>
  </cdr:relSizeAnchor>
  <cdr:relSizeAnchor xmlns:cdr="http://schemas.openxmlformats.org/drawingml/2006/chartDrawing">
    <cdr:from>
      <cdr:x>0.00626</cdr:x>
      <cdr:y>0.8974</cdr:y>
    </cdr:from>
    <cdr:to>
      <cdr:x>0.99499</cdr:x>
      <cdr:y>0.99745</cdr:y>
    </cdr:to>
    <cdr:sp macro="" textlink="">
      <cdr:nvSpPr>
        <cdr:cNvPr id="3" name="TextBox 2">
          <a:extLst xmlns:a="http://schemas.openxmlformats.org/drawingml/2006/main">
            <a:ext uri="{FF2B5EF4-FFF2-40B4-BE49-F238E27FC236}">
              <a16:creationId xmlns:a16="http://schemas.microsoft.com/office/drawing/2014/main" id="{86A428DE-63DA-3B7E-A46D-8AAC6C8A5E2F}"/>
            </a:ext>
          </a:extLst>
        </cdr:cNvPr>
        <cdr:cNvSpPr txBox="1"/>
      </cdr:nvSpPr>
      <cdr:spPr>
        <a:xfrm xmlns:a="http://schemas.openxmlformats.org/drawingml/2006/main">
          <a:off x="56894" y="5430663"/>
          <a:ext cx="8981619" cy="60544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Sources: GASB 67, authors' calculations.</a:t>
          </a:r>
          <a:br>
            <a:rPr lang="en-US" sz="1100" kern="1200"/>
          </a:br>
          <a:r>
            <a:rPr lang="en-US" sz="1100" kern="1200"/>
            <a:t>Note: "Reported</a:t>
          </a:r>
          <a:r>
            <a:rPr lang="en-US" sz="1100" kern="1200" baseline="0"/>
            <a:t> Funding Ratio" is the funding level based on the liability and assets figures reported in the GASB 67 reports. "Market Value Funding Ratio" adjustes investment expectations using the relevant Treasury bond yield.</a:t>
          </a:r>
          <a:endParaRPr lang="en-US" sz="1100" kern="1200"/>
        </a:p>
      </cdr:txBody>
    </cdr:sp>
  </cdr:relSizeAnchor>
  <cdr:relSizeAnchor xmlns:cdr="http://schemas.openxmlformats.org/drawingml/2006/chartDrawing">
    <cdr:from>
      <cdr:x>0.00272</cdr:x>
      <cdr:y>0</cdr:y>
    </cdr:from>
    <cdr:to>
      <cdr:x>0.99379</cdr:x>
      <cdr:y>0.12359</cdr:y>
    </cdr:to>
    <cdr:sp macro="" textlink="">
      <cdr:nvSpPr>
        <cdr:cNvPr id="4" name="TextBox 3">
          <a:extLst xmlns:a="http://schemas.openxmlformats.org/drawingml/2006/main">
            <a:ext uri="{FF2B5EF4-FFF2-40B4-BE49-F238E27FC236}">
              <a16:creationId xmlns:a16="http://schemas.microsoft.com/office/drawing/2014/main" id="{BF7409BF-4071-0ACF-97BD-293F85A89879}"/>
            </a:ext>
          </a:extLst>
        </cdr:cNvPr>
        <cdr:cNvSpPr txBox="1"/>
      </cdr:nvSpPr>
      <cdr:spPr>
        <a:xfrm xmlns:a="http://schemas.openxmlformats.org/drawingml/2006/main">
          <a:off x="24695" y="-16226"/>
          <a:ext cx="9002889" cy="7478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200" b="1" kern="1200"/>
            <a:t>Figure 7.</a:t>
          </a:r>
          <a:r>
            <a:rPr lang="en-US" sz="2200" b="1" kern="1200" baseline="0"/>
            <a:t> 6-State Funding Ratios, 2015-2022</a:t>
          </a:r>
          <a:endParaRPr lang="en-US" sz="2200" b="1" kern="1200"/>
        </a:p>
      </cdr:txBody>
    </cdr:sp>
  </cdr:relSizeAnchor>
  <cdr:relSizeAnchor xmlns:cdr="http://schemas.openxmlformats.org/drawingml/2006/chartDrawing">
    <cdr:from>
      <cdr:x>0.01049</cdr:x>
      <cdr:y>0.05561</cdr:y>
    </cdr:from>
    <cdr:to>
      <cdr:x>0.21864</cdr:x>
      <cdr:y>0.10458</cdr:y>
    </cdr:to>
    <cdr:sp macro="" textlink="">
      <cdr:nvSpPr>
        <cdr:cNvPr id="5" name="TextBox 4">
          <a:extLst xmlns:a="http://schemas.openxmlformats.org/drawingml/2006/main">
            <a:ext uri="{FF2B5EF4-FFF2-40B4-BE49-F238E27FC236}">
              <a16:creationId xmlns:a16="http://schemas.microsoft.com/office/drawing/2014/main" id="{F1E76B4C-472D-7251-9F11-B37EE305E2E7}"/>
            </a:ext>
          </a:extLst>
        </cdr:cNvPr>
        <cdr:cNvSpPr txBox="1"/>
      </cdr:nvSpPr>
      <cdr:spPr>
        <a:xfrm xmlns:a="http://schemas.openxmlformats.org/drawingml/2006/main">
          <a:off x="95250" y="336552"/>
          <a:ext cx="1890889" cy="296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i="1" kern="1200"/>
            <a:t>Percent (%)</a:t>
          </a:r>
        </a:p>
      </cdr:txBody>
    </cdr:sp>
  </cdr:relSizeAnchor>
</c:userShapes>
</file>

<file path=xl/drawings/drawing3.xml><?xml version="1.0" encoding="utf-8"?>
<c:userShapes xmlns:c="http://schemas.openxmlformats.org/drawingml/2006/chart">
  <cdr:relSizeAnchor xmlns:cdr="http://schemas.openxmlformats.org/drawingml/2006/chartDrawing">
    <cdr:from>
      <cdr:x>0.93353</cdr:x>
      <cdr:y>0.10342</cdr:y>
    </cdr:from>
    <cdr:to>
      <cdr:x>0.9938</cdr:x>
      <cdr:y>0.15652</cdr:y>
    </cdr:to>
    <cdr:sp macro="" textlink="">
      <cdr:nvSpPr>
        <cdr:cNvPr id="2" name="TextBox 1">
          <a:extLst xmlns:a="http://schemas.openxmlformats.org/drawingml/2006/main">
            <a:ext uri="{FF2B5EF4-FFF2-40B4-BE49-F238E27FC236}">
              <a16:creationId xmlns:a16="http://schemas.microsoft.com/office/drawing/2014/main" id="{92F1DD6F-7883-D193-6447-29EC7AA46635}"/>
            </a:ext>
          </a:extLst>
        </cdr:cNvPr>
        <cdr:cNvSpPr txBox="1"/>
      </cdr:nvSpPr>
      <cdr:spPr>
        <a:xfrm xmlns:a="http://schemas.openxmlformats.org/drawingml/2006/main">
          <a:off x="8480222" y="625854"/>
          <a:ext cx="547465" cy="3213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kern="1200"/>
            <a:t>2022</a:t>
          </a:r>
        </a:p>
      </cdr:txBody>
    </cdr:sp>
  </cdr:relSizeAnchor>
  <cdr:relSizeAnchor xmlns:cdr="http://schemas.openxmlformats.org/drawingml/2006/chartDrawing">
    <cdr:from>
      <cdr:x>0.00626</cdr:x>
      <cdr:y>0.92107</cdr:y>
    </cdr:from>
    <cdr:to>
      <cdr:x>0.99499</cdr:x>
      <cdr:y>0.99745</cdr:y>
    </cdr:to>
    <cdr:sp macro="" textlink="">
      <cdr:nvSpPr>
        <cdr:cNvPr id="3" name="TextBox 2">
          <a:extLst xmlns:a="http://schemas.openxmlformats.org/drawingml/2006/main">
            <a:ext uri="{FF2B5EF4-FFF2-40B4-BE49-F238E27FC236}">
              <a16:creationId xmlns:a16="http://schemas.microsoft.com/office/drawing/2014/main" id="{86A428DE-63DA-3B7E-A46D-8AAC6C8A5E2F}"/>
            </a:ext>
          </a:extLst>
        </cdr:cNvPr>
        <cdr:cNvSpPr txBox="1"/>
      </cdr:nvSpPr>
      <cdr:spPr>
        <a:xfrm xmlns:a="http://schemas.openxmlformats.org/drawingml/2006/main">
          <a:off x="56866" y="5573888"/>
          <a:ext cx="8981650" cy="4622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Sources: GASB 67, authors' calculations.</a:t>
          </a:r>
          <a:br>
            <a:rPr lang="en-US" sz="1100" kern="1200"/>
          </a:br>
          <a:r>
            <a:rPr lang="en-US" sz="1100" kern="1200"/>
            <a:t>Note: "Reported</a:t>
          </a:r>
          <a:r>
            <a:rPr lang="en-US" sz="1100" kern="1200" baseline="0"/>
            <a:t> Funding Ratio" is the funding level based on the liability and assets figures reported in the GASB 67 reports. </a:t>
          </a:r>
          <a:endParaRPr lang="en-US" sz="1100" kern="1200"/>
        </a:p>
      </cdr:txBody>
    </cdr:sp>
  </cdr:relSizeAnchor>
  <cdr:relSizeAnchor xmlns:cdr="http://schemas.openxmlformats.org/drawingml/2006/chartDrawing">
    <cdr:from>
      <cdr:x>0.00272</cdr:x>
      <cdr:y>0</cdr:y>
    </cdr:from>
    <cdr:to>
      <cdr:x>0.99379</cdr:x>
      <cdr:y>0.12359</cdr:y>
    </cdr:to>
    <cdr:sp macro="" textlink="">
      <cdr:nvSpPr>
        <cdr:cNvPr id="4" name="TextBox 3">
          <a:extLst xmlns:a="http://schemas.openxmlformats.org/drawingml/2006/main">
            <a:ext uri="{FF2B5EF4-FFF2-40B4-BE49-F238E27FC236}">
              <a16:creationId xmlns:a16="http://schemas.microsoft.com/office/drawing/2014/main" id="{BF7409BF-4071-0ACF-97BD-293F85A89879}"/>
            </a:ext>
          </a:extLst>
        </cdr:cNvPr>
        <cdr:cNvSpPr txBox="1"/>
      </cdr:nvSpPr>
      <cdr:spPr>
        <a:xfrm xmlns:a="http://schemas.openxmlformats.org/drawingml/2006/main">
          <a:off x="24695" y="-16226"/>
          <a:ext cx="9002889" cy="7478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200" b="1" kern="1200"/>
            <a:t>Figure 7.</a:t>
          </a:r>
          <a:r>
            <a:rPr lang="en-US" sz="2200" b="1" kern="1200" baseline="0"/>
            <a:t> State-by-State Reported Funding Ratios, 2015-2022</a:t>
          </a:r>
          <a:endParaRPr lang="en-US" sz="2200" b="1" kern="1200"/>
        </a:p>
      </cdr:txBody>
    </cdr:sp>
  </cdr:relSizeAnchor>
  <cdr:relSizeAnchor xmlns:cdr="http://schemas.openxmlformats.org/drawingml/2006/chartDrawing">
    <cdr:from>
      <cdr:x>0.01049</cdr:x>
      <cdr:y>0.05561</cdr:y>
    </cdr:from>
    <cdr:to>
      <cdr:x>0.21864</cdr:x>
      <cdr:y>0.10458</cdr:y>
    </cdr:to>
    <cdr:sp macro="" textlink="">
      <cdr:nvSpPr>
        <cdr:cNvPr id="5" name="TextBox 4">
          <a:extLst xmlns:a="http://schemas.openxmlformats.org/drawingml/2006/main">
            <a:ext uri="{FF2B5EF4-FFF2-40B4-BE49-F238E27FC236}">
              <a16:creationId xmlns:a16="http://schemas.microsoft.com/office/drawing/2014/main" id="{F1E76B4C-472D-7251-9F11-B37EE305E2E7}"/>
            </a:ext>
          </a:extLst>
        </cdr:cNvPr>
        <cdr:cNvSpPr txBox="1"/>
      </cdr:nvSpPr>
      <cdr:spPr>
        <a:xfrm xmlns:a="http://schemas.openxmlformats.org/drawingml/2006/main">
          <a:off x="95250" y="336552"/>
          <a:ext cx="1890889" cy="296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i="1" kern="1200"/>
            <a:t>Percent (%)</a:t>
          </a:r>
        </a:p>
      </cdr:txBody>
    </cdr:sp>
  </cdr:relSizeAnchor>
</c:userShapes>
</file>

<file path=xl/drawings/drawing4.xml><?xml version="1.0" encoding="utf-8"?>
<c:userShapes xmlns:c="http://schemas.openxmlformats.org/drawingml/2006/chart">
  <cdr:relSizeAnchor xmlns:cdr="http://schemas.openxmlformats.org/drawingml/2006/chartDrawing">
    <cdr:from>
      <cdr:x>0.93353</cdr:x>
      <cdr:y>0.10342</cdr:y>
    </cdr:from>
    <cdr:to>
      <cdr:x>0.9938</cdr:x>
      <cdr:y>0.15652</cdr:y>
    </cdr:to>
    <cdr:sp macro="" textlink="">
      <cdr:nvSpPr>
        <cdr:cNvPr id="2" name="TextBox 1">
          <a:extLst xmlns:a="http://schemas.openxmlformats.org/drawingml/2006/main">
            <a:ext uri="{FF2B5EF4-FFF2-40B4-BE49-F238E27FC236}">
              <a16:creationId xmlns:a16="http://schemas.microsoft.com/office/drawing/2014/main" id="{92F1DD6F-7883-D193-6447-29EC7AA46635}"/>
            </a:ext>
          </a:extLst>
        </cdr:cNvPr>
        <cdr:cNvSpPr txBox="1"/>
      </cdr:nvSpPr>
      <cdr:spPr>
        <a:xfrm xmlns:a="http://schemas.openxmlformats.org/drawingml/2006/main">
          <a:off x="8480222" y="625854"/>
          <a:ext cx="547465" cy="3213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kern="1200"/>
            <a:t>2022</a:t>
          </a:r>
        </a:p>
      </cdr:txBody>
    </cdr:sp>
  </cdr:relSizeAnchor>
  <cdr:relSizeAnchor xmlns:cdr="http://schemas.openxmlformats.org/drawingml/2006/chartDrawing">
    <cdr:from>
      <cdr:x>0.00626</cdr:x>
      <cdr:y>0.92107</cdr:y>
    </cdr:from>
    <cdr:to>
      <cdr:x>0.99499</cdr:x>
      <cdr:y>0.99745</cdr:y>
    </cdr:to>
    <cdr:sp macro="" textlink="">
      <cdr:nvSpPr>
        <cdr:cNvPr id="3" name="TextBox 2">
          <a:extLst xmlns:a="http://schemas.openxmlformats.org/drawingml/2006/main">
            <a:ext uri="{FF2B5EF4-FFF2-40B4-BE49-F238E27FC236}">
              <a16:creationId xmlns:a16="http://schemas.microsoft.com/office/drawing/2014/main" id="{86A428DE-63DA-3B7E-A46D-8AAC6C8A5E2F}"/>
            </a:ext>
          </a:extLst>
        </cdr:cNvPr>
        <cdr:cNvSpPr txBox="1"/>
      </cdr:nvSpPr>
      <cdr:spPr>
        <a:xfrm xmlns:a="http://schemas.openxmlformats.org/drawingml/2006/main">
          <a:off x="56866" y="5573888"/>
          <a:ext cx="8981650" cy="4622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Sources: GASB 67, authors' calculations.</a:t>
          </a:r>
          <a:br>
            <a:rPr lang="en-US" sz="1100" kern="1200"/>
          </a:br>
          <a:r>
            <a:rPr lang="en-US" sz="1100" kern="1200"/>
            <a:t>Note: </a:t>
          </a:r>
          <a:r>
            <a:rPr lang="en-US" sz="1100" kern="1200" baseline="0"/>
            <a:t>"Market Value Funding Ratio" adjustes investment expectations using the relevant Treasury bond yield.</a:t>
          </a:r>
          <a:endParaRPr lang="en-US" sz="1100" kern="1200"/>
        </a:p>
      </cdr:txBody>
    </cdr:sp>
  </cdr:relSizeAnchor>
  <cdr:relSizeAnchor xmlns:cdr="http://schemas.openxmlformats.org/drawingml/2006/chartDrawing">
    <cdr:from>
      <cdr:x>0.00272</cdr:x>
      <cdr:y>0</cdr:y>
    </cdr:from>
    <cdr:to>
      <cdr:x>0.99379</cdr:x>
      <cdr:y>0.12359</cdr:y>
    </cdr:to>
    <cdr:sp macro="" textlink="">
      <cdr:nvSpPr>
        <cdr:cNvPr id="4" name="TextBox 3">
          <a:extLst xmlns:a="http://schemas.openxmlformats.org/drawingml/2006/main">
            <a:ext uri="{FF2B5EF4-FFF2-40B4-BE49-F238E27FC236}">
              <a16:creationId xmlns:a16="http://schemas.microsoft.com/office/drawing/2014/main" id="{BF7409BF-4071-0ACF-97BD-293F85A89879}"/>
            </a:ext>
          </a:extLst>
        </cdr:cNvPr>
        <cdr:cNvSpPr txBox="1"/>
      </cdr:nvSpPr>
      <cdr:spPr>
        <a:xfrm xmlns:a="http://schemas.openxmlformats.org/drawingml/2006/main">
          <a:off x="24695" y="-16226"/>
          <a:ext cx="9002889" cy="7478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200" b="1" kern="1200"/>
            <a:t>Figure 8.</a:t>
          </a:r>
          <a:r>
            <a:rPr lang="en-US" sz="2200" b="1" kern="1200" baseline="0"/>
            <a:t> State-by-State Market Value Funding Ratio, 2015-2022</a:t>
          </a:r>
          <a:endParaRPr lang="en-US" sz="2200" b="1" kern="1200"/>
        </a:p>
      </cdr:txBody>
    </cdr:sp>
  </cdr:relSizeAnchor>
  <cdr:relSizeAnchor xmlns:cdr="http://schemas.openxmlformats.org/drawingml/2006/chartDrawing">
    <cdr:from>
      <cdr:x>0.01049</cdr:x>
      <cdr:y>0.05561</cdr:y>
    </cdr:from>
    <cdr:to>
      <cdr:x>0.21864</cdr:x>
      <cdr:y>0.10458</cdr:y>
    </cdr:to>
    <cdr:sp macro="" textlink="">
      <cdr:nvSpPr>
        <cdr:cNvPr id="5" name="TextBox 4">
          <a:extLst xmlns:a="http://schemas.openxmlformats.org/drawingml/2006/main">
            <a:ext uri="{FF2B5EF4-FFF2-40B4-BE49-F238E27FC236}">
              <a16:creationId xmlns:a16="http://schemas.microsoft.com/office/drawing/2014/main" id="{F1E76B4C-472D-7251-9F11-B37EE305E2E7}"/>
            </a:ext>
          </a:extLst>
        </cdr:cNvPr>
        <cdr:cNvSpPr txBox="1"/>
      </cdr:nvSpPr>
      <cdr:spPr>
        <a:xfrm xmlns:a="http://schemas.openxmlformats.org/drawingml/2006/main">
          <a:off x="95250" y="336552"/>
          <a:ext cx="1890889" cy="296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i="1" kern="1200"/>
            <a:t>Percent (%)</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722B-93F3-5040-8E79-F48449966781}">
  <sheetPr filterMode="1">
    <tabColor rgb="FFFFFF00"/>
  </sheetPr>
  <dimension ref="A1:CJ490"/>
  <sheetViews>
    <sheetView workbookViewId="0">
      <pane xSplit="7" ySplit="1" topLeftCell="BZ458" activePane="bottomRight" state="frozen"/>
      <selection pane="topRight" activeCell="H1" sqref="H1"/>
      <selection pane="bottomLeft" activeCell="A2" sqref="A2"/>
      <selection pane="bottomRight" activeCell="CC467" sqref="CC467:CF490"/>
    </sheetView>
  </sheetViews>
  <sheetFormatPr baseColWidth="10" defaultRowHeight="16" x14ac:dyDescent="0.2"/>
  <cols>
    <col min="6" max="6" width="21.83203125" customWidth="1"/>
    <col min="7" max="7" width="38" bestFit="1" customWidth="1"/>
    <col min="19" max="19" width="14" bestFit="1" customWidth="1"/>
    <col min="28" max="29" width="14" bestFit="1" customWidth="1"/>
    <col min="30" max="31" width="13.6640625" bestFit="1" customWidth="1"/>
    <col min="32" max="32" width="13.83203125" bestFit="1" customWidth="1"/>
    <col min="33" max="33" width="13.1640625" bestFit="1" customWidth="1"/>
    <col min="37" max="37" width="24.1640625" bestFit="1" customWidth="1"/>
    <col min="38" max="38" width="24.5" bestFit="1" customWidth="1"/>
    <col min="39" max="39" width="20.6640625" bestFit="1" customWidth="1"/>
    <col min="40" max="40" width="30.33203125" bestFit="1" customWidth="1"/>
    <col min="42" max="42" width="17.5" bestFit="1" customWidth="1"/>
    <col min="45" max="45" width="11.1640625" bestFit="1" customWidth="1"/>
    <col min="54" max="54" width="18" bestFit="1" customWidth="1"/>
    <col min="56" max="56" width="12.1640625" bestFit="1" customWidth="1"/>
    <col min="62" max="62" width="15.83203125" bestFit="1" customWidth="1"/>
    <col min="63" max="65" width="15.83203125" customWidth="1"/>
    <col min="66" max="66" width="15.1640625" customWidth="1"/>
    <col min="67" max="67" width="3.33203125" customWidth="1"/>
    <col min="68" max="68" width="12.6640625" bestFit="1" customWidth="1"/>
    <col min="69" max="69" width="10.83203125" customWidth="1"/>
    <col min="70" max="70" width="13" bestFit="1" customWidth="1"/>
    <col min="74" max="74" width="12.6640625" bestFit="1" customWidth="1"/>
    <col min="75" max="76" width="14" bestFit="1" customWidth="1"/>
    <col min="77" max="77" width="14.33203125" bestFit="1" customWidth="1"/>
    <col min="78" max="79" width="14.33203125" customWidth="1"/>
    <col min="80" max="80" width="3.5" customWidth="1"/>
    <col min="81" max="81" width="15" bestFit="1" customWidth="1"/>
    <col min="82" max="87" width="14.33203125" customWidth="1"/>
    <col min="88" max="88" width="13" bestFit="1" customWidth="1"/>
  </cols>
  <sheetData>
    <row r="1" spans="1:8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BB1" t="s">
        <v>123</v>
      </c>
      <c r="BD1" s="14" t="s">
        <v>124</v>
      </c>
      <c r="BE1" s="14"/>
      <c r="BF1" t="s">
        <v>125</v>
      </c>
      <c r="BG1" t="s">
        <v>126</v>
      </c>
      <c r="BH1" t="s">
        <v>127</v>
      </c>
      <c r="BI1" t="s">
        <v>128</v>
      </c>
      <c r="BJ1" t="s">
        <v>129</v>
      </c>
      <c r="BK1" t="s">
        <v>136</v>
      </c>
      <c r="BL1" t="s">
        <v>145</v>
      </c>
      <c r="BM1" t="s">
        <v>137</v>
      </c>
      <c r="BN1" t="s">
        <v>138</v>
      </c>
      <c r="BP1" t="s">
        <v>135</v>
      </c>
      <c r="BQ1" t="s">
        <v>141</v>
      </c>
      <c r="BR1" t="s">
        <v>139</v>
      </c>
      <c r="BS1" t="s">
        <v>140</v>
      </c>
      <c r="BU1" t="s">
        <v>142</v>
      </c>
      <c r="BV1" t="s">
        <v>144</v>
      </c>
      <c r="BW1" t="s">
        <v>143</v>
      </c>
      <c r="BX1" t="s">
        <v>146</v>
      </c>
      <c r="BY1" t="s">
        <v>159</v>
      </c>
      <c r="BZ1" t="s">
        <v>160</v>
      </c>
      <c r="CA1" t="s">
        <v>161</v>
      </c>
      <c r="CC1" t="s">
        <v>162</v>
      </c>
      <c r="CE1" t="s">
        <v>163</v>
      </c>
      <c r="CF1" t="s">
        <v>164</v>
      </c>
    </row>
    <row r="2" spans="1:88" x14ac:dyDescent="0.2">
      <c r="A2">
        <v>5000000015801</v>
      </c>
      <c r="B2">
        <v>2015</v>
      </c>
      <c r="C2">
        <v>39</v>
      </c>
      <c r="D2" t="s">
        <v>48</v>
      </c>
      <c r="E2">
        <v>6</v>
      </c>
      <c r="F2" t="s">
        <v>49</v>
      </c>
      <c r="G2" t="s">
        <v>50</v>
      </c>
      <c r="H2" t="s">
        <v>51</v>
      </c>
      <c r="I2" t="b">
        <v>1</v>
      </c>
      <c r="J2">
        <v>5556000</v>
      </c>
      <c r="K2">
        <v>18556000</v>
      </c>
      <c r="M2">
        <v>-1312000</v>
      </c>
      <c r="O2">
        <v>12565000</v>
      </c>
      <c r="Q2">
        <v>10235000</v>
      </c>
      <c r="R2">
        <v>248911000</v>
      </c>
      <c r="S2">
        <v>259146000</v>
      </c>
      <c r="T2">
        <v>2678000</v>
      </c>
      <c r="U2">
        <v>1426000</v>
      </c>
      <c r="V2">
        <v>2510000</v>
      </c>
      <c r="W2">
        <v>7612000</v>
      </c>
      <c r="Y2">
        <v>145000</v>
      </c>
      <c r="Z2">
        <v>10000</v>
      </c>
      <c r="AA2">
        <v>1510000</v>
      </c>
      <c r="AB2">
        <v>190312000</v>
      </c>
      <c r="AC2">
        <v>191822000</v>
      </c>
      <c r="AD2">
        <v>67324000</v>
      </c>
      <c r="AE2">
        <v>58599000</v>
      </c>
      <c r="AF2">
        <v>8725000</v>
      </c>
      <c r="AG2">
        <v>32026000</v>
      </c>
      <c r="AH2">
        <v>8.3619559108224564E-2</v>
      </c>
      <c r="AI2" t="b">
        <v>1</v>
      </c>
      <c r="AJ2">
        <f>AA2-Q2+AF2</f>
        <v>0</v>
      </c>
      <c r="AK2">
        <v>7.5999999999999998E-2</v>
      </c>
      <c r="AL2">
        <v>7.5999999999999998E-2</v>
      </c>
      <c r="AM2">
        <v>7.5999999999999998E-2</v>
      </c>
      <c r="AN2">
        <v>7.4999999999999997E-2</v>
      </c>
      <c r="AO2">
        <v>1</v>
      </c>
      <c r="AP2">
        <v>0</v>
      </c>
      <c r="AS2">
        <v>101654000</v>
      </c>
      <c r="AT2">
        <v>38793000</v>
      </c>
      <c r="AU2" t="s">
        <v>52</v>
      </c>
      <c r="AV2" t="s">
        <v>53</v>
      </c>
      <c r="BB2">
        <f>AC2/S2</f>
        <v>0.74020822239201067</v>
      </c>
      <c r="BD2">
        <f>AS2-AD2</f>
        <v>34330000</v>
      </c>
      <c r="BE2">
        <f>AT2-AD2</f>
        <v>-28531000</v>
      </c>
      <c r="BF2">
        <f>BD2/S2*100</f>
        <v>13.247358631813727</v>
      </c>
      <c r="BG2">
        <f>BE2/S2*100</f>
        <v>-11.009623918563282</v>
      </c>
      <c r="BH2">
        <f>(BD2-BE2)/(2*S2)*100</f>
        <v>12.128491275188503</v>
      </c>
      <c r="BI2">
        <f>(BD2+BE2)/(2*S2*(0.01^2))</f>
        <v>111.88673566252227</v>
      </c>
      <c r="BJ2">
        <f>ROUND(BH2,0)</f>
        <v>12</v>
      </c>
      <c r="BK2">
        <f>IF($BJ2&lt;=30,IF($B2=2015,VLOOKUP($BJ2,'Treasury Yields'!$C$5:$N$34,$E2,FALSE)/100,IF($B2=2016,VLOOKUP($BJ2,'Treasury Yields'!$C$40:$N$69,$E2,FALSE)/100,IF($B2=2017,VLOOKUP($BJ2,'Treasury Yields'!$C$75:$N$104,$E2,FALSE)/100,IF($B2=2018,VLOOKUP($BJ2,'Treasury Yields'!$C$110:$N$139,$E2,FALSE)/100,IF($B2=2019,VLOOKUP($BJ2,'Treasury Yields'!$C$145:$N$174,$E2,FALSE)/100,IF($B2=2020,VLOOKUP($BJ2,'Treasury Yields'!$C$180:$N$209,$E2,FALSE)/100,IF($B2=2021,VLOOKUP($BJ2,'Treasury Yields'!$C$215:$N$244,$E2,FALSE)/100,IF($B2=2022,VLOOKUP($BJ2,'Treasury Yields'!$C$250:$N$279,$E2,FALSE)/100)))))))),0)</f>
        <v>2.9186E-2</v>
      </c>
      <c r="BL2">
        <f>1+BH2*(AL2-BK2)+(AL2-BK2)^2</f>
        <v>1.5699747411526745</v>
      </c>
      <c r="BM2">
        <f>BL2*R2</f>
        <v>390783982.79505336</v>
      </c>
      <c r="BN2">
        <f>BM2-AB2</f>
        <v>200471982.79505336</v>
      </c>
      <c r="BP2">
        <f>IF($BJ2&lt;=30,IF($B2=2015,VLOOKUP($BJ2,'Treasury Yields'!$C$40:$N$69,$E2,FALSE)/100,IF($B2=2016,VLOOKUP($BJ2,'Treasury Yields'!$C$75:$N$104,$E2,FALSE)/100,IF($B2=2017,VLOOKUP($BJ2,'Treasury Yields'!$C$110:$N$139,$E2,FALSE)/100,IF($B2=2018,VLOOKUP($BJ2,'Treasury Yields'!$C$145:$N$174,$E2,FALSE)/100,IF($B2=2019,VLOOKUP($BJ2,'Treasury Yields'!$C$180:$N$209,$E2,FALSE)/100,IF($B2=2020,VLOOKUP($BJ2,'Treasury Yields'!$C$215:$N$244,$E2,FALSE)/100,IF($B2=2021,VLOOKUP($BJ2,'Treasury Yields'!$C$250:$N$279,$E2,FALSE)/100,IF($B2=2022,VLOOKUP($BJ2,'Treasury Yields'!$C$285:$N$314,$E2,FALSE)/100)))))))),0)</f>
        <v>2.7045999999999997E-2</v>
      </c>
      <c r="BQ2">
        <f>1+BH2*(AN2-BP2)+(AN2-BP2)^2</f>
        <v>1.5839092567263895</v>
      </c>
      <c r="BR2">
        <f>BQ2*S2</f>
        <v>410463748.24361694</v>
      </c>
      <c r="BS2">
        <f>BR2-AC2</f>
        <v>218641748.24361694</v>
      </c>
      <c r="BT2">
        <v>3</v>
      </c>
      <c r="BU2">
        <f>IF(BJ2="","",ROUND(BJ2+$BT$2,0))</f>
        <v>15</v>
      </c>
      <c r="BV2">
        <f>1+(BH2+BU2)*(AN2-BK2)+(AN2-BK2)^2*BI2</f>
        <v>2.4777062969562329</v>
      </c>
      <c r="BW2" s="6">
        <f>BV2*J2</f>
        <v>13766136.185888831</v>
      </c>
      <c r="BX2" s="5">
        <f>(BM2+BW2-O2)*BK2</f>
        <v>11440477.68257778</v>
      </c>
      <c r="BY2" s="5">
        <f>BK2*(BN2+BW2-O2)</f>
        <v>5886031.6505777789</v>
      </c>
      <c r="BZ2" s="5">
        <f>SUM(J2:K2)</f>
        <v>24112000</v>
      </c>
      <c r="CA2" s="5">
        <f>SUM(BW2+BY2)</f>
        <v>19652167.83646661</v>
      </c>
      <c r="CB2" s="5"/>
      <c r="CC2" s="5">
        <f>BR2</f>
        <v>410463748.24361694</v>
      </c>
      <c r="CD2" s="5" t="str">
        <f t="shared" ref="CD2:CD57" si="0">F2</f>
        <v>California</v>
      </c>
      <c r="CE2" s="5">
        <f t="shared" ref="CE2:CE65" si="1">BB2</f>
        <v>0.74020822239201067</v>
      </c>
      <c r="CF2" s="5">
        <f>AC2/CC2</f>
        <v>0.46732994282883789</v>
      </c>
      <c r="CG2" s="5"/>
      <c r="CH2" s="5"/>
      <c r="CI2" s="5"/>
      <c r="CJ2" s="7"/>
    </row>
    <row r="3" spans="1:88" x14ac:dyDescent="0.2">
      <c r="A3">
        <v>5000000015801</v>
      </c>
      <c r="B3">
        <v>2016</v>
      </c>
      <c r="C3">
        <v>39</v>
      </c>
      <c r="D3" t="s">
        <v>48</v>
      </c>
      <c r="E3">
        <v>6</v>
      </c>
      <c r="F3" t="s">
        <v>49</v>
      </c>
      <c r="G3" t="s">
        <v>50</v>
      </c>
      <c r="H3" t="s">
        <v>51</v>
      </c>
      <c r="I3" t="b">
        <v>1</v>
      </c>
      <c r="J3">
        <v>5874000</v>
      </c>
      <c r="K3">
        <v>19332000</v>
      </c>
      <c r="M3">
        <v>-1209000</v>
      </c>
      <c r="O3">
        <v>13149000</v>
      </c>
      <c r="Q3">
        <v>10848000</v>
      </c>
      <c r="R3">
        <v>259146000</v>
      </c>
      <c r="S3">
        <v>269994000</v>
      </c>
      <c r="T3">
        <v>3391000</v>
      </c>
      <c r="U3">
        <v>1940000</v>
      </c>
      <c r="V3">
        <v>2957000</v>
      </c>
      <c r="W3">
        <v>2305000</v>
      </c>
      <c r="Y3">
        <v>1800000</v>
      </c>
      <c r="Z3">
        <v>15000</v>
      </c>
      <c r="AA3">
        <v>-2709000</v>
      </c>
      <c r="AB3">
        <v>191822000</v>
      </c>
      <c r="AC3">
        <v>189113000</v>
      </c>
      <c r="AD3">
        <v>80881000</v>
      </c>
      <c r="AE3">
        <v>67324000</v>
      </c>
      <c r="AF3">
        <v>13557000</v>
      </c>
      <c r="AG3">
        <v>31910000</v>
      </c>
      <c r="AH3">
        <v>0.10626762770291445</v>
      </c>
      <c r="AI3" t="b">
        <v>1</v>
      </c>
      <c r="AK3">
        <v>7.5999999999999998E-2</v>
      </c>
      <c r="AL3">
        <v>7.5999999999999998E-2</v>
      </c>
      <c r="AM3">
        <v>7.5999999999999998E-2</v>
      </c>
      <c r="AN3">
        <v>7.5999999999999998E-2</v>
      </c>
      <c r="AO3">
        <v>1</v>
      </c>
      <c r="AP3">
        <v>0</v>
      </c>
      <c r="AS3">
        <v>116406000</v>
      </c>
      <c r="AT3">
        <v>51376000</v>
      </c>
      <c r="AU3" t="s">
        <v>54</v>
      </c>
      <c r="AV3" t="s">
        <v>55</v>
      </c>
      <c r="BB3">
        <f t="shared" ref="BB3:BB56" si="2">AC3/S3</f>
        <v>0.70043408372037896</v>
      </c>
      <c r="BD3">
        <f t="shared" ref="BD3:BD57" si="3">AS3-AD3</f>
        <v>35525000</v>
      </c>
      <c r="BE3">
        <f t="shared" ref="BE3:BE49" si="4">AT3-AD3</f>
        <v>-29505000</v>
      </c>
      <c r="BF3">
        <f t="shared" ref="BF3:BF49" si="5">BD3/S3*100</f>
        <v>13.157699800736314</v>
      </c>
      <c r="BG3">
        <f t="shared" ref="BG3:BG49" si="6">BE3/S3*100</f>
        <v>-10.928020622680505</v>
      </c>
      <c r="BH3">
        <f t="shared" ref="BH3:BH49" si="7">(BD3-BE3)/(2*S3)*100</f>
        <v>12.042860211708408</v>
      </c>
      <c r="BI3">
        <f t="shared" ref="BI3:BI49" si="8">(BD3+BE3)/(2*S3*(0.01^2))</f>
        <v>111.48395890279042</v>
      </c>
      <c r="BJ3">
        <f t="shared" ref="BJ3:BJ49" si="9">ROUND(BH3,0)</f>
        <v>12</v>
      </c>
      <c r="BK3">
        <f>IF($BJ3&lt;=30,IF($B3=2015,VLOOKUP($BJ3,'Treasury Yields'!$C$5:$N$34,$E3,FALSE)/100,IF($B3=2016,VLOOKUP($BJ3,'Treasury Yields'!$C$40:$N$69,$E3,FALSE)/100,IF($B3=2017,VLOOKUP($BJ3,'Treasury Yields'!$C$75:$N$104,$E3,FALSE)/100,IF($B3=2018,VLOOKUP($BJ3,'Treasury Yields'!$C$110:$N$139,$E3,FALSE)/100,IF($B3=2019,VLOOKUP($BJ3,'Treasury Yields'!$C$145:$N$174,$E3,FALSE)/100,IF($B3=2020,VLOOKUP($BJ3,'Treasury Yields'!$C$180:$N$209,$E3,FALSE)/100,IF($B3=2021,VLOOKUP($BJ3,'Treasury Yields'!$C$215:$N$244,$E3,FALSE)/100,IF($B3=2022,VLOOKUP($BJ3,'Treasury Yields'!$C$250:$N$279,$E3,FALSE)/100)))))))),0)</f>
        <v>2.7045999999999997E-2</v>
      </c>
      <c r="BL3">
        <f t="shared" ref="BL3:BL49" si="10">1+BH3*(AL3-BK3)+(AL3-BK3)^2</f>
        <v>1.5919426729199733</v>
      </c>
      <c r="BM3">
        <f t="shared" ref="BM3:BM49" si="11">BL3*R3</f>
        <v>412545575.9165194</v>
      </c>
      <c r="BN3">
        <f t="shared" ref="BN3:BN49" si="12">BM3-AB3</f>
        <v>220723575.9165194</v>
      </c>
      <c r="BP3">
        <f>IF($BJ3&lt;=30,IF($B3=2015,VLOOKUP($BJ3,'Treasury Yields'!$C$40:$N$69,$E3,FALSE)/100,IF($B3=2016,VLOOKUP($BJ3,'Treasury Yields'!$C$75:$N$104,$E3,FALSE)/100,IF($B3=2017,VLOOKUP($BJ3,'Treasury Yields'!$C$110:$N$139,$E3,FALSE)/100,IF($B3=2018,VLOOKUP($BJ3,'Treasury Yields'!$C$145:$N$174,$E3,FALSE)/100,IF($B3=2019,VLOOKUP($BJ3,'Treasury Yields'!$C$180:$N$209,$E3,FALSE)/100,IF($B3=2020,VLOOKUP($BJ3,'Treasury Yields'!$C$215:$N$244,$E3,FALSE)/100,IF($B3=2021,VLOOKUP($BJ3,'Treasury Yields'!$C$250:$N$279,$E3,FALSE)/100,IF($B3=2022,VLOOKUP($BJ3,'Treasury Yields'!$C$285:$N$314,$E3,FALSE)/100)))))))),0)</f>
        <v>1.7546000000000003E-2</v>
      </c>
      <c r="BQ3">
        <f t="shared" ref="BQ3:BQ49" si="13">1+BH3*(AN3-BP3)+(AN3-BP3)^2</f>
        <v>1.7073702209312032</v>
      </c>
      <c r="BR3">
        <f t="shared" ref="BR3:BR49" si="14">BQ3*S3</f>
        <v>460979715.43009925</v>
      </c>
      <c r="BS3">
        <f t="shared" ref="BS3:BS49" si="15">BR3-AC3</f>
        <v>271866715.43009925</v>
      </c>
      <c r="BU3">
        <f t="shared" ref="BU3:BU66" si="16">IF(BJ3="","",ROUND(BJ3+$BT$2,0))</f>
        <v>15</v>
      </c>
      <c r="BV3">
        <f t="shared" ref="BV3:BV49" si="17">1+(BH3+BU3)*(AN3-BK3)+(AN3-BK3)^2*BI3</f>
        <v>2.5910268303428965</v>
      </c>
      <c r="BW3">
        <f t="shared" ref="BW3:BW49" si="18">BV3*J3</f>
        <v>15219691.601434175</v>
      </c>
      <c r="BX3" s="5">
        <f t="shared" ref="BX3:BX49" si="19">(BM3+BW3-O3)*BK3</f>
        <v>11213711.571290571</v>
      </c>
      <c r="BY3" s="5">
        <f t="shared" ref="BY3:BY49" si="20">BK3*(BN3+BW3-O3)</f>
        <v>6025693.7592905713</v>
      </c>
      <c r="BZ3" s="5">
        <f t="shared" ref="BZ3:BZ49" si="21">SUM(J3:K3)</f>
        <v>25206000</v>
      </c>
      <c r="CA3" s="5">
        <f t="shared" ref="CA3:CA49" si="22">SUM(BW3+BY3)</f>
        <v>21245385.360724747</v>
      </c>
      <c r="CB3" s="5"/>
      <c r="CC3" s="5">
        <f t="shared" ref="CC3:CC57" si="23">BR3</f>
        <v>460979715.43009925</v>
      </c>
      <c r="CD3" s="5" t="str">
        <f t="shared" si="0"/>
        <v>California</v>
      </c>
      <c r="CE3" s="5">
        <f t="shared" si="1"/>
        <v>0.70043408372037896</v>
      </c>
      <c r="CF3" s="5">
        <f t="shared" ref="CF3:CF49" si="24">AC3/CC3</f>
        <v>0.41024147846409131</v>
      </c>
      <c r="CG3" s="5"/>
      <c r="CH3" s="5"/>
      <c r="CI3" s="5"/>
    </row>
    <row r="4" spans="1:88" x14ac:dyDescent="0.2">
      <c r="A4">
        <v>5000000015801</v>
      </c>
      <c r="B4">
        <v>2017</v>
      </c>
      <c r="C4">
        <v>39</v>
      </c>
      <c r="D4" t="s">
        <v>48</v>
      </c>
      <c r="E4">
        <v>6</v>
      </c>
      <c r="F4" t="s">
        <v>49</v>
      </c>
      <c r="G4" t="s">
        <v>50</v>
      </c>
      <c r="H4" t="s">
        <v>51</v>
      </c>
      <c r="I4" t="b">
        <v>1</v>
      </c>
      <c r="J4">
        <v>6064000</v>
      </c>
      <c r="K4">
        <v>20227000</v>
      </c>
      <c r="M4">
        <v>399000</v>
      </c>
      <c r="N4">
        <v>19988000</v>
      </c>
      <c r="O4">
        <v>13903000</v>
      </c>
      <c r="Q4">
        <v>32775000</v>
      </c>
      <c r="R4">
        <v>269994000</v>
      </c>
      <c r="S4">
        <v>302769000</v>
      </c>
      <c r="T4">
        <v>4173000</v>
      </c>
      <c r="U4">
        <v>2478000</v>
      </c>
      <c r="V4">
        <v>3441000</v>
      </c>
      <c r="W4">
        <v>25165000</v>
      </c>
      <c r="Y4">
        <v>182000</v>
      </c>
      <c r="Z4">
        <v>10000</v>
      </c>
      <c r="AA4">
        <v>21176000</v>
      </c>
      <c r="AB4">
        <v>189113000</v>
      </c>
      <c r="AC4">
        <v>210289000</v>
      </c>
      <c r="AD4">
        <v>92480000</v>
      </c>
      <c r="AE4">
        <v>80881000</v>
      </c>
      <c r="AF4">
        <v>11599000</v>
      </c>
      <c r="AG4">
        <v>34126000</v>
      </c>
      <c r="AH4">
        <v>0.12228213092656626</v>
      </c>
      <c r="AI4" t="b">
        <v>1</v>
      </c>
      <c r="AK4">
        <v>7.5999999999999998E-2</v>
      </c>
      <c r="AL4">
        <v>7.0999999999999994E-2</v>
      </c>
      <c r="AM4">
        <v>7.0999999999999994E-2</v>
      </c>
      <c r="AN4">
        <v>7.5999999999999998E-2</v>
      </c>
      <c r="AO4">
        <v>1</v>
      </c>
      <c r="AP4">
        <v>0</v>
      </c>
      <c r="AS4">
        <v>135790000</v>
      </c>
      <c r="AT4">
        <v>57331000</v>
      </c>
      <c r="AU4" t="s">
        <v>56</v>
      </c>
      <c r="AV4" t="s">
        <v>57</v>
      </c>
      <c r="BB4">
        <f t="shared" si="2"/>
        <v>0.69455261271794666</v>
      </c>
      <c r="BD4">
        <f t="shared" si="3"/>
        <v>43310000</v>
      </c>
      <c r="BE4">
        <f t="shared" si="4"/>
        <v>-35149000</v>
      </c>
      <c r="BF4">
        <f t="shared" si="5"/>
        <v>14.30463488666277</v>
      </c>
      <c r="BG4">
        <f t="shared" si="6"/>
        <v>-11.609180596428301</v>
      </c>
      <c r="BH4">
        <f t="shared" si="7"/>
        <v>12.956907741545534</v>
      </c>
      <c r="BI4">
        <f t="shared" si="8"/>
        <v>134.77271451172345</v>
      </c>
      <c r="BJ4">
        <f t="shared" si="9"/>
        <v>13</v>
      </c>
      <c r="BK4">
        <f>IF($BJ4&lt;=30,IF($B4=2015,VLOOKUP($BJ4,'Treasury Yields'!$C$5:$N$34,$E4,FALSE)/100,IF($B4=2016,VLOOKUP($BJ4,'Treasury Yields'!$C$40:$N$69,$E4,FALSE)/100,IF($B4=2017,VLOOKUP($BJ4,'Treasury Yields'!$C$75:$N$104,$E4,FALSE)/100,IF($B4=2018,VLOOKUP($BJ4,'Treasury Yields'!$C$110:$N$139,$E4,FALSE)/100,IF($B4=2019,VLOOKUP($BJ4,'Treasury Yields'!$C$145:$N$174,$E4,FALSE)/100,IF($B4=2020,VLOOKUP($BJ4,'Treasury Yields'!$C$180:$N$209,$E4,FALSE)/100,IF($B4=2021,VLOOKUP($BJ4,'Treasury Yields'!$C$215:$N$244,$E4,FALSE)/100,IF($B4=2022,VLOOKUP($BJ4,'Treasury Yields'!$C$250:$N$279,$E4,FALSE)/100)))))))),0)</f>
        <v>1.8144000000000004E-2</v>
      </c>
      <c r="BL4">
        <f t="shared" si="10"/>
        <v>1.6876440723231305</v>
      </c>
      <c r="BM4">
        <f t="shared" si="11"/>
        <v>455653773.66281128</v>
      </c>
      <c r="BN4">
        <f t="shared" si="12"/>
        <v>266540773.66281128</v>
      </c>
      <c r="BP4">
        <f>IF($BJ4&lt;=30,IF($B4=2015,VLOOKUP($BJ4,'Treasury Yields'!$C$40:$N$69,$E4,FALSE)/100,IF($B4=2016,VLOOKUP($BJ4,'Treasury Yields'!$C$75:$N$104,$E4,FALSE)/100,IF($B4=2017,VLOOKUP($BJ4,'Treasury Yields'!$C$110:$N$139,$E4,FALSE)/100,IF($B4=2018,VLOOKUP($BJ4,'Treasury Yields'!$C$145:$N$174,$E4,FALSE)/100,IF($B4=2019,VLOOKUP($BJ4,'Treasury Yields'!$C$180:$N$209,$E4,FALSE)/100,IF($B4=2020,VLOOKUP($BJ4,'Treasury Yields'!$C$215:$N$244,$E4,FALSE)/100,IF($B4=2021,VLOOKUP($BJ4,'Treasury Yields'!$C$250:$N$279,$E4,FALSE)/100,IF($B4=2022,VLOOKUP($BJ4,'Treasury Yields'!$C$285:$N$314,$E4,FALSE)/100)))))))),0)</f>
        <v>2.5866399999999991E-2</v>
      </c>
      <c r="BQ4">
        <f t="shared" si="13"/>
        <v>1.6520898078005075</v>
      </c>
      <c r="BR4">
        <f t="shared" si="14"/>
        <v>500201579.01795185</v>
      </c>
      <c r="BS4">
        <f t="shared" si="15"/>
        <v>289912579.01795185</v>
      </c>
      <c r="BU4">
        <f t="shared" si="16"/>
        <v>16</v>
      </c>
      <c r="BV4">
        <f t="shared" si="17"/>
        <v>3.1264578171360999</v>
      </c>
      <c r="BW4">
        <f t="shared" si="18"/>
        <v>18958840.20311331</v>
      </c>
      <c r="BX4" s="5">
        <f t="shared" si="19"/>
        <v>8359115.2339833379</v>
      </c>
      <c r="BY4" s="5">
        <f t="shared" si="20"/>
        <v>4927848.9619833371</v>
      </c>
      <c r="BZ4" s="5">
        <f t="shared" si="21"/>
        <v>26291000</v>
      </c>
      <c r="CA4" s="5">
        <f t="shared" si="22"/>
        <v>23886689.165096648</v>
      </c>
      <c r="CB4" s="5"/>
      <c r="CC4" s="5">
        <f t="shared" si="23"/>
        <v>500201579.01795185</v>
      </c>
      <c r="CD4" s="5" t="str">
        <f t="shared" si="0"/>
        <v>California</v>
      </c>
      <c r="CE4" s="5">
        <f t="shared" si="1"/>
        <v>0.69455261271794666</v>
      </c>
      <c r="CF4" s="5">
        <f t="shared" si="24"/>
        <v>0.42040850893126208</v>
      </c>
      <c r="CG4" s="5"/>
      <c r="CH4" s="5"/>
      <c r="CI4" s="5"/>
    </row>
    <row r="5" spans="1:88" x14ac:dyDescent="0.2">
      <c r="A5">
        <v>5000000015801</v>
      </c>
      <c r="B5">
        <v>2018</v>
      </c>
      <c r="C5">
        <v>39</v>
      </c>
      <c r="D5" t="s">
        <v>48</v>
      </c>
      <c r="E5">
        <v>6</v>
      </c>
      <c r="F5" t="s">
        <v>49</v>
      </c>
      <c r="G5" t="s">
        <v>50</v>
      </c>
      <c r="H5" t="s">
        <v>51</v>
      </c>
      <c r="I5" t="b">
        <v>1</v>
      </c>
      <c r="J5">
        <v>7142000</v>
      </c>
      <c r="K5">
        <v>21496000</v>
      </c>
      <c r="M5">
        <v>-94000</v>
      </c>
      <c r="N5">
        <v>0</v>
      </c>
      <c r="O5">
        <v>14537000</v>
      </c>
      <c r="Q5">
        <v>14007000</v>
      </c>
      <c r="R5">
        <v>302769000</v>
      </c>
      <c r="S5">
        <v>316776000</v>
      </c>
      <c r="T5">
        <v>4867000</v>
      </c>
      <c r="U5">
        <v>2797000</v>
      </c>
      <c r="V5">
        <v>3496000</v>
      </c>
      <c r="W5">
        <v>18674000</v>
      </c>
      <c r="Y5">
        <v>216000</v>
      </c>
      <c r="Z5">
        <v>2000</v>
      </c>
      <c r="AA5">
        <v>15091000</v>
      </c>
      <c r="AB5">
        <v>210289000</v>
      </c>
      <c r="AC5">
        <v>224869000</v>
      </c>
      <c r="AD5">
        <v>91907000</v>
      </c>
      <c r="AE5">
        <v>92480000</v>
      </c>
      <c r="AF5">
        <v>-573000</v>
      </c>
      <c r="AG5">
        <v>34753000</v>
      </c>
      <c r="AH5">
        <v>0.14004546370097545</v>
      </c>
      <c r="AI5" t="b">
        <v>1</v>
      </c>
      <c r="AK5">
        <v>7.0999999999999994E-2</v>
      </c>
      <c r="AL5">
        <v>7.0999999999999994E-2</v>
      </c>
      <c r="AM5">
        <v>7.0999999999999994E-2</v>
      </c>
      <c r="AN5">
        <v>7.0999999999999994E-2</v>
      </c>
      <c r="AO5">
        <v>1</v>
      </c>
      <c r="AP5">
        <v>0</v>
      </c>
      <c r="AS5">
        <v>134633000</v>
      </c>
      <c r="AT5">
        <v>56483000</v>
      </c>
      <c r="AU5" t="s">
        <v>58</v>
      </c>
      <c r="AV5" t="s">
        <v>59</v>
      </c>
      <c r="BB5">
        <f t="shared" si="2"/>
        <v>0.70986754047023759</v>
      </c>
      <c r="BD5">
        <f t="shared" si="3"/>
        <v>42726000</v>
      </c>
      <c r="BE5">
        <f t="shared" si="4"/>
        <v>-35424000</v>
      </c>
      <c r="BF5">
        <f t="shared" si="5"/>
        <v>13.487764224562468</v>
      </c>
      <c r="BG5">
        <f t="shared" si="6"/>
        <v>-11.182665353435867</v>
      </c>
      <c r="BH5">
        <f t="shared" si="7"/>
        <v>12.335214788999167</v>
      </c>
      <c r="BI5">
        <f t="shared" si="8"/>
        <v>115.25494355633002</v>
      </c>
      <c r="BJ5">
        <f t="shared" si="9"/>
        <v>12</v>
      </c>
      <c r="BK5">
        <f>IF($BJ5&lt;=30,IF($B5=2015,VLOOKUP($BJ5,'Treasury Yields'!$C$5:$N$34,$E5,FALSE)/100,IF($B5=2016,VLOOKUP($BJ5,'Treasury Yields'!$C$40:$N$69,$E5,FALSE)/100,IF($B5=2017,VLOOKUP($BJ5,'Treasury Yields'!$C$75:$N$104,$E5,FALSE)/100,IF($B5=2018,VLOOKUP($BJ5,'Treasury Yields'!$C$110:$N$139,$E5,FALSE)/100,IF($B5=2019,VLOOKUP($BJ5,'Treasury Yields'!$C$145:$N$174,$E5,FALSE)/100,IF($B5=2020,VLOOKUP($BJ5,'Treasury Yields'!$C$180:$N$209,$E5,FALSE)/100,IF($B5=2021,VLOOKUP($BJ5,'Treasury Yields'!$C$215:$N$244,$E5,FALSE)/100,IF($B5=2022,VLOOKUP($BJ5,'Treasury Yields'!$C$250:$N$279,$E5,FALSE)/100)))))))),0)</f>
        <v>2.5467599999999993E-2</v>
      </c>
      <c r="BL5">
        <f t="shared" si="10"/>
        <v>1.5637251333083857</v>
      </c>
      <c r="BM5">
        <f t="shared" si="11"/>
        <v>473447494.88664663</v>
      </c>
      <c r="BN5">
        <f t="shared" si="12"/>
        <v>263158494.88664663</v>
      </c>
      <c r="BP5">
        <f>IF($BJ5&lt;=30,IF($B5=2015,VLOOKUP($BJ5,'Treasury Yields'!$C$40:$N$69,$E5,FALSE)/100,IF($B5=2016,VLOOKUP($BJ5,'Treasury Yields'!$C$75:$N$104,$E5,FALSE)/100,IF($B5=2017,VLOOKUP($BJ5,'Treasury Yields'!$C$110:$N$139,$E5,FALSE)/100,IF($B5=2018,VLOOKUP($BJ5,'Treasury Yields'!$C$145:$N$174,$E5,FALSE)/100,IF($B5=2019,VLOOKUP($BJ5,'Treasury Yields'!$C$180:$N$209,$E5,FALSE)/100,IF($B5=2020,VLOOKUP($BJ5,'Treasury Yields'!$C$215:$N$244,$E5,FALSE)/100,IF($B5=2021,VLOOKUP($BJ5,'Treasury Yields'!$C$250:$N$279,$E5,FALSE)/100,IF($B5=2022,VLOOKUP($BJ5,'Treasury Yields'!$C$285:$N$314,$E5,FALSE)/100)))))))),0)</f>
        <v>2.8906472727272727E-2</v>
      </c>
      <c r="BQ5">
        <f t="shared" si="13"/>
        <v>1.521004565173945</v>
      </c>
      <c r="BR5">
        <f t="shared" si="14"/>
        <v>481817742.13754159</v>
      </c>
      <c r="BS5">
        <f t="shared" si="15"/>
        <v>256948742.13754159</v>
      </c>
      <c r="BU5">
        <f t="shared" si="16"/>
        <v>15</v>
      </c>
      <c r="BV5">
        <f t="shared" si="17"/>
        <v>2.4835844194217294</v>
      </c>
      <c r="BW5">
        <f t="shared" si="18"/>
        <v>17737759.923509993</v>
      </c>
      <c r="BX5" s="5">
        <f t="shared" si="19"/>
        <v>12139087.094203142</v>
      </c>
      <c r="BY5" s="5">
        <f t="shared" si="20"/>
        <v>6783530.9578031432</v>
      </c>
      <c r="BZ5" s="5">
        <f t="shared" si="21"/>
        <v>28638000</v>
      </c>
      <c r="CA5" s="5">
        <f t="shared" si="22"/>
        <v>24521290.881313138</v>
      </c>
      <c r="CB5" s="5"/>
      <c r="CC5" s="5">
        <f t="shared" si="23"/>
        <v>481817742.13754159</v>
      </c>
      <c r="CD5" s="5" t="str">
        <f t="shared" si="0"/>
        <v>California</v>
      </c>
      <c r="CE5" s="5">
        <f t="shared" si="1"/>
        <v>0.70986754047023759</v>
      </c>
      <c r="CF5" s="5">
        <f t="shared" si="24"/>
        <v>0.46670967117646739</v>
      </c>
      <c r="CG5" s="5"/>
      <c r="CH5" s="5"/>
      <c r="CI5" s="5"/>
    </row>
    <row r="6" spans="1:88" x14ac:dyDescent="0.2">
      <c r="A6">
        <v>5000000015801</v>
      </c>
      <c r="B6">
        <v>2019</v>
      </c>
      <c r="C6">
        <v>39</v>
      </c>
      <c r="D6" t="s">
        <v>48</v>
      </c>
      <c r="E6">
        <v>6</v>
      </c>
      <c r="F6" t="s">
        <v>49</v>
      </c>
      <c r="G6" t="s">
        <v>50</v>
      </c>
      <c r="H6" t="s">
        <v>51</v>
      </c>
      <c r="I6" t="b">
        <v>1</v>
      </c>
      <c r="J6">
        <v>7055000</v>
      </c>
      <c r="K6">
        <v>22458000</v>
      </c>
      <c r="L6">
        <v>32000</v>
      </c>
      <c r="M6">
        <v>-1847000</v>
      </c>
      <c r="N6">
        <v>0</v>
      </c>
      <c r="O6">
        <v>15296000</v>
      </c>
      <c r="Q6">
        <v>12402000</v>
      </c>
      <c r="R6">
        <v>316776000</v>
      </c>
      <c r="S6">
        <v>329178000</v>
      </c>
      <c r="T6">
        <v>5644000</v>
      </c>
      <c r="U6">
        <v>5335000</v>
      </c>
      <c r="V6">
        <v>3648000</v>
      </c>
      <c r="W6">
        <v>14898000</v>
      </c>
      <c r="Y6">
        <v>254000</v>
      </c>
      <c r="Z6">
        <v>4000</v>
      </c>
      <c r="AA6">
        <v>13993000</v>
      </c>
      <c r="AB6">
        <v>224869000</v>
      </c>
      <c r="AC6">
        <v>238862000</v>
      </c>
      <c r="AD6">
        <v>90316000</v>
      </c>
      <c r="AE6">
        <v>91907000</v>
      </c>
      <c r="AF6">
        <v>-1591000</v>
      </c>
      <c r="AG6">
        <v>35805000</v>
      </c>
      <c r="AH6">
        <v>0.15763161569613182</v>
      </c>
      <c r="AI6" t="b">
        <v>1</v>
      </c>
      <c r="AK6">
        <v>7.0999999999999994E-2</v>
      </c>
      <c r="AL6">
        <v>7.0999999999999994E-2</v>
      </c>
      <c r="AM6">
        <v>7.0999999999999994E-2</v>
      </c>
      <c r="AN6">
        <v>7.0999999999999994E-2</v>
      </c>
      <c r="AO6">
        <v>1</v>
      </c>
      <c r="AP6">
        <v>0</v>
      </c>
      <c r="AS6">
        <v>134488000</v>
      </c>
      <c r="AT6">
        <v>53689000</v>
      </c>
      <c r="AU6" t="s">
        <v>60</v>
      </c>
      <c r="AV6" t="s">
        <v>61</v>
      </c>
      <c r="BB6">
        <f t="shared" si="2"/>
        <v>0.72563172508490847</v>
      </c>
      <c r="BD6">
        <f t="shared" si="3"/>
        <v>44172000</v>
      </c>
      <c r="BE6">
        <f t="shared" si="4"/>
        <v>-36627000</v>
      </c>
      <c r="BF6">
        <f t="shared" si="5"/>
        <v>13.418879755026156</v>
      </c>
      <c r="BG6">
        <f t="shared" si="6"/>
        <v>-11.126806773235149</v>
      </c>
      <c r="BH6">
        <f t="shared" si="7"/>
        <v>12.272843264130653</v>
      </c>
      <c r="BI6">
        <f t="shared" si="8"/>
        <v>114.60364908955033</v>
      </c>
      <c r="BJ6">
        <f t="shared" si="9"/>
        <v>12</v>
      </c>
      <c r="BK6">
        <f>IF($BJ6&lt;=30,IF($B6=2015,VLOOKUP($BJ6,'Treasury Yields'!$C$5:$N$34,$E6,FALSE)/100,IF($B6=2016,VLOOKUP($BJ6,'Treasury Yields'!$C$40:$N$69,$E6,FALSE)/100,IF($B6=2017,VLOOKUP($BJ6,'Treasury Yields'!$C$75:$N$104,$E6,FALSE)/100,IF($B6=2018,VLOOKUP($BJ6,'Treasury Yields'!$C$110:$N$139,$E6,FALSE)/100,IF($B6=2019,VLOOKUP($BJ6,'Treasury Yields'!$C$145:$N$174,$E6,FALSE)/100,IF($B6=2020,VLOOKUP($BJ6,'Treasury Yields'!$C$180:$N$209,$E6,FALSE)/100,IF($B6=2021,VLOOKUP($BJ6,'Treasury Yields'!$C$215:$N$244,$E6,FALSE)/100,IF($B6=2022,VLOOKUP($BJ6,'Treasury Yields'!$C$250:$N$279,$E6,FALSE)/100)))))))),0)</f>
        <v>2.8906472727272727E-2</v>
      </c>
      <c r="BL6">
        <f t="shared" si="10"/>
        <v>1.5183791276908507</v>
      </c>
      <c r="BM6">
        <f t="shared" si="11"/>
        <v>480986066.55339694</v>
      </c>
      <c r="BN6">
        <f t="shared" si="12"/>
        <v>256117066.55339694</v>
      </c>
      <c r="BP6">
        <f>IF($BJ6&lt;=30,IF($B6=2015,VLOOKUP($BJ6,'Treasury Yields'!$C$40:$N$69,$E6,FALSE)/100,IF($B6=2016,VLOOKUP($BJ6,'Treasury Yields'!$C$75:$N$104,$E6,FALSE)/100,IF($B6=2017,VLOOKUP($BJ6,'Treasury Yields'!$C$110:$N$139,$E6,FALSE)/100,IF($B6=2018,VLOOKUP($BJ6,'Treasury Yields'!$C$145:$N$174,$E6,FALSE)/100,IF($B6=2019,VLOOKUP($BJ6,'Treasury Yields'!$C$180:$N$209,$E6,FALSE)/100,IF($B6=2020,VLOOKUP($BJ6,'Treasury Yields'!$C$215:$N$244,$E6,FALSE)/100,IF($B6=2021,VLOOKUP($BJ6,'Treasury Yields'!$C$250:$N$279,$E6,FALSE)/100,IF($B6=2022,VLOOKUP($BJ6,'Treasury Yields'!$C$285:$N$314,$E6,FALSE)/100)))))))),0)</f>
        <v>2.2184000000000002E-2</v>
      </c>
      <c r="BQ6">
        <f t="shared" si="13"/>
        <v>1.6014941186378018</v>
      </c>
      <c r="BR6">
        <f t="shared" si="14"/>
        <v>527176630.9849543</v>
      </c>
      <c r="BS6">
        <f t="shared" si="15"/>
        <v>288314630.9849543</v>
      </c>
      <c r="BU6">
        <f t="shared" si="16"/>
        <v>15</v>
      </c>
      <c r="BV6">
        <f t="shared" si="17"/>
        <v>2.3510723708222723</v>
      </c>
      <c r="BW6">
        <f t="shared" si="18"/>
        <v>16586815.576151131</v>
      </c>
      <c r="BX6" s="5">
        <f t="shared" si="19"/>
        <v>13940923.540271904</v>
      </c>
      <c r="BY6" s="5">
        <f t="shared" si="20"/>
        <v>7440753.9245628137</v>
      </c>
      <c r="BZ6" s="5">
        <f t="shared" si="21"/>
        <v>29513000</v>
      </c>
      <c r="CA6" s="5">
        <f t="shared" si="22"/>
        <v>24027569.500713944</v>
      </c>
      <c r="CB6" s="5"/>
      <c r="CC6" s="5">
        <f t="shared" si="23"/>
        <v>527176630.9849543</v>
      </c>
      <c r="CD6" s="5" t="str">
        <f t="shared" si="0"/>
        <v>California</v>
      </c>
      <c r="CE6" s="5">
        <f t="shared" si="1"/>
        <v>0.72563172508490847</v>
      </c>
      <c r="CF6" s="5">
        <f t="shared" si="24"/>
        <v>0.45309671552344882</v>
      </c>
      <c r="CG6" s="5"/>
      <c r="CH6" s="5"/>
      <c r="CI6" s="5"/>
    </row>
    <row r="7" spans="1:88" x14ac:dyDescent="0.2">
      <c r="A7">
        <v>5000000015801</v>
      </c>
      <c r="B7">
        <v>2020</v>
      </c>
      <c r="C7">
        <v>39</v>
      </c>
      <c r="D7" t="s">
        <v>48</v>
      </c>
      <c r="E7">
        <v>6</v>
      </c>
      <c r="F7" t="s">
        <v>49</v>
      </c>
      <c r="G7" t="s">
        <v>50</v>
      </c>
      <c r="H7" t="s">
        <v>51</v>
      </c>
      <c r="I7" t="b">
        <v>1</v>
      </c>
      <c r="J7">
        <v>7340000</v>
      </c>
      <c r="K7">
        <v>23334000</v>
      </c>
      <c r="M7">
        <v>-963000</v>
      </c>
      <c r="N7">
        <v>1029000</v>
      </c>
      <c r="O7">
        <v>16025000</v>
      </c>
      <c r="Q7">
        <v>14715000</v>
      </c>
      <c r="R7">
        <v>329178000</v>
      </c>
      <c r="S7">
        <v>343893000</v>
      </c>
      <c r="T7">
        <v>6080000</v>
      </c>
      <c r="U7">
        <v>4447000</v>
      </c>
      <c r="V7">
        <v>3735000</v>
      </c>
      <c r="W7">
        <v>10103000</v>
      </c>
      <c r="Y7">
        <v>219000</v>
      </c>
      <c r="Z7">
        <v>5000</v>
      </c>
      <c r="AA7">
        <v>8122000</v>
      </c>
      <c r="AB7">
        <v>238862000</v>
      </c>
      <c r="AC7">
        <v>246984000</v>
      </c>
      <c r="AD7">
        <v>96909000</v>
      </c>
      <c r="AE7">
        <v>90316000</v>
      </c>
      <c r="AF7">
        <v>6593000</v>
      </c>
      <c r="AG7">
        <v>36668000</v>
      </c>
      <c r="AH7">
        <v>0.16581215228537144</v>
      </c>
      <c r="AI7" t="b">
        <v>1</v>
      </c>
      <c r="AK7">
        <v>7.0999999999999994E-2</v>
      </c>
      <c r="AL7">
        <v>7.0999999999999994E-2</v>
      </c>
      <c r="AM7">
        <v>7.0999999999999994E-2</v>
      </c>
      <c r="AN7">
        <v>7.0999999999999994E-2</v>
      </c>
      <c r="AO7">
        <v>1</v>
      </c>
      <c r="AP7">
        <v>0</v>
      </c>
      <c r="AS7">
        <v>146416000</v>
      </c>
      <c r="AT7">
        <v>56034000</v>
      </c>
      <c r="AU7" t="s">
        <v>62</v>
      </c>
      <c r="AV7" t="s">
        <v>63</v>
      </c>
      <c r="BB7">
        <f t="shared" si="2"/>
        <v>0.71820013783357028</v>
      </c>
      <c r="BD7">
        <f t="shared" si="3"/>
        <v>49507000</v>
      </c>
      <c r="BE7">
        <f t="shared" si="4"/>
        <v>-40875000</v>
      </c>
      <c r="BF7">
        <f t="shared" si="5"/>
        <v>14.396047607831505</v>
      </c>
      <c r="BG7">
        <f t="shared" si="6"/>
        <v>-11.885964529664751</v>
      </c>
      <c r="BH7">
        <f t="shared" si="7"/>
        <v>13.14100606874813</v>
      </c>
      <c r="BI7">
        <f t="shared" si="8"/>
        <v>125.50415390833776</v>
      </c>
      <c r="BJ7">
        <f t="shared" si="9"/>
        <v>13</v>
      </c>
      <c r="BK7">
        <f>IF($BJ7&lt;=30,IF($B7=2015,VLOOKUP($BJ7,'Treasury Yields'!$C$5:$N$34,$E7,FALSE)/100,IF($B7=2016,VLOOKUP($BJ7,'Treasury Yields'!$C$40:$N$69,$E7,FALSE)/100,IF($B7=2017,VLOOKUP($BJ7,'Treasury Yields'!$C$75:$N$104,$E7,FALSE)/100,IF($B7=2018,VLOOKUP($BJ7,'Treasury Yields'!$C$110:$N$139,$E7,FALSE)/100,IF($B7=2019,VLOOKUP($BJ7,'Treasury Yields'!$C$145:$N$174,$E7,FALSE)/100,IF($B7=2020,VLOOKUP($BJ7,'Treasury Yields'!$C$180:$N$209,$E7,FALSE)/100,IF($B7=2021,VLOOKUP($BJ7,'Treasury Yields'!$C$215:$N$244,$E7,FALSE)/100,IF($B7=2022,VLOOKUP($BJ7,'Treasury Yields'!$C$250:$N$279,$E7,FALSE)/100)))))))),0)</f>
        <v>2.2646000000000006E-2</v>
      </c>
      <c r="BL7">
        <f t="shared" si="10"/>
        <v>1.6377583167642469</v>
      </c>
      <c r="BM7">
        <f t="shared" si="11"/>
        <v>539114007.19582129</v>
      </c>
      <c r="BN7">
        <f t="shared" si="12"/>
        <v>300252007.19582129</v>
      </c>
      <c r="BP7">
        <f>IF($BJ7&lt;=30,IF($B7=2015,VLOOKUP($BJ7,'Treasury Yields'!$C$40:$N$69,$E7,FALSE)/100,IF($B7=2016,VLOOKUP($BJ7,'Treasury Yields'!$C$75:$N$104,$E7,FALSE)/100,IF($B7=2017,VLOOKUP($BJ7,'Treasury Yields'!$C$110:$N$139,$E7,FALSE)/100,IF($B7=2018,VLOOKUP($BJ7,'Treasury Yields'!$C$145:$N$174,$E7,FALSE)/100,IF($B7=2019,VLOOKUP($BJ7,'Treasury Yields'!$C$180:$N$209,$E7,FALSE)/100,IF($B7=2020,VLOOKUP($BJ7,'Treasury Yields'!$C$215:$N$244,$E7,FALSE)/100,IF($B7=2021,VLOOKUP($BJ7,'Treasury Yields'!$C$250:$N$279,$E7,FALSE)/100,IF($B7=2022,VLOOKUP($BJ7,'Treasury Yields'!$C$285:$N$314,$E7,FALSE)/100)))))))),0)</f>
        <v>1.2827818181818183E-2</v>
      </c>
      <c r="BQ7">
        <f t="shared" si="13"/>
        <v>1.7678249970425344</v>
      </c>
      <c r="BR7">
        <f t="shared" si="14"/>
        <v>607942641.70794833</v>
      </c>
      <c r="BS7">
        <f t="shared" si="15"/>
        <v>360958641.70794833</v>
      </c>
      <c r="BU7">
        <f t="shared" si="16"/>
        <v>16</v>
      </c>
      <c r="BV7">
        <f t="shared" si="17"/>
        <v>2.7025266388980294</v>
      </c>
      <c r="BW7">
        <f t="shared" si="18"/>
        <v>19836545.529511534</v>
      </c>
      <c r="BX7" s="5">
        <f t="shared" si="19"/>
        <v>12295092.067017891</v>
      </c>
      <c r="BY7" s="5">
        <f t="shared" si="20"/>
        <v>6885823.2150178887</v>
      </c>
      <c r="BZ7" s="5">
        <f t="shared" si="21"/>
        <v>30674000</v>
      </c>
      <c r="CA7" s="5">
        <f t="shared" si="22"/>
        <v>26722368.744529422</v>
      </c>
      <c r="CB7" s="5"/>
      <c r="CC7" s="5">
        <f t="shared" si="23"/>
        <v>607942641.70794833</v>
      </c>
      <c r="CD7" s="5" t="str">
        <f t="shared" si="0"/>
        <v>California</v>
      </c>
      <c r="CE7" s="5">
        <f t="shared" si="1"/>
        <v>0.71820013783357028</v>
      </c>
      <c r="CF7" s="5">
        <f t="shared" si="24"/>
        <v>0.40626201068266155</v>
      </c>
      <c r="CG7" s="5"/>
      <c r="CH7" s="5"/>
      <c r="CI7" s="5"/>
    </row>
    <row r="8" spans="1:88" x14ac:dyDescent="0.2">
      <c r="A8">
        <v>5000000015801</v>
      </c>
      <c r="B8">
        <v>2021</v>
      </c>
      <c r="C8">
        <v>39</v>
      </c>
      <c r="D8" t="s">
        <v>48</v>
      </c>
      <c r="E8">
        <v>6</v>
      </c>
      <c r="F8" t="s">
        <v>49</v>
      </c>
      <c r="G8" t="s">
        <v>50</v>
      </c>
      <c r="H8" t="s">
        <v>51</v>
      </c>
      <c r="I8" t="b">
        <v>1</v>
      </c>
      <c r="J8">
        <v>7612000</v>
      </c>
      <c r="K8">
        <v>24373000</v>
      </c>
      <c r="M8">
        <v>-3369000</v>
      </c>
      <c r="O8">
        <v>16708000</v>
      </c>
      <c r="Q8">
        <v>11908000</v>
      </c>
      <c r="R8">
        <v>343893000</v>
      </c>
      <c r="S8">
        <v>355801000</v>
      </c>
      <c r="T8">
        <v>5758000</v>
      </c>
      <c r="U8">
        <v>3731000</v>
      </c>
      <c r="V8">
        <v>3743000</v>
      </c>
      <c r="W8">
        <v>67039000</v>
      </c>
      <c r="Y8">
        <v>252000</v>
      </c>
      <c r="Z8">
        <v>2000</v>
      </c>
      <c r="AA8">
        <v>63309000</v>
      </c>
      <c r="AB8">
        <v>246984000</v>
      </c>
      <c r="AC8">
        <v>310293000</v>
      </c>
      <c r="AD8">
        <v>45508000</v>
      </c>
      <c r="AE8">
        <v>96909000</v>
      </c>
      <c r="AF8">
        <v>-51401000</v>
      </c>
      <c r="AG8">
        <v>36737000</v>
      </c>
      <c r="AI8" t="b">
        <v>1</v>
      </c>
      <c r="AK8">
        <v>7.0999999999999994E-2</v>
      </c>
      <c r="AL8">
        <v>7.0999999999999994E-2</v>
      </c>
      <c r="AM8">
        <v>7.0999999999999994E-2</v>
      </c>
      <c r="AN8">
        <v>7.0999999999999994E-2</v>
      </c>
      <c r="AS8">
        <v>92638000</v>
      </c>
      <c r="AT8">
        <v>6391000</v>
      </c>
      <c r="BB8">
        <f t="shared" si="2"/>
        <v>0.87209704300999713</v>
      </c>
      <c r="BD8">
        <f t="shared" si="3"/>
        <v>47130000</v>
      </c>
      <c r="BE8">
        <f t="shared" si="4"/>
        <v>-39117000</v>
      </c>
      <c r="BF8">
        <f t="shared" si="5"/>
        <v>13.246168504304373</v>
      </c>
      <c r="BG8">
        <f t="shared" si="6"/>
        <v>-10.994066908187442</v>
      </c>
      <c r="BH8">
        <f t="shared" si="7"/>
        <v>12.120117706245907</v>
      </c>
      <c r="BI8">
        <f t="shared" si="8"/>
        <v>112.60507980584653</v>
      </c>
      <c r="BJ8">
        <f t="shared" si="9"/>
        <v>12</v>
      </c>
      <c r="BK8">
        <f>IF($BJ8&lt;=30,IF($B8=2015,VLOOKUP($BJ8,'Treasury Yields'!$C$5:$N$34,$E8,FALSE)/100,IF($B8=2016,VLOOKUP($BJ8,'Treasury Yields'!$C$40:$N$69,$E8,FALSE)/100,IF($B8=2017,VLOOKUP($BJ8,'Treasury Yields'!$C$75:$N$104,$E8,FALSE)/100,IF($B8=2018,VLOOKUP($BJ8,'Treasury Yields'!$C$110:$N$139,$E8,FALSE)/100,IF($B8=2019,VLOOKUP($BJ8,'Treasury Yields'!$C$145:$N$174,$E8,FALSE)/100,IF($B8=2020,VLOOKUP($BJ8,'Treasury Yields'!$C$180:$N$209,$E8,FALSE)/100,IF($B8=2021,VLOOKUP($BJ8,'Treasury Yields'!$C$215:$N$244,$E8,FALSE)/100,IF($B8=2022,VLOOKUP($BJ8,'Treasury Yields'!$C$250:$N$279,$E8,FALSE)/100)))))))),0)</f>
        <v>1.3689454545454545E-2</v>
      </c>
      <c r="BL8">
        <f t="shared" si="10"/>
        <v>1.6978950553385446</v>
      </c>
      <c r="BM8">
        <f t="shared" si="11"/>
        <v>583894224.2655381</v>
      </c>
      <c r="BN8">
        <f t="shared" si="12"/>
        <v>336910224.2655381</v>
      </c>
      <c r="BP8">
        <f>IF($BJ8&lt;=30,IF($B8=2015,VLOOKUP($BJ8,'Treasury Yields'!$C$40:$N$69,$E8,FALSE)/100,IF($B8=2016,VLOOKUP($BJ8,'Treasury Yields'!$C$75:$N$104,$E8,FALSE)/100,IF($B8=2017,VLOOKUP($BJ8,'Treasury Yields'!$C$110:$N$139,$E8,FALSE)/100,IF($B8=2018,VLOOKUP($BJ8,'Treasury Yields'!$C$145:$N$174,$E8,FALSE)/100,IF($B8=2019,VLOOKUP($BJ8,'Treasury Yields'!$C$180:$N$209,$E8,FALSE)/100,IF($B8=2020,VLOOKUP($BJ8,'Treasury Yields'!$C$215:$N$244,$E8,FALSE)/100,IF($B8=2021,VLOOKUP($BJ8,'Treasury Yields'!$C$250:$N$279,$E8,FALSE)/100,IF($B8=2022,VLOOKUP($BJ8,'Treasury Yields'!$C$285:$N$314,$E8,FALSE)/100)))))))),0)</f>
        <v>2.1085818181818185E-2</v>
      </c>
      <c r="BQ8">
        <f t="shared" si="13"/>
        <v>1.6074571843939012</v>
      </c>
      <c r="BR8">
        <f t="shared" si="14"/>
        <v>571934873.66453445</v>
      </c>
      <c r="BS8">
        <f t="shared" si="15"/>
        <v>261641873.66453445</v>
      </c>
      <c r="BU8">
        <f t="shared" si="16"/>
        <v>15</v>
      </c>
      <c r="BV8">
        <f>1+(BH8+BU8)*(AN8-BK8)+(AN8-BK8)^2*BI8</f>
        <v>2.9241199677972238</v>
      </c>
      <c r="BW8">
        <f t="shared" si="18"/>
        <v>22258401.194872469</v>
      </c>
      <c r="BX8" s="5">
        <f t="shared" si="19"/>
        <v>8069175.4073027698</v>
      </c>
      <c r="BY8" s="5">
        <f t="shared" si="20"/>
        <v>4688099.1658482244</v>
      </c>
      <c r="BZ8" s="5">
        <f t="shared" si="21"/>
        <v>31985000</v>
      </c>
      <c r="CA8" s="5">
        <f t="shared" si="22"/>
        <v>26946500.360720694</v>
      </c>
      <c r="CB8" s="5"/>
      <c r="CC8" s="5">
        <f t="shared" si="23"/>
        <v>571934873.66453445</v>
      </c>
      <c r="CD8" s="5" t="str">
        <f t="shared" si="0"/>
        <v>California</v>
      </c>
      <c r="CE8" s="5">
        <f t="shared" si="1"/>
        <v>0.87209704300999713</v>
      </c>
      <c r="CF8" s="5">
        <f t="shared" si="24"/>
        <v>0.54253205091669376</v>
      </c>
      <c r="CG8" s="5"/>
      <c r="CH8" s="5"/>
      <c r="CI8" s="5"/>
    </row>
    <row r="9" spans="1:88" x14ac:dyDescent="0.2">
      <c r="A9">
        <v>5000000015801</v>
      </c>
      <c r="B9">
        <v>2022</v>
      </c>
      <c r="C9">
        <v>39</v>
      </c>
      <c r="D9" t="s">
        <v>48</v>
      </c>
      <c r="E9">
        <v>6</v>
      </c>
      <c r="F9" t="s">
        <v>49</v>
      </c>
      <c r="G9" t="s">
        <v>50</v>
      </c>
      <c r="H9" t="s">
        <v>51</v>
      </c>
      <c r="I9" t="b">
        <v>1</v>
      </c>
      <c r="J9">
        <v>7675000</v>
      </c>
      <c r="K9">
        <v>25196000</v>
      </c>
      <c r="L9">
        <v>70000</v>
      </c>
      <c r="M9">
        <v>-1673000</v>
      </c>
      <c r="N9">
        <v>0</v>
      </c>
      <c r="O9">
        <v>17527000</v>
      </c>
      <c r="Q9">
        <v>13741000</v>
      </c>
      <c r="R9">
        <v>355801000</v>
      </c>
      <c r="S9">
        <v>369542000</v>
      </c>
      <c r="T9">
        <v>6521000</v>
      </c>
      <c r="U9">
        <v>4280000</v>
      </c>
      <c r="V9">
        <v>4068000</v>
      </c>
      <c r="W9">
        <v>-7390000</v>
      </c>
      <c r="Y9">
        <v>191000</v>
      </c>
      <c r="Z9">
        <v>5000</v>
      </c>
      <c r="AA9">
        <v>-10237000</v>
      </c>
      <c r="AB9">
        <v>310293000</v>
      </c>
      <c r="AC9">
        <v>300056000</v>
      </c>
      <c r="AD9">
        <v>69486000</v>
      </c>
      <c r="AE9">
        <v>45508000</v>
      </c>
      <c r="AF9">
        <v>23978000</v>
      </c>
      <c r="AG9">
        <v>40103000</v>
      </c>
      <c r="AI9" t="b">
        <v>1</v>
      </c>
      <c r="AK9">
        <v>7.0999999999999994E-2</v>
      </c>
      <c r="AL9">
        <v>7.0999999999999994E-2</v>
      </c>
      <c r="AM9">
        <v>7.0999999999999994E-2</v>
      </c>
      <c r="AN9">
        <v>7.0999999999999994E-2</v>
      </c>
      <c r="AS9">
        <v>118013000</v>
      </c>
      <c r="AT9">
        <v>29194000</v>
      </c>
      <c r="AU9" t="s">
        <v>64</v>
      </c>
      <c r="AV9" t="s">
        <v>65</v>
      </c>
      <c r="BB9">
        <f t="shared" si="2"/>
        <v>0.81196724594227454</v>
      </c>
      <c r="BD9">
        <f t="shared" si="3"/>
        <v>48527000</v>
      </c>
      <c r="BE9">
        <f t="shared" si="4"/>
        <v>-40292000</v>
      </c>
      <c r="BF9">
        <f t="shared" si="5"/>
        <v>13.13166027136293</v>
      </c>
      <c r="BG9">
        <f t="shared" si="6"/>
        <v>-10.903226155619659</v>
      </c>
      <c r="BH9">
        <f t="shared" si="7"/>
        <v>12.017443213491294</v>
      </c>
      <c r="BI9">
        <f t="shared" si="8"/>
        <v>111.42170578716356</v>
      </c>
      <c r="BJ9">
        <f t="shared" si="9"/>
        <v>12</v>
      </c>
      <c r="BK9">
        <f>IF($BJ9&lt;=30,IF($B9=2015,VLOOKUP($BJ9,'Treasury Yields'!$C$5:$N$34,$E9,FALSE)/100,IF($B9=2016,VLOOKUP($BJ9,'Treasury Yields'!$C$40:$N$69,$E9,FALSE)/100,IF($B9=2017,VLOOKUP($BJ9,'Treasury Yields'!$C$75:$N$104,$E9,FALSE)/100,IF($B9=2018,VLOOKUP($BJ9,'Treasury Yields'!$C$110:$N$139,$E9,FALSE)/100,IF($B9=2019,VLOOKUP($BJ9,'Treasury Yields'!$C$145:$N$174,$E9,FALSE)/100,IF($B9=2020,VLOOKUP($BJ9,'Treasury Yields'!$C$180:$N$209,$E9,FALSE)/100,IF($B9=2021,VLOOKUP($BJ9,'Treasury Yields'!$C$215:$N$244,$E9,FALSE)/100,IF($B9=2022,VLOOKUP($BJ9,'Treasury Yields'!$C$250:$N$279,$E9,FALSE)/100)))))))),0)</f>
        <v>2.1085818181818185E-2</v>
      </c>
      <c r="BL9">
        <f t="shared" si="10"/>
        <v>1.6023322710944581</v>
      </c>
      <c r="BM9">
        <f t="shared" si="11"/>
        <v>570111424.38767934</v>
      </c>
      <c r="BN9">
        <f t="shared" si="12"/>
        <v>259818424.38767934</v>
      </c>
      <c r="BP9">
        <f>IF($BJ9&lt;=30,IF($B9=2015,VLOOKUP($BJ9,'Treasury Yields'!$C$40:$N$69,$E9,FALSE)/100,IF($B9=2016,VLOOKUP($BJ9,'Treasury Yields'!$C$75:$N$104,$E9,FALSE)/100,IF($B9=2017,VLOOKUP($BJ9,'Treasury Yields'!$C$110:$N$139,$E9,FALSE)/100,IF($B9=2018,VLOOKUP($BJ9,'Treasury Yields'!$C$145:$N$174,$E9,FALSE)/100,IF($B9=2019,VLOOKUP($BJ9,'Treasury Yields'!$C$180:$N$209,$E9,FALSE)/100,IF($B9=2020,VLOOKUP($BJ9,'Treasury Yields'!$C$215:$N$244,$E9,FALSE)/100,IF($B9=2021,VLOOKUP($BJ9,'Treasury Yields'!$C$250:$N$279,$E9,FALSE)/100,IF($B9=2022,VLOOKUP($BJ9,'Treasury Yields'!$C$285:$N$314,$E9,FALSE)/100)))))))),0)</f>
        <v>3.2402272727272724E-2</v>
      </c>
      <c r="BQ9">
        <f t="shared" si="13"/>
        <v>1.4653357802204441</v>
      </c>
      <c r="BR9">
        <f t="shared" si="14"/>
        <v>541503114.89422333</v>
      </c>
      <c r="BS9">
        <f t="shared" si="15"/>
        <v>241447114.89422333</v>
      </c>
      <c r="BU9">
        <f t="shared" si="16"/>
        <v>15</v>
      </c>
      <c r="BV9">
        <f t="shared" si="17"/>
        <v>2.6261524570621009</v>
      </c>
      <c r="BW9">
        <f>BV9*J9</f>
        <v>20155720.107951622</v>
      </c>
      <c r="BX9" s="5">
        <f t="shared" si="19"/>
        <v>12076694.55226315</v>
      </c>
      <c r="BY9" s="5">
        <f t="shared" si="20"/>
        <v>5533912.7711722404</v>
      </c>
      <c r="BZ9" s="5">
        <f>SUM(J9:K9)</f>
        <v>32871000</v>
      </c>
      <c r="CA9" s="5">
        <f t="shared" si="22"/>
        <v>25689632.879123863</v>
      </c>
      <c r="CB9" s="5"/>
      <c r="CC9" s="5">
        <f t="shared" si="23"/>
        <v>541503114.89422333</v>
      </c>
      <c r="CD9" s="5" t="str">
        <f t="shared" si="0"/>
        <v>California</v>
      </c>
      <c r="CE9" s="5">
        <f t="shared" si="1"/>
        <v>0.81196724594227454</v>
      </c>
      <c r="CF9" s="5">
        <f>AC9/CC9</f>
        <v>0.55411684946376094</v>
      </c>
      <c r="CG9" s="5"/>
      <c r="CH9" s="5"/>
      <c r="CI9" s="5"/>
    </row>
    <row r="10" spans="1:88" x14ac:dyDescent="0.2">
      <c r="A10">
        <v>44000000011101</v>
      </c>
      <c r="B10">
        <v>2015</v>
      </c>
      <c r="C10">
        <v>569</v>
      </c>
      <c r="D10" t="s">
        <v>66</v>
      </c>
      <c r="E10">
        <v>8</v>
      </c>
      <c r="F10" t="s">
        <v>67</v>
      </c>
      <c r="G10" t="s">
        <v>68</v>
      </c>
      <c r="H10" t="s">
        <v>69</v>
      </c>
      <c r="I10" t="b">
        <v>1</v>
      </c>
      <c r="J10">
        <v>4225449</v>
      </c>
      <c r="K10">
        <v>12555646</v>
      </c>
      <c r="M10">
        <v>-1588619</v>
      </c>
      <c r="N10">
        <v>-1474724</v>
      </c>
      <c r="O10">
        <v>8935112</v>
      </c>
      <c r="P10">
        <v>391341</v>
      </c>
      <c r="Q10">
        <v>4391299</v>
      </c>
      <c r="R10">
        <v>159496076</v>
      </c>
      <c r="S10">
        <v>163887375</v>
      </c>
      <c r="T10">
        <v>1377973</v>
      </c>
      <c r="U10">
        <v>1591483</v>
      </c>
      <c r="V10">
        <v>2576024</v>
      </c>
      <c r="W10">
        <v>-412759</v>
      </c>
      <c r="Y10">
        <v>35557</v>
      </c>
      <c r="Z10">
        <v>-11248</v>
      </c>
      <c r="AA10">
        <v>-4240537</v>
      </c>
      <c r="AB10">
        <v>132779243</v>
      </c>
      <c r="AC10">
        <v>128538706</v>
      </c>
      <c r="AD10">
        <v>35348669</v>
      </c>
      <c r="AE10">
        <v>26716833</v>
      </c>
      <c r="AF10">
        <v>8631836</v>
      </c>
      <c r="AG10">
        <v>38448124</v>
      </c>
      <c r="AH10">
        <v>3.5839798061408669E-2</v>
      </c>
      <c r="AI10" t="b">
        <v>1</v>
      </c>
      <c r="AK10">
        <v>0.08</v>
      </c>
      <c r="AL10">
        <v>0.08</v>
      </c>
      <c r="AM10">
        <v>0.08</v>
      </c>
      <c r="AN10">
        <v>0.08</v>
      </c>
      <c r="AO10">
        <v>1</v>
      </c>
      <c r="AP10">
        <v>0</v>
      </c>
      <c r="AS10">
        <v>55384701.777999997</v>
      </c>
      <c r="AT10">
        <v>18659898.872000001</v>
      </c>
      <c r="BB10">
        <f>AC10/S10</f>
        <v>0.78431121372222845</v>
      </c>
      <c r="BD10">
        <f t="shared" si="3"/>
        <v>20036032.777999997</v>
      </c>
      <c r="BE10">
        <f t="shared" si="4"/>
        <v>-16688770.127999999</v>
      </c>
      <c r="BF10">
        <f t="shared" si="5"/>
        <v>12.225488862702205</v>
      </c>
      <c r="BG10">
        <f t="shared" si="6"/>
        <v>-10.18307244716074</v>
      </c>
      <c r="BH10">
        <f t="shared" si="7"/>
        <v>11.204280654931473</v>
      </c>
      <c r="BI10">
        <f t="shared" si="8"/>
        <v>102.12082077707323</v>
      </c>
      <c r="BJ10">
        <f t="shared" si="9"/>
        <v>11</v>
      </c>
      <c r="BK10">
        <f>IF($BJ10&lt;=30,IF($B10=2015,VLOOKUP($BJ10,'Treasury Yields'!$C$5:$N$34,$E10,FALSE)/100,IF($B10=2016,VLOOKUP($BJ10,'Treasury Yields'!$C$40:$N$69,$E10,FALSE)/100,IF($B10=2017,VLOOKUP($BJ10,'Treasury Yields'!$C$75:$N$104,$E10,FALSE)/100,IF($B10=2018,VLOOKUP($BJ10,'Treasury Yields'!$C$110:$N$139,$E10,FALSE)/100,IF($B10=2019,VLOOKUP($BJ10,'Treasury Yields'!$C$145:$N$174,$E10,FALSE)/100,IF($B10=2020,VLOOKUP($BJ10,'Treasury Yields'!$C$180:$N$209,$E10,FALSE)/100,IF($B10=2021,VLOOKUP($BJ10,'Treasury Yields'!$C$215:$N$244,$E10,FALSE)/100,IF($B10=2022,VLOOKUP($BJ10,'Treasury Yields'!$C$250:$N$279,$E10,FALSE)/100)))))))),0)</f>
        <v>2.4837999999999999E-2</v>
      </c>
      <c r="BL10">
        <f t="shared" si="10"/>
        <v>1.6210933757313299</v>
      </c>
      <c r="BM10">
        <f t="shared" si="11"/>
        <v>258558032.25874075</v>
      </c>
      <c r="BN10">
        <f t="shared" si="12"/>
        <v>125778789.25874075</v>
      </c>
      <c r="BP10">
        <f>IF($BJ10&lt;=30,IF($B10=2015,VLOOKUP($BJ10,'Treasury Yields'!$C$40:$N$69,$E10,FALSE)/100,IF($B10=2016,VLOOKUP($BJ10,'Treasury Yields'!$C$75:$N$104,$E10,FALSE)/100,IF($B10=2017,VLOOKUP($BJ10,'Treasury Yields'!$C$110:$N$139,$E10,FALSE)/100,IF($B10=2018,VLOOKUP($BJ10,'Treasury Yields'!$C$145:$N$174,$E10,FALSE)/100,IF($B10=2019,VLOOKUP($BJ10,'Treasury Yields'!$C$180:$N$209,$E10,FALSE)/100,IF($B10=2020,VLOOKUP($BJ10,'Treasury Yields'!$C$215:$N$244,$E10,FALSE)/100,IF($B10=2021,VLOOKUP($BJ10,'Treasury Yields'!$C$250:$N$279,$E10,FALSE)/100,IF($B10=2022,VLOOKUP($BJ10,'Treasury Yields'!$C$285:$N$314,$E10,FALSE)/100)))))))),0)</f>
        <v>2.4837999999999999E-2</v>
      </c>
      <c r="BQ10">
        <f>1+BH10*(AN10-BP10)+(AN10-BP10)^2</f>
        <v>1.6210933757313299</v>
      </c>
      <c r="BR10">
        <f t="shared" si="14"/>
        <v>265676737.97849637</v>
      </c>
      <c r="BS10">
        <f>BR10-AC10</f>
        <v>137138031.97849637</v>
      </c>
      <c r="BU10">
        <f t="shared" si="16"/>
        <v>14</v>
      </c>
      <c r="BV10">
        <f>1+(BH10+BU10)*(AN10-BK10)+(AN10-BK10)^2*BI10</f>
        <v>2.7010564854230448</v>
      </c>
      <c r="BW10">
        <f>BV10*J10</f>
        <v>11413176.42527432</v>
      </c>
      <c r="BX10" s="5">
        <f t="shared" si="19"/>
        <v>6483614.5694375662</v>
      </c>
      <c r="BY10" s="5">
        <f t="shared" si="20"/>
        <v>3185643.7318035662</v>
      </c>
      <c r="BZ10" s="5">
        <f t="shared" si="21"/>
        <v>16781095</v>
      </c>
      <c r="CA10" s="5">
        <f t="shared" si="22"/>
        <v>14598820.157077886</v>
      </c>
      <c r="CB10" s="5"/>
      <c r="CC10" s="5">
        <f t="shared" si="23"/>
        <v>265676737.97849637</v>
      </c>
      <c r="CD10" s="5" t="str">
        <f t="shared" si="0"/>
        <v>Texas</v>
      </c>
      <c r="CE10" s="5">
        <f t="shared" si="1"/>
        <v>0.78431121372222845</v>
      </c>
      <c r="CF10" s="5">
        <f t="shared" si="24"/>
        <v>0.48381618570762414</v>
      </c>
      <c r="CG10" s="5"/>
      <c r="CH10" s="5"/>
      <c r="CI10" s="5"/>
    </row>
    <row r="11" spans="1:88" x14ac:dyDescent="0.2">
      <c r="A11">
        <v>44000000011101</v>
      </c>
      <c r="B11">
        <v>2016</v>
      </c>
      <c r="C11">
        <v>569</v>
      </c>
      <c r="D11" t="s">
        <v>66</v>
      </c>
      <c r="E11">
        <v>8</v>
      </c>
      <c r="F11" t="s">
        <v>67</v>
      </c>
      <c r="G11" t="s">
        <v>68</v>
      </c>
      <c r="H11" t="s">
        <v>69</v>
      </c>
      <c r="I11" t="b">
        <v>1</v>
      </c>
      <c r="J11">
        <v>4392077</v>
      </c>
      <c r="K11">
        <v>12896571</v>
      </c>
      <c r="M11">
        <v>373669</v>
      </c>
      <c r="O11">
        <v>9379123</v>
      </c>
      <c r="P11">
        <v>373419</v>
      </c>
      <c r="Q11">
        <v>7909775</v>
      </c>
      <c r="R11">
        <v>163887375</v>
      </c>
      <c r="S11">
        <v>171797150</v>
      </c>
      <c r="T11">
        <v>1483390</v>
      </c>
      <c r="U11">
        <v>1675631</v>
      </c>
      <c r="V11">
        <v>2943669</v>
      </c>
      <c r="W11">
        <v>9193281</v>
      </c>
      <c r="Y11">
        <v>44403</v>
      </c>
      <c r="Z11">
        <v>-29095</v>
      </c>
      <c r="AA11">
        <v>5469931</v>
      </c>
      <c r="AB11">
        <v>128538706</v>
      </c>
      <c r="AC11">
        <v>134008637</v>
      </c>
      <c r="AD11">
        <v>37788513</v>
      </c>
      <c r="AE11">
        <v>35348669</v>
      </c>
      <c r="AF11">
        <v>2439844</v>
      </c>
      <c r="AG11">
        <v>40742826</v>
      </c>
      <c r="AH11">
        <v>3.6408618292702623E-2</v>
      </c>
      <c r="AI11" t="b">
        <v>1</v>
      </c>
      <c r="AK11">
        <v>0.08</v>
      </c>
      <c r="AL11">
        <v>0.08</v>
      </c>
      <c r="AM11">
        <v>0.08</v>
      </c>
      <c r="AN11">
        <v>0.08</v>
      </c>
      <c r="AO11">
        <v>1</v>
      </c>
      <c r="AP11">
        <v>0</v>
      </c>
      <c r="AS11">
        <v>58483889</v>
      </c>
      <c r="AT11">
        <v>20234651</v>
      </c>
      <c r="AU11" t="s">
        <v>56</v>
      </c>
      <c r="AV11" t="s">
        <v>70</v>
      </c>
      <c r="BB11">
        <f t="shared" si="2"/>
        <v>0.78003993081375333</v>
      </c>
      <c r="BD11">
        <f t="shared" si="3"/>
        <v>20695376</v>
      </c>
      <c r="BE11">
        <f t="shared" si="4"/>
        <v>-17553862</v>
      </c>
      <c r="BF11">
        <f t="shared" si="5"/>
        <v>12.046402399574148</v>
      </c>
      <c r="BG11">
        <f t="shared" si="6"/>
        <v>-10.217784171623336</v>
      </c>
      <c r="BH11">
        <f t="shared" si="7"/>
        <v>11.132093285598742</v>
      </c>
      <c r="BI11">
        <f t="shared" si="8"/>
        <v>91.43091139754064</v>
      </c>
      <c r="BJ11">
        <f t="shared" si="9"/>
        <v>11</v>
      </c>
      <c r="BK11">
        <f>IF($BJ11&lt;=30,IF($B11=2015,VLOOKUP($BJ11,'Treasury Yields'!$C$5:$N$34,$E11,FALSE)/100,IF($B11=2016,VLOOKUP($BJ11,'Treasury Yields'!$C$40:$N$69,$E11,FALSE)/100,IF($B11=2017,VLOOKUP($BJ11,'Treasury Yields'!$C$75:$N$104,$E11,FALSE)/100,IF($B11=2018,VLOOKUP($BJ11,'Treasury Yields'!$C$110:$N$139,$E11,FALSE)/100,IF($B11=2019,VLOOKUP($BJ11,'Treasury Yields'!$C$145:$N$174,$E11,FALSE)/100,IF($B11=2020,VLOOKUP($BJ11,'Treasury Yields'!$C$180:$N$209,$E11,FALSE)/100,IF($B11=2021,VLOOKUP($BJ11,'Treasury Yields'!$C$215:$N$244,$E11,FALSE)/100,IF($B11=2022,VLOOKUP($BJ11,'Treasury Yields'!$C$250:$N$279,$E11,FALSE)/100)))))))),0)</f>
        <v>2.4837999999999999E-2</v>
      </c>
      <c r="BL11">
        <f t="shared" si="10"/>
        <v>1.617111376064198</v>
      </c>
      <c r="BM11">
        <f t="shared" si="11"/>
        <v>265024138.50579923</v>
      </c>
      <c r="BN11">
        <f t="shared" si="12"/>
        <v>136485432.50579923</v>
      </c>
      <c r="BP11">
        <f>IF($BJ11&lt;=30,IF($B11=2015,VLOOKUP($BJ11,'Treasury Yields'!$C$40:$N$69,$E11,FALSE)/100,IF($B11=2016,VLOOKUP($BJ11,'Treasury Yields'!$C$75:$N$104,$E11,FALSE)/100,IF($B11=2017,VLOOKUP($BJ11,'Treasury Yields'!$C$110:$N$139,$E11,FALSE)/100,IF($B11=2018,VLOOKUP($BJ11,'Treasury Yields'!$C$145:$N$174,$E11,FALSE)/100,IF($B11=2019,VLOOKUP($BJ11,'Treasury Yields'!$C$180:$N$209,$E11,FALSE)/100,IF($B11=2020,VLOOKUP($BJ11,'Treasury Yields'!$C$215:$N$244,$E11,FALSE)/100,IF($B11=2021,VLOOKUP($BJ11,'Treasury Yields'!$C$250:$N$279,$E11,FALSE)/100,IF($B11=2022,VLOOKUP($BJ11,'Treasury Yields'!$C$285:$N$314,$E11,FALSE)/100)))))))),0)</f>
        <v>1.7736000000000002E-2</v>
      </c>
      <c r="BQ11">
        <f t="shared" si="13"/>
        <v>1.6970054620305199</v>
      </c>
      <c r="BR11">
        <f t="shared" si="14"/>
        <v>291540701.91127652</v>
      </c>
      <c r="BS11">
        <f t="shared" si="15"/>
        <v>157532064.91127652</v>
      </c>
      <c r="BU11">
        <f t="shared" si="16"/>
        <v>14</v>
      </c>
      <c r="BV11">
        <f t="shared" si="17"/>
        <v>2.6645467351517014</v>
      </c>
      <c r="BW11">
        <f t="shared" si="18"/>
        <v>11702894.430884879</v>
      </c>
      <c r="BX11" s="5">
        <f t="shared" si="19"/>
        <v>6640387.3870073603</v>
      </c>
      <c r="BY11" s="5">
        <f t="shared" si="20"/>
        <v>3447743.0073793596</v>
      </c>
      <c r="BZ11" s="5">
        <f t="shared" si="21"/>
        <v>17288648</v>
      </c>
      <c r="CA11" s="5">
        <f t="shared" si="22"/>
        <v>15150637.43826424</v>
      </c>
      <c r="CB11" s="5"/>
      <c r="CC11" s="5">
        <f t="shared" si="23"/>
        <v>291540701.91127652</v>
      </c>
      <c r="CD11" s="5" t="str">
        <f t="shared" si="0"/>
        <v>Texas</v>
      </c>
      <c r="CE11" s="5">
        <f t="shared" si="1"/>
        <v>0.78003993081375333</v>
      </c>
      <c r="CF11" s="5">
        <f t="shared" si="24"/>
        <v>0.45965670015016408</v>
      </c>
      <c r="CG11" s="5"/>
      <c r="CH11" s="5"/>
      <c r="CI11" s="5"/>
    </row>
    <row r="12" spans="1:88" x14ac:dyDescent="0.2">
      <c r="A12">
        <v>44000000011101</v>
      </c>
      <c r="B12">
        <v>2017</v>
      </c>
      <c r="C12">
        <v>569</v>
      </c>
      <c r="D12" t="s">
        <v>66</v>
      </c>
      <c r="E12">
        <v>8</v>
      </c>
      <c r="F12" t="s">
        <v>67</v>
      </c>
      <c r="G12" t="s">
        <v>68</v>
      </c>
      <c r="H12" t="s">
        <v>69</v>
      </c>
      <c r="I12" t="b">
        <v>1</v>
      </c>
      <c r="J12">
        <v>4489046</v>
      </c>
      <c r="K12">
        <v>13515486</v>
      </c>
      <c r="M12">
        <v>-969831</v>
      </c>
      <c r="N12">
        <v>700880</v>
      </c>
      <c r="O12">
        <v>9775775</v>
      </c>
      <c r="P12">
        <v>420421</v>
      </c>
      <c r="Q12">
        <v>7539385</v>
      </c>
      <c r="R12">
        <v>171797150</v>
      </c>
      <c r="S12">
        <v>179336535</v>
      </c>
      <c r="T12">
        <v>1588309</v>
      </c>
      <c r="U12">
        <v>1697963</v>
      </c>
      <c r="V12">
        <v>3242556</v>
      </c>
      <c r="W12">
        <v>17079807</v>
      </c>
      <c r="Y12">
        <v>44190</v>
      </c>
      <c r="Z12">
        <v>-14964</v>
      </c>
      <c r="AA12">
        <v>13353285</v>
      </c>
      <c r="AB12">
        <v>134008637</v>
      </c>
      <c r="AC12">
        <v>147361922</v>
      </c>
      <c r="AD12">
        <v>31974613</v>
      </c>
      <c r="AE12">
        <v>37788513</v>
      </c>
      <c r="AF12">
        <v>-5813900</v>
      </c>
      <c r="AG12">
        <v>42111120</v>
      </c>
      <c r="AH12">
        <v>3.7717092302460731E-2</v>
      </c>
      <c r="AI12" t="b">
        <v>1</v>
      </c>
      <c r="AJ12">
        <v>1</v>
      </c>
      <c r="AK12">
        <v>0.08</v>
      </c>
      <c r="AL12">
        <v>0.08</v>
      </c>
      <c r="AM12">
        <v>0.08</v>
      </c>
      <c r="AN12">
        <v>0.08</v>
      </c>
      <c r="AO12">
        <v>1</v>
      </c>
      <c r="AP12">
        <v>0</v>
      </c>
      <c r="AS12">
        <v>53902880</v>
      </c>
      <c r="AT12">
        <v>13715772</v>
      </c>
      <c r="AU12" t="s">
        <v>58</v>
      </c>
      <c r="AV12" t="s">
        <v>71</v>
      </c>
      <c r="BB12">
        <f t="shared" si="2"/>
        <v>0.82170608459676109</v>
      </c>
      <c r="BD12">
        <f t="shared" si="3"/>
        <v>21928267</v>
      </c>
      <c r="BE12">
        <f t="shared" si="4"/>
        <v>-18258841</v>
      </c>
      <c r="BF12">
        <f t="shared" si="5"/>
        <v>12.227439879999912</v>
      </c>
      <c r="BG12">
        <f t="shared" si="6"/>
        <v>-10.181328082423361</v>
      </c>
      <c r="BH12">
        <f t="shared" si="7"/>
        <v>11.204383981211636</v>
      </c>
      <c r="BI12">
        <f t="shared" si="8"/>
        <v>102.30558987882753</v>
      </c>
      <c r="BJ12">
        <f t="shared" si="9"/>
        <v>11</v>
      </c>
      <c r="BK12">
        <f>IF($BJ12&lt;=30,IF($B12=2015,VLOOKUP($BJ12,'Treasury Yields'!$C$5:$N$34,$E12,FALSE)/100,IF($B12=2016,VLOOKUP($BJ12,'Treasury Yields'!$C$40:$N$69,$E12,FALSE)/100,IF($B12=2017,VLOOKUP($BJ12,'Treasury Yields'!$C$75:$N$104,$E12,FALSE)/100,IF($B12=2018,VLOOKUP($BJ12,'Treasury Yields'!$C$110:$N$139,$E12,FALSE)/100,IF($B12=2019,VLOOKUP($BJ12,'Treasury Yields'!$C$145:$N$174,$E12,FALSE)/100,IF($B12=2020,VLOOKUP($BJ12,'Treasury Yields'!$C$180:$N$209,$E12,FALSE)/100,IF($B12=2021,VLOOKUP($BJ12,'Treasury Yields'!$C$215:$N$244,$E12,FALSE)/100,IF($B12=2022,VLOOKUP($BJ12,'Treasury Yields'!$C$250:$N$279,$E12,FALSE)/100)))))))),0)</f>
        <v>1.7736000000000002E-2</v>
      </c>
      <c r="BL12">
        <f t="shared" si="10"/>
        <v>1.7015065699021612</v>
      </c>
      <c r="BM12">
        <f t="shared" si="11"/>
        <v>292313979.41546708</v>
      </c>
      <c r="BN12">
        <f t="shared" si="12"/>
        <v>158305342.41546708</v>
      </c>
      <c r="BP12">
        <f>IF($BJ12&lt;=30,IF($B12=2015,VLOOKUP($BJ12,'Treasury Yields'!$C$40:$N$69,$E12,FALSE)/100,IF($B12=2016,VLOOKUP($BJ12,'Treasury Yields'!$C$75:$N$104,$E12,FALSE)/100,IF($B12=2017,VLOOKUP($BJ12,'Treasury Yields'!$C$110:$N$139,$E12,FALSE)/100,IF($B12=2018,VLOOKUP($BJ12,'Treasury Yields'!$C$145:$N$174,$E12,FALSE)/100,IF($B12=2019,VLOOKUP($BJ12,'Treasury Yields'!$C$180:$N$209,$E12,FALSE)/100,IF($B12=2020,VLOOKUP($BJ12,'Treasury Yields'!$C$215:$N$244,$E12,FALSE)/100,IF($B12=2021,VLOOKUP($BJ12,'Treasury Yields'!$C$250:$N$279,$E12,FALSE)/100,IF($B12=2022,VLOOKUP($BJ12,'Treasury Yields'!$C$285:$N$314,$E12,FALSE)/100)))))))),0)</f>
        <v>2.29824E-2</v>
      </c>
      <c r="BQ12">
        <f t="shared" si="13"/>
        <v>1.6420980907968925</v>
      </c>
      <c r="BR12">
        <f t="shared" si="14"/>
        <v>294488181.73363006</v>
      </c>
      <c r="BS12">
        <f t="shared" si="15"/>
        <v>147126259.73363006</v>
      </c>
      <c r="BU12">
        <f t="shared" si="16"/>
        <v>14</v>
      </c>
      <c r="BV12">
        <f t="shared" si="17"/>
        <v>2.9659446577810402</v>
      </c>
      <c r="BW12">
        <f t="shared" si="18"/>
        <v>13314262.002233347</v>
      </c>
      <c r="BX12" s="5">
        <f t="shared" si="19"/>
        <v>5247239.344384335</v>
      </c>
      <c r="BY12" s="5">
        <f t="shared" si="20"/>
        <v>2870462.1585523351</v>
      </c>
      <c r="BZ12" s="5">
        <f t="shared" si="21"/>
        <v>18004532</v>
      </c>
      <c r="CA12" s="5">
        <f t="shared" si="22"/>
        <v>16184724.160785682</v>
      </c>
      <c r="CB12" s="5"/>
      <c r="CC12" s="5">
        <f t="shared" si="23"/>
        <v>294488181.73363006</v>
      </c>
      <c r="CD12" s="5" t="str">
        <f t="shared" si="0"/>
        <v>Texas</v>
      </c>
      <c r="CE12" s="5">
        <f t="shared" si="1"/>
        <v>0.82170608459676109</v>
      </c>
      <c r="CF12" s="5">
        <f t="shared" si="24"/>
        <v>0.50040012177226023</v>
      </c>
      <c r="CG12" s="5"/>
      <c r="CH12" s="5"/>
      <c r="CI12" s="5"/>
    </row>
    <row r="13" spans="1:88" x14ac:dyDescent="0.2">
      <c r="A13">
        <v>44000000011101</v>
      </c>
      <c r="B13">
        <v>2018</v>
      </c>
      <c r="C13">
        <v>569</v>
      </c>
      <c r="D13" t="s">
        <v>66</v>
      </c>
      <c r="E13">
        <v>8</v>
      </c>
      <c r="F13" t="s">
        <v>67</v>
      </c>
      <c r="G13" t="s">
        <v>68</v>
      </c>
      <c r="H13" t="s">
        <v>69</v>
      </c>
      <c r="I13" t="b">
        <v>1</v>
      </c>
      <c r="J13">
        <v>4654171</v>
      </c>
      <c r="K13">
        <v>14109277</v>
      </c>
      <c r="M13">
        <v>0</v>
      </c>
      <c r="N13">
        <v>22106679</v>
      </c>
      <c r="O13">
        <v>10172997</v>
      </c>
      <c r="P13">
        <v>422336</v>
      </c>
      <c r="Q13">
        <v>30274794</v>
      </c>
      <c r="R13">
        <v>179336535</v>
      </c>
      <c r="S13">
        <v>209611329</v>
      </c>
      <c r="T13">
        <v>1671257</v>
      </c>
      <c r="U13">
        <v>1715785</v>
      </c>
      <c r="V13">
        <v>3360773</v>
      </c>
      <c r="W13">
        <v>11242814</v>
      </c>
      <c r="Y13">
        <v>64926</v>
      </c>
      <c r="Z13">
        <v>-123390</v>
      </c>
      <c r="AA13">
        <v>7206980</v>
      </c>
      <c r="AB13">
        <v>147361922</v>
      </c>
      <c r="AC13">
        <v>154568902</v>
      </c>
      <c r="AD13">
        <v>55042427</v>
      </c>
      <c r="AE13">
        <v>31974613</v>
      </c>
      <c r="AF13">
        <v>23067814</v>
      </c>
      <c r="AG13">
        <v>43646405</v>
      </c>
      <c r="AH13">
        <v>3.8290828305332363E-2</v>
      </c>
      <c r="AI13" t="b">
        <v>1</v>
      </c>
      <c r="AJ13">
        <v>1</v>
      </c>
      <c r="AK13">
        <v>0.08</v>
      </c>
      <c r="AL13">
        <v>6.9070000000000006E-2</v>
      </c>
      <c r="AM13">
        <v>7.2499999999999995E-2</v>
      </c>
      <c r="AN13">
        <v>0.08</v>
      </c>
      <c r="AO13">
        <v>1</v>
      </c>
      <c r="AP13">
        <v>3.4299999999999886E-3</v>
      </c>
      <c r="AS13">
        <v>83072221</v>
      </c>
      <c r="AT13">
        <v>32350646</v>
      </c>
      <c r="AU13" t="s">
        <v>72</v>
      </c>
      <c r="AV13" t="s">
        <v>73</v>
      </c>
      <c r="BB13">
        <f t="shared" si="2"/>
        <v>0.7374071942456889</v>
      </c>
      <c r="BD13">
        <f t="shared" si="3"/>
        <v>28029794</v>
      </c>
      <c r="BE13">
        <f t="shared" si="4"/>
        <v>-22691781</v>
      </c>
      <c r="BF13">
        <f t="shared" si="5"/>
        <v>13.372270541732027</v>
      </c>
      <c r="BG13">
        <f t="shared" si="6"/>
        <v>-10.825646260751489</v>
      </c>
      <c r="BH13">
        <f t="shared" si="7"/>
        <v>12.098958401241758</v>
      </c>
      <c r="BI13">
        <f t="shared" si="8"/>
        <v>127.3312140490269</v>
      </c>
      <c r="BJ13">
        <f t="shared" si="9"/>
        <v>12</v>
      </c>
      <c r="BK13">
        <f>IF($BJ13&lt;=30,IF($B13=2015,VLOOKUP($BJ13,'Treasury Yields'!$C$5:$N$34,$E13,FALSE)/100,IF($B13=2016,VLOOKUP($BJ13,'Treasury Yields'!$C$40:$N$69,$E13,FALSE)/100,IF($B13=2017,VLOOKUP($BJ13,'Treasury Yields'!$C$75:$N$104,$E13,FALSE)/100,IF($B13=2018,VLOOKUP($BJ13,'Treasury Yields'!$C$110:$N$139,$E13,FALSE)/100,IF($B13=2019,VLOOKUP($BJ13,'Treasury Yields'!$C$145:$N$174,$E13,FALSE)/100,IF($B13=2020,VLOOKUP($BJ13,'Treasury Yields'!$C$180:$N$209,$E13,FALSE)/100,IF($B13=2021,VLOOKUP($BJ13,'Treasury Yields'!$C$215:$N$244,$E13,FALSE)/100,IF($B13=2022,VLOOKUP($BJ13,'Treasury Yields'!$C$250:$N$279,$E13,FALSE)/100)))))))),0)</f>
        <v>2.3344800000000002E-2</v>
      </c>
      <c r="BL13">
        <f t="shared" si="10"/>
        <v>1.5553180866034999</v>
      </c>
      <c r="BM13">
        <f t="shared" si="11"/>
        <v>278925356.47430158</v>
      </c>
      <c r="BN13">
        <f t="shared" si="12"/>
        <v>131563434.47430158</v>
      </c>
      <c r="BP13">
        <f>IF($BJ13&lt;=30,IF($B13=2015,VLOOKUP($BJ13,'Treasury Yields'!$C$40:$N$69,$E13,FALSE)/100,IF($B13=2016,VLOOKUP($BJ13,'Treasury Yields'!$C$75:$N$104,$E13,FALSE)/100,IF($B13=2017,VLOOKUP($BJ13,'Treasury Yields'!$C$110:$N$139,$E13,FALSE)/100,IF($B13=2018,VLOOKUP($BJ13,'Treasury Yields'!$C$145:$N$174,$E13,FALSE)/100,IF($B13=2019,VLOOKUP($BJ13,'Treasury Yields'!$C$180:$N$209,$E13,FALSE)/100,IF($B13=2020,VLOOKUP($BJ13,'Treasury Yields'!$C$215:$N$244,$E13,FALSE)/100,IF($B13=2021,VLOOKUP($BJ13,'Treasury Yields'!$C$250:$N$279,$E13,FALSE)/100,IF($B13=2022,VLOOKUP($BJ13,'Treasury Yields'!$C$285:$N$314,$E13,FALSE)/100)))))))),0)</f>
        <v>2.8935352380952385E-2</v>
      </c>
      <c r="BQ13">
        <f t="shared" si="13"/>
        <v>1.6204366455533836</v>
      </c>
      <c r="BR13">
        <f t="shared" si="14"/>
        <v>339661878.83474666</v>
      </c>
      <c r="BS13">
        <f t="shared" si="15"/>
        <v>185092976.83474666</v>
      </c>
      <c r="BU13">
        <f t="shared" si="16"/>
        <v>15</v>
      </c>
      <c r="BV13">
        <f t="shared" si="17"/>
        <v>2.9440061269935907</v>
      </c>
      <c r="BW13">
        <f t="shared" si="18"/>
        <v>13701907.940075887</v>
      </c>
      <c r="BX13" s="5">
        <f t="shared" si="19"/>
        <v>6593838.3819351597</v>
      </c>
      <c r="BY13" s="5">
        <f t="shared" si="20"/>
        <v>3153703.7852295591</v>
      </c>
      <c r="BZ13" s="5">
        <f t="shared" si="21"/>
        <v>18763448</v>
      </c>
      <c r="CA13" s="5">
        <f t="shared" si="22"/>
        <v>16855611.725305445</v>
      </c>
      <c r="CB13" s="5"/>
      <c r="CC13" s="5">
        <f t="shared" si="23"/>
        <v>339661878.83474666</v>
      </c>
      <c r="CD13" s="5" t="str">
        <f t="shared" si="0"/>
        <v>Texas</v>
      </c>
      <c r="CE13" s="5">
        <f t="shared" si="1"/>
        <v>0.7374071942456889</v>
      </c>
      <c r="CF13" s="5">
        <f t="shared" si="24"/>
        <v>0.45506696992393819</v>
      </c>
      <c r="CG13" s="5"/>
      <c r="CH13" s="5"/>
      <c r="CI13" s="5"/>
    </row>
    <row r="14" spans="1:88" x14ac:dyDescent="0.2">
      <c r="A14">
        <v>44000000011101</v>
      </c>
      <c r="B14">
        <v>2019</v>
      </c>
      <c r="C14">
        <v>569</v>
      </c>
      <c r="D14" t="s">
        <v>66</v>
      </c>
      <c r="E14">
        <v>8</v>
      </c>
      <c r="F14" t="s">
        <v>67</v>
      </c>
      <c r="G14" t="s">
        <v>68</v>
      </c>
      <c r="H14" t="s">
        <v>69</v>
      </c>
      <c r="I14" t="b">
        <v>1</v>
      </c>
      <c r="J14">
        <v>5642075</v>
      </c>
      <c r="K14">
        <v>14267256</v>
      </c>
      <c r="M14">
        <v>-982694</v>
      </c>
      <c r="N14">
        <v>-7425279</v>
      </c>
      <c r="O14">
        <v>11253729</v>
      </c>
      <c r="P14">
        <v>486461</v>
      </c>
      <c r="Q14">
        <v>349996</v>
      </c>
      <c r="R14">
        <v>209611329</v>
      </c>
      <c r="S14">
        <v>209961325</v>
      </c>
      <c r="T14">
        <v>1761822</v>
      </c>
      <c r="U14">
        <v>1737852</v>
      </c>
      <c r="V14">
        <v>3482870</v>
      </c>
      <c r="W14">
        <v>7669029</v>
      </c>
      <c r="Y14">
        <v>60486</v>
      </c>
      <c r="Z14">
        <v>558400</v>
      </c>
      <c r="AA14">
        <v>3409297</v>
      </c>
      <c r="AB14">
        <v>154568902</v>
      </c>
      <c r="AC14">
        <v>157978199</v>
      </c>
      <c r="AD14">
        <v>51983126</v>
      </c>
      <c r="AE14">
        <v>55042427</v>
      </c>
      <c r="AF14">
        <v>-3059301</v>
      </c>
      <c r="AG14">
        <v>45232074</v>
      </c>
      <c r="AH14">
        <v>3.895072332964436E-2</v>
      </c>
      <c r="AI14" t="b">
        <v>1</v>
      </c>
      <c r="AK14">
        <v>6.9070000000000006E-2</v>
      </c>
      <c r="AL14">
        <v>7.2499999999999995E-2</v>
      </c>
      <c r="AM14">
        <v>7.2499999999999995E-2</v>
      </c>
      <c r="AN14">
        <v>7.2499999999999995E-2</v>
      </c>
      <c r="AO14">
        <v>1</v>
      </c>
      <c r="AP14">
        <v>0</v>
      </c>
      <c r="AQ14">
        <v>2.63E-2</v>
      </c>
      <c r="AS14">
        <v>79905617</v>
      </c>
      <c r="AT14">
        <v>29360519</v>
      </c>
      <c r="AU14" t="s">
        <v>54</v>
      </c>
      <c r="AV14" t="s">
        <v>74</v>
      </c>
      <c r="BB14">
        <f t="shared" si="2"/>
        <v>0.75241570798812596</v>
      </c>
      <c r="BD14">
        <f t="shared" si="3"/>
        <v>27922491</v>
      </c>
      <c r="BE14">
        <f t="shared" si="4"/>
        <v>-22622607</v>
      </c>
      <c r="BF14">
        <f t="shared" si="5"/>
        <v>13.298873494916267</v>
      </c>
      <c r="BG14">
        <f t="shared" si="6"/>
        <v>-10.774654332172842</v>
      </c>
      <c r="BH14">
        <f t="shared" si="7"/>
        <v>12.036763913544554</v>
      </c>
      <c r="BI14">
        <f t="shared" si="8"/>
        <v>126.21095813717122</v>
      </c>
      <c r="BJ14">
        <f t="shared" si="9"/>
        <v>12</v>
      </c>
      <c r="BK14">
        <f>IF($BJ14&lt;=30,IF($B14=2015,VLOOKUP($BJ14,'Treasury Yields'!$C$5:$N$34,$E14,FALSE)/100,IF($B14=2016,VLOOKUP($BJ14,'Treasury Yields'!$C$40:$N$69,$E14,FALSE)/100,IF($B14=2017,VLOOKUP($BJ14,'Treasury Yields'!$C$75:$N$104,$E14,FALSE)/100,IF($B14=2018,VLOOKUP($BJ14,'Treasury Yields'!$C$110:$N$139,$E14,FALSE)/100,IF($B14=2019,VLOOKUP($BJ14,'Treasury Yields'!$C$145:$N$174,$E14,FALSE)/100,IF($B14=2020,VLOOKUP($BJ14,'Treasury Yields'!$C$180:$N$209,$E14,FALSE)/100,IF($B14=2021,VLOOKUP($BJ14,'Treasury Yields'!$C$215:$N$244,$E14,FALSE)/100,IF($B14=2022,VLOOKUP($BJ14,'Treasury Yields'!$C$250:$N$279,$E14,FALSE)/100)))))))),0)</f>
        <v>2.8935352380952385E-2</v>
      </c>
      <c r="BL14">
        <f t="shared" si="10"/>
        <v>1.5262752568894087</v>
      </c>
      <c r="BM14">
        <f t="shared" si="11"/>
        <v>319924585.01640534</v>
      </c>
      <c r="BN14">
        <f t="shared" si="12"/>
        <v>165355683.01640534</v>
      </c>
      <c r="BP14">
        <f>IF($BJ14&lt;=30,IF($B14=2015,VLOOKUP($BJ14,'Treasury Yields'!$C$40:$N$69,$E14,FALSE)/100,IF($B14=2016,VLOOKUP($BJ14,'Treasury Yields'!$C$75:$N$104,$E14,FALSE)/100,IF($B14=2017,VLOOKUP($BJ14,'Treasury Yields'!$C$110:$N$139,$E14,FALSE)/100,IF($B14=2018,VLOOKUP($BJ14,'Treasury Yields'!$C$145:$N$174,$E14,FALSE)/100,IF($B14=2019,VLOOKUP($BJ14,'Treasury Yields'!$C$180:$N$209,$E14,FALSE)/100,IF($B14=2020,VLOOKUP($BJ14,'Treasury Yields'!$C$215:$N$244,$E14,FALSE)/100,IF($B14=2021,VLOOKUP($BJ14,'Treasury Yields'!$C$250:$N$279,$E14,FALSE)/100,IF($B14=2022,VLOOKUP($BJ14,'Treasury Yields'!$C$285:$N$314,$E14,FALSE)/100)))))))),0)</f>
        <v>1.6945999999999999E-2</v>
      </c>
      <c r="BQ14">
        <f t="shared" si="13"/>
        <v>1.6717766293690541</v>
      </c>
      <c r="BR14">
        <f t="shared" si="14"/>
        <v>351008436.20636052</v>
      </c>
      <c r="BS14">
        <f t="shared" si="15"/>
        <v>193030237.20636052</v>
      </c>
      <c r="BU14">
        <f t="shared" si="16"/>
        <v>15</v>
      </c>
      <c r="BV14">
        <f t="shared" si="17"/>
        <v>2.4173801593642112</v>
      </c>
      <c r="BW14">
        <f t="shared" si="18"/>
        <v>13639040.162644831</v>
      </c>
      <c r="BX14" s="5">
        <f t="shared" si="19"/>
        <v>9326150.4218089953</v>
      </c>
      <c r="BY14" s="5">
        <f t="shared" si="20"/>
        <v>4853644.7753021</v>
      </c>
      <c r="BZ14" s="5">
        <f t="shared" si="21"/>
        <v>19909331</v>
      </c>
      <c r="CA14" s="5">
        <f t="shared" si="22"/>
        <v>18492684.937946931</v>
      </c>
      <c r="CB14" s="5"/>
      <c r="CC14" s="5">
        <f t="shared" si="23"/>
        <v>351008436.20636052</v>
      </c>
      <c r="CD14" s="5" t="str">
        <f t="shared" si="0"/>
        <v>Texas</v>
      </c>
      <c r="CE14" s="5">
        <f t="shared" si="1"/>
        <v>0.75241570798812596</v>
      </c>
      <c r="CF14" s="5">
        <f t="shared" si="24"/>
        <v>0.45006952171122011</v>
      </c>
      <c r="CG14" s="5"/>
      <c r="CH14" s="5"/>
      <c r="CI14" s="5"/>
    </row>
    <row r="15" spans="1:88" x14ac:dyDescent="0.2">
      <c r="A15">
        <v>44000000011101</v>
      </c>
      <c r="B15">
        <v>2020</v>
      </c>
      <c r="C15">
        <v>569</v>
      </c>
      <c r="D15" t="s">
        <v>66</v>
      </c>
      <c r="E15">
        <v>8</v>
      </c>
      <c r="F15" t="s">
        <v>67</v>
      </c>
      <c r="G15" t="s">
        <v>68</v>
      </c>
      <c r="H15" t="s">
        <v>69</v>
      </c>
      <c r="I15" t="b">
        <v>1</v>
      </c>
      <c r="J15">
        <v>5651647</v>
      </c>
      <c r="K15">
        <v>15014048</v>
      </c>
      <c r="M15">
        <v>-259157</v>
      </c>
      <c r="N15">
        <v>0</v>
      </c>
      <c r="O15">
        <v>10972292</v>
      </c>
      <c r="P15">
        <v>421366</v>
      </c>
      <c r="Q15">
        <v>9012880</v>
      </c>
      <c r="R15">
        <v>209961325</v>
      </c>
      <c r="S15">
        <v>218974205</v>
      </c>
      <c r="T15">
        <v>2016482</v>
      </c>
      <c r="U15">
        <v>2107999</v>
      </c>
      <c r="V15">
        <v>3736877</v>
      </c>
      <c r="W15">
        <v>11032131</v>
      </c>
      <c r="Y15">
        <v>67136</v>
      </c>
      <c r="Z15">
        <v>-31435</v>
      </c>
      <c r="AA15">
        <v>7438046</v>
      </c>
      <c r="AB15">
        <v>157978199</v>
      </c>
      <c r="AC15">
        <v>165416245</v>
      </c>
      <c r="AD15">
        <v>53557960</v>
      </c>
      <c r="AE15">
        <v>51983126</v>
      </c>
      <c r="AF15">
        <v>1574834</v>
      </c>
      <c r="AG15">
        <v>48530876</v>
      </c>
      <c r="AH15">
        <v>4.1550496636409369E-2</v>
      </c>
      <c r="AI15" t="b">
        <v>1</v>
      </c>
      <c r="AK15">
        <v>7.2499999999999995E-2</v>
      </c>
      <c r="AL15">
        <v>7.2499999999999995E-2</v>
      </c>
      <c r="AM15">
        <v>7.2499999999999995E-2</v>
      </c>
      <c r="AN15">
        <v>7.2499999999999995E-2</v>
      </c>
      <c r="AO15">
        <v>1</v>
      </c>
      <c r="AP15">
        <v>0</v>
      </c>
      <c r="AQ15">
        <v>2.3300000000000001E-2</v>
      </c>
      <c r="AS15">
        <v>82585416</v>
      </c>
      <c r="AT15">
        <v>29973788</v>
      </c>
      <c r="AU15" t="s">
        <v>75</v>
      </c>
      <c r="AV15" t="s">
        <v>76</v>
      </c>
      <c r="BB15">
        <f t="shared" si="2"/>
        <v>0.75541429640080204</v>
      </c>
      <c r="BD15">
        <f t="shared" si="3"/>
        <v>29027456</v>
      </c>
      <c r="BE15">
        <f t="shared" si="4"/>
        <v>-23584172</v>
      </c>
      <c r="BF15">
        <f t="shared" si="5"/>
        <v>13.256107494487765</v>
      </c>
      <c r="BG15">
        <f t="shared" si="6"/>
        <v>-10.770296894102207</v>
      </c>
      <c r="BH15">
        <f t="shared" si="7"/>
        <v>12.013202194294987</v>
      </c>
      <c r="BI15">
        <f t="shared" si="8"/>
        <v>124.29053001927784</v>
      </c>
      <c r="BJ15">
        <f t="shared" si="9"/>
        <v>12</v>
      </c>
      <c r="BK15">
        <f>IF($BJ15&lt;=30,IF($B15=2015,VLOOKUP($BJ15,'Treasury Yields'!$C$5:$N$34,$E15,FALSE)/100,IF($B15=2016,VLOOKUP($BJ15,'Treasury Yields'!$C$40:$N$69,$E15,FALSE)/100,IF($B15=2017,VLOOKUP($BJ15,'Treasury Yields'!$C$75:$N$104,$E15,FALSE)/100,IF($B15=2018,VLOOKUP($BJ15,'Treasury Yields'!$C$110:$N$139,$E15,FALSE)/100,IF($B15=2019,VLOOKUP($BJ15,'Treasury Yields'!$C$145:$N$174,$E15,FALSE)/100,IF($B15=2020,VLOOKUP($BJ15,'Treasury Yields'!$C$180:$N$209,$E15,FALSE)/100,IF($B15=2021,VLOOKUP($BJ15,'Treasury Yields'!$C$215:$N$244,$E15,FALSE)/100,IF($B15=2022,VLOOKUP($BJ15,'Treasury Yields'!$C$250:$N$279,$E15,FALSE)/100)))))))),0)</f>
        <v>1.6945999999999999E-2</v>
      </c>
      <c r="BL15">
        <f t="shared" si="10"/>
        <v>1.6704676816178636</v>
      </c>
      <c r="BM15">
        <f t="shared" si="11"/>
        <v>350733607.80216479</v>
      </c>
      <c r="BN15">
        <f t="shared" si="12"/>
        <v>192755408.80216479</v>
      </c>
      <c r="BP15">
        <f>IF($BJ15&lt;=30,IF($B15=2015,VLOOKUP($BJ15,'Treasury Yields'!$C$40:$N$69,$E15,FALSE)/100,IF($B15=2016,VLOOKUP($BJ15,'Treasury Yields'!$C$75:$N$104,$E15,FALSE)/100,IF($B15=2017,VLOOKUP($BJ15,'Treasury Yields'!$C$110:$N$139,$E15,FALSE)/100,IF($B15=2018,VLOOKUP($BJ15,'Treasury Yields'!$C$145:$N$174,$E15,FALSE)/100,IF($B15=2019,VLOOKUP($BJ15,'Treasury Yields'!$C$180:$N$209,$E15,FALSE)/100,IF($B15=2020,VLOOKUP($BJ15,'Treasury Yields'!$C$215:$N$244,$E15,FALSE)/100,IF($B15=2021,VLOOKUP($BJ15,'Treasury Yields'!$C$250:$N$279,$E15,FALSE)/100,IF($B15=2022,VLOOKUP($BJ15,'Treasury Yields'!$C$285:$N$314,$E15,FALSE)/100)))))))),0)</f>
        <v>1.2643047619047618E-2</v>
      </c>
      <c r="BQ15">
        <f t="shared" si="13"/>
        <v>1.7226565264350033</v>
      </c>
      <c r="BR15">
        <f t="shared" si="14"/>
        <v>377217343.36416632</v>
      </c>
      <c r="BS15">
        <f t="shared" si="15"/>
        <v>211801098.36416632</v>
      </c>
      <c r="BU15">
        <f t="shared" si="16"/>
        <v>15</v>
      </c>
      <c r="BV15">
        <f t="shared" si="17"/>
        <v>2.8842826996618651</v>
      </c>
      <c r="BW15">
        <f t="shared" si="18"/>
        <v>16300947.666695882</v>
      </c>
      <c r="BX15" s="5">
        <f t="shared" si="19"/>
        <v>6033831.1167433131</v>
      </c>
      <c r="BY15" s="5">
        <f t="shared" si="20"/>
        <v>3356732.556489313</v>
      </c>
      <c r="BZ15" s="5">
        <f t="shared" si="21"/>
        <v>20665695</v>
      </c>
      <c r="CA15" s="5">
        <f t="shared" si="22"/>
        <v>19657680.223185197</v>
      </c>
      <c r="CB15" s="5"/>
      <c r="CC15" s="5">
        <f t="shared" si="23"/>
        <v>377217343.36416632</v>
      </c>
      <c r="CD15" s="5" t="str">
        <f t="shared" si="0"/>
        <v>Texas</v>
      </c>
      <c r="CE15" s="5">
        <f t="shared" si="1"/>
        <v>0.75541429640080204</v>
      </c>
      <c r="CF15" s="5">
        <f t="shared" si="24"/>
        <v>0.43851707221294661</v>
      </c>
      <c r="CG15" s="5"/>
      <c r="CH15" s="5"/>
      <c r="CI15" s="5"/>
    </row>
    <row r="16" spans="1:88" x14ac:dyDescent="0.2">
      <c r="A16">
        <v>44000000011101</v>
      </c>
      <c r="B16">
        <v>2021</v>
      </c>
      <c r="C16">
        <v>569</v>
      </c>
      <c r="D16" t="s">
        <v>66</v>
      </c>
      <c r="E16">
        <v>8</v>
      </c>
      <c r="F16" t="s">
        <v>67</v>
      </c>
      <c r="G16" t="s">
        <v>68</v>
      </c>
      <c r="H16" t="s">
        <v>69</v>
      </c>
      <c r="I16" t="b">
        <v>1</v>
      </c>
      <c r="J16">
        <v>5793398</v>
      </c>
      <c r="K16">
        <v>15645734</v>
      </c>
      <c r="M16">
        <v>-1004527</v>
      </c>
      <c r="O16">
        <v>11686211</v>
      </c>
      <c r="P16">
        <v>449136</v>
      </c>
      <c r="Q16">
        <v>8299259</v>
      </c>
      <c r="R16">
        <v>218974205</v>
      </c>
      <c r="S16">
        <v>227273464</v>
      </c>
      <c r="T16">
        <v>2124028</v>
      </c>
      <c r="U16">
        <v>2140553</v>
      </c>
      <c r="V16">
        <v>3839244</v>
      </c>
      <c r="W16">
        <v>40512139</v>
      </c>
      <c r="Y16">
        <v>71360</v>
      </c>
      <c r="Z16">
        <v>-18500</v>
      </c>
      <c r="AA16">
        <v>36390757</v>
      </c>
      <c r="AB16">
        <v>165416245</v>
      </c>
      <c r="AC16">
        <v>201807002</v>
      </c>
      <c r="AD16">
        <v>25466461</v>
      </c>
      <c r="AE16">
        <v>53557960</v>
      </c>
      <c r="AF16">
        <v>-28091499</v>
      </c>
      <c r="AG16">
        <v>49860307</v>
      </c>
      <c r="AI16" t="b">
        <v>1</v>
      </c>
      <c r="AK16">
        <v>7.2499999999999995E-2</v>
      </c>
      <c r="AL16">
        <v>7.2499999999999995E-2</v>
      </c>
      <c r="AM16">
        <v>7.2499999999999995E-2</v>
      </c>
      <c r="AN16">
        <v>7.2499999999999995E-2</v>
      </c>
      <c r="AS16">
        <v>55648260</v>
      </c>
      <c r="AT16">
        <v>979861</v>
      </c>
      <c r="BB16">
        <f t="shared" si="2"/>
        <v>0.8879479304279887</v>
      </c>
      <c r="BD16">
        <f t="shared" si="3"/>
        <v>30181799</v>
      </c>
      <c r="BE16">
        <f t="shared" si="4"/>
        <v>-24486600</v>
      </c>
      <c r="BF16">
        <f t="shared" si="5"/>
        <v>13.279948511718903</v>
      </c>
      <c r="BG16">
        <f t="shared" si="6"/>
        <v>-10.774069074777687</v>
      </c>
      <c r="BH16">
        <f t="shared" si="7"/>
        <v>12.027008793248296</v>
      </c>
      <c r="BI16">
        <f t="shared" si="8"/>
        <v>125.29397184706085</v>
      </c>
      <c r="BJ16">
        <f t="shared" si="9"/>
        <v>12</v>
      </c>
      <c r="BK16">
        <f>IF($BJ16&lt;=30,IF($B16=2015,VLOOKUP($BJ16,'Treasury Yields'!$C$5:$N$34,$E16,FALSE)/100,IF($B16=2016,VLOOKUP($BJ16,'Treasury Yields'!$C$40:$N$69,$E16,FALSE)/100,IF($B16=2017,VLOOKUP($BJ16,'Treasury Yields'!$C$75:$N$104,$E16,FALSE)/100,IF($B16=2018,VLOOKUP($BJ16,'Treasury Yields'!$C$110:$N$139,$E16,FALSE)/100,IF($B16=2019,VLOOKUP($BJ16,'Treasury Yields'!$C$145:$N$174,$E16,FALSE)/100,IF($B16=2020,VLOOKUP($BJ16,'Treasury Yields'!$C$180:$N$209,$E16,FALSE)/100,IF($B16=2021,VLOOKUP($BJ16,'Treasury Yields'!$C$215:$N$244,$E16,FALSE)/100,IF($B16=2022,VLOOKUP($BJ16,'Treasury Yields'!$C$250:$N$279,$E16,FALSE)/100)))))))),0)</f>
        <v>1.2643047619047618E-2</v>
      </c>
      <c r="BL16">
        <f t="shared" si="10"/>
        <v>1.7234829473710944</v>
      </c>
      <c r="BM16">
        <f t="shared" si="11"/>
        <v>377398308.23164225</v>
      </c>
      <c r="BN16">
        <f t="shared" si="12"/>
        <v>211982063.23164225</v>
      </c>
      <c r="BP16">
        <f>IF($BJ16&lt;=30,IF($B16=2015,VLOOKUP($BJ16,'Treasury Yields'!$C$40:$N$69,$E16,FALSE)/100,IF($B16=2016,VLOOKUP($BJ16,'Treasury Yields'!$C$75:$N$104,$E16,FALSE)/100,IF($B16=2017,VLOOKUP($BJ16,'Treasury Yields'!$C$110:$N$139,$E16,FALSE)/100,IF($B16=2018,VLOOKUP($BJ16,'Treasury Yields'!$C$145:$N$174,$E16,FALSE)/100,IF($B16=2019,VLOOKUP($BJ16,'Treasury Yields'!$C$180:$N$209,$E16,FALSE)/100,IF($B16=2020,VLOOKUP($BJ16,'Treasury Yields'!$C$215:$N$244,$E16,FALSE)/100,IF($B16=2021,VLOOKUP($BJ16,'Treasury Yields'!$C$250:$N$279,$E16,FALSE)/100,IF($B16=2022,VLOOKUP($BJ16,'Treasury Yields'!$C$285:$N$314,$E16,FALSE)/100)))))))),0)</f>
        <v>1.8741000000000001E-2</v>
      </c>
      <c r="BQ16">
        <f t="shared" si="13"/>
        <v>1.6494499957972351</v>
      </c>
      <c r="BR16">
        <f t="shared" si="14"/>
        <v>374876214.23962307</v>
      </c>
      <c r="BS16">
        <f t="shared" si="15"/>
        <v>173069212.23962307</v>
      </c>
      <c r="BU16">
        <f t="shared" si="16"/>
        <v>15</v>
      </c>
      <c r="BV16">
        <f t="shared" si="17"/>
        <v>3.0666644803071135</v>
      </c>
      <c r="BW16">
        <f t="shared" si="18"/>
        <v>17766407.866882272</v>
      </c>
      <c r="BX16" s="5">
        <f t="shared" si="19"/>
        <v>4848337.0008418402</v>
      </c>
      <c r="BY16" s="5">
        <f t="shared" si="20"/>
        <v>2756971.5383427925</v>
      </c>
      <c r="BZ16" s="5">
        <f t="shared" si="21"/>
        <v>21439132</v>
      </c>
      <c r="CA16" s="5">
        <f t="shared" si="22"/>
        <v>20523379.405225065</v>
      </c>
      <c r="CB16" s="5"/>
      <c r="CC16" s="5">
        <f t="shared" si="23"/>
        <v>374876214.23962307</v>
      </c>
      <c r="CD16" s="5" t="str">
        <f t="shared" si="0"/>
        <v>Texas</v>
      </c>
      <c r="CE16" s="5">
        <f t="shared" si="1"/>
        <v>0.8879479304279887</v>
      </c>
      <c r="CF16" s="5">
        <f t="shared" si="24"/>
        <v>0.53832970547180081</v>
      </c>
      <c r="CG16" s="5"/>
      <c r="CH16" s="5"/>
      <c r="CI16" s="5"/>
    </row>
    <row r="17" spans="1:87" x14ac:dyDescent="0.2">
      <c r="A17">
        <v>44000000011101</v>
      </c>
      <c r="B17">
        <v>2022</v>
      </c>
      <c r="C17">
        <v>569</v>
      </c>
      <c r="D17" t="s">
        <v>66</v>
      </c>
      <c r="E17">
        <v>8</v>
      </c>
      <c r="F17" t="s">
        <v>67</v>
      </c>
      <c r="G17" t="s">
        <v>68</v>
      </c>
      <c r="H17" t="s">
        <v>69</v>
      </c>
      <c r="I17" t="b">
        <v>1</v>
      </c>
      <c r="J17">
        <v>6093119</v>
      </c>
      <c r="K17">
        <v>16201213</v>
      </c>
      <c r="M17">
        <v>1043774</v>
      </c>
      <c r="N17">
        <v>6651511</v>
      </c>
      <c r="O17">
        <v>13130574</v>
      </c>
      <c r="P17">
        <v>579462</v>
      </c>
      <c r="Q17">
        <v>16279582</v>
      </c>
      <c r="R17">
        <v>227273464</v>
      </c>
      <c r="S17">
        <v>243553045</v>
      </c>
      <c r="T17">
        <v>2504170</v>
      </c>
      <c r="U17">
        <v>2153483</v>
      </c>
      <c r="V17">
        <v>4213622</v>
      </c>
      <c r="W17">
        <v>-13383751</v>
      </c>
      <c r="Y17">
        <v>62053</v>
      </c>
      <c r="Z17">
        <v>663179</v>
      </c>
      <c r="AA17">
        <v>-17621385</v>
      </c>
      <c r="AB17">
        <v>201807002</v>
      </c>
      <c r="AC17">
        <v>184185617</v>
      </c>
      <c r="AD17">
        <v>59367428</v>
      </c>
      <c r="AE17">
        <v>25466461</v>
      </c>
      <c r="AF17">
        <v>33900967</v>
      </c>
      <c r="AG17">
        <v>52670273</v>
      </c>
      <c r="AI17" t="b">
        <v>1</v>
      </c>
      <c r="AK17">
        <v>7.2499999999999995E-2</v>
      </c>
      <c r="AL17">
        <v>7.0000000000000007E-2</v>
      </c>
      <c r="AM17">
        <v>7.0000000000000007E-2</v>
      </c>
      <c r="AN17">
        <v>7.2499999999999995E-2</v>
      </c>
      <c r="AS17">
        <v>92353209</v>
      </c>
      <c r="AT17">
        <v>32630905</v>
      </c>
      <c r="AV17" t="s">
        <v>77</v>
      </c>
      <c r="BB17">
        <f t="shared" si="2"/>
        <v>0.75624436146959284</v>
      </c>
      <c r="BD17">
        <f t="shared" si="3"/>
        <v>32985781</v>
      </c>
      <c r="BE17">
        <f t="shared" si="4"/>
        <v>-26736523</v>
      </c>
      <c r="BF17">
        <f t="shared" si="5"/>
        <v>13.543571586222624</v>
      </c>
      <c r="BG17">
        <f t="shared" si="6"/>
        <v>-10.977700155627289</v>
      </c>
      <c r="BH17">
        <f t="shared" si="7"/>
        <v>12.260635870924956</v>
      </c>
      <c r="BI17">
        <f t="shared" si="8"/>
        <v>128.29357152976675</v>
      </c>
      <c r="BJ17">
        <f t="shared" si="9"/>
        <v>12</v>
      </c>
      <c r="BK17">
        <f>IF($BJ17&lt;=30,IF($B17=2015,VLOOKUP($BJ17,'Treasury Yields'!$C$5:$N$34,$E17,FALSE)/100,IF($B17=2016,VLOOKUP($BJ17,'Treasury Yields'!$C$40:$N$69,$E17,FALSE)/100,IF($B17=2017,VLOOKUP($BJ17,'Treasury Yields'!$C$75:$N$104,$E17,FALSE)/100,IF($B17=2018,VLOOKUP($BJ17,'Treasury Yields'!$C$110:$N$139,$E17,FALSE)/100,IF($B17=2019,VLOOKUP($BJ17,'Treasury Yields'!$C$145:$N$174,$E17,FALSE)/100,IF($B17=2020,VLOOKUP($BJ17,'Treasury Yields'!$C$180:$N$209,$E17,FALSE)/100,IF($B17=2021,VLOOKUP($BJ17,'Treasury Yields'!$C$215:$N$244,$E17,FALSE)/100,IF($B17=2022,VLOOKUP($BJ17,'Treasury Yields'!$C$250:$N$279,$E17,FALSE)/100)))))))),0)</f>
        <v>1.8741000000000001E-2</v>
      </c>
      <c r="BL17">
        <f t="shared" si="10"/>
        <v>1.6310954191887423</v>
      </c>
      <c r="BM17">
        <f t="shared" si="11"/>
        <v>370704706.03355753</v>
      </c>
      <c r="BN17">
        <f t="shared" si="12"/>
        <v>168897704.03355753</v>
      </c>
      <c r="BP17">
        <f>IF($BJ17&lt;=30,IF($B17=2015,VLOOKUP($BJ17,'Treasury Yields'!$C$40:$N$69,$E17,FALSE)/100,IF($B17=2016,VLOOKUP($BJ17,'Treasury Yields'!$C$75:$N$104,$E17,FALSE)/100,IF($B17=2017,VLOOKUP($BJ17,'Treasury Yields'!$C$110:$N$139,$E17,FALSE)/100,IF($B17=2018,VLOOKUP($BJ17,'Treasury Yields'!$C$145:$N$174,$E17,FALSE)/100,IF($B17=2019,VLOOKUP($BJ17,'Treasury Yields'!$C$180:$N$209,$E17,FALSE)/100,IF($B17=2020,VLOOKUP($BJ17,'Treasury Yields'!$C$215:$N$244,$E17,FALSE)/100,IF($B17=2021,VLOOKUP($BJ17,'Treasury Yields'!$C$250:$N$279,$E17,FALSE)/100,IF($B17=2022,VLOOKUP($BJ17,'Treasury Yields'!$C$285:$N$314,$E17,FALSE)/100)))))))),0)</f>
        <v>3.153434782608696E-2</v>
      </c>
      <c r="BQ17">
        <f t="shared" si="13"/>
        <v>1.5039431291773471</v>
      </c>
      <c r="BR17">
        <f t="shared" si="14"/>
        <v>366289928.61797124</v>
      </c>
      <c r="BS17">
        <f t="shared" si="15"/>
        <v>182104311.61797124</v>
      </c>
      <c r="BU17">
        <f t="shared" si="16"/>
        <v>15</v>
      </c>
      <c r="BV17">
        <f t="shared" si="17"/>
        <v>2.8362768047050055</v>
      </c>
      <c r="BW17">
        <f t="shared" si="18"/>
        <v>17281772.088007357</v>
      </c>
      <c r="BX17" s="5">
        <f t="shared" si="19"/>
        <v>7025174.4991422473</v>
      </c>
      <c r="BY17" s="5">
        <f t="shared" si="20"/>
        <v>3243109.474660248</v>
      </c>
      <c r="BZ17" s="5">
        <f t="shared" si="21"/>
        <v>22294332</v>
      </c>
      <c r="CA17" s="5">
        <f t="shared" si="22"/>
        <v>20524881.562667605</v>
      </c>
      <c r="CB17" s="5"/>
      <c r="CC17" s="5">
        <f t="shared" si="23"/>
        <v>366289928.61797124</v>
      </c>
      <c r="CD17" s="5" t="str">
        <f t="shared" si="0"/>
        <v>Texas</v>
      </c>
      <c r="CE17" s="5">
        <f t="shared" si="1"/>
        <v>0.75624436146959284</v>
      </c>
      <c r="CF17" s="5">
        <f t="shared" si="24"/>
        <v>0.50284106280219276</v>
      </c>
      <c r="CG17" s="5"/>
      <c r="CH17" s="5"/>
      <c r="CI17" s="5"/>
    </row>
    <row r="18" spans="1:87" x14ac:dyDescent="0.2">
      <c r="A18">
        <v>10000000000401</v>
      </c>
      <c r="B18">
        <v>2015</v>
      </c>
      <c r="C18">
        <v>231</v>
      </c>
      <c r="D18" t="s">
        <v>78</v>
      </c>
      <c r="E18">
        <v>6</v>
      </c>
      <c r="F18" t="s">
        <v>79</v>
      </c>
      <c r="G18" t="s">
        <v>80</v>
      </c>
      <c r="H18" t="s">
        <v>81</v>
      </c>
      <c r="I18" t="b">
        <v>1</v>
      </c>
      <c r="J18">
        <v>2114047</v>
      </c>
      <c r="K18">
        <v>11721563</v>
      </c>
      <c r="L18">
        <v>0</v>
      </c>
      <c r="M18">
        <v>1620863</v>
      </c>
      <c r="N18">
        <v>0</v>
      </c>
      <c r="O18">
        <v>10201501</v>
      </c>
      <c r="Q18">
        <v>5254972</v>
      </c>
      <c r="R18">
        <v>156115763</v>
      </c>
      <c r="S18">
        <v>161370735</v>
      </c>
      <c r="T18">
        <v>2438085</v>
      </c>
      <c r="V18">
        <v>698304</v>
      </c>
      <c r="W18">
        <v>5523287</v>
      </c>
      <c r="Y18">
        <v>18074</v>
      </c>
      <c r="AA18">
        <v>-1559898</v>
      </c>
      <c r="AB18">
        <v>150014292</v>
      </c>
      <c r="AC18">
        <v>148454394</v>
      </c>
      <c r="AD18">
        <v>12916341</v>
      </c>
      <c r="AE18">
        <v>6101471</v>
      </c>
      <c r="AF18">
        <v>6814870</v>
      </c>
      <c r="AG18">
        <v>32726034</v>
      </c>
      <c r="AH18">
        <v>7.4499861486423929E-2</v>
      </c>
      <c r="AI18" t="b">
        <v>1</v>
      </c>
      <c r="AK18">
        <v>7.6499999999999999E-2</v>
      </c>
      <c r="AL18">
        <v>7.6499999999999999E-2</v>
      </c>
      <c r="AM18">
        <v>7.6499999999999999E-2</v>
      </c>
      <c r="AN18">
        <v>7.6499999999999999E-2</v>
      </c>
      <c r="AO18">
        <v>1</v>
      </c>
      <c r="AP18">
        <v>0</v>
      </c>
      <c r="AS18">
        <v>33469191.223999999</v>
      </c>
      <c r="AT18">
        <v>-4186981.0040000002</v>
      </c>
      <c r="BB18">
        <f>AC18/S18</f>
        <v>0.91995859100474442</v>
      </c>
      <c r="BD18">
        <f t="shared" si="3"/>
        <v>20552850.223999999</v>
      </c>
      <c r="BE18">
        <f t="shared" si="4"/>
        <v>-17103322.004000001</v>
      </c>
      <c r="BF18">
        <f t="shared" si="5"/>
        <v>12.736417308875739</v>
      </c>
      <c r="BG18">
        <f t="shared" si="6"/>
        <v>-10.598775548738748</v>
      </c>
      <c r="BH18">
        <f t="shared" si="7"/>
        <v>11.667596428807244</v>
      </c>
      <c r="BI18">
        <f t="shared" si="8"/>
        <v>106.88208800684953</v>
      </c>
      <c r="BJ18">
        <f t="shared" si="9"/>
        <v>12</v>
      </c>
      <c r="BK18">
        <f>IF($BJ18&lt;=30,IF($B18=2015,VLOOKUP($BJ18,'Treasury Yields'!$C$5:$N$34,$E18,FALSE)/100,IF($B18=2016,VLOOKUP($BJ18,'Treasury Yields'!$C$40:$N$69,$E18,FALSE)/100,IF($B18=2017,VLOOKUP($BJ18,'Treasury Yields'!$C$75:$N$104,$E18,FALSE)/100,IF($B18=2018,VLOOKUP($BJ18,'Treasury Yields'!$C$110:$N$139,$E18,FALSE)/100,IF($B18=2019,VLOOKUP($BJ18,'Treasury Yields'!$C$145:$N$174,$E18,FALSE)/100,IF($B18=2020,VLOOKUP($BJ18,'Treasury Yields'!$C$180:$N$209,$E18,FALSE)/100,IF($B18=2021,VLOOKUP($BJ18,'Treasury Yields'!$C$215:$N$244,$E18,FALSE)/100,IF($B18=2022,VLOOKUP($BJ18,'Treasury Yields'!$C$250:$N$279,$E18,FALSE)/100)))))))),0)</f>
        <v>2.9186E-2</v>
      </c>
      <c r="BL18">
        <f t="shared" si="10"/>
        <v>1.5542792720285861</v>
      </c>
      <c r="BM18">
        <f t="shared" si="11"/>
        <v>242647494.46782726</v>
      </c>
      <c r="BN18">
        <f t="shared" si="12"/>
        <v>92633202.46782726</v>
      </c>
      <c r="BP18">
        <f>IF($BJ18&lt;=30,IF($B18=2015,VLOOKUP($BJ18,'Treasury Yields'!$C$40:$N$69,$E18,FALSE)/100,IF($B18=2016,VLOOKUP($BJ18,'Treasury Yields'!$C$75:$N$104,$E18,FALSE)/100,IF($B18=2017,VLOOKUP($BJ18,'Treasury Yields'!$C$110:$N$139,$E18,FALSE)/100,IF($B18=2018,VLOOKUP($BJ18,'Treasury Yields'!$C$145:$N$174,$E18,FALSE)/100,IF($B18=2019,VLOOKUP($BJ18,'Treasury Yields'!$C$180:$N$209,$E18,FALSE)/100,IF($B18=2020,VLOOKUP($BJ18,'Treasury Yields'!$C$215:$N$244,$E18,FALSE)/100,IF($B18=2021,VLOOKUP($BJ18,'Treasury Yields'!$C$250:$N$279,$E18,FALSE)/100,IF($B18=2022,VLOOKUP($BJ18,'Treasury Yields'!$C$285:$N$314,$E18,FALSE)/100)))))))),0)</f>
        <v>2.7045999999999997E-2</v>
      </c>
      <c r="BQ18">
        <f t="shared" si="13"/>
        <v>1.5794550119062332</v>
      </c>
      <c r="BR18">
        <f t="shared" si="14"/>
        <v>254877816.1707426</v>
      </c>
      <c r="BS18">
        <f t="shared" si="15"/>
        <v>106423422.1707426</v>
      </c>
      <c r="BU18">
        <f t="shared" si="16"/>
        <v>15</v>
      </c>
      <c r="BV18">
        <f t="shared" si="17"/>
        <v>2.5010184596956755</v>
      </c>
      <c r="BW18">
        <f t="shared" si="18"/>
        <v>5287270.5716642635</v>
      </c>
      <c r="BX18" s="5">
        <f t="shared" si="19"/>
        <v>6938483.0442565996</v>
      </c>
      <c r="BY18" s="5">
        <f t="shared" si="20"/>
        <v>2560165.9179445994</v>
      </c>
      <c r="BZ18" s="5">
        <f t="shared" si="21"/>
        <v>13835610</v>
      </c>
      <c r="CA18" s="5">
        <f t="shared" si="22"/>
        <v>7847436.4896088634</v>
      </c>
      <c r="CB18" s="5"/>
      <c r="CC18" s="5">
        <f t="shared" si="23"/>
        <v>254877816.1707426</v>
      </c>
      <c r="CD18" s="5" t="str">
        <f t="shared" si="0"/>
        <v>Florida</v>
      </c>
      <c r="CE18" s="5">
        <f t="shared" si="1"/>
        <v>0.91995859100474442</v>
      </c>
      <c r="CF18" s="5">
        <f t="shared" si="24"/>
        <v>0.58245317788092799</v>
      </c>
      <c r="CG18" s="5"/>
      <c r="CH18" s="5"/>
      <c r="CI18" s="5"/>
    </row>
    <row r="19" spans="1:87" x14ac:dyDescent="0.2">
      <c r="A19">
        <v>10000000000401</v>
      </c>
      <c r="B19">
        <v>2016</v>
      </c>
      <c r="C19">
        <v>231</v>
      </c>
      <c r="D19" t="s">
        <v>78</v>
      </c>
      <c r="E19">
        <v>6</v>
      </c>
      <c r="F19" t="s">
        <v>79</v>
      </c>
      <c r="G19" t="s">
        <v>80</v>
      </c>
      <c r="H19" t="s">
        <v>81</v>
      </c>
      <c r="I19" t="b">
        <v>1</v>
      </c>
      <c r="J19">
        <v>2132906</v>
      </c>
      <c r="K19">
        <v>12109114</v>
      </c>
      <c r="L19">
        <v>32310</v>
      </c>
      <c r="M19">
        <v>980192</v>
      </c>
      <c r="N19">
        <v>1030667</v>
      </c>
      <c r="O19">
        <v>10624925</v>
      </c>
      <c r="Q19">
        <v>5660264</v>
      </c>
      <c r="R19">
        <v>161370735</v>
      </c>
      <c r="S19">
        <v>167030999</v>
      </c>
      <c r="T19">
        <v>2438659</v>
      </c>
      <c r="V19">
        <v>710717</v>
      </c>
      <c r="W19">
        <v>820582</v>
      </c>
      <c r="Y19">
        <v>18507</v>
      </c>
      <c r="AA19">
        <v>-6673473</v>
      </c>
      <c r="AB19">
        <v>148454394</v>
      </c>
      <c r="AC19">
        <v>141780921</v>
      </c>
      <c r="AD19">
        <v>25250078</v>
      </c>
      <c r="AE19">
        <v>12916341</v>
      </c>
      <c r="AF19">
        <v>12333737</v>
      </c>
      <c r="AG19">
        <v>33214217</v>
      </c>
      <c r="AH19">
        <v>7.3422143294842687E-2</v>
      </c>
      <c r="AI19" t="b">
        <v>1</v>
      </c>
      <c r="AK19">
        <v>7.6499999999999999E-2</v>
      </c>
      <c r="AL19">
        <v>7.5999999999999998E-2</v>
      </c>
      <c r="AM19">
        <v>7.5999999999999998E-2</v>
      </c>
      <c r="AN19">
        <v>7.6499999999999999E-2</v>
      </c>
      <c r="AO19">
        <v>1</v>
      </c>
      <c r="AP19">
        <v>0</v>
      </c>
      <c r="AS19">
        <v>46487104</v>
      </c>
      <c r="AT19">
        <v>7573059</v>
      </c>
      <c r="AU19" t="s">
        <v>82</v>
      </c>
      <c r="AV19" t="s">
        <v>83</v>
      </c>
      <c r="BB19">
        <f t="shared" si="2"/>
        <v>0.84882998873759952</v>
      </c>
      <c r="BD19">
        <f t="shared" si="3"/>
        <v>21237026</v>
      </c>
      <c r="BE19">
        <f t="shared" si="4"/>
        <v>-17677019</v>
      </c>
      <c r="BF19">
        <f t="shared" si="5"/>
        <v>12.714421949904043</v>
      </c>
      <c r="BG19">
        <f t="shared" si="6"/>
        <v>-10.583076857487992</v>
      </c>
      <c r="BH19">
        <f t="shared" si="7"/>
        <v>11.648749403696018</v>
      </c>
      <c r="BI19">
        <f t="shared" si="8"/>
        <v>106.56725462080244</v>
      </c>
      <c r="BJ19">
        <f t="shared" si="9"/>
        <v>12</v>
      </c>
      <c r="BK19">
        <f>IF($BJ19&lt;=30,IF($B19=2015,VLOOKUP($BJ19,'Treasury Yields'!$C$5:$N$34,$E19,FALSE)/100,IF($B19=2016,VLOOKUP($BJ19,'Treasury Yields'!$C$40:$N$69,$E19,FALSE)/100,IF($B19=2017,VLOOKUP($BJ19,'Treasury Yields'!$C$75:$N$104,$E19,FALSE)/100,IF($B19=2018,VLOOKUP($BJ19,'Treasury Yields'!$C$110:$N$139,$E19,FALSE)/100,IF($B19=2019,VLOOKUP($BJ19,'Treasury Yields'!$C$145:$N$174,$E19,FALSE)/100,IF($B19=2020,VLOOKUP($BJ19,'Treasury Yields'!$C$180:$N$209,$E19,FALSE)/100,IF($B19=2021,VLOOKUP($BJ19,'Treasury Yields'!$C$215:$N$244,$E19,FALSE)/100,IF($B19=2022,VLOOKUP($BJ19,'Treasury Yields'!$C$250:$N$279,$E19,FALSE)/100)))))))),0)</f>
        <v>2.7045999999999997E-2</v>
      </c>
      <c r="BL19">
        <f t="shared" si="10"/>
        <v>1.5726493724245347</v>
      </c>
      <c r="BM19">
        <f t="shared" si="11"/>
        <v>253779585.12543589</v>
      </c>
      <c r="BN19">
        <f t="shared" si="12"/>
        <v>105325191.12543589</v>
      </c>
      <c r="BP19">
        <f>IF($BJ19&lt;=30,IF($B19=2015,VLOOKUP($BJ19,'Treasury Yields'!$C$40:$N$69,$E19,FALSE)/100,IF($B19=2016,VLOOKUP($BJ19,'Treasury Yields'!$C$75:$N$104,$E19,FALSE)/100,IF($B19=2017,VLOOKUP($BJ19,'Treasury Yields'!$C$110:$N$139,$E19,FALSE)/100,IF($B19=2018,VLOOKUP($BJ19,'Treasury Yields'!$C$145:$N$174,$E19,FALSE)/100,IF($B19=2019,VLOOKUP($BJ19,'Treasury Yields'!$C$180:$N$209,$E19,FALSE)/100,IF($B19=2020,VLOOKUP($BJ19,'Treasury Yields'!$C$215:$N$244,$E19,FALSE)/100,IF($B19=2021,VLOOKUP($BJ19,'Treasury Yields'!$C$250:$N$279,$E19,FALSE)/100,IF($B19=2022,VLOOKUP($BJ19,'Treasury Yields'!$C$285:$N$314,$E19,FALSE)/100)))))))),0)</f>
        <v>1.7546000000000003E-2</v>
      </c>
      <c r="BQ19">
        <f t="shared" si="13"/>
        <v>1.6902159464614948</v>
      </c>
      <c r="BR19">
        <f t="shared" si="14"/>
        <v>282318458.06319398</v>
      </c>
      <c r="BS19">
        <f t="shared" si="15"/>
        <v>140537537.06319398</v>
      </c>
      <c r="BU19">
        <f t="shared" si="16"/>
        <v>15</v>
      </c>
      <c r="BV19">
        <f t="shared" si="17"/>
        <v>2.5785185868637717</v>
      </c>
      <c r="BW19">
        <f t="shared" si="18"/>
        <v>5499737.76503326</v>
      </c>
      <c r="BX19" s="5">
        <f t="shared" si="19"/>
        <v>6725106.8453456275</v>
      </c>
      <c r="BY19" s="5">
        <f t="shared" si="20"/>
        <v>2710009.3052216284</v>
      </c>
      <c r="BZ19" s="5">
        <f t="shared" si="21"/>
        <v>14242020</v>
      </c>
      <c r="CA19" s="5">
        <f t="shared" si="22"/>
        <v>8209747.0702548884</v>
      </c>
      <c r="CB19" s="5"/>
      <c r="CC19" s="5">
        <f t="shared" si="23"/>
        <v>282318458.06319398</v>
      </c>
      <c r="CD19" s="5" t="str">
        <f t="shared" si="0"/>
        <v>Florida</v>
      </c>
      <c r="CE19" s="5">
        <f t="shared" si="1"/>
        <v>0.84882998873759952</v>
      </c>
      <c r="CF19" s="5">
        <f t="shared" si="24"/>
        <v>0.50220209465816734</v>
      </c>
      <c r="CG19" s="5"/>
      <c r="CH19" s="5"/>
      <c r="CI19" s="5"/>
    </row>
    <row r="20" spans="1:87" x14ac:dyDescent="0.2">
      <c r="A20">
        <v>10000000000401</v>
      </c>
      <c r="B20">
        <v>2017</v>
      </c>
      <c r="C20">
        <v>231</v>
      </c>
      <c r="D20" t="s">
        <v>78</v>
      </c>
      <c r="E20">
        <v>6</v>
      </c>
      <c r="F20" t="s">
        <v>79</v>
      </c>
      <c r="G20" t="s">
        <v>80</v>
      </c>
      <c r="H20" t="s">
        <v>81</v>
      </c>
      <c r="I20" t="b">
        <v>1</v>
      </c>
      <c r="J20">
        <v>2073754</v>
      </c>
      <c r="K20">
        <v>12484167</v>
      </c>
      <c r="L20">
        <v>92185</v>
      </c>
      <c r="M20">
        <v>1412462</v>
      </c>
      <c r="N20">
        <v>10398344</v>
      </c>
      <c r="O20">
        <v>9859319</v>
      </c>
      <c r="Q20">
        <v>16601593</v>
      </c>
      <c r="R20">
        <v>167030999</v>
      </c>
      <c r="S20">
        <v>183632592</v>
      </c>
      <c r="T20">
        <v>2603246</v>
      </c>
      <c r="V20">
        <v>744839</v>
      </c>
      <c r="W20">
        <v>18801917</v>
      </c>
      <c r="Y20">
        <v>18340</v>
      </c>
      <c r="AA20">
        <v>12272342</v>
      </c>
      <c r="AB20">
        <v>141780921</v>
      </c>
      <c r="AC20">
        <v>154053263</v>
      </c>
      <c r="AD20">
        <v>29579329</v>
      </c>
      <c r="AE20">
        <v>25250078</v>
      </c>
      <c r="AF20">
        <v>4329251</v>
      </c>
      <c r="AG20">
        <v>33775800</v>
      </c>
      <c r="AH20">
        <v>7.707429579758289E-2</v>
      </c>
      <c r="AI20" t="b">
        <v>1</v>
      </c>
      <c r="AK20">
        <v>7.5999999999999998E-2</v>
      </c>
      <c r="AL20">
        <v>7.0999999999999994E-2</v>
      </c>
      <c r="AM20">
        <v>7.0999999999999994E-2</v>
      </c>
      <c r="AN20">
        <v>7.5999999999999998E-2</v>
      </c>
      <c r="AO20">
        <v>1</v>
      </c>
      <c r="AP20">
        <v>0</v>
      </c>
      <c r="AS20">
        <v>53536799</v>
      </c>
      <c r="AT20">
        <v>9689140</v>
      </c>
      <c r="AU20" t="s">
        <v>84</v>
      </c>
      <c r="AV20" t="s">
        <v>85</v>
      </c>
      <c r="BB20">
        <f t="shared" si="2"/>
        <v>0.83892113770304999</v>
      </c>
      <c r="BD20">
        <f t="shared" si="3"/>
        <v>23957470</v>
      </c>
      <c r="BE20">
        <f t="shared" si="4"/>
        <v>-19890189</v>
      </c>
      <c r="BF20">
        <f t="shared" si="5"/>
        <v>13.04641498498262</v>
      </c>
      <c r="BG20">
        <f t="shared" si="6"/>
        <v>-10.83151350387735</v>
      </c>
      <c r="BH20">
        <f t="shared" si="7"/>
        <v>11.938964244429986</v>
      </c>
      <c r="BI20">
        <f t="shared" si="8"/>
        <v>110.74507405526356</v>
      </c>
      <c r="BJ20">
        <f t="shared" si="9"/>
        <v>12</v>
      </c>
      <c r="BK20">
        <f>IF($BJ20&lt;=30,IF($B20=2015,VLOOKUP($BJ20,'Treasury Yields'!$C$5:$N$34,$E20,FALSE)/100,IF($B20=2016,VLOOKUP($BJ20,'Treasury Yields'!$C$40:$N$69,$E20,FALSE)/100,IF($B20=2017,VLOOKUP($BJ20,'Treasury Yields'!$C$75:$N$104,$E20,FALSE)/100,IF($B20=2018,VLOOKUP($BJ20,'Treasury Yields'!$C$110:$N$139,$E20,FALSE)/100,IF($B20=2019,VLOOKUP($BJ20,'Treasury Yields'!$C$145:$N$174,$E20,FALSE)/100,IF($B20=2020,VLOOKUP($BJ20,'Treasury Yields'!$C$180:$N$209,$E20,FALSE)/100,IF($B20=2021,VLOOKUP($BJ20,'Treasury Yields'!$C$215:$N$244,$E20,FALSE)/100,IF($B20=2022,VLOOKUP($BJ20,'Treasury Yields'!$C$250:$N$279,$E20,FALSE)/100)))))))),0)</f>
        <v>1.7546000000000003E-2</v>
      </c>
      <c r="BL20">
        <f t="shared" si="10"/>
        <v>1.6410427248377601</v>
      </c>
      <c r="BM20">
        <f t="shared" si="11"/>
        <v>274105005.7313332</v>
      </c>
      <c r="BN20">
        <f t="shared" si="12"/>
        <v>132324084.7313332</v>
      </c>
      <c r="BP20">
        <f>IF($BJ20&lt;=30,IF($B20=2015,VLOOKUP($BJ20,'Treasury Yields'!$C$40:$N$69,$E20,FALSE)/100,IF($B20=2016,VLOOKUP($BJ20,'Treasury Yields'!$C$75:$N$104,$E20,FALSE)/100,IF($B20=2017,VLOOKUP($BJ20,'Treasury Yields'!$C$110:$N$139,$E20,FALSE)/100,IF($B20=2018,VLOOKUP($BJ20,'Treasury Yields'!$C$145:$N$174,$E20,FALSE)/100,IF($B20=2019,VLOOKUP($BJ20,'Treasury Yields'!$C$180:$N$209,$E20,FALSE)/100,IF($B20=2020,VLOOKUP($BJ20,'Treasury Yields'!$C$215:$N$244,$E20,FALSE)/100,IF($B20=2021,VLOOKUP($BJ20,'Treasury Yields'!$C$250:$N$279,$E20,FALSE)/100,IF($B20=2022,VLOOKUP($BJ20,'Treasury Yields'!$C$285:$N$314,$E20,FALSE)/100)))))))),0)</f>
        <v>2.5467599999999993E-2</v>
      </c>
      <c r="BQ20">
        <f t="shared" si="13"/>
        <v>1.6058580402349938</v>
      </c>
      <c r="BR20">
        <f t="shared" si="14"/>
        <v>294887874.31239218</v>
      </c>
      <c r="BS20">
        <f t="shared" si="15"/>
        <v>140834611.31239218</v>
      </c>
      <c r="BU20">
        <f t="shared" si="16"/>
        <v>15</v>
      </c>
      <c r="BV20">
        <f t="shared" si="17"/>
        <v>2.9530917499775473</v>
      </c>
      <c r="BW20">
        <f t="shared" si="18"/>
        <v>6123985.8288829383</v>
      </c>
      <c r="BX20" s="5">
        <f t="shared" si="19"/>
        <v>4743906.2747415528</v>
      </c>
      <c r="BY20" s="5">
        <f t="shared" si="20"/>
        <v>2256218.2348755524</v>
      </c>
      <c r="BZ20" s="5">
        <f t="shared" si="21"/>
        <v>14557921</v>
      </c>
      <c r="CA20" s="5">
        <f t="shared" si="22"/>
        <v>8380204.0637584906</v>
      </c>
      <c r="CB20" s="5"/>
      <c r="CC20" s="5">
        <f t="shared" si="23"/>
        <v>294887874.31239218</v>
      </c>
      <c r="CD20" s="5" t="str">
        <f t="shared" si="0"/>
        <v>Florida</v>
      </c>
      <c r="CE20" s="5">
        <f t="shared" si="1"/>
        <v>0.83892113770304999</v>
      </c>
      <c r="CF20" s="5">
        <f t="shared" si="24"/>
        <v>0.52241301328247314</v>
      </c>
      <c r="CG20" s="5"/>
      <c r="CH20" s="5"/>
      <c r="CI20" s="5"/>
    </row>
    <row r="21" spans="1:87" x14ac:dyDescent="0.2">
      <c r="A21">
        <v>10000000000401</v>
      </c>
      <c r="B21">
        <v>2018</v>
      </c>
      <c r="C21">
        <v>231</v>
      </c>
      <c r="D21" t="s">
        <v>78</v>
      </c>
      <c r="E21">
        <v>6</v>
      </c>
      <c r="F21" t="s">
        <v>79</v>
      </c>
      <c r="G21" t="s">
        <v>80</v>
      </c>
      <c r="H21" t="s">
        <v>81</v>
      </c>
      <c r="I21" t="b">
        <v>1</v>
      </c>
      <c r="J21">
        <v>2423987</v>
      </c>
      <c r="K21">
        <v>12847930</v>
      </c>
      <c r="L21">
        <v>0</v>
      </c>
      <c r="M21">
        <v>554811</v>
      </c>
      <c r="N21">
        <v>2235654</v>
      </c>
      <c r="O21">
        <v>10377575</v>
      </c>
      <c r="Q21">
        <v>7684807</v>
      </c>
      <c r="R21">
        <v>183632592</v>
      </c>
      <c r="S21">
        <v>191317399</v>
      </c>
      <c r="T21">
        <v>2849920</v>
      </c>
      <c r="V21">
        <v>746370</v>
      </c>
      <c r="W21">
        <v>13955233</v>
      </c>
      <c r="Y21">
        <v>20178</v>
      </c>
      <c r="AA21">
        <v>7153770</v>
      </c>
      <c r="AB21">
        <v>154043111</v>
      </c>
      <c r="AC21">
        <v>161196881</v>
      </c>
      <c r="AD21">
        <v>30120518</v>
      </c>
      <c r="AE21">
        <v>29589481</v>
      </c>
      <c r="AF21">
        <v>531037</v>
      </c>
      <c r="AG21">
        <v>34675000</v>
      </c>
      <c r="AH21">
        <v>8.2189473684210521E-2</v>
      </c>
      <c r="AI21" t="b">
        <v>1</v>
      </c>
      <c r="AK21">
        <v>7.0999999999999994E-2</v>
      </c>
      <c r="AL21">
        <v>7.0000000000000007E-2</v>
      </c>
      <c r="AM21">
        <v>7.0000000000000007E-2</v>
      </c>
      <c r="AN21">
        <v>7.0999999999999994E-2</v>
      </c>
      <c r="AO21">
        <v>1</v>
      </c>
      <c r="AP21">
        <v>0</v>
      </c>
      <c r="AS21">
        <v>54971209</v>
      </c>
      <c r="AT21">
        <v>9480550</v>
      </c>
      <c r="AU21" t="s">
        <v>86</v>
      </c>
      <c r="AV21" t="s">
        <v>87</v>
      </c>
      <c r="BB21">
        <f t="shared" si="2"/>
        <v>0.84256257843020332</v>
      </c>
      <c r="BD21">
        <f t="shared" si="3"/>
        <v>24850691</v>
      </c>
      <c r="BE21">
        <f t="shared" si="4"/>
        <v>-20639968</v>
      </c>
      <c r="BF21">
        <f t="shared" si="5"/>
        <v>12.989247778765797</v>
      </c>
      <c r="BG21">
        <f t="shared" si="6"/>
        <v>-10.788338179320533</v>
      </c>
      <c r="BH21">
        <f t="shared" si="7"/>
        <v>11.888792979043165</v>
      </c>
      <c r="BI21">
        <f t="shared" si="8"/>
        <v>110.04547997226327</v>
      </c>
      <c r="BJ21">
        <f t="shared" si="9"/>
        <v>12</v>
      </c>
      <c r="BK21">
        <f>IF($BJ21&lt;=30,IF($B21=2015,VLOOKUP($BJ21,'Treasury Yields'!$C$5:$N$34,$E21,FALSE)/100,IF($B21=2016,VLOOKUP($BJ21,'Treasury Yields'!$C$40:$N$69,$E21,FALSE)/100,IF($B21=2017,VLOOKUP($BJ21,'Treasury Yields'!$C$75:$N$104,$E21,FALSE)/100,IF($B21=2018,VLOOKUP($BJ21,'Treasury Yields'!$C$110:$N$139,$E21,FALSE)/100,IF($B21=2019,VLOOKUP($BJ21,'Treasury Yields'!$C$145:$N$174,$E21,FALSE)/100,IF($B21=2020,VLOOKUP($BJ21,'Treasury Yields'!$C$180:$N$209,$E21,FALSE)/100,IF($B21=2021,VLOOKUP($BJ21,'Treasury Yields'!$C$215:$N$244,$E21,FALSE)/100,IF($B21=2022,VLOOKUP($BJ21,'Treasury Yields'!$C$250:$N$279,$E21,FALSE)/100)))))))),0)</f>
        <v>2.5467599999999993E-2</v>
      </c>
      <c r="BL21">
        <f t="shared" si="10"/>
        <v>1.531419619109702</v>
      </c>
      <c r="BM21">
        <f t="shared" si="11"/>
        <v>281218554.09676731</v>
      </c>
      <c r="BN21">
        <f t="shared" si="12"/>
        <v>127175443.09676731</v>
      </c>
      <c r="BP21">
        <f>IF($BJ21&lt;=30,IF($B21=2015,VLOOKUP($BJ21,'Treasury Yields'!$C$40:$N$69,$E21,FALSE)/100,IF($B21=2016,VLOOKUP($BJ21,'Treasury Yields'!$C$75:$N$104,$E21,FALSE)/100,IF($B21=2017,VLOOKUP($BJ21,'Treasury Yields'!$C$110:$N$139,$E21,FALSE)/100,IF($B21=2018,VLOOKUP($BJ21,'Treasury Yields'!$C$145:$N$174,$E21,FALSE)/100,IF($B21=2019,VLOOKUP($BJ21,'Treasury Yields'!$C$180:$N$209,$E21,FALSE)/100,IF($B21=2020,VLOOKUP($BJ21,'Treasury Yields'!$C$215:$N$244,$E21,FALSE)/100,IF($B21=2021,VLOOKUP($BJ21,'Treasury Yields'!$C$250:$N$279,$E21,FALSE)/100,IF($B21=2022,VLOOKUP($BJ21,'Treasury Yields'!$C$285:$N$314,$E21,FALSE)/100)))))))),0)</f>
        <v>2.8906472727272727E-2</v>
      </c>
      <c r="BQ21">
        <f t="shared" si="13"/>
        <v>1.5022130965414218</v>
      </c>
      <c r="BR21">
        <f t="shared" si="14"/>
        <v>287399502.37404072</v>
      </c>
      <c r="BS21">
        <f t="shared" si="15"/>
        <v>126202621.37404072</v>
      </c>
      <c r="BU21">
        <f t="shared" si="16"/>
        <v>15</v>
      </c>
      <c r="BV21">
        <f t="shared" si="17"/>
        <v>2.4524575059660561</v>
      </c>
      <c r="BW21">
        <f t="shared" si="18"/>
        <v>5944725.1125141419</v>
      </c>
      <c r="BX21" s="5">
        <f t="shared" si="19"/>
        <v>7049067.6005202942</v>
      </c>
      <c r="BY21" s="5">
        <f t="shared" si="20"/>
        <v>3125959.2668166952</v>
      </c>
      <c r="BZ21" s="5">
        <f t="shared" si="21"/>
        <v>15271917</v>
      </c>
      <c r="CA21" s="5">
        <f t="shared" si="22"/>
        <v>9070684.3793308362</v>
      </c>
      <c r="CB21" s="5"/>
      <c r="CC21" s="5">
        <f t="shared" si="23"/>
        <v>287399502.37404072</v>
      </c>
      <c r="CD21" s="5" t="str">
        <f t="shared" si="0"/>
        <v>Florida</v>
      </c>
      <c r="CE21" s="5">
        <f t="shared" si="1"/>
        <v>0.84256257843020332</v>
      </c>
      <c r="CF21" s="5">
        <f t="shared" si="24"/>
        <v>0.56088086328767439</v>
      </c>
      <c r="CG21" s="5"/>
      <c r="CH21" s="5"/>
      <c r="CI21" s="5"/>
    </row>
    <row r="22" spans="1:87" x14ac:dyDescent="0.2">
      <c r="A22">
        <v>10000000000401</v>
      </c>
      <c r="B22">
        <v>2019</v>
      </c>
      <c r="C22">
        <v>231</v>
      </c>
      <c r="D22" t="s">
        <v>78</v>
      </c>
      <c r="E22">
        <v>6</v>
      </c>
      <c r="F22" t="s">
        <v>79</v>
      </c>
      <c r="G22" t="s">
        <v>80</v>
      </c>
      <c r="H22" t="s">
        <v>81</v>
      </c>
      <c r="I22" t="b">
        <v>1</v>
      </c>
      <c r="J22">
        <v>2523070</v>
      </c>
      <c r="K22">
        <v>13194902</v>
      </c>
      <c r="L22">
        <v>11404</v>
      </c>
      <c r="M22">
        <v>247482</v>
      </c>
      <c r="N22">
        <v>1585626</v>
      </c>
      <c r="O22">
        <v>10867549</v>
      </c>
      <c r="Q22">
        <v>6694935</v>
      </c>
      <c r="R22">
        <v>191317399</v>
      </c>
      <c r="S22">
        <v>198012334</v>
      </c>
      <c r="T22">
        <v>3100721</v>
      </c>
      <c r="V22">
        <v>752813</v>
      </c>
      <c r="W22">
        <v>9410440</v>
      </c>
      <c r="Y22">
        <v>19580</v>
      </c>
      <c r="AA22">
        <v>2376845</v>
      </c>
      <c r="AB22">
        <v>161196881</v>
      </c>
      <c r="AC22">
        <v>163573726</v>
      </c>
      <c r="AD22">
        <v>34438608</v>
      </c>
      <c r="AE22">
        <v>30120518</v>
      </c>
      <c r="AF22">
        <v>4318090</v>
      </c>
      <c r="AG22">
        <v>35471200</v>
      </c>
      <c r="AH22">
        <v>8.7415170617289525E-2</v>
      </c>
      <c r="AI22" t="b">
        <v>1</v>
      </c>
      <c r="AK22">
        <v>7.0000000000000007E-2</v>
      </c>
      <c r="AL22">
        <v>6.9000000000000006E-2</v>
      </c>
      <c r="AM22">
        <v>6.9000000000000006E-2</v>
      </c>
      <c r="AN22">
        <v>7.0000000000000007E-2</v>
      </c>
      <c r="AO22">
        <v>1</v>
      </c>
      <c r="AP22">
        <v>0</v>
      </c>
      <c r="AS22">
        <v>59532885</v>
      </c>
      <c r="AT22">
        <v>13480642</v>
      </c>
      <c r="AU22" t="s">
        <v>60</v>
      </c>
      <c r="AV22" t="s">
        <v>88</v>
      </c>
      <c r="BB22">
        <f t="shared" si="2"/>
        <v>0.82607847044517946</v>
      </c>
      <c r="BD22">
        <f t="shared" si="3"/>
        <v>25094277</v>
      </c>
      <c r="BE22">
        <f t="shared" si="4"/>
        <v>-20957966</v>
      </c>
      <c r="BF22">
        <f t="shared" si="5"/>
        <v>12.673087828963221</v>
      </c>
      <c r="BG22">
        <f t="shared" si="6"/>
        <v>-10.584171994053664</v>
      </c>
      <c r="BH22">
        <f t="shared" si="7"/>
        <v>11.628629911508442</v>
      </c>
      <c r="BI22">
        <f t="shared" si="8"/>
        <v>104.44579174547783</v>
      </c>
      <c r="BJ22">
        <f t="shared" si="9"/>
        <v>12</v>
      </c>
      <c r="BK22">
        <f>IF($BJ22&lt;=30,IF($B22=2015,VLOOKUP($BJ22,'Treasury Yields'!$C$5:$N$34,$E22,FALSE)/100,IF($B22=2016,VLOOKUP($BJ22,'Treasury Yields'!$C$40:$N$69,$E22,FALSE)/100,IF($B22=2017,VLOOKUP($BJ22,'Treasury Yields'!$C$75:$N$104,$E22,FALSE)/100,IF($B22=2018,VLOOKUP($BJ22,'Treasury Yields'!$C$110:$N$139,$E22,FALSE)/100,IF($B22=2019,VLOOKUP($BJ22,'Treasury Yields'!$C$145:$N$174,$E22,FALSE)/100,IF($B22=2020,VLOOKUP($BJ22,'Treasury Yields'!$C$180:$N$209,$E22,FALSE)/100,IF($B22=2021,VLOOKUP($BJ22,'Treasury Yields'!$C$215:$N$244,$E22,FALSE)/100,IF($B22=2022,VLOOKUP($BJ22,'Treasury Yields'!$C$250:$N$279,$E22,FALSE)/100)))))))),0)</f>
        <v>2.8906472727272727E-2</v>
      </c>
      <c r="BL22">
        <f t="shared" si="10"/>
        <v>1.467840281430685</v>
      </c>
      <c r="BM22">
        <f t="shared" si="11"/>
        <v>280823384.79074663</v>
      </c>
      <c r="BN22">
        <f t="shared" si="12"/>
        <v>119626503.79074663</v>
      </c>
      <c r="BP22">
        <f>IF($BJ22&lt;=30,IF($B22=2015,VLOOKUP($BJ22,'Treasury Yields'!$C$40:$N$69,$E22,FALSE)/100,IF($B22=2016,VLOOKUP($BJ22,'Treasury Yields'!$C$75:$N$104,$E22,FALSE)/100,IF($B22=2017,VLOOKUP($BJ22,'Treasury Yields'!$C$110:$N$139,$E22,FALSE)/100,IF($B22=2018,VLOOKUP($BJ22,'Treasury Yields'!$C$145:$N$174,$E22,FALSE)/100,IF($B22=2019,VLOOKUP($BJ22,'Treasury Yields'!$C$180:$N$209,$E22,FALSE)/100,IF($B22=2020,VLOOKUP($BJ22,'Treasury Yields'!$C$215:$N$244,$E22,FALSE)/100,IF($B22=2021,VLOOKUP($BJ22,'Treasury Yields'!$C$250:$N$279,$E22,FALSE)/100,IF($B22=2022,VLOOKUP($BJ22,'Treasury Yields'!$C$285:$N$314,$E22,FALSE)/100)))))))),0)</f>
        <v>2.2184000000000002E-2</v>
      </c>
      <c r="BQ22">
        <f t="shared" si="13"/>
        <v>1.5583209377046878</v>
      </c>
      <c r="BR22">
        <f t="shared" si="14"/>
        <v>308566765.99597383</v>
      </c>
      <c r="BS22">
        <f t="shared" si="15"/>
        <v>144993039.99597383</v>
      </c>
      <c r="BU22">
        <f t="shared" si="16"/>
        <v>15</v>
      </c>
      <c r="BV22">
        <f t="shared" si="17"/>
        <v>2.2706396385161391</v>
      </c>
      <c r="BW22">
        <f t="shared" si="18"/>
        <v>5728982.7527509155</v>
      </c>
      <c r="BX22" s="5">
        <f t="shared" si="19"/>
        <v>7969075.6885507433</v>
      </c>
      <c r="BY22" s="5">
        <f t="shared" si="20"/>
        <v>3309442.4442028152</v>
      </c>
      <c r="BZ22" s="5">
        <f t="shared" si="21"/>
        <v>15717972</v>
      </c>
      <c r="CA22" s="5">
        <f t="shared" si="22"/>
        <v>9038425.1969537307</v>
      </c>
      <c r="CB22" s="5"/>
      <c r="CC22" s="5">
        <f t="shared" si="23"/>
        <v>308566765.99597383</v>
      </c>
      <c r="CD22" s="5" t="str">
        <f t="shared" si="0"/>
        <v>Florida</v>
      </c>
      <c r="CE22" s="5">
        <f t="shared" si="1"/>
        <v>0.82607847044517946</v>
      </c>
      <c r="CF22" s="5">
        <f t="shared" si="24"/>
        <v>0.53010804800065314</v>
      </c>
      <c r="CG22" s="5"/>
      <c r="CH22" s="5"/>
      <c r="CI22" s="5"/>
    </row>
    <row r="23" spans="1:87" x14ac:dyDescent="0.2">
      <c r="A23">
        <v>10000000000401</v>
      </c>
      <c r="B23">
        <v>2020</v>
      </c>
      <c r="C23">
        <v>231</v>
      </c>
      <c r="D23" t="s">
        <v>78</v>
      </c>
      <c r="E23">
        <v>6</v>
      </c>
      <c r="F23" t="s">
        <v>79</v>
      </c>
      <c r="G23" t="s">
        <v>80</v>
      </c>
      <c r="H23" t="s">
        <v>81</v>
      </c>
      <c r="I23" t="b">
        <v>1</v>
      </c>
      <c r="J23">
        <v>2647456</v>
      </c>
      <c r="K23">
        <v>13458929</v>
      </c>
      <c r="L23">
        <v>0</v>
      </c>
      <c r="M23">
        <v>448646</v>
      </c>
      <c r="N23">
        <v>1738139</v>
      </c>
      <c r="O23">
        <v>11395765</v>
      </c>
      <c r="Q23">
        <v>6897405</v>
      </c>
      <c r="R23">
        <v>198012334</v>
      </c>
      <c r="S23">
        <v>204909739</v>
      </c>
      <c r="T23">
        <v>3322557</v>
      </c>
      <c r="V23">
        <v>748455</v>
      </c>
      <c r="W23">
        <v>5339908</v>
      </c>
      <c r="Y23">
        <v>21556</v>
      </c>
      <c r="AA23">
        <v>-2006402</v>
      </c>
      <c r="AB23">
        <v>163574667</v>
      </c>
      <c r="AC23">
        <v>161568265</v>
      </c>
      <c r="AD23">
        <v>43341474</v>
      </c>
      <c r="AE23">
        <v>34438608</v>
      </c>
      <c r="AF23">
        <v>8902866</v>
      </c>
      <c r="AG23">
        <v>36898200</v>
      </c>
      <c r="AH23">
        <v>9.0046587638421383E-2</v>
      </c>
      <c r="AI23" t="b">
        <v>1</v>
      </c>
      <c r="AK23">
        <v>6.9000000000000006E-2</v>
      </c>
      <c r="AL23">
        <v>6.8000000000000005E-2</v>
      </c>
      <c r="AM23">
        <v>6.8000000000000005E-2</v>
      </c>
      <c r="AN23">
        <v>6.9000000000000006E-2</v>
      </c>
      <c r="AO23">
        <v>1</v>
      </c>
      <c r="AP23">
        <v>0</v>
      </c>
      <c r="AS23">
        <v>69209050</v>
      </c>
      <c r="AT23">
        <v>21736762</v>
      </c>
      <c r="AU23" t="s">
        <v>56</v>
      </c>
      <c r="AV23" t="s">
        <v>89</v>
      </c>
      <c r="BB23">
        <f t="shared" si="2"/>
        <v>0.78848504609144032</v>
      </c>
      <c r="BD23">
        <f t="shared" si="3"/>
        <v>25867576</v>
      </c>
      <c r="BE23">
        <f t="shared" si="4"/>
        <v>-21604712</v>
      </c>
      <c r="BF23">
        <f t="shared" si="5"/>
        <v>12.623888023204207</v>
      </c>
      <c r="BG23">
        <f t="shared" si="6"/>
        <v>-10.543526191305139</v>
      </c>
      <c r="BH23">
        <f t="shared" si="7"/>
        <v>11.583707107254673</v>
      </c>
      <c r="BI23">
        <f t="shared" si="8"/>
        <v>104.01809159495342</v>
      </c>
      <c r="BJ23">
        <f t="shared" si="9"/>
        <v>12</v>
      </c>
      <c r="BK23">
        <f>IF($BJ23&lt;=30,IF($B23=2015,VLOOKUP($BJ23,'Treasury Yields'!$C$5:$N$34,$E23,FALSE)/100,IF($B23=2016,VLOOKUP($BJ23,'Treasury Yields'!$C$40:$N$69,$E23,FALSE)/100,IF($B23=2017,VLOOKUP($BJ23,'Treasury Yields'!$C$75:$N$104,$E23,FALSE)/100,IF($B23=2018,VLOOKUP($BJ23,'Treasury Yields'!$C$110:$N$139,$E23,FALSE)/100,IF($B23=2019,VLOOKUP($BJ23,'Treasury Yields'!$C$145:$N$174,$E23,FALSE)/100,IF($B23=2020,VLOOKUP($BJ23,'Treasury Yields'!$C$180:$N$209,$E23,FALSE)/100,IF($B23=2021,VLOOKUP($BJ23,'Treasury Yields'!$C$215:$N$244,$E23,FALSE)/100,IF($B23=2022,VLOOKUP($BJ23,'Treasury Yields'!$C$250:$N$279,$E23,FALSE)/100)))))))),0)</f>
        <v>2.2184000000000002E-2</v>
      </c>
      <c r="BL23">
        <f t="shared" si="10"/>
        <v>1.5328182306819802</v>
      </c>
      <c r="BM23">
        <f t="shared" si="11"/>
        <v>303516915.45508933</v>
      </c>
      <c r="BN23">
        <f t="shared" si="12"/>
        <v>139942248.45508933</v>
      </c>
      <c r="BP23">
        <f>IF($BJ23&lt;=30,IF($B23=2015,VLOOKUP($BJ23,'Treasury Yields'!$C$40:$N$69,$E23,FALSE)/100,IF($B23=2016,VLOOKUP($BJ23,'Treasury Yields'!$C$75:$N$104,$E23,FALSE)/100,IF($B23=2017,VLOOKUP($BJ23,'Treasury Yields'!$C$110:$N$139,$E23,FALSE)/100,IF($B23=2018,VLOOKUP($BJ23,'Treasury Yields'!$C$145:$N$174,$E23,FALSE)/100,IF($B23=2019,VLOOKUP($BJ23,'Treasury Yields'!$C$180:$N$209,$E23,FALSE)/100,IF($B23=2020,VLOOKUP($BJ23,'Treasury Yields'!$C$215:$N$244,$E23,FALSE)/100,IF($B23=2021,VLOOKUP($BJ23,'Treasury Yields'!$C$250:$N$279,$E23,FALSE)/100,IF($B23=2022,VLOOKUP($BJ23,'Treasury Yields'!$C$285:$N$314,$E23,FALSE)/100)))))))),0)</f>
        <v>1.3689454545454545E-2</v>
      </c>
      <c r="BQ23">
        <f t="shared" si="13"/>
        <v>1.64376041492643</v>
      </c>
      <c r="BR23">
        <f t="shared" si="14"/>
        <v>336822517.60110646</v>
      </c>
      <c r="BS23">
        <f t="shared" si="15"/>
        <v>175254252.60110646</v>
      </c>
      <c r="BU23">
        <f t="shared" si="16"/>
        <v>15</v>
      </c>
      <c r="BV23">
        <f t="shared" si="17"/>
        <v>2.4725232209907699</v>
      </c>
      <c r="BW23">
        <f t="shared" si="18"/>
        <v>6545896.4365513399</v>
      </c>
      <c r="BX23" s="5">
        <f t="shared" si="19"/>
        <v>6625629.7682441575</v>
      </c>
      <c r="BY23" s="5">
        <f t="shared" si="20"/>
        <v>2996889.3555161566</v>
      </c>
      <c r="BZ23" s="5">
        <f t="shared" si="21"/>
        <v>16106385</v>
      </c>
      <c r="CA23" s="5">
        <f t="shared" si="22"/>
        <v>9542785.7920674961</v>
      </c>
      <c r="CB23" s="5"/>
      <c r="CC23" s="5">
        <f t="shared" si="23"/>
        <v>336822517.60110646</v>
      </c>
      <c r="CD23" s="5" t="str">
        <f t="shared" si="0"/>
        <v>Florida</v>
      </c>
      <c r="CE23" s="5">
        <f t="shared" si="1"/>
        <v>0.78848504609144032</v>
      </c>
      <c r="CF23" s="5">
        <f t="shared" si="24"/>
        <v>0.47968368074293277</v>
      </c>
      <c r="CG23" s="5"/>
      <c r="CH23" s="5"/>
      <c r="CI23" s="5"/>
    </row>
    <row r="24" spans="1:87" x14ac:dyDescent="0.2">
      <c r="A24">
        <v>10000000000401</v>
      </c>
      <c r="B24">
        <v>2021</v>
      </c>
      <c r="C24">
        <v>231</v>
      </c>
      <c r="D24" t="s">
        <v>78</v>
      </c>
      <c r="E24">
        <v>6</v>
      </c>
      <c r="F24" t="s">
        <v>79</v>
      </c>
      <c r="G24" t="s">
        <v>80</v>
      </c>
      <c r="H24" t="s">
        <v>81</v>
      </c>
      <c r="I24" t="b">
        <v>1</v>
      </c>
      <c r="J24">
        <v>2648469</v>
      </c>
      <c r="K24">
        <v>13713166</v>
      </c>
      <c r="L24">
        <v>0</v>
      </c>
      <c r="M24">
        <v>349779</v>
      </c>
      <c r="N24">
        <v>0</v>
      </c>
      <c r="O24">
        <v>11985107</v>
      </c>
      <c r="Q24">
        <v>4726307</v>
      </c>
      <c r="R24">
        <v>204909739</v>
      </c>
      <c r="S24">
        <v>209636046</v>
      </c>
      <c r="T24">
        <v>3809568</v>
      </c>
      <c r="V24">
        <v>756530</v>
      </c>
      <c r="W24">
        <v>47954667</v>
      </c>
      <c r="Y24">
        <v>21741</v>
      </c>
      <c r="AA24">
        <v>40513917</v>
      </c>
      <c r="AB24">
        <v>161568265</v>
      </c>
      <c r="AC24">
        <v>202082183</v>
      </c>
      <c r="AD24">
        <v>7553863</v>
      </c>
      <c r="AE24">
        <v>43341474</v>
      </c>
      <c r="AF24">
        <v>-35787611</v>
      </c>
      <c r="AG24">
        <v>37590100</v>
      </c>
      <c r="AI24" t="b">
        <v>1</v>
      </c>
      <c r="AK24">
        <v>6.8000000000000005E-2</v>
      </c>
      <c r="AL24">
        <v>6.8000000000000005E-2</v>
      </c>
      <c r="AM24">
        <v>6.8000000000000005E-2</v>
      </c>
      <c r="AN24">
        <v>6.8000000000000005E-2</v>
      </c>
      <c r="AS24">
        <v>33781383</v>
      </c>
      <c r="AT24">
        <v>-14369403</v>
      </c>
      <c r="BB24">
        <f t="shared" si="2"/>
        <v>0.9639667741109752</v>
      </c>
      <c r="BD24">
        <f t="shared" si="3"/>
        <v>26227520</v>
      </c>
      <c r="BE24">
        <f t="shared" si="4"/>
        <v>-21923266</v>
      </c>
      <c r="BF24">
        <f t="shared" si="5"/>
        <v>12.510978193130013</v>
      </c>
      <c r="BG24">
        <f t="shared" si="6"/>
        <v>-10.457774995431844</v>
      </c>
      <c r="BH24">
        <f t="shared" si="7"/>
        <v>11.484376594280928</v>
      </c>
      <c r="BI24">
        <f t="shared" si="8"/>
        <v>102.66015988490832</v>
      </c>
      <c r="BJ24">
        <f t="shared" si="9"/>
        <v>11</v>
      </c>
      <c r="BK24">
        <f>IF($BJ24&lt;=30,IF($B24=2015,VLOOKUP($BJ24,'Treasury Yields'!$C$5:$N$34,$E24,FALSE)/100,IF($B24=2016,VLOOKUP($BJ24,'Treasury Yields'!$C$40:$N$69,$E24,FALSE)/100,IF($B24=2017,VLOOKUP($BJ24,'Treasury Yields'!$C$75:$N$104,$E24,FALSE)/100,IF($B24=2018,VLOOKUP($BJ24,'Treasury Yields'!$C$110:$N$139,$E24,FALSE)/100,IF($B24=2019,VLOOKUP($BJ24,'Treasury Yields'!$C$145:$N$174,$E24,FALSE)/100,IF($B24=2020,VLOOKUP($BJ24,'Treasury Yields'!$C$180:$N$209,$E24,FALSE)/100,IF($B24=2021,VLOOKUP($BJ24,'Treasury Yields'!$C$215:$N$244,$E24,FALSE)/100,IF($B24=2022,VLOOKUP($BJ24,'Treasury Yields'!$C$250:$N$279,$E24,FALSE)/100)))))))),0)</f>
        <v>1.4551090909090908E-2</v>
      </c>
      <c r="BL24">
        <f t="shared" si="10"/>
        <v>1.6166841864364938</v>
      </c>
      <c r="BM24">
        <f t="shared" si="11"/>
        <v>331274334.68812931</v>
      </c>
      <c r="BN24">
        <f t="shared" si="12"/>
        <v>169706069.68812931</v>
      </c>
      <c r="BP24">
        <f>IF($BJ24&lt;=30,IF($B24=2015,VLOOKUP($BJ24,'Treasury Yields'!$C$40:$N$69,$E24,FALSE)/100,IF($B24=2016,VLOOKUP($BJ24,'Treasury Yields'!$C$75:$N$104,$E24,FALSE)/100,IF($B24=2017,VLOOKUP($BJ24,'Treasury Yields'!$C$110:$N$139,$E24,FALSE)/100,IF($B24=2018,VLOOKUP($BJ24,'Treasury Yields'!$C$145:$N$174,$E24,FALSE)/100,IF($B24=2019,VLOOKUP($BJ24,'Treasury Yields'!$C$180:$N$209,$E24,FALSE)/100,IF($B24=2020,VLOOKUP($BJ24,'Treasury Yields'!$C$215:$N$244,$E24,FALSE)/100,IF($B24=2021,VLOOKUP($BJ24,'Treasury Yields'!$C$250:$N$279,$E24,FALSE)/100,IF($B24=2022,VLOOKUP($BJ24,'Treasury Yields'!$C$285:$N$314,$E24,FALSE)/100)))))))),0)</f>
        <v>2.1554272727272727E-2</v>
      </c>
      <c r="BQ24">
        <f t="shared" si="13"/>
        <v>1.535557428777157</v>
      </c>
      <c r="BR24">
        <f t="shared" si="14"/>
        <v>321908187.77476978</v>
      </c>
      <c r="BS24">
        <f t="shared" si="15"/>
        <v>119826004.77476978</v>
      </c>
      <c r="BU24">
        <f t="shared" si="16"/>
        <v>14</v>
      </c>
      <c r="BV24">
        <f t="shared" si="17"/>
        <v>2.6553902233327906</v>
      </c>
      <c r="BW24">
        <f t="shared" si="18"/>
        <v>7032718.6893999726</v>
      </c>
      <c r="BX24" s="5">
        <f t="shared" si="19"/>
        <v>4748340.3073709169</v>
      </c>
      <c r="BY24" s="5">
        <f t="shared" si="20"/>
        <v>2397345.795331826</v>
      </c>
      <c r="BZ24" s="5">
        <f t="shared" si="21"/>
        <v>16361635</v>
      </c>
      <c r="CA24" s="5">
        <f t="shared" si="22"/>
        <v>9430064.484731799</v>
      </c>
      <c r="CB24" s="5"/>
      <c r="CC24" s="5">
        <f t="shared" si="23"/>
        <v>321908187.77476978</v>
      </c>
      <c r="CD24" s="5" t="str">
        <f t="shared" si="0"/>
        <v>Florida</v>
      </c>
      <c r="CE24" s="5">
        <f t="shared" si="1"/>
        <v>0.9639667741109752</v>
      </c>
      <c r="CF24" s="5">
        <f t="shared" si="24"/>
        <v>0.62776341414897874</v>
      </c>
      <c r="CG24" s="5"/>
      <c r="CH24" s="5"/>
      <c r="CI24" s="5"/>
    </row>
    <row r="25" spans="1:87" x14ac:dyDescent="0.2">
      <c r="A25">
        <v>10000000000401</v>
      </c>
      <c r="B25">
        <v>2022</v>
      </c>
      <c r="C25">
        <v>231</v>
      </c>
      <c r="D25" t="s">
        <v>78</v>
      </c>
      <c r="E25">
        <v>6</v>
      </c>
      <c r="F25" t="s">
        <v>79</v>
      </c>
      <c r="G25" t="s">
        <v>80</v>
      </c>
      <c r="H25" t="s">
        <v>81</v>
      </c>
      <c r="I25" t="b">
        <v>1</v>
      </c>
      <c r="J25">
        <v>2635672</v>
      </c>
      <c r="K25">
        <v>14012135</v>
      </c>
      <c r="L25">
        <v>99285</v>
      </c>
      <c r="M25">
        <v>1243179</v>
      </c>
      <c r="N25">
        <v>2437637</v>
      </c>
      <c r="O25">
        <v>12629514</v>
      </c>
      <c r="Q25">
        <v>7798395</v>
      </c>
      <c r="R25">
        <v>209636046</v>
      </c>
      <c r="S25">
        <v>217434441</v>
      </c>
      <c r="T25">
        <v>4267182</v>
      </c>
      <c r="V25">
        <v>769228</v>
      </c>
      <c r="W25">
        <v>-14240179</v>
      </c>
      <c r="Y25">
        <v>22495</v>
      </c>
      <c r="AA25">
        <v>-21855778</v>
      </c>
      <c r="AB25">
        <v>202082183</v>
      </c>
      <c r="AC25">
        <v>180226405</v>
      </c>
      <c r="AD25">
        <v>37208036</v>
      </c>
      <c r="AE25">
        <v>7553863</v>
      </c>
      <c r="AF25">
        <v>29654173</v>
      </c>
      <c r="AG25">
        <v>38208036</v>
      </c>
      <c r="AI25" t="b">
        <v>1</v>
      </c>
      <c r="AK25">
        <v>6.8000000000000005E-2</v>
      </c>
      <c r="AL25">
        <v>6.7000000000000004E-2</v>
      </c>
      <c r="AM25">
        <v>6.7000000000000004E-2</v>
      </c>
      <c r="AN25">
        <v>6.8000000000000005E-2</v>
      </c>
      <c r="AS25">
        <v>64348740</v>
      </c>
      <c r="AT25">
        <v>14515178</v>
      </c>
      <c r="AV25" t="s">
        <v>90</v>
      </c>
      <c r="BB25">
        <f t="shared" si="2"/>
        <v>0.8288769900992824</v>
      </c>
      <c r="BD25">
        <f t="shared" si="3"/>
        <v>27140704</v>
      </c>
      <c r="BE25">
        <f t="shared" si="4"/>
        <v>-22692858</v>
      </c>
      <c r="BF25">
        <f t="shared" si="5"/>
        <v>12.482247005201904</v>
      </c>
      <c r="BG25">
        <f t="shared" si="6"/>
        <v>-10.436643751391712</v>
      </c>
      <c r="BH25">
        <f t="shared" si="7"/>
        <v>11.459445378296808</v>
      </c>
      <c r="BI25">
        <f t="shared" si="8"/>
        <v>102.28016269050954</v>
      </c>
      <c r="BJ25">
        <f t="shared" si="9"/>
        <v>11</v>
      </c>
      <c r="BK25">
        <f>IF($BJ25&lt;=30,IF($B25=2015,VLOOKUP($BJ25,'Treasury Yields'!$C$5:$N$34,$E25,FALSE)/100,IF($B25=2016,VLOOKUP($BJ25,'Treasury Yields'!$C$40:$N$69,$E25,FALSE)/100,IF($B25=2017,VLOOKUP($BJ25,'Treasury Yields'!$C$75:$N$104,$E25,FALSE)/100,IF($B25=2018,VLOOKUP($BJ25,'Treasury Yields'!$C$110:$N$139,$E25,FALSE)/100,IF($B25=2019,VLOOKUP($BJ25,'Treasury Yields'!$C$145:$N$174,$E25,FALSE)/100,IF($B25=2020,VLOOKUP($BJ25,'Treasury Yields'!$C$180:$N$209,$E25,FALSE)/100,IF($B25=2021,VLOOKUP($BJ25,'Treasury Yields'!$C$215:$N$244,$E25,FALSE)/100,IF($B25=2022,VLOOKUP($BJ25,'Treasury Yields'!$C$250:$N$279,$E25,FALSE)/100)))))))),0)</f>
        <v>2.1554272727272727E-2</v>
      </c>
      <c r="BL25">
        <f t="shared" si="10"/>
        <v>1.5228481434861389</v>
      </c>
      <c r="BM25">
        <f t="shared" si="11"/>
        <v>319243863.45887482</v>
      </c>
      <c r="BN25">
        <f t="shared" si="12"/>
        <v>117161680.45887482</v>
      </c>
      <c r="BP25">
        <f>IF($BJ25&lt;=30,IF($B25=2015,VLOOKUP($BJ25,'Treasury Yields'!$C$40:$N$69,$E25,FALSE)/100,IF($B25=2016,VLOOKUP($BJ25,'Treasury Yields'!$C$75:$N$104,$E25,FALSE)/100,IF($B25=2017,VLOOKUP($BJ25,'Treasury Yields'!$C$110:$N$139,$E25,FALSE)/100,IF($B25=2018,VLOOKUP($BJ25,'Treasury Yields'!$C$145:$N$174,$E25,FALSE)/100,IF($B25=2019,VLOOKUP($BJ25,'Treasury Yields'!$C$180:$N$209,$E25,FALSE)/100,IF($B25=2020,VLOOKUP($BJ25,'Treasury Yields'!$C$215:$N$244,$E25,FALSE)/100,IF($B25=2021,VLOOKUP($BJ25,'Treasury Yields'!$C$250:$N$279,$E25,FALSE)/100,IF($B25=2022,VLOOKUP($BJ25,'Treasury Yields'!$C$285:$N$314,$E25,FALSE)/100)))))))),0)</f>
        <v>3.1935909090909091E-2</v>
      </c>
      <c r="BQ25">
        <f t="shared" si="13"/>
        <v>1.4145750985437571</v>
      </c>
      <c r="BR25">
        <f t="shared" si="14"/>
        <v>307577345.80438173</v>
      </c>
      <c r="BS25">
        <f t="shared" si="15"/>
        <v>127350940.80438173</v>
      </c>
      <c r="BU25">
        <f t="shared" si="16"/>
        <v>14</v>
      </c>
      <c r="BV25">
        <f t="shared" si="17"/>
        <v>2.4031217944281167</v>
      </c>
      <c r="BW25">
        <f t="shared" si="18"/>
        <v>6333840.8261639429</v>
      </c>
      <c r="BX25" s="5">
        <f t="shared" si="19"/>
        <v>6745370.6429101666</v>
      </c>
      <c r="BY25" s="5">
        <f t="shared" si="20"/>
        <v>2389636.1572055304</v>
      </c>
      <c r="BZ25" s="5">
        <f t="shared" si="21"/>
        <v>16647807</v>
      </c>
      <c r="CA25" s="5">
        <f t="shared" si="22"/>
        <v>8723476.9833694734</v>
      </c>
      <c r="CB25" s="5"/>
      <c r="CC25" s="5">
        <f t="shared" si="23"/>
        <v>307577345.80438173</v>
      </c>
      <c r="CD25" s="5" t="str">
        <f t="shared" si="0"/>
        <v>Florida</v>
      </c>
      <c r="CE25" s="5">
        <f t="shared" si="1"/>
        <v>0.8288769900992824</v>
      </c>
      <c r="CF25" s="5">
        <f t="shared" si="24"/>
        <v>0.58595474425682659</v>
      </c>
      <c r="CG25" s="5"/>
      <c r="CH25" s="5"/>
      <c r="CI25" s="5"/>
    </row>
    <row r="26" spans="1:87" x14ac:dyDescent="0.2">
      <c r="A26">
        <v>11000000011301</v>
      </c>
      <c r="B26">
        <v>2015</v>
      </c>
      <c r="C26">
        <v>576</v>
      </c>
      <c r="D26" t="s">
        <v>91</v>
      </c>
      <c r="E26">
        <v>6</v>
      </c>
      <c r="F26" t="s">
        <v>92</v>
      </c>
      <c r="G26" t="s">
        <v>93</v>
      </c>
      <c r="H26" t="s">
        <v>69</v>
      </c>
      <c r="I26" t="b">
        <v>1</v>
      </c>
      <c r="J26">
        <v>1386498</v>
      </c>
      <c r="K26">
        <v>5779597</v>
      </c>
      <c r="L26">
        <v>0</v>
      </c>
      <c r="M26">
        <v>-165785</v>
      </c>
      <c r="N26">
        <v>0</v>
      </c>
      <c r="O26">
        <v>3996879</v>
      </c>
      <c r="P26">
        <v>80085</v>
      </c>
      <c r="Q26">
        <v>2923346</v>
      </c>
      <c r="R26">
        <v>79099772</v>
      </c>
      <c r="S26">
        <v>82023118</v>
      </c>
      <c r="T26">
        <v>1399668</v>
      </c>
      <c r="U26">
        <v>7038</v>
      </c>
      <c r="V26">
        <v>661835</v>
      </c>
      <c r="W26">
        <v>2384145</v>
      </c>
      <c r="Y26">
        <v>14996</v>
      </c>
      <c r="Z26">
        <v>-27706</v>
      </c>
      <c r="AA26">
        <v>333020</v>
      </c>
      <c r="AB26">
        <v>66466091</v>
      </c>
      <c r="AC26">
        <v>66799111</v>
      </c>
      <c r="AD26">
        <v>15224007</v>
      </c>
      <c r="AE26">
        <v>12633681</v>
      </c>
      <c r="AF26">
        <v>2590326</v>
      </c>
      <c r="AG26">
        <v>10697384</v>
      </c>
      <c r="AH26">
        <v>0.13084208251288351</v>
      </c>
      <c r="AI26" t="b">
        <v>1</v>
      </c>
      <c r="AK26">
        <v>7.4999999999999997E-2</v>
      </c>
      <c r="AL26">
        <v>7.4999999999999997E-2</v>
      </c>
      <c r="AM26">
        <v>7.4999999999999997E-2</v>
      </c>
      <c r="AN26">
        <v>7.4999999999999997E-2</v>
      </c>
      <c r="AO26">
        <v>1</v>
      </c>
      <c r="AP26">
        <v>0</v>
      </c>
      <c r="AS26">
        <v>26161305</v>
      </c>
      <c r="AT26">
        <v>6209071</v>
      </c>
      <c r="BB26">
        <f>AC26/S26</f>
        <v>0.81439370544289724</v>
      </c>
      <c r="BD26">
        <f t="shared" si="3"/>
        <v>10937298</v>
      </c>
      <c r="BE26">
        <f t="shared" si="4"/>
        <v>-9014936</v>
      </c>
      <c r="BF26">
        <f t="shared" si="5"/>
        <v>13.334408965043245</v>
      </c>
      <c r="BG26">
        <f t="shared" si="6"/>
        <v>-10.990725809764998</v>
      </c>
      <c r="BH26">
        <f t="shared" si="7"/>
        <v>12.162567387404122</v>
      </c>
      <c r="BI26">
        <f t="shared" si="8"/>
        <v>117.18415776391237</v>
      </c>
      <c r="BJ26">
        <f t="shared" si="9"/>
        <v>12</v>
      </c>
      <c r="BK26">
        <f>IF($BJ26&lt;=30,IF($B26=2015,VLOOKUP($BJ26,'Treasury Yields'!$C$5:$N$34,$E26,FALSE)/100,IF($B26=2016,VLOOKUP($BJ26,'Treasury Yields'!$C$40:$N$69,$E26,FALSE)/100,IF($B26=2017,VLOOKUP($BJ26,'Treasury Yields'!$C$75:$N$104,$E26,FALSE)/100,IF($B26=2018,VLOOKUP($BJ26,'Treasury Yields'!$C$110:$N$139,$E26,FALSE)/100,IF($B26=2019,VLOOKUP($BJ26,'Treasury Yields'!$C$145:$N$174,$E26,FALSE)/100,IF($B26=2020,VLOOKUP($BJ26,'Treasury Yields'!$C$180:$N$209,$E26,FALSE)/100,IF($B26=2021,VLOOKUP($BJ26,'Treasury Yields'!$C$215:$N$244,$E26,FALSE)/100,IF($B26=2022,VLOOKUP($BJ26,'Treasury Yields'!$C$250:$N$279,$E26,FALSE)/100)))))))),0)</f>
        <v>2.9186E-2</v>
      </c>
      <c r="BL26">
        <f t="shared" si="10"/>
        <v>1.5593147848825324</v>
      </c>
      <c r="BM26">
        <f t="shared" si="11"/>
        <v>123341443.96043736</v>
      </c>
      <c r="BN26">
        <f t="shared" si="12"/>
        <v>56875352.960437357</v>
      </c>
      <c r="BP26">
        <f>IF($BJ26&lt;=30,IF($B26=2015,VLOOKUP($BJ26,'Treasury Yields'!$C$40:$N$69,$E26,FALSE)/100,IF($B26=2016,VLOOKUP($BJ26,'Treasury Yields'!$C$75:$N$104,$E26,FALSE)/100,IF($B26=2017,VLOOKUP($BJ26,'Treasury Yields'!$C$110:$N$139,$E26,FALSE)/100,IF($B26=2018,VLOOKUP($BJ26,'Treasury Yields'!$C$145:$N$174,$E26,FALSE)/100,IF($B26=2019,VLOOKUP($BJ26,'Treasury Yields'!$C$180:$N$209,$E26,FALSE)/100,IF($B26=2020,VLOOKUP($BJ26,'Treasury Yields'!$C$215:$N$244,$E26,FALSE)/100,IF($B26=2021,VLOOKUP($BJ26,'Treasury Yields'!$C$250:$N$279,$E26,FALSE)/100,IF($B26=2022,VLOOKUP($BJ26,'Treasury Yields'!$C$285:$N$314,$E26,FALSE)/100)))))))),0)</f>
        <v>2.7045999999999997E-2</v>
      </c>
      <c r="BQ26">
        <f t="shared" si="13"/>
        <v>1.5855433426115773</v>
      </c>
      <c r="BR26">
        <f t="shared" si="14"/>
        <v>130051208.68514383</v>
      </c>
      <c r="BS26">
        <f t="shared" si="15"/>
        <v>63252097.685143828</v>
      </c>
      <c r="BU26">
        <f t="shared" si="16"/>
        <v>15</v>
      </c>
      <c r="BV26">
        <f t="shared" si="17"/>
        <v>2.490386338910437</v>
      </c>
      <c r="BW26">
        <f t="shared" si="18"/>
        <v>3452915.6781266429</v>
      </c>
      <c r="BX26" s="5">
        <f t="shared" si="19"/>
        <v>3583967.2699171291</v>
      </c>
      <c r="BY26" s="5">
        <f t="shared" si="20"/>
        <v>1644087.9379911288</v>
      </c>
      <c r="BZ26" s="5">
        <f t="shared" si="21"/>
        <v>7166095</v>
      </c>
      <c r="CA26" s="5">
        <f t="shared" si="22"/>
        <v>5097003.6161177717</v>
      </c>
      <c r="CB26" s="5"/>
      <c r="CC26" s="5">
        <f t="shared" si="23"/>
        <v>130051208.68514383</v>
      </c>
      <c r="CD26" s="5" t="str">
        <f t="shared" si="0"/>
        <v>Georgia</v>
      </c>
      <c r="CE26" s="5">
        <f t="shared" si="1"/>
        <v>0.81439370544289724</v>
      </c>
      <c r="CF26" s="5">
        <f t="shared" si="24"/>
        <v>0.513636987117296</v>
      </c>
      <c r="CG26" s="5"/>
      <c r="CH26" s="5"/>
      <c r="CI26" s="5"/>
    </row>
    <row r="27" spans="1:87" x14ac:dyDescent="0.2">
      <c r="A27">
        <v>11000000011301</v>
      </c>
      <c r="B27">
        <v>2016</v>
      </c>
      <c r="C27">
        <v>576</v>
      </c>
      <c r="D27" t="s">
        <v>91</v>
      </c>
      <c r="E27">
        <v>6</v>
      </c>
      <c r="F27" t="s">
        <v>92</v>
      </c>
      <c r="G27" t="s">
        <v>93</v>
      </c>
      <c r="H27" t="s">
        <v>69</v>
      </c>
      <c r="I27" t="b">
        <v>1</v>
      </c>
      <c r="J27">
        <v>1435808</v>
      </c>
      <c r="K27">
        <v>5990178</v>
      </c>
      <c r="M27">
        <v>380526</v>
      </c>
      <c r="N27">
        <v>662047</v>
      </c>
      <c r="O27">
        <v>4228819</v>
      </c>
      <c r="P27">
        <v>79334</v>
      </c>
      <c r="Q27">
        <v>4160408</v>
      </c>
      <c r="R27">
        <v>82023118</v>
      </c>
      <c r="S27">
        <v>86183526</v>
      </c>
      <c r="T27">
        <v>1572624</v>
      </c>
      <c r="U27">
        <v>7908</v>
      </c>
      <c r="V27">
        <v>685626</v>
      </c>
      <c r="W27">
        <v>810574</v>
      </c>
      <c r="Y27">
        <v>15279</v>
      </c>
      <c r="AA27">
        <v>-1246700</v>
      </c>
      <c r="AB27">
        <v>66799111</v>
      </c>
      <c r="AC27">
        <v>65552411</v>
      </c>
      <c r="AD27">
        <v>20631115</v>
      </c>
      <c r="AE27">
        <v>15224007</v>
      </c>
      <c r="AF27">
        <v>5407108</v>
      </c>
      <c r="AG27">
        <v>11075907</v>
      </c>
      <c r="AH27">
        <v>0.14198602425968365</v>
      </c>
      <c r="AI27" t="b">
        <v>1</v>
      </c>
      <c r="AK27">
        <v>7.4999999999999997E-2</v>
      </c>
      <c r="AL27">
        <v>7.4999999999999997E-2</v>
      </c>
      <c r="AM27">
        <v>7.4999999999999997E-2</v>
      </c>
      <c r="AN27">
        <v>7.4999999999999997E-2</v>
      </c>
      <c r="AO27">
        <v>1</v>
      </c>
      <c r="AP27">
        <v>0</v>
      </c>
      <c r="AS27">
        <v>32112585</v>
      </c>
      <c r="AT27">
        <v>11178017</v>
      </c>
      <c r="AU27" t="s">
        <v>94</v>
      </c>
      <c r="AV27" t="s">
        <v>95</v>
      </c>
      <c r="BB27">
        <f t="shared" si="2"/>
        <v>0.76061416888420186</v>
      </c>
      <c r="BD27">
        <f t="shared" si="3"/>
        <v>11481470</v>
      </c>
      <c r="BE27">
        <f t="shared" si="4"/>
        <v>-9453098</v>
      </c>
      <c r="BF27">
        <f t="shared" si="5"/>
        <v>13.322116804550326</v>
      </c>
      <c r="BG27">
        <f t="shared" si="6"/>
        <v>-10.968567241029335</v>
      </c>
      <c r="BH27">
        <f t="shared" si="7"/>
        <v>12.145342022789832</v>
      </c>
      <c r="BI27">
        <f t="shared" si="8"/>
        <v>117.67747817604956</v>
      </c>
      <c r="BJ27">
        <f t="shared" si="9"/>
        <v>12</v>
      </c>
      <c r="BK27">
        <f>IF($BJ27&lt;=30,IF($B27=2015,VLOOKUP($BJ27,'Treasury Yields'!$C$5:$N$34,$E27,FALSE)/100,IF($B27=2016,VLOOKUP($BJ27,'Treasury Yields'!$C$40:$N$69,$E27,FALSE)/100,IF($B27=2017,VLOOKUP($BJ27,'Treasury Yields'!$C$75:$N$104,$E27,FALSE)/100,IF($B27=2018,VLOOKUP($BJ27,'Treasury Yields'!$C$110:$N$139,$E27,FALSE)/100,IF($B27=2019,VLOOKUP($BJ27,'Treasury Yields'!$C$145:$N$174,$E27,FALSE)/100,IF($B27=2020,VLOOKUP($BJ27,'Treasury Yields'!$C$180:$N$209,$E27,FALSE)/100,IF($B27=2021,VLOOKUP($BJ27,'Treasury Yields'!$C$215:$N$244,$E27,FALSE)/100,IF($B27=2022,VLOOKUP($BJ27,'Treasury Yields'!$C$250:$N$279,$E27,FALSE)/100)))))))),0)</f>
        <v>2.7045999999999997E-2</v>
      </c>
      <c r="BL27">
        <f t="shared" si="10"/>
        <v>1.5847173174768634</v>
      </c>
      <c r="BM27">
        <f t="shared" si="11"/>
        <v>129983455.52804823</v>
      </c>
      <c r="BN27">
        <f t="shared" si="12"/>
        <v>63184344.528048232</v>
      </c>
      <c r="BP27">
        <f>IF($BJ27&lt;=30,IF($B27=2015,VLOOKUP($BJ27,'Treasury Yields'!$C$40:$N$69,$E27,FALSE)/100,IF($B27=2016,VLOOKUP($BJ27,'Treasury Yields'!$C$75:$N$104,$E27,FALSE)/100,IF($B27=2017,VLOOKUP($BJ27,'Treasury Yields'!$C$110:$N$139,$E27,FALSE)/100,IF($B27=2018,VLOOKUP($BJ27,'Treasury Yields'!$C$145:$N$174,$E27,FALSE)/100,IF($B27=2019,VLOOKUP($BJ27,'Treasury Yields'!$C$180:$N$209,$E27,FALSE)/100,IF($B27=2020,VLOOKUP($BJ27,'Treasury Yields'!$C$215:$N$244,$E27,FALSE)/100,IF($B27=2021,VLOOKUP($BJ27,'Treasury Yields'!$C$250:$N$279,$E27,FALSE)/100,IF($B27=2022,VLOOKUP($BJ27,'Treasury Yields'!$C$285:$N$314,$E27,FALSE)/100)))))))),0)</f>
        <v>1.7546000000000003E-2</v>
      </c>
      <c r="BQ27">
        <f t="shared" si="13"/>
        <v>1.701099442693367</v>
      </c>
      <c r="BR27">
        <f t="shared" si="14"/>
        <v>146606748.04794931</v>
      </c>
      <c r="BS27">
        <f t="shared" si="15"/>
        <v>81054337.047949314</v>
      </c>
      <c r="BU27">
        <f t="shared" si="16"/>
        <v>15</v>
      </c>
      <c r="BV27">
        <f t="shared" si="17"/>
        <v>2.5723372263403999</v>
      </c>
      <c r="BW27">
        <f t="shared" si="18"/>
        <v>3693382.368277357</v>
      </c>
      <c r="BX27" s="5">
        <f t="shared" si="19"/>
        <v>3501051.1190700214</v>
      </c>
      <c r="BY27" s="5">
        <f t="shared" si="20"/>
        <v>1694402.3629640217</v>
      </c>
      <c r="BZ27" s="5">
        <f t="shared" si="21"/>
        <v>7425986</v>
      </c>
      <c r="CA27" s="5">
        <f t="shared" si="22"/>
        <v>5387784.7312413789</v>
      </c>
      <c r="CB27" s="5"/>
      <c r="CC27" s="5">
        <f t="shared" si="23"/>
        <v>146606748.04794931</v>
      </c>
      <c r="CD27" s="5" t="str">
        <f t="shared" si="0"/>
        <v>Georgia</v>
      </c>
      <c r="CE27" s="5">
        <f t="shared" si="1"/>
        <v>0.76061416888420186</v>
      </c>
      <c r="CF27" s="5">
        <f t="shared" si="24"/>
        <v>0.44713092591454506</v>
      </c>
      <c r="CG27" s="5"/>
      <c r="CH27" s="5"/>
      <c r="CI27" s="5"/>
    </row>
    <row r="28" spans="1:87" x14ac:dyDescent="0.2">
      <c r="A28">
        <v>11000000011301</v>
      </c>
      <c r="B28">
        <v>2017</v>
      </c>
      <c r="C28">
        <v>576</v>
      </c>
      <c r="D28" t="s">
        <v>91</v>
      </c>
      <c r="E28">
        <v>6</v>
      </c>
      <c r="F28" t="s">
        <v>92</v>
      </c>
      <c r="G28" t="s">
        <v>93</v>
      </c>
      <c r="H28" t="s">
        <v>69</v>
      </c>
      <c r="I28" t="b">
        <v>1</v>
      </c>
      <c r="J28">
        <v>1413080</v>
      </c>
      <c r="K28">
        <v>6293611</v>
      </c>
      <c r="M28">
        <v>573483</v>
      </c>
      <c r="N28">
        <v>0</v>
      </c>
      <c r="O28">
        <v>4461124</v>
      </c>
      <c r="P28">
        <v>76296</v>
      </c>
      <c r="Q28">
        <v>3742754</v>
      </c>
      <c r="R28">
        <v>86183526</v>
      </c>
      <c r="S28">
        <v>89926280</v>
      </c>
      <c r="T28">
        <v>1648411</v>
      </c>
      <c r="U28">
        <v>6175</v>
      </c>
      <c r="V28">
        <v>716233</v>
      </c>
      <c r="W28">
        <v>7971677</v>
      </c>
      <c r="Y28">
        <v>16733</v>
      </c>
      <c r="Z28">
        <v>258</v>
      </c>
      <c r="AA28">
        <v>5788561</v>
      </c>
      <c r="AB28">
        <v>65552411</v>
      </c>
      <c r="AC28">
        <v>71340972</v>
      </c>
      <c r="AD28">
        <v>18585308</v>
      </c>
      <c r="AE28">
        <v>20631115</v>
      </c>
      <c r="AF28">
        <v>-2045807</v>
      </c>
      <c r="AG28">
        <v>11596664</v>
      </c>
      <c r="AH28">
        <v>0.14214527557235426</v>
      </c>
      <c r="AI28" t="b">
        <v>1</v>
      </c>
      <c r="AK28">
        <v>7.4999999999999997E-2</v>
      </c>
      <c r="AL28">
        <v>7.4999999999999997E-2</v>
      </c>
      <c r="AM28">
        <v>7.4999999999999997E-2</v>
      </c>
      <c r="AN28">
        <v>7.4999999999999997E-2</v>
      </c>
      <c r="AO28">
        <v>1</v>
      </c>
      <c r="AP28">
        <v>0</v>
      </c>
      <c r="AS28">
        <v>30500671</v>
      </c>
      <c r="AT28">
        <v>8769727</v>
      </c>
      <c r="AU28" t="s">
        <v>96</v>
      </c>
      <c r="AV28" t="s">
        <v>97</v>
      </c>
      <c r="BB28">
        <f t="shared" si="2"/>
        <v>0.79332728986454237</v>
      </c>
      <c r="BD28">
        <f t="shared" si="3"/>
        <v>11915363</v>
      </c>
      <c r="BE28">
        <f t="shared" si="4"/>
        <v>-9815581</v>
      </c>
      <c r="BF28">
        <f t="shared" si="5"/>
        <v>13.25014556367727</v>
      </c>
      <c r="BG28">
        <f t="shared" si="6"/>
        <v>-10.915141825059372</v>
      </c>
      <c r="BH28">
        <f t="shared" si="7"/>
        <v>12.08264369436832</v>
      </c>
      <c r="BI28">
        <f t="shared" si="8"/>
        <v>116.75018693089494</v>
      </c>
      <c r="BJ28">
        <f t="shared" si="9"/>
        <v>12</v>
      </c>
      <c r="BK28">
        <f>IF($BJ28&lt;=30,IF($B28=2015,VLOOKUP($BJ28,'Treasury Yields'!$C$5:$N$34,$E28,FALSE)/100,IF($B28=2016,VLOOKUP($BJ28,'Treasury Yields'!$C$40:$N$69,$E28,FALSE)/100,IF($B28=2017,VLOOKUP($BJ28,'Treasury Yields'!$C$75:$N$104,$E28,FALSE)/100,IF($B28=2018,VLOOKUP($BJ28,'Treasury Yields'!$C$110:$N$139,$E28,FALSE)/100,IF($B28=2019,VLOOKUP($BJ28,'Treasury Yields'!$C$145:$N$174,$E28,FALSE)/100,IF($B28=2020,VLOOKUP($BJ28,'Treasury Yields'!$C$180:$N$209,$E28,FALSE)/100,IF($B28=2021,VLOOKUP($BJ28,'Treasury Yields'!$C$215:$N$244,$E28,FALSE)/100,IF($B28=2022,VLOOKUP($BJ28,'Treasury Yields'!$C$250:$N$279,$E28,FALSE)/100)))))))),0)</f>
        <v>1.7546000000000003E-2</v>
      </c>
      <c r="BL28">
        <f t="shared" si="10"/>
        <v>1.6974971729322375</v>
      </c>
      <c r="BM28">
        <f t="shared" si="11"/>
        <v>146296291.73833197</v>
      </c>
      <c r="BN28">
        <f t="shared" si="12"/>
        <v>80743880.738331974</v>
      </c>
      <c r="BP28">
        <f>IF($BJ28&lt;=30,IF($B28=2015,VLOOKUP($BJ28,'Treasury Yields'!$C$40:$N$69,$E28,FALSE)/100,IF($B28=2016,VLOOKUP($BJ28,'Treasury Yields'!$C$75:$N$104,$E28,FALSE)/100,IF($B28=2017,VLOOKUP($BJ28,'Treasury Yields'!$C$110:$N$139,$E28,FALSE)/100,IF($B28=2018,VLOOKUP($BJ28,'Treasury Yields'!$C$145:$N$174,$E28,FALSE)/100,IF($B28=2019,VLOOKUP($BJ28,'Treasury Yields'!$C$180:$N$209,$E28,FALSE)/100,IF($B28=2020,VLOOKUP($BJ28,'Treasury Yields'!$C$215:$N$244,$E28,FALSE)/100,IF($B28=2021,VLOOKUP($BJ28,'Treasury Yields'!$C$250:$N$279,$E28,FALSE)/100,IF($B28=2022,VLOOKUP($BJ28,'Treasury Yields'!$C$285:$N$314,$E28,FALSE)/100)))))))),0)</f>
        <v>2.5467599999999993E-2</v>
      </c>
      <c r="BQ28">
        <f t="shared" si="13"/>
        <v>1.6009357991766895</v>
      </c>
      <c r="BR28">
        <f t="shared" si="14"/>
        <v>143966200.93878675</v>
      </c>
      <c r="BS28">
        <f t="shared" si="15"/>
        <v>72625228.938786745</v>
      </c>
      <c r="BU28">
        <f t="shared" si="16"/>
        <v>15</v>
      </c>
      <c r="BV28">
        <f t="shared" si="17"/>
        <v>2.9413941549110398</v>
      </c>
      <c r="BW28">
        <f t="shared" si="18"/>
        <v>4156425.252421692</v>
      </c>
      <c r="BX28" s="5">
        <f t="shared" si="19"/>
        <v>2561568.4906157637</v>
      </c>
      <c r="BY28" s="5">
        <f t="shared" si="20"/>
        <v>1411385.887209764</v>
      </c>
      <c r="BZ28" s="5">
        <f t="shared" si="21"/>
        <v>7706691</v>
      </c>
      <c r="CA28" s="5">
        <f t="shared" si="22"/>
        <v>5567811.1396314558</v>
      </c>
      <c r="CB28" s="5"/>
      <c r="CC28" s="5">
        <f t="shared" si="23"/>
        <v>143966200.93878675</v>
      </c>
      <c r="CD28" s="5" t="str">
        <f t="shared" si="0"/>
        <v>Georgia</v>
      </c>
      <c r="CE28" s="5">
        <f t="shared" si="1"/>
        <v>0.79332728986454237</v>
      </c>
      <c r="CF28" s="5">
        <f t="shared" si="24"/>
        <v>0.49553972762213544</v>
      </c>
      <c r="CG28" s="5"/>
      <c r="CH28" s="5"/>
      <c r="CI28" s="5"/>
    </row>
    <row r="29" spans="1:87" x14ac:dyDescent="0.2">
      <c r="A29">
        <v>11000000011301</v>
      </c>
      <c r="B29">
        <v>2018</v>
      </c>
      <c r="C29">
        <v>576</v>
      </c>
      <c r="D29" t="s">
        <v>91</v>
      </c>
      <c r="E29">
        <v>6</v>
      </c>
      <c r="F29" t="s">
        <v>92</v>
      </c>
      <c r="G29" t="s">
        <v>93</v>
      </c>
      <c r="H29" t="s">
        <v>69</v>
      </c>
      <c r="I29" t="b">
        <v>1</v>
      </c>
      <c r="J29">
        <v>1484705</v>
      </c>
      <c r="K29">
        <v>6565372</v>
      </c>
      <c r="M29">
        <v>894691</v>
      </c>
      <c r="N29">
        <v>0</v>
      </c>
      <c r="O29">
        <v>4699920</v>
      </c>
      <c r="P29">
        <v>76061</v>
      </c>
      <c r="Q29">
        <v>4168787</v>
      </c>
      <c r="R29">
        <v>89926280</v>
      </c>
      <c r="S29">
        <v>94095067</v>
      </c>
      <c r="T29">
        <v>2014088</v>
      </c>
      <c r="U29">
        <v>4416</v>
      </c>
      <c r="V29">
        <v>745574</v>
      </c>
      <c r="W29">
        <v>6247155</v>
      </c>
      <c r="Y29">
        <v>15865</v>
      </c>
      <c r="Z29">
        <v>-27434</v>
      </c>
      <c r="AA29">
        <v>4191953</v>
      </c>
      <c r="AB29">
        <v>71340972</v>
      </c>
      <c r="AC29">
        <v>75532925</v>
      </c>
      <c r="AD29">
        <v>18562142</v>
      </c>
      <c r="AE29">
        <v>18585308</v>
      </c>
      <c r="AF29">
        <v>-23166</v>
      </c>
      <c r="AG29">
        <v>12009066</v>
      </c>
      <c r="AH29">
        <v>0.16771395877081532</v>
      </c>
      <c r="AI29" t="b">
        <v>1</v>
      </c>
      <c r="AK29">
        <v>7.4999999999999997E-2</v>
      </c>
      <c r="AL29">
        <v>7.4999999999999997E-2</v>
      </c>
      <c r="AM29">
        <v>7.4999999999999997E-2</v>
      </c>
      <c r="AN29">
        <v>7.4999999999999997E-2</v>
      </c>
      <c r="AO29">
        <v>1</v>
      </c>
      <c r="AP29">
        <v>0</v>
      </c>
      <c r="AS29">
        <v>30985530</v>
      </c>
      <c r="AT29">
        <v>8234638</v>
      </c>
      <c r="AU29" t="s">
        <v>98</v>
      </c>
      <c r="AV29" t="s">
        <v>99</v>
      </c>
      <c r="BB29">
        <f t="shared" si="2"/>
        <v>0.80272991356709489</v>
      </c>
      <c r="BD29">
        <f t="shared" si="3"/>
        <v>12423388</v>
      </c>
      <c r="BE29">
        <f t="shared" si="4"/>
        <v>-10327504</v>
      </c>
      <c r="BF29">
        <f t="shared" si="5"/>
        <v>13.203017327146386</v>
      </c>
      <c r="BG29">
        <f t="shared" si="6"/>
        <v>-10.975606191980287</v>
      </c>
      <c r="BH29">
        <f t="shared" si="7"/>
        <v>12.089311759563335</v>
      </c>
      <c r="BI29">
        <f t="shared" si="8"/>
        <v>111.37055675830487</v>
      </c>
      <c r="BJ29">
        <f t="shared" si="9"/>
        <v>12</v>
      </c>
      <c r="BK29">
        <f>IF($BJ29&lt;=30,IF($B29=2015,VLOOKUP($BJ29,'Treasury Yields'!$C$5:$N$34,$E29,FALSE)/100,IF($B29=2016,VLOOKUP($BJ29,'Treasury Yields'!$C$40:$N$69,$E29,FALSE)/100,IF($B29=2017,VLOOKUP($BJ29,'Treasury Yields'!$C$75:$N$104,$E29,FALSE)/100,IF($B29=2018,VLOOKUP($BJ29,'Treasury Yields'!$C$110:$N$139,$E29,FALSE)/100,IF($B29=2019,VLOOKUP($BJ29,'Treasury Yields'!$C$145:$N$174,$E29,FALSE)/100,IF($B29=2020,VLOOKUP($BJ29,'Treasury Yields'!$C$180:$N$209,$E29,FALSE)/100,IF($B29=2021,VLOOKUP($BJ29,'Treasury Yields'!$C$215:$N$244,$E29,FALSE)/100,IF($B29=2022,VLOOKUP($BJ29,'Treasury Yields'!$C$250:$N$279,$E29,FALSE)/100)))))))),0)</f>
        <v>2.5467599999999993E-2</v>
      </c>
      <c r="BL29">
        <f t="shared" si="10"/>
        <v>1.6012660844491551</v>
      </c>
      <c r="BM29">
        <f t="shared" si="11"/>
        <v>143995902.26467836</v>
      </c>
      <c r="BN29">
        <f t="shared" si="12"/>
        <v>72654930.264678359</v>
      </c>
      <c r="BP29">
        <f>IF($BJ29&lt;=30,IF($B29=2015,VLOOKUP($BJ29,'Treasury Yields'!$C$40:$N$69,$E29,FALSE)/100,IF($B29=2016,VLOOKUP($BJ29,'Treasury Yields'!$C$75:$N$104,$E29,FALSE)/100,IF($B29=2017,VLOOKUP($BJ29,'Treasury Yields'!$C$110:$N$139,$E29,FALSE)/100,IF($B29=2018,VLOOKUP($BJ29,'Treasury Yields'!$C$145:$N$174,$E29,FALSE)/100,IF($B29=2019,VLOOKUP($BJ29,'Treasury Yields'!$C$180:$N$209,$E29,FALSE)/100,IF($B29=2020,VLOOKUP($BJ29,'Treasury Yields'!$C$215:$N$244,$E29,FALSE)/100,IF($B29=2021,VLOOKUP($BJ29,'Treasury Yields'!$C$250:$N$279,$E29,FALSE)/100,IF($B29=2022,VLOOKUP($BJ29,'Treasury Yields'!$C$285:$N$314,$E29,FALSE)/100)))))))),0)</f>
        <v>2.8906472727272727E-2</v>
      </c>
      <c r="BQ29">
        <f t="shared" si="13"/>
        <v>1.5593636345543767</v>
      </c>
      <c r="BR29">
        <f t="shared" si="14"/>
        <v>146728425.67075759</v>
      </c>
      <c r="BS29">
        <f t="shared" si="15"/>
        <v>71195500.670757592</v>
      </c>
      <c r="BU29">
        <f t="shared" si="16"/>
        <v>15</v>
      </c>
      <c r="BV29">
        <f t="shared" si="17"/>
        <v>2.6150416816066455</v>
      </c>
      <c r="BW29">
        <f t="shared" si="18"/>
        <v>3882565.4598897947</v>
      </c>
      <c r="BX29" s="5">
        <f t="shared" si="19"/>
        <v>3646413.982030211</v>
      </c>
      <c r="BY29" s="5">
        <f t="shared" si="20"/>
        <v>1829530.6435230116</v>
      </c>
      <c r="BZ29" s="5">
        <f t="shared" si="21"/>
        <v>8050077</v>
      </c>
      <c r="CA29" s="5">
        <f t="shared" si="22"/>
        <v>5712096.1034128061</v>
      </c>
      <c r="CB29" s="5"/>
      <c r="CC29" s="5">
        <f t="shared" si="23"/>
        <v>146728425.67075759</v>
      </c>
      <c r="CD29" s="5" t="str">
        <f t="shared" si="0"/>
        <v>Georgia</v>
      </c>
      <c r="CE29" s="5">
        <f t="shared" si="1"/>
        <v>0.80272991356709489</v>
      </c>
      <c r="CF29" s="5">
        <f t="shared" si="24"/>
        <v>0.51478045003691075</v>
      </c>
      <c r="CG29" s="5"/>
      <c r="CH29" s="5"/>
      <c r="CI29" s="5"/>
    </row>
    <row r="30" spans="1:87" x14ac:dyDescent="0.2">
      <c r="A30">
        <v>11000000011301</v>
      </c>
      <c r="B30">
        <v>2019</v>
      </c>
      <c r="C30">
        <v>576</v>
      </c>
      <c r="D30" t="s">
        <v>91</v>
      </c>
      <c r="E30">
        <v>6</v>
      </c>
      <c r="F30" t="s">
        <v>92</v>
      </c>
      <c r="G30" t="s">
        <v>93</v>
      </c>
      <c r="H30" t="s">
        <v>69</v>
      </c>
      <c r="I30" t="b">
        <v>1</v>
      </c>
      <c r="J30">
        <v>1536336</v>
      </c>
      <c r="K30">
        <v>6868617</v>
      </c>
      <c r="M30">
        <v>430272</v>
      </c>
      <c r="N30">
        <v>2388357</v>
      </c>
      <c r="O30">
        <v>4950465</v>
      </c>
      <c r="P30">
        <v>76543</v>
      </c>
      <c r="Q30">
        <v>6196574</v>
      </c>
      <c r="R30">
        <v>94095067</v>
      </c>
      <c r="S30">
        <v>100291641</v>
      </c>
      <c r="T30">
        <v>2560810</v>
      </c>
      <c r="U30">
        <v>5414</v>
      </c>
      <c r="V30">
        <v>759474</v>
      </c>
      <c r="W30">
        <v>4972419</v>
      </c>
      <c r="Y30">
        <v>15276</v>
      </c>
      <c r="Z30">
        <v>0</v>
      </c>
      <c r="AA30">
        <v>3256012</v>
      </c>
      <c r="AB30">
        <v>75532925</v>
      </c>
      <c r="AC30">
        <v>78788937</v>
      </c>
      <c r="AD30">
        <v>21502704</v>
      </c>
      <c r="AE30">
        <v>18562142</v>
      </c>
      <c r="AF30">
        <v>2940562</v>
      </c>
      <c r="AG30">
        <v>12279440</v>
      </c>
      <c r="AH30">
        <v>0.20854452646049004</v>
      </c>
      <c r="AI30" t="b">
        <v>1</v>
      </c>
      <c r="AK30">
        <v>7.4999999999999997E-2</v>
      </c>
      <c r="AL30">
        <v>7.2499999999999995E-2</v>
      </c>
      <c r="AM30">
        <v>7.2499999999999995E-2</v>
      </c>
      <c r="AN30">
        <v>7.4999999999999997E-2</v>
      </c>
      <c r="AO30">
        <v>1</v>
      </c>
      <c r="AP30">
        <v>0</v>
      </c>
      <c r="AS30">
        <v>34905182</v>
      </c>
      <c r="AT30">
        <v>10481105</v>
      </c>
      <c r="AU30" t="s">
        <v>100</v>
      </c>
      <c r="AV30" t="s">
        <v>99</v>
      </c>
      <c r="BB30">
        <f t="shared" si="2"/>
        <v>0.78559824342688744</v>
      </c>
      <c r="BD30">
        <f t="shared" si="3"/>
        <v>13402478</v>
      </c>
      <c r="BE30">
        <f t="shared" si="4"/>
        <v>-11021599</v>
      </c>
      <c r="BF30">
        <f t="shared" si="5"/>
        <v>13.363504541719484</v>
      </c>
      <c r="BG30">
        <f t="shared" si="6"/>
        <v>-10.98954896948989</v>
      </c>
      <c r="BH30">
        <f t="shared" si="7"/>
        <v>12.176526755604687</v>
      </c>
      <c r="BI30">
        <f t="shared" si="8"/>
        <v>118.69777861147969</v>
      </c>
      <c r="BJ30">
        <f t="shared" si="9"/>
        <v>12</v>
      </c>
      <c r="BK30">
        <f>IF($BJ30&lt;=30,IF($B30=2015,VLOOKUP($BJ30,'Treasury Yields'!$C$5:$N$34,$E30,FALSE)/100,IF($B30=2016,VLOOKUP($BJ30,'Treasury Yields'!$C$40:$N$69,$E30,FALSE)/100,IF($B30=2017,VLOOKUP($BJ30,'Treasury Yields'!$C$75:$N$104,$E30,FALSE)/100,IF($B30=2018,VLOOKUP($BJ30,'Treasury Yields'!$C$110:$N$139,$E30,FALSE)/100,IF($B30=2019,VLOOKUP($BJ30,'Treasury Yields'!$C$145:$N$174,$E30,FALSE)/100,IF($B30=2020,VLOOKUP($BJ30,'Treasury Yields'!$C$180:$N$209,$E30,FALSE)/100,IF($B30=2021,VLOOKUP($BJ30,'Treasury Yields'!$C$215:$N$244,$E30,FALSE)/100,IF($B30=2022,VLOOKUP($BJ30,'Treasury Yields'!$C$250:$N$279,$E30,FALSE)/100)))))))),0)</f>
        <v>2.8906472727272727E-2</v>
      </c>
      <c r="BL30">
        <f t="shared" si="10"/>
        <v>1.5327181468276243</v>
      </c>
      <c r="BM30">
        <f t="shared" si="11"/>
        <v>144221216.71786115</v>
      </c>
      <c r="BN30">
        <f t="shared" si="12"/>
        <v>68688291.717861146</v>
      </c>
      <c r="BP30">
        <f>IF($BJ30&lt;=30,IF($B30=2015,VLOOKUP($BJ30,'Treasury Yields'!$C$40:$N$69,$E30,FALSE)/100,IF($B30=2016,VLOOKUP($BJ30,'Treasury Yields'!$C$75:$N$104,$E30,FALSE)/100,IF($B30=2017,VLOOKUP($BJ30,'Treasury Yields'!$C$110:$N$139,$E30,FALSE)/100,IF($B30=2018,VLOOKUP($BJ30,'Treasury Yields'!$C$145:$N$174,$E30,FALSE)/100,IF($B30=2019,VLOOKUP($BJ30,'Treasury Yields'!$C$180:$N$209,$E30,FALSE)/100,IF($B30=2020,VLOOKUP($BJ30,'Treasury Yields'!$C$215:$N$244,$E30,FALSE)/100,IF($B30=2021,VLOOKUP($BJ30,'Treasury Yields'!$C$250:$N$279,$E30,FALSE)/100,IF($B30=2022,VLOOKUP($BJ30,'Treasury Yields'!$C$285:$N$314,$E30,FALSE)/100)))))))),0)</f>
        <v>2.2184000000000002E-2</v>
      </c>
      <c r="BQ30">
        <f t="shared" si="13"/>
        <v>1.645904966980017</v>
      </c>
      <c r="BR30">
        <f t="shared" si="14"/>
        <v>165070510.06847671</v>
      </c>
      <c r="BS30">
        <f t="shared" si="15"/>
        <v>86281573.068476707</v>
      </c>
      <c r="BU30">
        <f t="shared" si="16"/>
        <v>15</v>
      </c>
      <c r="BV30">
        <f t="shared" si="17"/>
        <v>2.5048488511355931</v>
      </c>
      <c r="BW30">
        <f t="shared" si="18"/>
        <v>3848289.4645582526</v>
      </c>
      <c r="BX30" s="5">
        <f t="shared" si="19"/>
        <v>4137066.6606930285</v>
      </c>
      <c r="BY30" s="5">
        <f t="shared" si="20"/>
        <v>1953676.2241693924</v>
      </c>
      <c r="BZ30" s="5">
        <f t="shared" si="21"/>
        <v>8404953</v>
      </c>
      <c r="CA30" s="5">
        <f t="shared" si="22"/>
        <v>5801965.6887276452</v>
      </c>
      <c r="CB30" s="5"/>
      <c r="CC30" s="5">
        <f t="shared" si="23"/>
        <v>165070510.06847671</v>
      </c>
      <c r="CD30" s="5" t="str">
        <f t="shared" si="0"/>
        <v>Georgia</v>
      </c>
      <c r="CE30" s="5">
        <f t="shared" si="1"/>
        <v>0.78559824342688744</v>
      </c>
      <c r="CF30" s="5">
        <f t="shared" si="24"/>
        <v>0.47730474066697764</v>
      </c>
      <c r="CG30" s="5"/>
      <c r="CH30" s="5"/>
      <c r="CI30" s="5"/>
    </row>
    <row r="31" spans="1:87" x14ac:dyDescent="0.2">
      <c r="A31">
        <v>11000000011301</v>
      </c>
      <c r="B31">
        <v>2020</v>
      </c>
      <c r="C31">
        <v>576</v>
      </c>
      <c r="D31" t="s">
        <v>91</v>
      </c>
      <c r="E31">
        <v>6</v>
      </c>
      <c r="F31" t="s">
        <v>92</v>
      </c>
      <c r="G31" t="s">
        <v>93</v>
      </c>
      <c r="H31" t="s">
        <v>69</v>
      </c>
      <c r="I31" t="b">
        <v>1</v>
      </c>
      <c r="J31">
        <v>1597714</v>
      </c>
      <c r="K31">
        <v>7080133</v>
      </c>
      <c r="M31">
        <v>368463</v>
      </c>
      <c r="N31">
        <v>1316780</v>
      </c>
      <c r="O31">
        <v>5192283</v>
      </c>
      <c r="P31">
        <v>76976</v>
      </c>
      <c r="Q31">
        <v>5093831</v>
      </c>
      <c r="R31">
        <v>100291641</v>
      </c>
      <c r="S31">
        <v>105385472</v>
      </c>
      <c r="T31">
        <v>2733089</v>
      </c>
      <c r="U31">
        <v>5729</v>
      </c>
      <c r="V31">
        <v>800864</v>
      </c>
      <c r="W31">
        <v>4119609</v>
      </c>
      <c r="Y31">
        <v>17411</v>
      </c>
      <c r="Z31">
        <v>0</v>
      </c>
      <c r="AA31">
        <v>2372621</v>
      </c>
      <c r="AB31">
        <v>78788937</v>
      </c>
      <c r="AC31">
        <v>81161558</v>
      </c>
      <c r="AD31">
        <v>24223914</v>
      </c>
      <c r="AE31">
        <v>21502704</v>
      </c>
      <c r="AF31">
        <v>2721210</v>
      </c>
      <c r="AG31">
        <v>12955620</v>
      </c>
      <c r="AH31">
        <v>0.21095779283430666</v>
      </c>
      <c r="AI31" t="b">
        <v>1</v>
      </c>
      <c r="AK31">
        <v>7.2499999999999995E-2</v>
      </c>
      <c r="AL31">
        <v>7.2499999999999995E-2</v>
      </c>
      <c r="AM31">
        <v>7.2499999999999995E-2</v>
      </c>
      <c r="AN31">
        <v>7.2499999999999995E-2</v>
      </c>
      <c r="AO31">
        <v>1</v>
      </c>
      <c r="AP31">
        <v>0</v>
      </c>
      <c r="AS31">
        <v>38413345</v>
      </c>
      <c r="AT31">
        <v>12592649</v>
      </c>
      <c r="AU31" t="s">
        <v>101</v>
      </c>
      <c r="AV31" t="s">
        <v>102</v>
      </c>
      <c r="BB31">
        <f t="shared" si="2"/>
        <v>0.77013991074595178</v>
      </c>
      <c r="BD31">
        <f t="shared" si="3"/>
        <v>14189431</v>
      </c>
      <c r="BE31">
        <f t="shared" si="4"/>
        <v>-11631265</v>
      </c>
      <c r="BF31">
        <f t="shared" si="5"/>
        <v>13.464314132407168</v>
      </c>
      <c r="BG31">
        <f t="shared" si="6"/>
        <v>-11.036877075428384</v>
      </c>
      <c r="BH31">
        <f t="shared" si="7"/>
        <v>12.250595603917777</v>
      </c>
      <c r="BI31">
        <f t="shared" si="8"/>
        <v>121.37185284893917</v>
      </c>
      <c r="BJ31">
        <f t="shared" si="9"/>
        <v>12</v>
      </c>
      <c r="BK31">
        <f>IF($BJ31&lt;=30,IF($B31=2015,VLOOKUP($BJ31,'Treasury Yields'!$C$5:$N$34,$E31,FALSE)/100,IF($B31=2016,VLOOKUP($BJ31,'Treasury Yields'!$C$40:$N$69,$E31,FALSE)/100,IF($B31=2017,VLOOKUP($BJ31,'Treasury Yields'!$C$75:$N$104,$E31,FALSE)/100,IF($B31=2018,VLOOKUP($BJ31,'Treasury Yields'!$C$110:$N$139,$E31,FALSE)/100,IF($B31=2019,VLOOKUP($BJ31,'Treasury Yields'!$C$145:$N$174,$E31,FALSE)/100,IF($B31=2020,VLOOKUP($BJ31,'Treasury Yields'!$C$180:$N$209,$E31,FALSE)/100,IF($B31=2021,VLOOKUP($BJ31,'Treasury Yields'!$C$215:$N$244,$E31,FALSE)/100,IF($B31=2022,VLOOKUP($BJ31,'Treasury Yields'!$C$250:$N$279,$E31,FALSE)/100)))))))),0)</f>
        <v>2.2184000000000002E-2</v>
      </c>
      <c r="BL31">
        <f t="shared" si="10"/>
        <v>1.618932668262727</v>
      </c>
      <c r="BM31">
        <f t="shared" si="11"/>
        <v>162365413.9685775</v>
      </c>
      <c r="BN31">
        <f t="shared" si="12"/>
        <v>83576476.968577504</v>
      </c>
      <c r="BP31">
        <f>IF($BJ31&lt;=30,IF($B31=2015,VLOOKUP($BJ31,'Treasury Yields'!$C$40:$N$69,$E31,FALSE)/100,IF($B31=2016,VLOOKUP($BJ31,'Treasury Yields'!$C$75:$N$104,$E31,FALSE)/100,IF($B31=2017,VLOOKUP($BJ31,'Treasury Yields'!$C$110:$N$139,$E31,FALSE)/100,IF($B31=2018,VLOOKUP($BJ31,'Treasury Yields'!$C$145:$N$174,$E31,FALSE)/100,IF($B31=2019,VLOOKUP($BJ31,'Treasury Yields'!$C$180:$N$209,$E31,FALSE)/100,IF($B31=2020,VLOOKUP($BJ31,'Treasury Yields'!$C$215:$N$244,$E31,FALSE)/100,IF($B31=2021,VLOOKUP($BJ31,'Treasury Yields'!$C$250:$N$279,$E31,FALSE)/100,IF($B31=2022,VLOOKUP($BJ31,'Treasury Yields'!$C$285:$N$314,$E31,FALSE)/100)))))))),0)</f>
        <v>1.3689454545454545E-2</v>
      </c>
      <c r="BQ31">
        <f t="shared" si="13"/>
        <v>1.7239228898661223</v>
      </c>
      <c r="BR31">
        <f t="shared" si="14"/>
        <v>181676427.44014531</v>
      </c>
      <c r="BS31">
        <f t="shared" si="15"/>
        <v>100514869.44014531</v>
      </c>
      <c r="BU31">
        <f t="shared" si="16"/>
        <v>15</v>
      </c>
      <c r="BV31">
        <f t="shared" si="17"/>
        <v>2.6784180707868392</v>
      </c>
      <c r="BW31">
        <f t="shared" si="18"/>
        <v>4279346.0495491242</v>
      </c>
      <c r="BX31" s="5">
        <f t="shared" si="19"/>
        <v>3581661.7501701219</v>
      </c>
      <c r="BY31" s="5">
        <f t="shared" si="20"/>
        <v>1833807.9717621212</v>
      </c>
      <c r="BZ31" s="5">
        <f t="shared" si="21"/>
        <v>8677847</v>
      </c>
      <c r="CA31" s="5">
        <f t="shared" si="22"/>
        <v>6113154.0213112459</v>
      </c>
      <c r="CB31" s="5"/>
      <c r="CC31" s="5">
        <f t="shared" si="23"/>
        <v>181676427.44014531</v>
      </c>
      <c r="CD31" s="5" t="str">
        <f t="shared" si="0"/>
        <v>Georgia</v>
      </c>
      <c r="CE31" s="5">
        <f t="shared" si="1"/>
        <v>0.77013991074595178</v>
      </c>
      <c r="CF31" s="5">
        <f t="shared" si="24"/>
        <v>0.44673686698699144</v>
      </c>
      <c r="CG31" s="5"/>
      <c r="CH31" s="5"/>
      <c r="CI31" s="5"/>
    </row>
    <row r="32" spans="1:87" x14ac:dyDescent="0.2">
      <c r="A32">
        <v>11000000011301</v>
      </c>
      <c r="B32">
        <v>2021</v>
      </c>
      <c r="C32">
        <v>576</v>
      </c>
      <c r="D32" t="s">
        <v>91</v>
      </c>
      <c r="E32">
        <v>6</v>
      </c>
      <c r="F32" t="s">
        <v>92</v>
      </c>
      <c r="G32" t="s">
        <v>93</v>
      </c>
      <c r="H32" t="s">
        <v>69</v>
      </c>
      <c r="I32" t="b">
        <v>1</v>
      </c>
      <c r="J32">
        <v>1734145</v>
      </c>
      <c r="K32">
        <v>7440942</v>
      </c>
      <c r="M32">
        <v>1934042</v>
      </c>
      <c r="N32">
        <v>0</v>
      </c>
      <c r="O32">
        <v>5434414</v>
      </c>
      <c r="P32">
        <v>69166</v>
      </c>
      <c r="Q32">
        <v>5605549</v>
      </c>
      <c r="R32">
        <v>105385472</v>
      </c>
      <c r="S32">
        <v>110991021</v>
      </c>
      <c r="T32">
        <v>2490267</v>
      </c>
      <c r="U32">
        <v>5123</v>
      </c>
      <c r="V32">
        <v>817090</v>
      </c>
      <c r="W32">
        <v>23192761</v>
      </c>
      <c r="Y32">
        <v>16668</v>
      </c>
      <c r="Z32">
        <v>0</v>
      </c>
      <c r="AA32">
        <v>20985130</v>
      </c>
      <c r="AB32">
        <v>81161558</v>
      </c>
      <c r="AC32">
        <v>102146688</v>
      </c>
      <c r="AD32">
        <v>8844333</v>
      </c>
      <c r="AE32">
        <v>24223914</v>
      </c>
      <c r="AF32">
        <v>-15379581</v>
      </c>
      <c r="AG32">
        <v>13093006</v>
      </c>
      <c r="AH32">
        <v>0.19019826310321708</v>
      </c>
      <c r="AI32" t="b">
        <v>1</v>
      </c>
      <c r="AK32">
        <v>7.2499999999999995E-2</v>
      </c>
      <c r="AL32">
        <v>7.2499999999999995E-2</v>
      </c>
      <c r="AM32">
        <v>7.2499999999999995E-2</v>
      </c>
      <c r="AN32">
        <v>7.2499999999999995E-2</v>
      </c>
      <c r="AS32">
        <v>23824290</v>
      </c>
      <c r="AT32">
        <v>-3430708</v>
      </c>
      <c r="BB32">
        <f t="shared" si="2"/>
        <v>0.92031487844408599</v>
      </c>
      <c r="BD32">
        <f t="shared" si="3"/>
        <v>14979957</v>
      </c>
      <c r="BE32">
        <f t="shared" si="4"/>
        <v>-12275041</v>
      </c>
      <c r="BF32">
        <f t="shared" si="5"/>
        <v>13.496548518100395</v>
      </c>
      <c r="BG32">
        <f t="shared" si="6"/>
        <v>-11.059490118574548</v>
      </c>
      <c r="BH32">
        <f t="shared" si="7"/>
        <v>12.278019318337471</v>
      </c>
      <c r="BI32">
        <f t="shared" si="8"/>
        <v>121.8529199762925</v>
      </c>
      <c r="BJ32">
        <f t="shared" si="9"/>
        <v>12</v>
      </c>
      <c r="BK32">
        <f>IF($BJ32&lt;=30,IF($B32=2015,VLOOKUP($BJ32,'Treasury Yields'!$C$5:$N$34,$E32,FALSE)/100,IF($B32=2016,VLOOKUP($BJ32,'Treasury Yields'!$C$40:$N$69,$E32,FALSE)/100,IF($B32=2017,VLOOKUP($BJ32,'Treasury Yields'!$C$75:$N$104,$E32,FALSE)/100,IF($B32=2018,VLOOKUP($BJ32,'Treasury Yields'!$C$110:$N$139,$E32,FALSE)/100,IF($B32=2019,VLOOKUP($BJ32,'Treasury Yields'!$C$145:$N$174,$E32,FALSE)/100,IF($B32=2020,VLOOKUP($BJ32,'Treasury Yields'!$C$180:$N$209,$E32,FALSE)/100,IF($B32=2021,VLOOKUP($BJ32,'Treasury Yields'!$C$215:$N$244,$E32,FALSE)/100,IF($B32=2022,VLOOKUP($BJ32,'Treasury Yields'!$C$250:$N$279,$E32,FALSE)/100)))))))),0)</f>
        <v>1.3689454545454545E-2</v>
      </c>
      <c r="BL32">
        <f t="shared" si="10"/>
        <v>1.7255356934695343</v>
      </c>
      <c r="BM32">
        <f t="shared" si="11"/>
        <v>181846393.50913417</v>
      </c>
      <c r="BN32">
        <f t="shared" si="12"/>
        <v>100684835.50913417</v>
      </c>
      <c r="BP32">
        <f>IF($BJ32&lt;=30,IF($B32=2015,VLOOKUP($BJ32,'Treasury Yields'!$C$40:$N$69,$E32,FALSE)/100,IF($B32=2016,VLOOKUP($BJ32,'Treasury Yields'!$C$75:$N$104,$E32,FALSE)/100,IF($B32=2017,VLOOKUP($BJ32,'Treasury Yields'!$C$110:$N$139,$E32,FALSE)/100,IF($B32=2018,VLOOKUP($BJ32,'Treasury Yields'!$C$145:$N$174,$E32,FALSE)/100,IF($B32=2019,VLOOKUP($BJ32,'Treasury Yields'!$C$180:$N$209,$E32,FALSE)/100,IF($B32=2020,VLOOKUP($BJ32,'Treasury Yields'!$C$215:$N$244,$E32,FALSE)/100,IF($B32=2021,VLOOKUP($BJ32,'Treasury Yields'!$C$250:$N$279,$E32,FALSE)/100,IF($B32=2022,VLOOKUP($BJ32,'Treasury Yields'!$C$285:$N$314,$E32,FALSE)/100)))))))),0)</f>
        <v>2.1085818181818185E-2</v>
      </c>
      <c r="BQ32">
        <f t="shared" si="13"/>
        <v>1.6339077356921845</v>
      </c>
      <c r="BR32">
        <f t="shared" si="14"/>
        <v>181349087.80427369</v>
      </c>
      <c r="BS32">
        <f t="shared" si="15"/>
        <v>79202399.804273695</v>
      </c>
      <c r="BU32">
        <f t="shared" si="16"/>
        <v>15</v>
      </c>
      <c r="BV32">
        <f t="shared" si="17"/>
        <v>3.025685483569569</v>
      </c>
      <c r="BW32">
        <f t="shared" si="18"/>
        <v>5246977.35290475</v>
      </c>
      <c r="BX32" s="5">
        <f t="shared" si="19"/>
        <v>2486812.0327375694</v>
      </c>
      <c r="BY32" s="5">
        <f t="shared" si="20"/>
        <v>1375754.5736582971</v>
      </c>
      <c r="BZ32" s="5">
        <f t="shared" si="21"/>
        <v>9175087</v>
      </c>
      <c r="CA32" s="5">
        <f t="shared" si="22"/>
        <v>6622731.9265630469</v>
      </c>
      <c r="CB32" s="5"/>
      <c r="CC32" s="5">
        <f t="shared" si="23"/>
        <v>181349087.80427369</v>
      </c>
      <c r="CD32" s="5" t="str">
        <f t="shared" si="0"/>
        <v>Georgia</v>
      </c>
      <c r="CE32" s="5">
        <f t="shared" si="1"/>
        <v>0.92031487844408599</v>
      </c>
      <c r="CF32" s="5">
        <f t="shared" si="24"/>
        <v>0.56326000442993573</v>
      </c>
      <c r="CG32" s="5"/>
      <c r="CH32" s="5"/>
      <c r="CI32" s="5"/>
    </row>
    <row r="33" spans="1:87" x14ac:dyDescent="0.2">
      <c r="A33">
        <v>11000000011301</v>
      </c>
      <c r="B33">
        <v>2022</v>
      </c>
      <c r="C33">
        <v>576</v>
      </c>
      <c r="D33" t="s">
        <v>91</v>
      </c>
      <c r="E33">
        <v>6</v>
      </c>
      <c r="F33" t="s">
        <v>92</v>
      </c>
      <c r="G33" t="s">
        <v>93</v>
      </c>
      <c r="H33" t="s">
        <v>69</v>
      </c>
      <c r="I33" t="b">
        <v>1</v>
      </c>
      <c r="J33">
        <v>1742643</v>
      </c>
      <c r="K33">
        <v>7837074</v>
      </c>
      <c r="M33">
        <v>-215975</v>
      </c>
      <c r="N33">
        <v>5026914</v>
      </c>
      <c r="O33">
        <v>5692032</v>
      </c>
      <c r="P33">
        <v>94853</v>
      </c>
      <c r="Q33">
        <v>8603771</v>
      </c>
      <c r="R33">
        <v>110991021</v>
      </c>
      <c r="S33">
        <v>119594792</v>
      </c>
      <c r="T33">
        <v>2691316</v>
      </c>
      <c r="U33">
        <v>5398</v>
      </c>
      <c r="V33">
        <v>853376</v>
      </c>
      <c r="W33">
        <v>-12770564</v>
      </c>
      <c r="Y33">
        <v>16470</v>
      </c>
      <c r="AA33">
        <v>-15023829</v>
      </c>
      <c r="AB33">
        <v>102146688</v>
      </c>
      <c r="AC33">
        <v>87122859</v>
      </c>
      <c r="AD33">
        <v>32471933</v>
      </c>
      <c r="AE33">
        <v>8844333</v>
      </c>
      <c r="AF33">
        <v>23627600</v>
      </c>
      <c r="AG33">
        <v>13612892</v>
      </c>
      <c r="AH33">
        <v>0.19770347109196193</v>
      </c>
      <c r="AI33" t="b">
        <v>1</v>
      </c>
      <c r="AK33">
        <v>7.2499999999999995E-2</v>
      </c>
      <c r="AL33">
        <v>6.9000000000000006E-2</v>
      </c>
      <c r="AM33">
        <v>6.9000000000000006E-2</v>
      </c>
      <c r="AN33">
        <v>7.2499999999999995E-2</v>
      </c>
      <c r="AS33">
        <v>48989393</v>
      </c>
      <c r="AT33">
        <v>18983242</v>
      </c>
      <c r="AV33" t="s">
        <v>103</v>
      </c>
      <c r="BB33">
        <f t="shared" si="2"/>
        <v>0.72848372026099595</v>
      </c>
      <c r="BD33">
        <f t="shared" si="3"/>
        <v>16517460</v>
      </c>
      <c r="BE33">
        <f t="shared" si="4"/>
        <v>-13488691</v>
      </c>
      <c r="BF33">
        <f t="shared" si="5"/>
        <v>13.811186694484153</v>
      </c>
      <c r="BG33">
        <f t="shared" si="6"/>
        <v>-11.278660863426227</v>
      </c>
      <c r="BH33">
        <f t="shared" si="7"/>
        <v>12.544923778955191</v>
      </c>
      <c r="BI33">
        <f t="shared" si="8"/>
        <v>126.62629155289639</v>
      </c>
      <c r="BJ33">
        <f t="shared" si="9"/>
        <v>13</v>
      </c>
      <c r="BK33">
        <f>IF($BJ33&lt;=30,IF($B33=2015,VLOOKUP($BJ33,'Treasury Yields'!$C$5:$N$34,$E33,FALSE)/100,IF($B33=2016,VLOOKUP($BJ33,'Treasury Yields'!$C$40:$N$69,$E33,FALSE)/100,IF($B33=2017,VLOOKUP($BJ33,'Treasury Yields'!$C$75:$N$104,$E33,FALSE)/100,IF($B33=2018,VLOOKUP($BJ33,'Treasury Yields'!$C$110:$N$139,$E33,FALSE)/100,IF($B33=2019,VLOOKUP($BJ33,'Treasury Yields'!$C$145:$N$174,$E33,FALSE)/100,IF($B33=2020,VLOOKUP($BJ33,'Treasury Yields'!$C$180:$N$209,$E33,FALSE)/100,IF($B33=2021,VLOOKUP($BJ33,'Treasury Yields'!$C$215:$N$244,$E33,FALSE)/100,IF($B33=2022,VLOOKUP($BJ33,'Treasury Yields'!$C$250:$N$279,$E33,FALSE)/100)))))))),0)</f>
        <v>2.0617363636363639E-2</v>
      </c>
      <c r="BL33">
        <f t="shared" si="10"/>
        <v>1.6092973649082198</v>
      </c>
      <c r="BM33">
        <f t="shared" si="11"/>
        <v>178617557.62377289</v>
      </c>
      <c r="BN33">
        <f t="shared" si="12"/>
        <v>76470869.623772889</v>
      </c>
      <c r="BP33">
        <f>IF($BJ33&lt;=30,IF($B33=2015,VLOOKUP($BJ33,'Treasury Yields'!$C$40:$N$69,$E33,FALSE)/100,IF($B33=2016,VLOOKUP($BJ33,'Treasury Yields'!$C$75:$N$104,$E33,FALSE)/100,IF($B33=2017,VLOOKUP($BJ33,'Treasury Yields'!$C$110:$N$139,$E33,FALSE)/100,IF($B33=2018,VLOOKUP($BJ33,'Treasury Yields'!$C$145:$N$174,$E33,FALSE)/100,IF($B33=2019,VLOOKUP($BJ33,'Treasury Yields'!$C$180:$N$209,$E33,FALSE)/100,IF($B33=2020,VLOOKUP($BJ33,'Treasury Yields'!$C$215:$N$244,$E33,FALSE)/100,IF($B33=2021,VLOOKUP($BJ33,'Treasury Yields'!$C$250:$N$279,$E33,FALSE)/100,IF($B33=2022,VLOOKUP($BJ33,'Treasury Yields'!$C$285:$N$314,$E33,FALSE)/100)))))))),0)</f>
        <v>3.2868636363636364E-2</v>
      </c>
      <c r="BQ33">
        <f t="shared" si="13"/>
        <v>1.4987430810579159</v>
      </c>
      <c r="BR33">
        <f t="shared" si="14"/>
        <v>179241867.0405606</v>
      </c>
      <c r="BS33">
        <f t="shared" si="15"/>
        <v>92119008.040560603</v>
      </c>
      <c r="BU33">
        <f t="shared" si="16"/>
        <v>16</v>
      </c>
      <c r="BV33">
        <f t="shared" si="17"/>
        <v>2.8218395594973433</v>
      </c>
      <c r="BW33">
        <f t="shared" si="18"/>
        <v>4917458.9554811288</v>
      </c>
      <c r="BX33" s="5">
        <f t="shared" si="19"/>
        <v>3666653.4832466915</v>
      </c>
      <c r="BY33" s="5">
        <f t="shared" si="20"/>
        <v>1560658.072500509</v>
      </c>
      <c r="BZ33" s="5">
        <f t="shared" si="21"/>
        <v>9579717</v>
      </c>
      <c r="CA33" s="5">
        <f t="shared" si="22"/>
        <v>6478117.027981638</v>
      </c>
      <c r="CB33" s="5"/>
      <c r="CC33" s="5">
        <f t="shared" si="23"/>
        <v>179241867.0405606</v>
      </c>
      <c r="CD33" s="5" t="str">
        <f t="shared" si="0"/>
        <v>Georgia</v>
      </c>
      <c r="CE33" s="5">
        <f t="shared" si="1"/>
        <v>0.72848372026099595</v>
      </c>
      <c r="CF33" s="5">
        <f t="shared" si="24"/>
        <v>0.48606310812576498</v>
      </c>
      <c r="CG33" s="5"/>
      <c r="CH33" s="5"/>
      <c r="CI33" s="5"/>
    </row>
    <row r="34" spans="1:87" x14ac:dyDescent="0.2">
      <c r="A34">
        <v>22000000000703</v>
      </c>
      <c r="B34">
        <v>2015</v>
      </c>
      <c r="C34">
        <v>344</v>
      </c>
      <c r="D34" t="s">
        <v>104</v>
      </c>
      <c r="E34">
        <v>6</v>
      </c>
      <c r="F34" t="s">
        <v>105</v>
      </c>
      <c r="G34" t="s">
        <v>106</v>
      </c>
      <c r="H34" t="s">
        <v>69</v>
      </c>
      <c r="I34" t="b">
        <v>1</v>
      </c>
      <c r="J34">
        <v>768032</v>
      </c>
      <c r="K34">
        <v>3166728</v>
      </c>
      <c r="M34">
        <v>153000</v>
      </c>
      <c r="N34">
        <v>1890000</v>
      </c>
      <c r="O34">
        <v>2684049</v>
      </c>
      <c r="Q34">
        <v>3293711</v>
      </c>
      <c r="R34">
        <v>41435000</v>
      </c>
      <c r="S34">
        <v>44728711</v>
      </c>
      <c r="T34">
        <v>1021930</v>
      </c>
      <c r="U34">
        <v>190925</v>
      </c>
      <c r="V34">
        <v>669941</v>
      </c>
      <c r="W34">
        <v>845503</v>
      </c>
      <c r="Y34">
        <v>23444</v>
      </c>
      <c r="Z34">
        <v>-130384</v>
      </c>
      <c r="AA34">
        <v>-109578</v>
      </c>
      <c r="AB34">
        <v>25538646</v>
      </c>
      <c r="AC34">
        <v>25429068</v>
      </c>
      <c r="AD34">
        <v>19299643</v>
      </c>
      <c r="AE34">
        <v>15896354</v>
      </c>
      <c r="AF34">
        <v>3403289</v>
      </c>
      <c r="AG34">
        <v>6204274</v>
      </c>
      <c r="AH34">
        <v>0.16471387304944946</v>
      </c>
      <c r="AI34" t="b">
        <v>1</v>
      </c>
      <c r="AK34">
        <v>0.08</v>
      </c>
      <c r="AL34">
        <v>7.7499999999999999E-2</v>
      </c>
      <c r="AM34">
        <v>7.7499999999999999E-2</v>
      </c>
      <c r="AN34">
        <v>0.08</v>
      </c>
      <c r="AO34">
        <v>1</v>
      </c>
      <c r="AP34">
        <v>0</v>
      </c>
      <c r="AS34">
        <v>23959568</v>
      </c>
      <c r="AT34">
        <v>15271501</v>
      </c>
      <c r="AU34" t="s">
        <v>107</v>
      </c>
      <c r="AV34" t="s">
        <v>108</v>
      </c>
      <c r="BB34">
        <f>AC34/S34</f>
        <v>0.5685177916260542</v>
      </c>
      <c r="BD34">
        <f t="shared" si="3"/>
        <v>4659925</v>
      </c>
      <c r="BE34">
        <f t="shared" si="4"/>
        <v>-4028142</v>
      </c>
      <c r="BF34">
        <f t="shared" si="5"/>
        <v>10.418196491287219</v>
      </c>
      <c r="BG34">
        <f t="shared" si="6"/>
        <v>-9.0057189441475298</v>
      </c>
      <c r="BH34">
        <f t="shared" si="7"/>
        <v>9.7119577177173753</v>
      </c>
      <c r="BI34">
        <f t="shared" si="8"/>
        <v>70.623877356984423</v>
      </c>
      <c r="BJ34">
        <f t="shared" si="9"/>
        <v>10</v>
      </c>
      <c r="BK34">
        <f>IF($BJ34&lt;=30,IF($B34=2015,VLOOKUP($BJ34,'Treasury Yields'!$C$5:$N$34,$E34,FALSE)/100,IF($B34=2016,VLOOKUP($BJ34,'Treasury Yields'!$C$40:$N$69,$E34,FALSE)/100,IF($B34=2017,VLOOKUP($BJ34,'Treasury Yields'!$C$75:$N$104,$E34,FALSE)/100,IF($B34=2018,VLOOKUP($BJ34,'Treasury Yields'!$C$110:$N$139,$E34,FALSE)/100,IF($B34=2019,VLOOKUP($BJ34,'Treasury Yields'!$C$145:$N$174,$E34,FALSE)/100,IF($B34=2020,VLOOKUP($BJ34,'Treasury Yields'!$C$180:$N$209,$E34,FALSE)/100,IF($B34=2021,VLOOKUP($BJ34,'Treasury Yields'!$C$215:$N$244,$E34,FALSE)/100,IF($B34=2022,VLOOKUP($BJ34,'Treasury Yields'!$C$250:$N$279,$E34,FALSE)/100)))))))),0)</f>
        <v>2.7109999999999999E-2</v>
      </c>
      <c r="BL34">
        <f t="shared" si="10"/>
        <v>1.4919247014957786</v>
      </c>
      <c r="BM34">
        <f t="shared" si="11"/>
        <v>61817900.006477587</v>
      </c>
      <c r="BN34">
        <f t="shared" si="12"/>
        <v>36279254.006477587</v>
      </c>
      <c r="BP34">
        <f>IF($BJ34&lt;=30,IF($B34=2015,VLOOKUP($BJ34,'Treasury Yields'!$C$40:$N$69,$E34,FALSE)/100,IF($B34=2016,VLOOKUP($BJ34,'Treasury Yields'!$C$75:$N$104,$E34,FALSE)/100,IF($B34=2017,VLOOKUP($BJ34,'Treasury Yields'!$C$110:$N$139,$E34,FALSE)/100,IF($B34=2018,VLOOKUP($BJ34,'Treasury Yields'!$C$145:$N$174,$E34,FALSE)/100,IF($B34=2019,VLOOKUP($BJ34,'Treasury Yields'!$C$180:$N$209,$E34,FALSE)/100,IF($B34=2020,VLOOKUP($BJ34,'Treasury Yields'!$C$215:$N$244,$E34,FALSE)/100,IF($B34=2021,VLOOKUP($BJ34,'Treasury Yields'!$C$250:$N$279,$E34,FALSE)/100,IF($B34=2022,VLOOKUP($BJ34,'Treasury Yields'!$C$285:$N$314,$E34,FALSE)/100)))))))),0)</f>
        <v>2.5470000000000003E-2</v>
      </c>
      <c r="BQ34">
        <f t="shared" si="13"/>
        <v>1.5325665752471282</v>
      </c>
      <c r="BR34">
        <f t="shared" si="14"/>
        <v>68549727.432488546</v>
      </c>
      <c r="BS34">
        <f t="shared" si="15"/>
        <v>43120659.432488546</v>
      </c>
      <c r="BU34">
        <f t="shared" si="16"/>
        <v>13</v>
      </c>
      <c r="BV34">
        <f t="shared" si="17"/>
        <v>2.3987952953247746</v>
      </c>
      <c r="BW34">
        <f t="shared" si="18"/>
        <v>1842351.5482588774</v>
      </c>
      <c r="BX34" s="5">
        <f t="shared" si="19"/>
        <v>1653064.8512589056</v>
      </c>
      <c r="BY34" s="5">
        <f t="shared" si="20"/>
        <v>960712.15819890553</v>
      </c>
      <c r="BZ34" s="5">
        <f t="shared" si="21"/>
        <v>3934760</v>
      </c>
      <c r="CA34" s="5">
        <f t="shared" si="22"/>
        <v>2803063.706457783</v>
      </c>
      <c r="CB34" s="5"/>
      <c r="CC34" s="5">
        <f t="shared" si="23"/>
        <v>68549727.432488546</v>
      </c>
      <c r="CD34" s="5" t="str">
        <f t="shared" si="0"/>
        <v>Massachusetts</v>
      </c>
      <c r="CE34" s="5">
        <f t="shared" si="1"/>
        <v>0.5685177916260542</v>
      </c>
      <c r="CF34" s="5">
        <f t="shared" si="24"/>
        <v>0.3709579739036003</v>
      </c>
      <c r="CG34" s="5"/>
      <c r="CH34" s="5"/>
      <c r="CI34" s="5"/>
    </row>
    <row r="35" spans="1:87" x14ac:dyDescent="0.2">
      <c r="A35">
        <v>22000000000703</v>
      </c>
      <c r="B35">
        <v>2016</v>
      </c>
      <c r="C35">
        <v>344</v>
      </c>
      <c r="D35" t="s">
        <v>104</v>
      </c>
      <c r="E35">
        <v>6</v>
      </c>
      <c r="F35" t="s">
        <v>105</v>
      </c>
      <c r="G35" t="s">
        <v>106</v>
      </c>
      <c r="H35" t="s">
        <v>69</v>
      </c>
      <c r="I35" t="b">
        <v>1</v>
      </c>
      <c r="J35">
        <v>843800</v>
      </c>
      <c r="K35">
        <v>3402525</v>
      </c>
      <c r="M35">
        <v>-74025</v>
      </c>
      <c r="O35">
        <v>2791011</v>
      </c>
      <c r="Q35">
        <v>1381289</v>
      </c>
      <c r="R35">
        <v>45918711</v>
      </c>
      <c r="S35">
        <v>47300000</v>
      </c>
      <c r="T35">
        <v>1124583</v>
      </c>
      <c r="U35">
        <v>202796</v>
      </c>
      <c r="V35">
        <v>699422</v>
      </c>
      <c r="W35">
        <v>441363</v>
      </c>
      <c r="Y35">
        <v>24220</v>
      </c>
      <c r="Z35">
        <v>-139929</v>
      </c>
      <c r="AA35">
        <v>-486996</v>
      </c>
      <c r="AB35">
        <v>25429068</v>
      </c>
      <c r="AC35">
        <v>24942072</v>
      </c>
      <c r="AD35">
        <v>22357928</v>
      </c>
      <c r="AE35">
        <v>20489643</v>
      </c>
      <c r="AF35">
        <v>1868285</v>
      </c>
      <c r="AG35">
        <v>6388732</v>
      </c>
      <c r="AH35">
        <v>0.17602600954305173</v>
      </c>
      <c r="AI35" t="b">
        <v>1</v>
      </c>
      <c r="AK35">
        <v>7.7499999999999999E-2</v>
      </c>
      <c r="AL35">
        <v>7.4999999999999997E-2</v>
      </c>
      <c r="AM35">
        <v>7.4999999999999997E-2</v>
      </c>
      <c r="AN35">
        <v>7.7499999999999999E-2</v>
      </c>
      <c r="AO35">
        <v>1</v>
      </c>
      <c r="AP35">
        <v>0</v>
      </c>
      <c r="AS35">
        <v>27464000</v>
      </c>
      <c r="AT35">
        <v>18022000</v>
      </c>
      <c r="AU35" t="s">
        <v>109</v>
      </c>
      <c r="AV35" t="s">
        <v>110</v>
      </c>
      <c r="BB35">
        <f t="shared" si="2"/>
        <v>0.52731653276955603</v>
      </c>
      <c r="BD35">
        <f t="shared" si="3"/>
        <v>5106072</v>
      </c>
      <c r="BE35">
        <f t="shared" si="4"/>
        <v>-4335928</v>
      </c>
      <c r="BF35">
        <f t="shared" si="5"/>
        <v>10.795078224101481</v>
      </c>
      <c r="BG35">
        <f t="shared" si="6"/>
        <v>-9.1668668076109938</v>
      </c>
      <c r="BH35">
        <f t="shared" si="7"/>
        <v>9.9809725158562372</v>
      </c>
      <c r="BI35">
        <f t="shared" si="8"/>
        <v>81.410570824524314</v>
      </c>
      <c r="BJ35">
        <f t="shared" si="9"/>
        <v>10</v>
      </c>
      <c r="BK35">
        <f>IF($BJ35&lt;=30,IF($B35=2015,VLOOKUP($BJ35,'Treasury Yields'!$C$5:$N$34,$E35,FALSE)/100,IF($B35=2016,VLOOKUP($BJ35,'Treasury Yields'!$C$40:$N$69,$E35,FALSE)/100,IF($B35=2017,VLOOKUP($BJ35,'Treasury Yields'!$C$75:$N$104,$E35,FALSE)/100,IF($B35=2018,VLOOKUP($BJ35,'Treasury Yields'!$C$110:$N$139,$E35,FALSE)/100,IF($B35=2019,VLOOKUP($BJ35,'Treasury Yields'!$C$145:$N$174,$E35,FALSE)/100,IF($B35=2020,VLOOKUP($BJ35,'Treasury Yields'!$C$180:$N$209,$E35,FALSE)/100,IF($B35=2021,VLOOKUP($BJ35,'Treasury Yields'!$C$215:$N$244,$E35,FALSE)/100,IF($B35=2022,VLOOKUP($BJ35,'Treasury Yields'!$C$250:$N$279,$E35,FALSE)/100)))))))),0)</f>
        <v>2.5470000000000003E-2</v>
      </c>
      <c r="BL35">
        <f t="shared" si="10"/>
        <v>1.4968107896103595</v>
      </c>
      <c r="BM35">
        <f t="shared" si="11"/>
        <v>68731622.0697999</v>
      </c>
      <c r="BN35">
        <f t="shared" si="12"/>
        <v>43302554.0697999</v>
      </c>
      <c r="BP35">
        <f>IF($BJ35&lt;=30,IF($B35=2015,VLOOKUP($BJ35,'Treasury Yields'!$C$40:$N$69,$E35,FALSE)/100,IF($B35=2016,VLOOKUP($BJ35,'Treasury Yields'!$C$75:$N$104,$E35,FALSE)/100,IF($B35=2017,VLOOKUP($BJ35,'Treasury Yields'!$C$110:$N$139,$E35,FALSE)/100,IF($B35=2018,VLOOKUP($BJ35,'Treasury Yields'!$C$145:$N$174,$E35,FALSE)/100,IF($B35=2019,VLOOKUP($BJ35,'Treasury Yields'!$C$180:$N$209,$E35,FALSE)/100,IF($B35=2020,VLOOKUP($BJ35,'Treasury Yields'!$C$215:$N$244,$E35,FALSE)/100,IF($B35=2021,VLOOKUP($BJ35,'Treasury Yields'!$C$250:$N$279,$E35,FALSE)/100,IF($B35=2022,VLOOKUP($BJ35,'Treasury Yields'!$C$285:$N$314,$E35,FALSE)/100)))))))),0)</f>
        <v>1.635E-2</v>
      </c>
      <c r="BQ35">
        <f t="shared" si="13"/>
        <v>1.6140757918446087</v>
      </c>
      <c r="BR35">
        <f t="shared" si="14"/>
        <v>76345784.954249993</v>
      </c>
      <c r="BS35">
        <f t="shared" si="15"/>
        <v>51403712.954249993</v>
      </c>
      <c r="BU35">
        <f t="shared" si="16"/>
        <v>13</v>
      </c>
      <c r="BV35">
        <f t="shared" si="17"/>
        <v>2.4160882577599994</v>
      </c>
      <c r="BW35">
        <f t="shared" si="18"/>
        <v>2038695.2718978873</v>
      </c>
      <c r="BX35" s="5">
        <f t="shared" si="19"/>
        <v>1731432.9325230427</v>
      </c>
      <c r="BY35" s="5">
        <f t="shared" si="20"/>
        <v>1083754.5705630428</v>
      </c>
      <c r="BZ35" s="5">
        <f t="shared" si="21"/>
        <v>4246325</v>
      </c>
      <c r="CA35" s="5">
        <f t="shared" si="22"/>
        <v>3122449.8424609303</v>
      </c>
      <c r="CB35" s="5"/>
      <c r="CC35" s="5">
        <f t="shared" si="23"/>
        <v>76345784.954249993</v>
      </c>
      <c r="CD35" s="5" t="str">
        <f t="shared" si="0"/>
        <v>Massachusetts</v>
      </c>
      <c r="CE35" s="5">
        <f t="shared" si="1"/>
        <v>0.52731653276955603</v>
      </c>
      <c r="CF35" s="5">
        <f t="shared" si="24"/>
        <v>0.32669874328944903</v>
      </c>
      <c r="CG35" s="5"/>
      <c r="CH35" s="5"/>
      <c r="CI35" s="5"/>
    </row>
    <row r="36" spans="1:87" x14ac:dyDescent="0.2">
      <c r="A36">
        <v>22000000000703</v>
      </c>
      <c r="B36">
        <v>2017</v>
      </c>
      <c r="C36">
        <v>344</v>
      </c>
      <c r="D36" t="s">
        <v>104</v>
      </c>
      <c r="E36">
        <v>6</v>
      </c>
      <c r="F36" t="s">
        <v>105</v>
      </c>
      <c r="G36" t="s">
        <v>106</v>
      </c>
      <c r="H36" t="s">
        <v>69</v>
      </c>
      <c r="I36" t="b">
        <v>1</v>
      </c>
      <c r="J36">
        <v>891760</v>
      </c>
      <c r="K36">
        <v>3505761</v>
      </c>
      <c r="M36">
        <v>47046</v>
      </c>
      <c r="N36">
        <v>1176000</v>
      </c>
      <c r="O36">
        <v>2896567</v>
      </c>
      <c r="Q36">
        <v>2724000</v>
      </c>
      <c r="R36">
        <v>47300000</v>
      </c>
      <c r="S36">
        <v>50024000</v>
      </c>
      <c r="T36">
        <v>1235515</v>
      </c>
      <c r="U36">
        <v>223746</v>
      </c>
      <c r="V36">
        <v>730212</v>
      </c>
      <c r="W36">
        <v>3100352</v>
      </c>
      <c r="Y36">
        <v>24053</v>
      </c>
      <c r="Z36">
        <v>-172668</v>
      </c>
      <c r="AA36">
        <v>2196537</v>
      </c>
      <c r="AB36">
        <v>24942072</v>
      </c>
      <c r="AC36">
        <v>27138609</v>
      </c>
      <c r="AD36">
        <v>22885391</v>
      </c>
      <c r="AE36">
        <v>22357928</v>
      </c>
      <c r="AF36">
        <v>527463</v>
      </c>
      <c r="AG36">
        <v>6583871</v>
      </c>
      <c r="AH36">
        <v>0.18765783837502284</v>
      </c>
      <c r="AI36" t="b">
        <v>1</v>
      </c>
      <c r="AK36">
        <v>7.4999999999999997E-2</v>
      </c>
      <c r="AL36">
        <v>7.4999999999999997E-2</v>
      </c>
      <c r="AM36">
        <v>7.4999999999999997E-2</v>
      </c>
      <c r="AN36">
        <v>7.4999999999999997E-2</v>
      </c>
      <c r="AO36">
        <v>1</v>
      </c>
      <c r="AP36">
        <v>0</v>
      </c>
      <c r="AS36">
        <v>28424300</v>
      </c>
      <c r="AT36">
        <v>18193400</v>
      </c>
      <c r="AU36" t="s">
        <v>111</v>
      </c>
      <c r="AV36" t="s">
        <v>112</v>
      </c>
      <c r="BB36">
        <f t="shared" si="2"/>
        <v>0.54251177434831277</v>
      </c>
      <c r="BD36">
        <f t="shared" si="3"/>
        <v>5538909</v>
      </c>
      <c r="BE36">
        <f t="shared" si="4"/>
        <v>-4691991</v>
      </c>
      <c r="BF36">
        <f t="shared" si="5"/>
        <v>11.072503198464737</v>
      </c>
      <c r="BG36">
        <f t="shared" si="6"/>
        <v>-9.3794798496721583</v>
      </c>
      <c r="BH36">
        <f t="shared" si="7"/>
        <v>10.225991524068446</v>
      </c>
      <c r="BI36">
        <f t="shared" si="8"/>
        <v>84.651167439628964</v>
      </c>
      <c r="BJ36">
        <f t="shared" si="9"/>
        <v>10</v>
      </c>
      <c r="BK36">
        <f>IF($BJ36&lt;=30,IF($B36=2015,VLOOKUP($BJ36,'Treasury Yields'!$C$5:$N$34,$E36,FALSE)/100,IF($B36=2016,VLOOKUP($BJ36,'Treasury Yields'!$C$40:$N$69,$E36,FALSE)/100,IF($B36=2017,VLOOKUP($BJ36,'Treasury Yields'!$C$75:$N$104,$E36,FALSE)/100,IF($B36=2018,VLOOKUP($BJ36,'Treasury Yields'!$C$110:$N$139,$E36,FALSE)/100,IF($B36=2019,VLOOKUP($BJ36,'Treasury Yields'!$C$145:$N$174,$E36,FALSE)/100,IF($B36=2020,VLOOKUP($BJ36,'Treasury Yields'!$C$180:$N$209,$E36,FALSE)/100,IF($B36=2021,VLOOKUP($BJ36,'Treasury Yields'!$C$215:$N$244,$E36,FALSE)/100,IF($B36=2022,VLOOKUP($BJ36,'Treasury Yields'!$C$250:$N$279,$E36,FALSE)/100)))))))),0)</f>
        <v>1.635E-2</v>
      </c>
      <c r="BL36">
        <f t="shared" si="10"/>
        <v>1.6031942253866143</v>
      </c>
      <c r="BM36">
        <f t="shared" si="11"/>
        <v>75831086.860786855</v>
      </c>
      <c r="BN36">
        <f t="shared" si="12"/>
        <v>50889014.860786855</v>
      </c>
      <c r="BP36">
        <f>IF($BJ36&lt;=30,IF($B36=2015,VLOOKUP($BJ36,'Treasury Yields'!$C$40:$N$69,$E36,FALSE)/100,IF($B36=2016,VLOOKUP($BJ36,'Treasury Yields'!$C$75:$N$104,$E36,FALSE)/100,IF($B36=2017,VLOOKUP($BJ36,'Treasury Yields'!$C$110:$N$139,$E36,FALSE)/100,IF($B36=2018,VLOOKUP($BJ36,'Treasury Yields'!$C$145:$N$174,$E36,FALSE)/100,IF($B36=2019,VLOOKUP($BJ36,'Treasury Yields'!$C$180:$N$209,$E36,FALSE)/100,IF($B36=2020,VLOOKUP($BJ36,'Treasury Yields'!$C$215:$N$244,$E36,FALSE)/100,IF($B36=2021,VLOOKUP($BJ36,'Treasury Yields'!$C$250:$N$279,$E36,FALSE)/100,IF($B36=2022,VLOOKUP($BJ36,'Treasury Yields'!$C$285:$N$314,$E36,FALSE)/100)))))))),0)</f>
        <v>2.4670000000000001E-2</v>
      </c>
      <c r="BQ36">
        <f t="shared" si="13"/>
        <v>1.5172072623063648</v>
      </c>
      <c r="BR36">
        <f t="shared" si="14"/>
        <v>75896776.089613587</v>
      </c>
      <c r="BS36">
        <f t="shared" si="15"/>
        <v>48758167.089613587</v>
      </c>
      <c r="BU36">
        <f t="shared" si="16"/>
        <v>13</v>
      </c>
      <c r="BV36">
        <f t="shared" si="17"/>
        <v>2.6533893932967172</v>
      </c>
      <c r="BW36">
        <f t="shared" si="18"/>
        <v>2366186.5253662807</v>
      </c>
      <c r="BX36" s="5">
        <f t="shared" si="19"/>
        <v>1231166.5494136037</v>
      </c>
      <c r="BY36" s="5">
        <f t="shared" si="20"/>
        <v>823363.67221360386</v>
      </c>
      <c r="BZ36" s="5">
        <f t="shared" si="21"/>
        <v>4397521</v>
      </c>
      <c r="CA36" s="5">
        <f t="shared" si="22"/>
        <v>3189550.1975798844</v>
      </c>
      <c r="CB36" s="5"/>
      <c r="CC36" s="5">
        <f t="shared" si="23"/>
        <v>75896776.089613587</v>
      </c>
      <c r="CD36" s="5" t="str">
        <f t="shared" si="0"/>
        <v>Massachusetts</v>
      </c>
      <c r="CE36" s="5">
        <f t="shared" si="1"/>
        <v>0.54251177434831277</v>
      </c>
      <c r="CF36" s="5">
        <f t="shared" si="24"/>
        <v>0.3575726189997403</v>
      </c>
      <c r="CG36" s="5"/>
      <c r="CH36" s="5"/>
      <c r="CI36" s="5"/>
    </row>
    <row r="37" spans="1:87" x14ac:dyDescent="0.2">
      <c r="A37">
        <v>22000000000703</v>
      </c>
      <c r="B37">
        <v>2018</v>
      </c>
      <c r="C37">
        <v>344</v>
      </c>
      <c r="D37" t="s">
        <v>104</v>
      </c>
      <c r="E37">
        <v>6</v>
      </c>
      <c r="F37" t="s">
        <v>105</v>
      </c>
      <c r="G37" t="s">
        <v>106</v>
      </c>
      <c r="H37" t="s">
        <v>69</v>
      </c>
      <c r="I37" t="b">
        <v>1</v>
      </c>
      <c r="J37">
        <v>901234</v>
      </c>
      <c r="K37">
        <v>3633027</v>
      </c>
      <c r="M37">
        <v>92317</v>
      </c>
      <c r="N37">
        <v>845000</v>
      </c>
      <c r="O37">
        <v>2992578</v>
      </c>
      <c r="Q37">
        <v>2479000</v>
      </c>
      <c r="R37">
        <v>50024000</v>
      </c>
      <c r="S37">
        <v>52503000</v>
      </c>
      <c r="T37">
        <v>1314783</v>
      </c>
      <c r="U37">
        <v>231734</v>
      </c>
      <c r="V37">
        <v>755688</v>
      </c>
      <c r="W37">
        <v>2542576</v>
      </c>
      <c r="Y37">
        <v>19528</v>
      </c>
      <c r="Z37">
        <v>-179573</v>
      </c>
      <c r="AA37">
        <v>1653102</v>
      </c>
      <c r="AB37">
        <v>27138609</v>
      </c>
      <c r="AC37">
        <v>28791711</v>
      </c>
      <c r="AD37">
        <v>23711289</v>
      </c>
      <c r="AE37">
        <v>22885391</v>
      </c>
      <c r="AF37">
        <v>825898</v>
      </c>
      <c r="AG37">
        <v>6829012</v>
      </c>
      <c r="AH37">
        <v>0.19252902176771691</v>
      </c>
      <c r="AI37" t="b">
        <v>1</v>
      </c>
      <c r="AK37">
        <v>7.4999999999999997E-2</v>
      </c>
      <c r="AL37">
        <v>7.3499999999999996E-2</v>
      </c>
      <c r="AM37">
        <v>7.3499999999999996E-2</v>
      </c>
      <c r="AN37">
        <v>7.4999999999999997E-2</v>
      </c>
      <c r="AO37">
        <v>1</v>
      </c>
      <c r="AP37">
        <v>0</v>
      </c>
      <c r="AS37">
        <v>29482300</v>
      </c>
      <c r="AT37">
        <v>18771300</v>
      </c>
      <c r="AU37" t="s">
        <v>113</v>
      </c>
      <c r="AV37" t="s">
        <v>114</v>
      </c>
      <c r="BB37">
        <f t="shared" si="2"/>
        <v>0.54838220673104399</v>
      </c>
      <c r="BD37">
        <f t="shared" si="3"/>
        <v>5771011</v>
      </c>
      <c r="BE37">
        <f t="shared" si="4"/>
        <v>-4939989</v>
      </c>
      <c r="BF37">
        <f t="shared" si="5"/>
        <v>10.991773803401712</v>
      </c>
      <c r="BG37">
        <f t="shared" si="6"/>
        <v>-9.4089652019884582</v>
      </c>
      <c r="BH37">
        <f t="shared" si="7"/>
        <v>10.200369502695084</v>
      </c>
      <c r="BI37">
        <f t="shared" si="8"/>
        <v>79.140430070662632</v>
      </c>
      <c r="BJ37">
        <f t="shared" si="9"/>
        <v>10</v>
      </c>
      <c r="BK37">
        <f>IF($BJ37&lt;=30,IF($B37=2015,VLOOKUP($BJ37,'Treasury Yields'!$C$5:$N$34,$E37,FALSE)/100,IF($B37=2016,VLOOKUP($BJ37,'Treasury Yields'!$C$40:$N$69,$E37,FALSE)/100,IF($B37=2017,VLOOKUP($BJ37,'Treasury Yields'!$C$75:$N$104,$E37,FALSE)/100,IF($B37=2018,VLOOKUP($BJ37,'Treasury Yields'!$C$110:$N$139,$E37,FALSE)/100,IF($B37=2019,VLOOKUP($BJ37,'Treasury Yields'!$C$145:$N$174,$E37,FALSE)/100,IF($B37=2020,VLOOKUP($BJ37,'Treasury Yields'!$C$180:$N$209,$E37,FALSE)/100,IF($B37=2021,VLOOKUP($BJ37,'Treasury Yields'!$C$215:$N$244,$E37,FALSE)/100,IF($B37=2022,VLOOKUP($BJ37,'Treasury Yields'!$C$250:$N$279,$E37,FALSE)/100)))))))),0)</f>
        <v>2.4670000000000001E-2</v>
      </c>
      <c r="BL37">
        <f t="shared" si="10"/>
        <v>1.5004684117166009</v>
      </c>
      <c r="BM37">
        <f t="shared" si="11"/>
        <v>75059431.827711239</v>
      </c>
      <c r="BN37">
        <f t="shared" si="12"/>
        <v>47920822.827711239</v>
      </c>
      <c r="BP37">
        <f>IF($BJ37&lt;=30,IF($B37=2015,VLOOKUP($BJ37,'Treasury Yields'!$C$40:$N$69,$E37,FALSE)/100,IF($B37=2016,VLOOKUP($BJ37,'Treasury Yields'!$C$75:$N$104,$E37,FALSE)/100,IF($B37=2017,VLOOKUP($BJ37,'Treasury Yields'!$C$110:$N$139,$E37,FALSE)/100,IF($B37=2018,VLOOKUP($BJ37,'Treasury Yields'!$C$145:$N$174,$E37,FALSE)/100,IF($B37=2019,VLOOKUP($BJ37,'Treasury Yields'!$C$180:$N$209,$E37,FALSE)/100,IF($B37=2020,VLOOKUP($BJ37,'Treasury Yields'!$C$215:$N$244,$E37,FALSE)/100,IF($B37=2021,VLOOKUP($BJ37,'Treasury Yields'!$C$250:$N$279,$E37,FALSE)/100,IF($B37=2022,VLOOKUP($BJ37,'Treasury Yields'!$C$285:$N$314,$E37,FALSE)/100)))))))),0)</f>
        <v>2.964E-2</v>
      </c>
      <c r="BQ37">
        <f t="shared" si="13"/>
        <v>1.464746290242249</v>
      </c>
      <c r="BR37">
        <f t="shared" si="14"/>
        <v>76903574.476588801</v>
      </c>
      <c r="BS37">
        <f t="shared" si="15"/>
        <v>48111863.476588801</v>
      </c>
      <c r="BU37">
        <f t="shared" si="16"/>
        <v>13</v>
      </c>
      <c r="BV37">
        <f t="shared" si="17"/>
        <v>2.3681459248324668</v>
      </c>
      <c r="BW37">
        <f t="shared" si="18"/>
        <v>2134253.6244204636</v>
      </c>
      <c r="BX37" s="5">
        <f t="shared" si="19"/>
        <v>1830541.3208440891</v>
      </c>
      <c r="BY37" s="5">
        <f t="shared" si="20"/>
        <v>1161031.8368140892</v>
      </c>
      <c r="BZ37" s="5">
        <f t="shared" si="21"/>
        <v>4534261</v>
      </c>
      <c r="CA37" s="5">
        <f t="shared" si="22"/>
        <v>3295285.4612345528</v>
      </c>
      <c r="CB37" s="5"/>
      <c r="CC37" s="5">
        <f t="shared" si="23"/>
        <v>76903574.476588801</v>
      </c>
      <c r="CD37" s="5" t="str">
        <f t="shared" si="0"/>
        <v>Massachusetts</v>
      </c>
      <c r="CE37" s="5">
        <f t="shared" si="1"/>
        <v>0.54838220673104399</v>
      </c>
      <c r="CF37" s="5">
        <f t="shared" si="24"/>
        <v>0.37438716205271905</v>
      </c>
      <c r="CG37" s="5"/>
      <c r="CH37" s="5"/>
      <c r="CI37" s="5"/>
    </row>
    <row r="38" spans="1:87" x14ac:dyDescent="0.2">
      <c r="A38">
        <v>22000000000703</v>
      </c>
      <c r="B38">
        <v>2019</v>
      </c>
      <c r="C38">
        <v>344</v>
      </c>
      <c r="D38" t="s">
        <v>104</v>
      </c>
      <c r="E38">
        <v>6</v>
      </c>
      <c r="F38" t="s">
        <v>105</v>
      </c>
      <c r="G38" t="s">
        <v>106</v>
      </c>
      <c r="H38" t="s">
        <v>69</v>
      </c>
      <c r="I38" t="b">
        <v>1</v>
      </c>
      <c r="J38">
        <v>949262</v>
      </c>
      <c r="K38">
        <v>3763191</v>
      </c>
      <c r="M38">
        <v>50910</v>
      </c>
      <c r="N38">
        <v>577000</v>
      </c>
      <c r="O38">
        <v>3092363</v>
      </c>
      <c r="Q38">
        <v>2248000</v>
      </c>
      <c r="R38">
        <v>52503000</v>
      </c>
      <c r="S38">
        <v>54751000</v>
      </c>
      <c r="T38">
        <v>1443710</v>
      </c>
      <c r="U38">
        <v>234532</v>
      </c>
      <c r="V38">
        <v>782431</v>
      </c>
      <c r="W38">
        <v>1584770</v>
      </c>
      <c r="Y38">
        <v>18324</v>
      </c>
      <c r="Z38">
        <v>-189487</v>
      </c>
      <c r="AA38">
        <v>745269</v>
      </c>
      <c r="AB38">
        <v>28791711</v>
      </c>
      <c r="AC38">
        <v>29536980</v>
      </c>
      <c r="AD38">
        <v>25214020</v>
      </c>
      <c r="AE38">
        <v>23711289</v>
      </c>
      <c r="AF38">
        <v>1502731</v>
      </c>
      <c r="AG38">
        <v>7074960</v>
      </c>
      <c r="AH38">
        <v>0.20405910422108395</v>
      </c>
      <c r="AI38" t="b">
        <v>1</v>
      </c>
      <c r="AK38">
        <v>7.3499999999999996E-2</v>
      </c>
      <c r="AL38">
        <v>7.2499999999999995E-2</v>
      </c>
      <c r="AM38">
        <v>7.2499999999999995E-2</v>
      </c>
      <c r="AN38">
        <v>7.3499999999999996E-2</v>
      </c>
      <c r="AO38">
        <v>1</v>
      </c>
      <c r="AP38">
        <v>0</v>
      </c>
      <c r="AS38">
        <v>31232100</v>
      </c>
      <c r="AT38">
        <v>20062500</v>
      </c>
      <c r="AU38" t="s">
        <v>115</v>
      </c>
      <c r="AV38" t="s">
        <v>116</v>
      </c>
      <c r="BB38">
        <f t="shared" si="2"/>
        <v>0.53947836569195085</v>
      </c>
      <c r="BD38">
        <f t="shared" si="3"/>
        <v>6018080</v>
      </c>
      <c r="BE38">
        <f t="shared" si="4"/>
        <v>-5151520</v>
      </c>
      <c r="BF38">
        <f t="shared" si="5"/>
        <v>10.991726178517288</v>
      </c>
      <c r="BG38">
        <f t="shared" si="6"/>
        <v>-9.4089970959434535</v>
      </c>
      <c r="BH38">
        <f t="shared" si="7"/>
        <v>10.200361637230371</v>
      </c>
      <c r="BI38">
        <f t="shared" si="8"/>
        <v>79.13645412869171</v>
      </c>
      <c r="BJ38">
        <f t="shared" si="9"/>
        <v>10</v>
      </c>
      <c r="BK38">
        <f>IF($BJ38&lt;=30,IF($B38=2015,VLOOKUP($BJ38,'Treasury Yields'!$C$5:$N$34,$E38,FALSE)/100,IF($B38=2016,VLOOKUP($BJ38,'Treasury Yields'!$C$40:$N$69,$E38,FALSE)/100,IF($B38=2017,VLOOKUP($BJ38,'Treasury Yields'!$C$75:$N$104,$E38,FALSE)/100,IF($B38=2018,VLOOKUP($BJ38,'Treasury Yields'!$C$110:$N$139,$E38,FALSE)/100,IF($B38=2019,VLOOKUP($BJ38,'Treasury Yields'!$C$145:$N$174,$E38,FALSE)/100,IF($B38=2020,VLOOKUP($BJ38,'Treasury Yields'!$C$180:$N$209,$E38,FALSE)/100,IF($B38=2021,VLOOKUP($BJ38,'Treasury Yields'!$C$215:$N$244,$E38,FALSE)/100,IF($B38=2022,VLOOKUP($BJ38,'Treasury Yields'!$C$250:$N$279,$E38,FALSE)/100)))))))),0)</f>
        <v>2.964E-2</v>
      </c>
      <c r="BL38">
        <f t="shared" si="10"/>
        <v>1.4390244793716935</v>
      </c>
      <c r="BM38">
        <f t="shared" si="11"/>
        <v>75553102.240452021</v>
      </c>
      <c r="BN38">
        <f t="shared" si="12"/>
        <v>46761391.240452021</v>
      </c>
      <c r="BP38">
        <f>IF($BJ38&lt;=30,IF($B38=2015,VLOOKUP($BJ38,'Treasury Yields'!$C$40:$N$69,$E38,FALSE)/100,IF($B38=2016,VLOOKUP($BJ38,'Treasury Yields'!$C$75:$N$104,$E38,FALSE)/100,IF($B38=2017,VLOOKUP($BJ38,'Treasury Yields'!$C$110:$N$139,$E38,FALSE)/100,IF($B38=2018,VLOOKUP($BJ38,'Treasury Yields'!$C$145:$N$174,$E38,FALSE)/100,IF($B38=2019,VLOOKUP($BJ38,'Treasury Yields'!$C$180:$N$209,$E38,FALSE)/100,IF($B38=2020,VLOOKUP($BJ38,'Treasury Yields'!$C$215:$N$244,$E38,FALSE)/100,IF($B38=2021,VLOOKUP($BJ38,'Treasury Yields'!$C$250:$N$279,$E38,FALSE)/100,IF($B38=2022,VLOOKUP($BJ38,'Treasury Yields'!$C$285:$N$314,$E38,FALSE)/100)))))))),0)</f>
        <v>2.1259999999999998E-2</v>
      </c>
      <c r="BQ38">
        <f t="shared" si="13"/>
        <v>1.5355959095289147</v>
      </c>
      <c r="BR38">
        <f t="shared" si="14"/>
        <v>84075411.642617613</v>
      </c>
      <c r="BS38">
        <f t="shared" si="15"/>
        <v>54538431.642617613</v>
      </c>
      <c r="BU38">
        <f t="shared" si="16"/>
        <v>13</v>
      </c>
      <c r="BV38">
        <f t="shared" si="17"/>
        <v>2.1698026265617067</v>
      </c>
      <c r="BW38">
        <f t="shared" si="18"/>
        <v>2059711.1808952189</v>
      </c>
      <c r="BX38" s="5">
        <f t="shared" si="19"/>
        <v>2208786.1504887324</v>
      </c>
      <c r="BY38" s="5">
        <f t="shared" si="20"/>
        <v>1355399.8364487321</v>
      </c>
      <c r="BZ38" s="5">
        <f t="shared" si="21"/>
        <v>4712453</v>
      </c>
      <c r="CA38" s="5">
        <f t="shared" si="22"/>
        <v>3415111.0173439509</v>
      </c>
      <c r="CB38" s="5"/>
      <c r="CC38" s="5">
        <f t="shared" si="23"/>
        <v>84075411.642617613</v>
      </c>
      <c r="CD38" s="5" t="str">
        <f t="shared" si="0"/>
        <v>Massachusetts</v>
      </c>
      <c r="CE38" s="5">
        <f t="shared" si="1"/>
        <v>0.53947836569195085</v>
      </c>
      <c r="CF38" s="5">
        <f t="shared" si="24"/>
        <v>0.35131531827110057</v>
      </c>
      <c r="CG38" s="5"/>
      <c r="CH38" s="5"/>
      <c r="CI38" s="5"/>
    </row>
    <row r="39" spans="1:87" x14ac:dyDescent="0.2">
      <c r="A39">
        <v>22000000000703</v>
      </c>
      <c r="B39">
        <v>2020</v>
      </c>
      <c r="C39">
        <v>344</v>
      </c>
      <c r="D39" t="s">
        <v>104</v>
      </c>
      <c r="E39">
        <v>6</v>
      </c>
      <c r="F39" t="s">
        <v>105</v>
      </c>
      <c r="G39" t="s">
        <v>106</v>
      </c>
      <c r="H39" t="s">
        <v>69</v>
      </c>
      <c r="I39" t="b">
        <v>1</v>
      </c>
      <c r="J39">
        <v>1019331</v>
      </c>
      <c r="K39">
        <v>3927724</v>
      </c>
      <c r="M39">
        <v>495599</v>
      </c>
      <c r="N39">
        <v>859000</v>
      </c>
      <c r="O39">
        <v>3189813</v>
      </c>
      <c r="Q39">
        <v>3111841</v>
      </c>
      <c r="R39">
        <v>54751000</v>
      </c>
      <c r="S39">
        <v>57862841</v>
      </c>
      <c r="T39">
        <v>1553433</v>
      </c>
      <c r="U39">
        <v>233222</v>
      </c>
      <c r="V39">
        <v>821105</v>
      </c>
      <c r="W39">
        <v>581648</v>
      </c>
      <c r="Y39">
        <v>22391</v>
      </c>
      <c r="Z39">
        <v>-196187</v>
      </c>
      <c r="AA39">
        <v>-218983</v>
      </c>
      <c r="AB39">
        <v>29536980</v>
      </c>
      <c r="AC39">
        <v>29317997</v>
      </c>
      <c r="AD39">
        <v>28544844</v>
      </c>
      <c r="AE39">
        <v>25214020</v>
      </c>
      <c r="AF39">
        <v>3330824</v>
      </c>
      <c r="AG39">
        <v>7074960</v>
      </c>
      <c r="AH39">
        <v>0.21956774313918381</v>
      </c>
      <c r="AI39" t="b">
        <v>1</v>
      </c>
      <c r="AK39">
        <v>7.2499999999999995E-2</v>
      </c>
      <c r="AL39">
        <v>7.1499999999999994E-2</v>
      </c>
      <c r="AM39">
        <v>7.1499999999999994E-2</v>
      </c>
      <c r="AN39">
        <v>7.2499999999999995E-2</v>
      </c>
      <c r="AO39">
        <v>1</v>
      </c>
      <c r="AP39">
        <v>0</v>
      </c>
      <c r="AS39">
        <v>35411955</v>
      </c>
      <c r="AT39">
        <v>22908510</v>
      </c>
      <c r="AU39" t="s">
        <v>117</v>
      </c>
      <c r="AV39" t="s">
        <v>118</v>
      </c>
      <c r="BB39">
        <f t="shared" si="2"/>
        <v>0.50668091115678193</v>
      </c>
      <c r="BD39">
        <f t="shared" si="3"/>
        <v>6867111</v>
      </c>
      <c r="BE39">
        <f t="shared" si="4"/>
        <v>-5636334</v>
      </c>
      <c r="BF39">
        <f t="shared" si="5"/>
        <v>11.867911912586525</v>
      </c>
      <c r="BG39">
        <f t="shared" si="6"/>
        <v>-9.7408525101627834</v>
      </c>
      <c r="BH39">
        <f t="shared" si="7"/>
        <v>10.804382211374653</v>
      </c>
      <c r="BI39">
        <f t="shared" si="8"/>
        <v>106.3529701211871</v>
      </c>
      <c r="BJ39">
        <f t="shared" si="9"/>
        <v>11</v>
      </c>
      <c r="BK39">
        <f>IF($BJ39&lt;=30,IF($B39=2015,VLOOKUP($BJ39,'Treasury Yields'!$C$5:$N$34,$E39,FALSE)/100,IF($B39=2016,VLOOKUP($BJ39,'Treasury Yields'!$C$40:$N$69,$E39,FALSE)/100,IF($B39=2017,VLOOKUP($BJ39,'Treasury Yields'!$C$75:$N$104,$E39,FALSE)/100,IF($B39=2018,VLOOKUP($BJ39,'Treasury Yields'!$C$110:$N$139,$E39,FALSE)/100,IF($B39=2019,VLOOKUP($BJ39,'Treasury Yields'!$C$145:$N$174,$E39,FALSE)/100,IF($B39=2020,VLOOKUP($BJ39,'Treasury Yields'!$C$180:$N$209,$E39,FALSE)/100,IF($B39=2021,VLOOKUP($BJ39,'Treasury Yields'!$C$215:$N$244,$E39,FALSE)/100,IF($B39=2022,VLOOKUP($BJ39,'Treasury Yields'!$C$250:$N$279,$E39,FALSE)/100)))))))),0)</f>
        <v>2.1722000000000002E-2</v>
      </c>
      <c r="BL39">
        <f t="shared" si="10"/>
        <v>1.5402983870018074</v>
      </c>
      <c r="BM39">
        <f t="shared" si="11"/>
        <v>84332876.986735955</v>
      </c>
      <c r="BN39">
        <f t="shared" si="12"/>
        <v>54795896.986735955</v>
      </c>
      <c r="BP39">
        <f>IF($BJ39&lt;=30,IF($B39=2015,VLOOKUP($BJ39,'Treasury Yields'!$C$40:$N$69,$E39,FALSE)/100,IF($B39=2016,VLOOKUP($BJ39,'Treasury Yields'!$C$75:$N$104,$E39,FALSE)/100,IF($B39=2017,VLOOKUP($BJ39,'Treasury Yields'!$C$110:$N$139,$E39,FALSE)/100,IF($B39=2018,VLOOKUP($BJ39,'Treasury Yields'!$C$145:$N$174,$E39,FALSE)/100,IF($B39=2019,VLOOKUP($BJ39,'Treasury Yields'!$C$180:$N$209,$E39,FALSE)/100,IF($B39=2020,VLOOKUP($BJ39,'Treasury Yields'!$C$215:$N$244,$E39,FALSE)/100,IF($B39=2021,VLOOKUP($BJ39,'Treasury Yields'!$C$250:$N$279,$E39,FALSE)/100,IF($B39=2022,VLOOKUP($BJ39,'Treasury Yields'!$C$285:$N$314,$E39,FALSE)/100)))))))),0)</f>
        <v>1.4551090909090908E-2</v>
      </c>
      <c r="BQ39">
        <f t="shared" si="13"/>
        <v>1.6294602386152115</v>
      </c>
      <c r="BR39">
        <f t="shared" si="14"/>
        <v>94285198.702814043</v>
      </c>
      <c r="BS39">
        <f t="shared" si="15"/>
        <v>64967201.702814043</v>
      </c>
      <c r="BU39">
        <f t="shared" si="16"/>
        <v>14</v>
      </c>
      <c r="BV39">
        <f t="shared" si="17"/>
        <v>2.5337379800587447</v>
      </c>
      <c r="BW39">
        <f t="shared" si="18"/>
        <v>2582717.6689512604</v>
      </c>
      <c r="BX39" s="5">
        <f t="shared" si="19"/>
        <v>1818691.4291248377</v>
      </c>
      <c r="BY39" s="5">
        <f t="shared" si="20"/>
        <v>1177089.1495648378</v>
      </c>
      <c r="BZ39" s="5">
        <f t="shared" si="21"/>
        <v>4947055</v>
      </c>
      <c r="CA39" s="5">
        <f t="shared" si="22"/>
        <v>3759806.818516098</v>
      </c>
      <c r="CB39" s="5"/>
      <c r="CC39" s="5">
        <f t="shared" si="23"/>
        <v>94285198.702814043</v>
      </c>
      <c r="CD39" s="5" t="str">
        <f t="shared" si="0"/>
        <v>Massachusetts</v>
      </c>
      <c r="CE39" s="5">
        <f t="shared" si="1"/>
        <v>0.50668091115678193</v>
      </c>
      <c r="CF39" s="5">
        <f t="shared" si="24"/>
        <v>0.31095015340011128</v>
      </c>
      <c r="CG39" s="5"/>
      <c r="CH39" s="5"/>
      <c r="CI39" s="5"/>
    </row>
    <row r="40" spans="1:87" x14ac:dyDescent="0.2">
      <c r="A40">
        <v>22000000000703</v>
      </c>
      <c r="B40">
        <v>2021</v>
      </c>
      <c r="C40">
        <v>344</v>
      </c>
      <c r="D40" t="s">
        <v>104</v>
      </c>
      <c r="E40">
        <v>6</v>
      </c>
      <c r="F40" t="s">
        <v>105</v>
      </c>
      <c r="G40" t="s">
        <v>106</v>
      </c>
      <c r="H40" t="s">
        <v>69</v>
      </c>
      <c r="I40" t="b">
        <v>1</v>
      </c>
      <c r="J40">
        <v>1085414</v>
      </c>
      <c r="K40">
        <v>4097558</v>
      </c>
      <c r="M40">
        <v>-555322</v>
      </c>
      <c r="N40">
        <v>584000</v>
      </c>
      <c r="O40">
        <v>3279491</v>
      </c>
      <c r="Q40">
        <v>1932159</v>
      </c>
      <c r="R40">
        <v>57862841</v>
      </c>
      <c r="S40">
        <v>59795000</v>
      </c>
      <c r="T40">
        <v>1748483</v>
      </c>
      <c r="U40">
        <v>254903</v>
      </c>
      <c r="V40">
        <v>833236</v>
      </c>
      <c r="W40">
        <v>8455507</v>
      </c>
      <c r="Y40">
        <v>21783</v>
      </c>
      <c r="Z40">
        <v>-220728</v>
      </c>
      <c r="AA40">
        <v>7770127</v>
      </c>
      <c r="AB40">
        <v>29317997</v>
      </c>
      <c r="AC40">
        <v>37088124</v>
      </c>
      <c r="AD40">
        <v>22706876</v>
      </c>
      <c r="AE40">
        <v>28544844</v>
      </c>
      <c r="AF40">
        <v>-5837968</v>
      </c>
      <c r="AG40">
        <v>7670306</v>
      </c>
      <c r="AI40" t="b">
        <v>1</v>
      </c>
      <c r="AK40">
        <v>7.1499999999999994E-2</v>
      </c>
      <c r="AL40">
        <v>7.1499999999999994E-2</v>
      </c>
      <c r="AM40">
        <v>7.1499999999999994E-2</v>
      </c>
      <c r="AN40">
        <v>7.1499999999999994E-2</v>
      </c>
      <c r="AS40">
        <v>29687706</v>
      </c>
      <c r="AT40">
        <v>16882184</v>
      </c>
      <c r="AU40" t="s">
        <v>119</v>
      </c>
      <c r="AV40" t="s">
        <v>120</v>
      </c>
      <c r="BB40">
        <f t="shared" si="2"/>
        <v>0.62025460322769466</v>
      </c>
      <c r="BD40">
        <f t="shared" si="3"/>
        <v>6980830</v>
      </c>
      <c r="BE40">
        <f t="shared" si="4"/>
        <v>-5824692</v>
      </c>
      <c r="BF40">
        <f t="shared" si="5"/>
        <v>11.674604900075257</v>
      </c>
      <c r="BG40">
        <f t="shared" si="6"/>
        <v>-9.7411020988376951</v>
      </c>
      <c r="BH40">
        <f t="shared" si="7"/>
        <v>10.707853499456476</v>
      </c>
      <c r="BI40">
        <f t="shared" si="8"/>
        <v>96.675140061878082</v>
      </c>
      <c r="BJ40">
        <f t="shared" si="9"/>
        <v>11</v>
      </c>
      <c r="BK40">
        <f>IF($BJ40&lt;=30,IF($B40=2015,VLOOKUP($BJ40,'Treasury Yields'!$C$5:$N$34,$E40,FALSE)/100,IF($B40=2016,VLOOKUP($BJ40,'Treasury Yields'!$C$40:$N$69,$E40,FALSE)/100,IF($B40=2017,VLOOKUP($BJ40,'Treasury Yields'!$C$75:$N$104,$E40,FALSE)/100,IF($B40=2018,VLOOKUP($BJ40,'Treasury Yields'!$C$110:$N$139,$E40,FALSE)/100,IF($B40=2019,VLOOKUP($BJ40,'Treasury Yields'!$C$145:$N$174,$E40,FALSE)/100,IF($B40=2020,VLOOKUP($BJ40,'Treasury Yields'!$C$180:$N$209,$E40,FALSE)/100,IF($B40=2021,VLOOKUP($BJ40,'Treasury Yields'!$C$215:$N$244,$E40,FALSE)/100,IF($B40=2022,VLOOKUP($BJ40,'Treasury Yields'!$C$250:$N$279,$E40,FALSE)/100)))))))),0)</f>
        <v>1.4551090909090908E-2</v>
      </c>
      <c r="BL40">
        <f t="shared" si="10"/>
        <v>1.6130437537459643</v>
      </c>
      <c r="BM40">
        <f t="shared" si="11"/>
        <v>93335294.249045894</v>
      </c>
      <c r="BN40">
        <f t="shared" si="12"/>
        <v>64017297.249045894</v>
      </c>
      <c r="BP40">
        <f>IF($BJ40&lt;=30,IF($B40=2015,VLOOKUP($BJ40,'Treasury Yields'!$C$40:$N$69,$E40,FALSE)/100,IF($B40=2016,VLOOKUP($BJ40,'Treasury Yields'!$C$75:$N$104,$E40,FALSE)/100,IF($B40=2017,VLOOKUP($BJ40,'Treasury Yields'!$C$110:$N$139,$E40,FALSE)/100,IF($B40=2018,VLOOKUP($BJ40,'Treasury Yields'!$C$145:$N$174,$E40,FALSE)/100,IF($B40=2019,VLOOKUP($BJ40,'Treasury Yields'!$C$180:$N$209,$E40,FALSE)/100,IF($B40=2020,VLOOKUP($BJ40,'Treasury Yields'!$C$215:$N$244,$E40,FALSE)/100,IF($B40=2021,VLOOKUP($BJ40,'Treasury Yields'!$C$250:$N$279,$E40,FALSE)/100,IF($B40=2022,VLOOKUP($BJ40,'Treasury Yields'!$C$285:$N$314,$E40,FALSE)/100)))))))),0)</f>
        <v>2.1554272727272727E-2</v>
      </c>
      <c r="BQ40">
        <f t="shared" si="13"/>
        <v>1.5373061062329729</v>
      </c>
      <c r="BR40">
        <f t="shared" si="14"/>
        <v>91923218.622200623</v>
      </c>
      <c r="BS40">
        <f t="shared" si="15"/>
        <v>54835094.622200623</v>
      </c>
      <c r="BU40">
        <f t="shared" si="16"/>
        <v>14</v>
      </c>
      <c r="BV40">
        <f t="shared" si="17"/>
        <v>2.7206200140120522</v>
      </c>
      <c r="BW40">
        <f t="shared" si="18"/>
        <v>2952999.0518888775</v>
      </c>
      <c r="BX40" s="5">
        <f t="shared" si="19"/>
        <v>1353379.5376265654</v>
      </c>
      <c r="BY40" s="5">
        <f t="shared" si="20"/>
        <v>926770.69800711086</v>
      </c>
      <c r="BZ40" s="5">
        <f t="shared" si="21"/>
        <v>5182972</v>
      </c>
      <c r="CA40" s="5">
        <f t="shared" si="22"/>
        <v>3879769.7498959885</v>
      </c>
      <c r="CB40" s="5"/>
      <c r="CC40" s="5">
        <f t="shared" si="23"/>
        <v>91923218.622200623</v>
      </c>
      <c r="CD40" s="5" t="str">
        <f t="shared" si="0"/>
        <v>Massachusetts</v>
      </c>
      <c r="CE40" s="5">
        <f t="shared" si="1"/>
        <v>0.62025460322769466</v>
      </c>
      <c r="CF40" s="5">
        <f t="shared" si="24"/>
        <v>0.40346850943535989</v>
      </c>
      <c r="CG40" s="5"/>
      <c r="CH40" s="5"/>
      <c r="CI40" s="5"/>
    </row>
    <row r="41" spans="1:87" x14ac:dyDescent="0.2">
      <c r="A41">
        <v>22000000000703</v>
      </c>
      <c r="B41">
        <v>2022</v>
      </c>
      <c r="C41">
        <v>344</v>
      </c>
      <c r="D41" t="s">
        <v>104</v>
      </c>
      <c r="E41">
        <v>6</v>
      </c>
      <c r="F41" t="s">
        <v>105</v>
      </c>
      <c r="G41" t="s">
        <v>106</v>
      </c>
      <c r="H41" t="s">
        <v>69</v>
      </c>
      <c r="I41" t="b">
        <v>1</v>
      </c>
      <c r="J41">
        <v>1084503</v>
      </c>
      <c r="K41">
        <v>4143763</v>
      </c>
      <c r="M41">
        <v>-384483</v>
      </c>
      <c r="N41">
        <v>0</v>
      </c>
      <c r="O41">
        <v>3365783</v>
      </c>
      <c r="Q41">
        <v>1478000</v>
      </c>
      <c r="R41">
        <v>59795000</v>
      </c>
      <c r="S41">
        <v>61273000</v>
      </c>
      <c r="T41">
        <v>2104604</v>
      </c>
      <c r="U41">
        <v>276758</v>
      </c>
      <c r="V41">
        <v>892123</v>
      </c>
      <c r="W41">
        <v>-1353547</v>
      </c>
      <c r="Y41">
        <v>19196</v>
      </c>
      <c r="Z41">
        <v>-238221</v>
      </c>
      <c r="AA41">
        <v>-1703262</v>
      </c>
      <c r="AB41">
        <v>37088124</v>
      </c>
      <c r="AC41">
        <v>35384862</v>
      </c>
      <c r="AD41">
        <v>25888138</v>
      </c>
      <c r="AE41">
        <v>22706876</v>
      </c>
      <c r="AF41">
        <v>3181262</v>
      </c>
      <c r="AG41">
        <v>7704176</v>
      </c>
      <c r="AI41" t="b">
        <v>1</v>
      </c>
      <c r="AK41">
        <v>7.1499999999999994E-2</v>
      </c>
      <c r="AL41">
        <v>7.0000000000000007E-2</v>
      </c>
      <c r="AM41">
        <v>7.0000000000000007E-2</v>
      </c>
      <c r="AN41">
        <v>7.1499999999999994E-2</v>
      </c>
      <c r="AS41">
        <v>32734080</v>
      </c>
      <c r="AT41">
        <v>20094302</v>
      </c>
      <c r="AV41" t="s">
        <v>121</v>
      </c>
      <c r="BB41">
        <f t="shared" si="2"/>
        <v>0.57749517732116917</v>
      </c>
      <c r="BD41">
        <f t="shared" si="3"/>
        <v>6845942</v>
      </c>
      <c r="BE41">
        <f t="shared" si="4"/>
        <v>-5793836</v>
      </c>
      <c r="BF41">
        <f t="shared" si="5"/>
        <v>11.172852643089126</v>
      </c>
      <c r="BG41">
        <f t="shared" si="6"/>
        <v>-9.4557733422551529</v>
      </c>
      <c r="BH41">
        <f t="shared" si="7"/>
        <v>10.314312992672139</v>
      </c>
      <c r="BI41">
        <f t="shared" si="8"/>
        <v>85.853965041698629</v>
      </c>
      <c r="BJ41">
        <f t="shared" si="9"/>
        <v>10</v>
      </c>
      <c r="BK41">
        <f>IF($BJ41&lt;=30,IF($B41=2015,VLOOKUP($BJ41,'Treasury Yields'!$C$5:$N$34,$E41,FALSE)/100,IF($B41=2016,VLOOKUP($BJ41,'Treasury Yields'!$C$40:$N$69,$E41,FALSE)/100,IF($B41=2017,VLOOKUP($BJ41,'Treasury Yields'!$C$75:$N$104,$E41,FALSE)/100,IF($B41=2018,VLOOKUP($BJ41,'Treasury Yields'!$C$110:$N$139,$E41,FALSE)/100,IF($B41=2019,VLOOKUP($BJ41,'Treasury Yields'!$C$145:$N$174,$E41,FALSE)/100,IF($B41=2020,VLOOKUP($BJ41,'Treasury Yields'!$C$180:$N$209,$E41,FALSE)/100,IF($B41=2021,VLOOKUP($BJ41,'Treasury Yields'!$C$215:$N$244,$E41,FALSE)/100,IF($B41=2022,VLOOKUP($BJ41,'Treasury Yields'!$C$250:$N$279,$E41,FALSE)/100)))))))),0)</f>
        <v>2.202272727272727E-2</v>
      </c>
      <c r="BL41">
        <f>1+BH41*(AL41-BK41)+(AL41-BK41)^2</f>
        <v>1.4971544261422309</v>
      </c>
      <c r="BM41">
        <f>BL41*R41</f>
        <v>89522348.9111747</v>
      </c>
      <c r="BN41">
        <f t="shared" si="12"/>
        <v>52434224.9111747</v>
      </c>
      <c r="BP41">
        <f>IF($BJ41&lt;=30,IF($B41=2015,VLOOKUP($BJ41,'Treasury Yields'!$C$40:$N$69,$E41,FALSE)/100,IF($B41=2016,VLOOKUP($BJ41,'Treasury Yields'!$C$75:$N$104,$E41,FALSE)/100,IF($B41=2017,VLOOKUP($BJ41,'Treasury Yields'!$C$110:$N$139,$E41,FALSE)/100,IF($B41=2018,VLOOKUP($BJ41,'Treasury Yields'!$C$145:$N$174,$E41,FALSE)/100,IF($B41=2019,VLOOKUP($BJ41,'Treasury Yields'!$C$180:$N$209,$E41,FALSE)/100,IF($B41=2020,VLOOKUP($BJ41,'Treasury Yields'!$C$215:$N$244,$E41,FALSE)/100,IF($B41=2021,VLOOKUP($BJ41,'Treasury Yields'!$C$250:$N$279,$E41,FALSE)/100,IF($B41=2022,VLOOKUP($BJ41,'Treasury Yields'!$C$285:$N$314,$E41,FALSE)/100)))))))),0)</f>
        <v>3.1469545454545458E-2</v>
      </c>
      <c r="BQ41">
        <f t="shared" si="13"/>
        <v>1.4144890747118688</v>
      </c>
      <c r="BR41">
        <f>BQ41*S41</f>
        <v>86669989.07482034</v>
      </c>
      <c r="BS41">
        <f>BR41-AC41</f>
        <v>51285127.07482034</v>
      </c>
      <c r="BU41">
        <f t="shared" si="16"/>
        <v>13</v>
      </c>
      <c r="BV41">
        <f>1+(BH41+BU41)*(AN41-BK41)+(AN41-BK41)^2*BI41</f>
        <v>2.3636991731555717</v>
      </c>
      <c r="BW41">
        <f>BV41*J41</f>
        <v>2563438.8443847368</v>
      </c>
      <c r="BX41" s="5">
        <f>(BM41+BW41-O41)*BK41</f>
        <v>1953856.4683667517</v>
      </c>
      <c r="BY41" s="5">
        <f t="shared" si="20"/>
        <v>1137074.8284576612</v>
      </c>
      <c r="BZ41" s="5">
        <f t="shared" si="21"/>
        <v>5228266</v>
      </c>
      <c r="CA41" s="5">
        <f t="shared" si="22"/>
        <v>3700513.6728423983</v>
      </c>
      <c r="CB41" s="5"/>
      <c r="CC41" s="5">
        <f t="shared" si="23"/>
        <v>86669989.07482034</v>
      </c>
      <c r="CD41" s="5" t="str">
        <f t="shared" si="0"/>
        <v>Massachusetts</v>
      </c>
      <c r="CE41" s="5">
        <f t="shared" si="1"/>
        <v>0.57749517732116917</v>
      </c>
      <c r="CF41" s="10">
        <f t="shared" si="24"/>
        <v>0.40827121795819094</v>
      </c>
      <c r="CG41" s="5"/>
      <c r="CH41" s="5"/>
      <c r="CI41" s="5"/>
    </row>
    <row r="42" spans="1:87" x14ac:dyDescent="0.2">
      <c r="A42">
        <v>24000000010301</v>
      </c>
      <c r="B42">
        <v>2015</v>
      </c>
      <c r="C42">
        <v>568</v>
      </c>
      <c r="D42" t="s">
        <v>147</v>
      </c>
      <c r="E42">
        <v>6</v>
      </c>
      <c r="F42" t="s">
        <v>122</v>
      </c>
      <c r="G42" t="s">
        <v>148</v>
      </c>
      <c r="H42" t="s">
        <v>149</v>
      </c>
      <c r="I42" t="b">
        <v>1</v>
      </c>
      <c r="J42">
        <v>399228</v>
      </c>
      <c r="K42">
        <v>2019707</v>
      </c>
      <c r="L42">
        <v>0</v>
      </c>
      <c r="M42">
        <v>7113</v>
      </c>
      <c r="N42">
        <v>576075</v>
      </c>
      <c r="O42">
        <v>1669607</v>
      </c>
      <c r="Q42">
        <v>1332516</v>
      </c>
      <c r="R42">
        <v>25299564</v>
      </c>
      <c r="S42">
        <v>26632080</v>
      </c>
      <c r="T42">
        <v>340208</v>
      </c>
      <c r="U42">
        <v>41587</v>
      </c>
      <c r="V42">
        <v>334826</v>
      </c>
      <c r="W42">
        <v>887280</v>
      </c>
      <c r="Y42">
        <v>11509</v>
      </c>
      <c r="Z42">
        <v>3550</v>
      </c>
      <c r="AA42">
        <v>-73665</v>
      </c>
      <c r="AB42">
        <v>20519756</v>
      </c>
      <c r="AC42">
        <v>20446091</v>
      </c>
      <c r="AD42">
        <v>6185989</v>
      </c>
      <c r="AE42">
        <v>4779808</v>
      </c>
      <c r="AF42">
        <v>1406181</v>
      </c>
      <c r="AG42">
        <v>4306426</v>
      </c>
      <c r="AH42">
        <v>7.9000080345047144E-2</v>
      </c>
      <c r="AI42" t="b">
        <v>1</v>
      </c>
      <c r="AK42">
        <v>8.2500000000000004E-2</v>
      </c>
      <c r="AL42">
        <v>0.08</v>
      </c>
      <c r="AM42">
        <v>0.08</v>
      </c>
      <c r="AN42">
        <v>8.2500000000000004E-2</v>
      </c>
      <c r="AO42">
        <v>1</v>
      </c>
      <c r="AP42">
        <v>0</v>
      </c>
      <c r="AS42">
        <v>9415876</v>
      </c>
      <c r="AT42">
        <v>3490555</v>
      </c>
      <c r="BB42">
        <f>AC42/S42</f>
        <v>0.76772415072348832</v>
      </c>
      <c r="BD42">
        <f t="shared" si="3"/>
        <v>3229887</v>
      </c>
      <c r="BE42">
        <f t="shared" si="4"/>
        <v>-2695434</v>
      </c>
      <c r="BF42">
        <f t="shared" si="5"/>
        <v>12.127806014400678</v>
      </c>
      <c r="BG42">
        <f t="shared" si="6"/>
        <v>-10.121004442762263</v>
      </c>
      <c r="BH42">
        <f t="shared" si="7"/>
        <v>11.12440522858147</v>
      </c>
      <c r="BI42">
        <f t="shared" si="8"/>
        <v>100.34007858192075</v>
      </c>
      <c r="BJ42">
        <f t="shared" si="9"/>
        <v>11</v>
      </c>
      <c r="BK42">
        <f>IF($BJ42&lt;=30,IF($B42=2015,VLOOKUP($BJ42,'Treasury Yields'!$C$5:$N$34,$E42,FALSE)/100,IF($B42=2016,VLOOKUP($BJ42,'Treasury Yields'!$C$40:$N$69,$E42,FALSE)/100,IF($B42=2017,VLOOKUP($BJ42,'Treasury Yields'!$C$75:$N$104,$E42,FALSE)/100,IF($B42=2018,VLOOKUP($BJ42,'Treasury Yields'!$C$110:$N$139,$E42,FALSE)/100,IF($B42=2019,VLOOKUP($BJ42,'Treasury Yields'!$C$145:$N$174,$E42,FALSE)/100,IF($B42=2020,VLOOKUP($BJ42,'Treasury Yields'!$C$180:$N$209,$E42,FALSE)/100,IF($B42=2021,VLOOKUP($BJ42,'Treasury Yields'!$C$215:$N$244,$E42,FALSE)/100,IF($B42=2022,VLOOKUP($BJ42,'Treasury Yields'!$C$250:$N$279,$E42,FALSE)/100)))))))),0)</f>
        <v>2.8147999999999999E-2</v>
      </c>
      <c r="BL42">
        <f t="shared" si="10"/>
        <v>1.5795112898164065</v>
      </c>
      <c r="BM42">
        <f t="shared" si="11"/>
        <v>39960946.965432726</v>
      </c>
      <c r="BN42">
        <f t="shared" si="12"/>
        <v>19441190.965432726</v>
      </c>
      <c r="BP42">
        <f>IF($BJ42&lt;=30,IF($B42=2015,VLOOKUP($BJ42,'Treasury Yields'!$C$40:$N$69,$E42,FALSE)/100,IF($B42=2016,VLOOKUP($BJ42,'Treasury Yields'!$C$75:$N$104,$E42,FALSE)/100,IF($B42=2017,VLOOKUP($BJ42,'Treasury Yields'!$C$110:$N$139,$E42,FALSE)/100,IF($B42=2018,VLOOKUP($BJ42,'Treasury Yields'!$C$145:$N$174,$E42,FALSE)/100,IF($B42=2019,VLOOKUP($BJ42,'Treasury Yields'!$C$180:$N$209,$E42,FALSE)/100,IF($B42=2020,VLOOKUP($BJ42,'Treasury Yields'!$C$215:$N$244,$E42,FALSE)/100,IF($B42=2021,VLOOKUP($BJ42,'Treasury Yields'!$C$250:$N$279,$E42,FALSE)/100,IF($B42=2022,VLOOKUP($BJ42,'Treasury Yields'!$C$285:$N$314,$E42,FALSE)/100)))))))),0)</f>
        <v>2.6258E-2</v>
      </c>
      <c r="BQ42">
        <f t="shared" si="13"/>
        <v>1.6288219614298791</v>
      </c>
      <c r="BR42">
        <f t="shared" si="14"/>
        <v>43378916.782557458</v>
      </c>
      <c r="BS42">
        <f t="shared" si="15"/>
        <v>22932825.782557458</v>
      </c>
      <c r="BU42">
        <f t="shared" si="16"/>
        <v>14</v>
      </c>
      <c r="BV42">
        <f t="shared" si="17"/>
        <v>2.6619803030932081</v>
      </c>
      <c r="BW42">
        <f t="shared" si="18"/>
        <v>1062737.0724432953</v>
      </c>
      <c r="BX42" s="5">
        <f t="shared" si="19"/>
        <v>1107738.5604621344</v>
      </c>
      <c r="BY42" s="5">
        <f t="shared" si="20"/>
        <v>530148.46857413428</v>
      </c>
      <c r="BZ42" s="5">
        <f t="shared" si="21"/>
        <v>2418935</v>
      </c>
      <c r="CA42" s="5">
        <f t="shared" si="22"/>
        <v>1592885.5410174294</v>
      </c>
      <c r="CB42" s="5"/>
      <c r="CC42" s="5">
        <f t="shared" si="23"/>
        <v>43378916.782557458</v>
      </c>
      <c r="CD42" s="5" t="str">
        <f t="shared" si="0"/>
        <v>Minnesota</v>
      </c>
      <c r="CE42" s="5">
        <f t="shared" si="1"/>
        <v>0.76772415072348832</v>
      </c>
      <c r="CF42" s="5">
        <f t="shared" si="24"/>
        <v>0.47133705764228112</v>
      </c>
      <c r="CG42" s="5"/>
      <c r="CH42" s="5"/>
      <c r="CI42" s="5"/>
    </row>
    <row r="43" spans="1:87" x14ac:dyDescent="0.2">
      <c r="A43">
        <v>24000000010301</v>
      </c>
      <c r="B43">
        <v>2016</v>
      </c>
      <c r="C43">
        <v>568</v>
      </c>
      <c r="D43" t="s">
        <v>147</v>
      </c>
      <c r="E43">
        <v>6</v>
      </c>
      <c r="F43" t="s">
        <v>122</v>
      </c>
      <c r="G43" t="s">
        <v>148</v>
      </c>
      <c r="H43" t="s">
        <v>149</v>
      </c>
      <c r="I43" t="b">
        <v>1</v>
      </c>
      <c r="J43">
        <v>438938</v>
      </c>
      <c r="K43">
        <v>2062775</v>
      </c>
      <c r="M43">
        <v>-798</v>
      </c>
      <c r="N43">
        <v>15871845</v>
      </c>
      <c r="O43">
        <v>1728023</v>
      </c>
      <c r="Q43">
        <v>16644737</v>
      </c>
      <c r="R43">
        <v>26632080</v>
      </c>
      <c r="S43">
        <v>43276817</v>
      </c>
      <c r="T43">
        <v>354961</v>
      </c>
      <c r="U43">
        <v>35587</v>
      </c>
      <c r="V43">
        <v>347256</v>
      </c>
      <c r="W43">
        <v>-23672</v>
      </c>
      <c r="Y43">
        <v>11338</v>
      </c>
      <c r="Z43">
        <v>3569</v>
      </c>
      <c r="AA43">
        <v>-1021660</v>
      </c>
      <c r="AB43">
        <v>20446091</v>
      </c>
      <c r="AC43">
        <v>19424431</v>
      </c>
      <c r="AD43">
        <v>23852386</v>
      </c>
      <c r="AE43">
        <v>6185989</v>
      </c>
      <c r="AF43">
        <v>17666397</v>
      </c>
      <c r="AG43">
        <v>4515699</v>
      </c>
      <c r="AH43">
        <v>7.860599211772086E-2</v>
      </c>
      <c r="AI43" t="b">
        <v>1</v>
      </c>
      <c r="AK43">
        <v>0.08</v>
      </c>
      <c r="AL43">
        <v>4.6600000000000003E-2</v>
      </c>
      <c r="AM43">
        <v>4.6600000000000003E-2</v>
      </c>
      <c r="AN43">
        <v>0.08</v>
      </c>
      <c r="AO43">
        <v>1</v>
      </c>
      <c r="AP43">
        <v>0</v>
      </c>
      <c r="AQ43">
        <v>3.8199999999999998E-2</v>
      </c>
      <c r="AR43">
        <v>2052</v>
      </c>
      <c r="AS43">
        <v>30727835</v>
      </c>
      <c r="AT43">
        <v>18252557</v>
      </c>
      <c r="AU43" t="s">
        <v>150</v>
      </c>
      <c r="AV43" t="s">
        <v>151</v>
      </c>
      <c r="BB43">
        <f t="shared" si="2"/>
        <v>0.44884148942839303</v>
      </c>
      <c r="BD43">
        <f t="shared" si="3"/>
        <v>6875449</v>
      </c>
      <c r="BE43">
        <f t="shared" si="4"/>
        <v>-5599829</v>
      </c>
      <c r="BF43">
        <f t="shared" si="5"/>
        <v>15.887141145338854</v>
      </c>
      <c r="BG43">
        <f t="shared" si="6"/>
        <v>-12.939558378334526</v>
      </c>
      <c r="BH43">
        <f t="shared" si="7"/>
        <v>14.413349761836688</v>
      </c>
      <c r="BI43">
        <f t="shared" si="8"/>
        <v>147.37913835021646</v>
      </c>
      <c r="BJ43">
        <f t="shared" si="9"/>
        <v>14</v>
      </c>
      <c r="BK43">
        <f>IF($BJ43&lt;=30,IF($B43=2015,VLOOKUP($BJ43,'Treasury Yields'!$C$5:$N$34,$E43,FALSE)/100,IF($B43=2016,VLOOKUP($BJ43,'Treasury Yields'!$C$40:$N$69,$E43,FALSE)/100,IF($B43=2017,VLOOKUP($BJ43,'Treasury Yields'!$C$75:$N$104,$E43,FALSE)/100,IF($B43=2018,VLOOKUP($BJ43,'Treasury Yields'!$C$110:$N$139,$E43,FALSE)/100,IF($B43=2019,VLOOKUP($BJ43,'Treasury Yields'!$C$145:$N$174,$E43,FALSE)/100,IF($B43=2020,VLOOKUP($BJ43,'Treasury Yields'!$C$180:$N$209,$E43,FALSE)/100,IF($B43=2021,VLOOKUP($BJ43,'Treasury Yields'!$C$215:$N$244,$E43,FALSE)/100,IF($B43=2022,VLOOKUP($BJ43,'Treasury Yields'!$C$250:$N$279,$E43,FALSE)/100)))))))),0)</f>
        <v>2.8621999999999991E-2</v>
      </c>
      <c r="BL43">
        <f t="shared" si="10"/>
        <v>1.2594464105023</v>
      </c>
      <c r="BM43">
        <f t="shared" si="11"/>
        <v>33541677.560210094</v>
      </c>
      <c r="BN43">
        <f t="shared" si="12"/>
        <v>13095586.560210094</v>
      </c>
      <c r="BP43">
        <f>IF($BJ43&lt;=30,IF($B43=2015,VLOOKUP($BJ43,'Treasury Yields'!$C$40:$N$69,$E43,FALSE)/100,IF($B43=2016,VLOOKUP($BJ43,'Treasury Yields'!$C$75:$N$104,$E43,FALSE)/100,IF($B43=2017,VLOOKUP($BJ43,'Treasury Yields'!$C$110:$N$139,$E43,FALSE)/100,IF($B43=2018,VLOOKUP($BJ43,'Treasury Yields'!$C$145:$N$174,$E43,FALSE)/100,IF($B43=2019,VLOOKUP($BJ43,'Treasury Yields'!$C$180:$N$209,$E43,FALSE)/100,IF($B43=2020,VLOOKUP($BJ43,'Treasury Yields'!$C$215:$N$244,$E43,FALSE)/100,IF($B43=2021,VLOOKUP($BJ43,'Treasury Yields'!$C$250:$N$279,$E43,FALSE)/100,IF($B43=2022,VLOOKUP($BJ43,'Treasury Yields'!$C$285:$N$314,$E43,FALSE)/100)))))))),0)</f>
        <v>1.8742000000000002E-2</v>
      </c>
      <c r="BQ43">
        <f t="shared" si="13"/>
        <v>1.8866855222745917</v>
      </c>
      <c r="BR43">
        <f t="shared" si="14"/>
        <v>81649744.084026933</v>
      </c>
      <c r="BS43">
        <f t="shared" si="15"/>
        <v>62225313.084026933</v>
      </c>
      <c r="BU43">
        <f t="shared" si="16"/>
        <v>17</v>
      </c>
      <c r="BV43">
        <f t="shared" si="17"/>
        <v>3.0029916310915938</v>
      </c>
      <c r="BW43">
        <f t="shared" si="18"/>
        <v>1318127.140568082</v>
      </c>
      <c r="BX43" s="5">
        <f t="shared" si="19"/>
        <v>948297.85583967273</v>
      </c>
      <c r="BY43" s="5">
        <f t="shared" si="20"/>
        <v>363089.8392376728</v>
      </c>
      <c r="BZ43" s="5">
        <f t="shared" si="21"/>
        <v>2501713</v>
      </c>
      <c r="CA43" s="5">
        <f t="shared" si="22"/>
        <v>1681216.9798057547</v>
      </c>
      <c r="CB43" s="5"/>
      <c r="CC43" s="5">
        <f t="shared" si="23"/>
        <v>81649744.084026933</v>
      </c>
      <c r="CD43" s="5" t="str">
        <f t="shared" si="0"/>
        <v>Minnesota</v>
      </c>
      <c r="CE43" s="5">
        <f t="shared" si="1"/>
        <v>0.44884148942839303</v>
      </c>
      <c r="CF43" s="5">
        <f t="shared" si="24"/>
        <v>0.23789947192008387</v>
      </c>
      <c r="CG43" s="5"/>
      <c r="CH43" s="5"/>
      <c r="CI43" s="5"/>
    </row>
    <row r="44" spans="1:87" x14ac:dyDescent="0.2">
      <c r="A44">
        <v>24000000010301</v>
      </c>
      <c r="B44">
        <v>2017</v>
      </c>
      <c r="C44">
        <v>568</v>
      </c>
      <c r="D44" t="s">
        <v>147</v>
      </c>
      <c r="E44">
        <v>6</v>
      </c>
      <c r="F44" t="s">
        <v>122</v>
      </c>
      <c r="G44" t="s">
        <v>148</v>
      </c>
      <c r="H44" t="s">
        <v>149</v>
      </c>
      <c r="I44" t="b">
        <v>1</v>
      </c>
      <c r="J44">
        <v>1267304</v>
      </c>
      <c r="K44">
        <v>1975771</v>
      </c>
      <c r="M44">
        <v>-167572</v>
      </c>
      <c r="N44">
        <v>-3355602</v>
      </c>
      <c r="O44">
        <v>1776814</v>
      </c>
      <c r="Q44">
        <v>-2056913</v>
      </c>
      <c r="R44">
        <v>43276817</v>
      </c>
      <c r="S44">
        <v>41219904</v>
      </c>
      <c r="T44">
        <v>367791</v>
      </c>
      <c r="U44">
        <v>35587</v>
      </c>
      <c r="V44">
        <v>361175</v>
      </c>
      <c r="W44">
        <v>2855218</v>
      </c>
      <c r="Y44">
        <v>11702</v>
      </c>
      <c r="Z44">
        <v>2404</v>
      </c>
      <c r="AA44">
        <v>1833659</v>
      </c>
      <c r="AB44">
        <v>19424431</v>
      </c>
      <c r="AC44">
        <v>21258090</v>
      </c>
      <c r="AD44">
        <v>19961814</v>
      </c>
      <c r="AE44">
        <v>23852386</v>
      </c>
      <c r="AF44">
        <v>-3890572</v>
      </c>
      <c r="AG44">
        <v>4688875</v>
      </c>
      <c r="AH44">
        <v>7.8439071205779642E-2</v>
      </c>
      <c r="AI44" t="b">
        <v>1</v>
      </c>
      <c r="AK44">
        <v>4.6600000000000003E-2</v>
      </c>
      <c r="AL44">
        <v>5.1200000000000002E-2</v>
      </c>
      <c r="AM44">
        <v>7.4999999999999997E-2</v>
      </c>
      <c r="AN44">
        <v>4.6600000000000003E-2</v>
      </c>
      <c r="AO44">
        <v>1</v>
      </c>
      <c r="AP44">
        <v>2.3799999999999995E-2</v>
      </c>
      <c r="AQ44">
        <v>3.56E-2</v>
      </c>
      <c r="AR44">
        <v>2053</v>
      </c>
      <c r="AS44">
        <v>26345748</v>
      </c>
      <c r="AT44">
        <v>14759381</v>
      </c>
      <c r="AU44" t="s">
        <v>152</v>
      </c>
      <c r="AV44" t="s">
        <v>153</v>
      </c>
      <c r="BB44">
        <f t="shared" si="2"/>
        <v>0.51572390852729788</v>
      </c>
      <c r="BD44">
        <f t="shared" si="3"/>
        <v>6383934</v>
      </c>
      <c r="BE44">
        <f t="shared" si="4"/>
        <v>-5202433</v>
      </c>
      <c r="BF44">
        <f t="shared" si="5"/>
        <v>15.487503318785024</v>
      </c>
      <c r="BG44">
        <f t="shared" si="6"/>
        <v>-12.62116719146168</v>
      </c>
      <c r="BH44">
        <f t="shared" si="7"/>
        <v>14.054335255123352</v>
      </c>
      <c r="BI44">
        <f t="shared" si="8"/>
        <v>143.31680636616716</v>
      </c>
      <c r="BJ44">
        <f t="shared" si="9"/>
        <v>14</v>
      </c>
      <c r="BK44">
        <f>IF($BJ44&lt;=30,IF($B44=2015,VLOOKUP($BJ44,'Treasury Yields'!$C$5:$N$34,$E44,FALSE)/100,IF($B44=2016,VLOOKUP($BJ44,'Treasury Yields'!$C$40:$N$69,$E44,FALSE)/100,IF($B44=2017,VLOOKUP($BJ44,'Treasury Yields'!$C$75:$N$104,$E44,FALSE)/100,IF($B44=2018,VLOOKUP($BJ44,'Treasury Yields'!$C$110:$N$139,$E44,FALSE)/100,IF($B44=2019,VLOOKUP($BJ44,'Treasury Yields'!$C$145:$N$174,$E44,FALSE)/100,IF($B44=2020,VLOOKUP($BJ44,'Treasury Yields'!$C$180:$N$209,$E44,FALSE)/100,IF($B44=2021,VLOOKUP($BJ44,'Treasury Yields'!$C$215:$N$244,$E44,FALSE)/100,IF($B44=2022,VLOOKUP($BJ44,'Treasury Yields'!$C$250:$N$279,$E44,FALSE)/100)))))))),0)</f>
        <v>1.8742000000000002E-2</v>
      </c>
      <c r="BL44">
        <f t="shared" si="10"/>
        <v>1.4572291354747937</v>
      </c>
      <c r="BM44">
        <f t="shared" si="11"/>
        <v>63064238.623010859</v>
      </c>
      <c r="BN44">
        <f t="shared" si="12"/>
        <v>43639807.623010859</v>
      </c>
      <c r="BP44">
        <f>IF($BJ44&lt;=30,IF($B44=2015,VLOOKUP($BJ44,'Treasury Yields'!$C$40:$N$69,$E44,FALSE)/100,IF($B44=2016,VLOOKUP($BJ44,'Treasury Yields'!$C$75:$N$104,$E44,FALSE)/100,IF($B44=2017,VLOOKUP($BJ44,'Treasury Yields'!$C$110:$N$139,$E44,FALSE)/100,IF($B44=2018,VLOOKUP($BJ44,'Treasury Yields'!$C$145:$N$174,$E44,FALSE)/100,IF($B44=2019,VLOOKUP($BJ44,'Treasury Yields'!$C$180:$N$209,$E44,FALSE)/100,IF($B44=2020,VLOOKUP($BJ44,'Treasury Yields'!$C$215:$N$244,$E44,FALSE)/100,IF($B44=2021,VLOOKUP($BJ44,'Treasury Yields'!$C$250:$N$279,$E44,FALSE)/100,IF($B44=2022,VLOOKUP($BJ44,'Treasury Yields'!$C$285:$N$314,$E44,FALSE)/100)))))))),0)</f>
        <v>2.6265199999999989E-2</v>
      </c>
      <c r="BQ44">
        <f t="shared" si="13"/>
        <v>1.2862056006369227</v>
      </c>
      <c r="BR44">
        <f t="shared" si="14"/>
        <v>53017271.382516295</v>
      </c>
      <c r="BS44">
        <f t="shared" si="15"/>
        <v>31759181.382516295</v>
      </c>
      <c r="BU44">
        <f t="shared" si="16"/>
        <v>17</v>
      </c>
      <c r="BV44">
        <f t="shared" si="17"/>
        <v>1.9763352823241613</v>
      </c>
      <c r="BW44">
        <f t="shared" si="18"/>
        <v>2504617.6086305389</v>
      </c>
      <c r="BX44" s="5">
        <f t="shared" si="19"/>
        <v>1195590.4555054232</v>
      </c>
      <c r="BY44" s="5">
        <f t="shared" si="20"/>
        <v>831537.76970342314</v>
      </c>
      <c r="BZ44" s="5">
        <f t="shared" si="21"/>
        <v>3243075</v>
      </c>
      <c r="CA44" s="5">
        <f t="shared" si="22"/>
        <v>3336155.3783339621</v>
      </c>
      <c r="CB44" s="5"/>
      <c r="CC44" s="5">
        <f t="shared" si="23"/>
        <v>53017271.382516295</v>
      </c>
      <c r="CD44" s="5" t="str">
        <f t="shared" si="0"/>
        <v>Minnesota</v>
      </c>
      <c r="CE44" s="5">
        <f t="shared" si="1"/>
        <v>0.51572390852729788</v>
      </c>
      <c r="CF44" s="5">
        <f t="shared" si="24"/>
        <v>0.40096537308803032</v>
      </c>
      <c r="CG44" s="5"/>
      <c r="CH44" s="5"/>
      <c r="CI44" s="5"/>
    </row>
    <row r="45" spans="1:87" x14ac:dyDescent="0.2">
      <c r="A45">
        <v>24000000010301</v>
      </c>
      <c r="B45">
        <v>2018</v>
      </c>
      <c r="C45">
        <v>568</v>
      </c>
      <c r="D45" t="s">
        <v>147</v>
      </c>
      <c r="E45">
        <v>6</v>
      </c>
      <c r="F45" t="s">
        <v>122</v>
      </c>
      <c r="G45" t="s">
        <v>148</v>
      </c>
      <c r="H45" t="s">
        <v>149</v>
      </c>
      <c r="I45" t="b">
        <v>1</v>
      </c>
      <c r="J45">
        <v>1056681</v>
      </c>
      <c r="K45">
        <v>2064148</v>
      </c>
      <c r="L45">
        <v>-3681114</v>
      </c>
      <c r="M45">
        <v>-17461</v>
      </c>
      <c r="N45">
        <v>-10167248</v>
      </c>
      <c r="O45">
        <v>1831887</v>
      </c>
      <c r="Q45">
        <v>-12576881</v>
      </c>
      <c r="R45">
        <v>41219904</v>
      </c>
      <c r="S45">
        <v>28643023</v>
      </c>
      <c r="T45">
        <v>378728</v>
      </c>
      <c r="U45">
        <v>35587</v>
      </c>
      <c r="V45">
        <v>374550</v>
      </c>
      <c r="W45">
        <v>2160111</v>
      </c>
      <c r="Y45">
        <v>15673</v>
      </c>
      <c r="Z45">
        <v>2581</v>
      </c>
      <c r="AA45">
        <v>1103997</v>
      </c>
      <c r="AB45">
        <v>21258090</v>
      </c>
      <c r="AC45">
        <v>22362087</v>
      </c>
      <c r="AD45">
        <v>6280936</v>
      </c>
      <c r="AE45">
        <v>19961814</v>
      </c>
      <c r="AF45">
        <v>-13680878</v>
      </c>
      <c r="AG45">
        <v>4832917</v>
      </c>
      <c r="AH45">
        <v>7.8364267377238214E-2</v>
      </c>
      <c r="AI45" t="b">
        <v>1</v>
      </c>
      <c r="AK45">
        <v>5.1200000000000002E-2</v>
      </c>
      <c r="AL45">
        <v>7.4999999999999997E-2</v>
      </c>
      <c r="AM45">
        <v>7.4999999999999997E-2</v>
      </c>
      <c r="AN45">
        <v>7.4999999999999997E-2</v>
      </c>
      <c r="AO45">
        <v>1</v>
      </c>
      <c r="AP45">
        <v>0</v>
      </c>
      <c r="AQ45">
        <v>3.8899999999999997E-2</v>
      </c>
      <c r="AR45">
        <v>2053</v>
      </c>
      <c r="AS45">
        <v>9967820</v>
      </c>
      <c r="AT45">
        <v>3239281</v>
      </c>
      <c r="AU45" t="s">
        <v>154</v>
      </c>
      <c r="AV45" t="s">
        <v>155</v>
      </c>
      <c r="BB45">
        <f t="shared" si="2"/>
        <v>0.7807167211365923</v>
      </c>
      <c r="BD45">
        <f t="shared" si="3"/>
        <v>3686884</v>
      </c>
      <c r="BE45">
        <f t="shared" si="4"/>
        <v>-3041655</v>
      </c>
      <c r="BF45">
        <f t="shared" si="5"/>
        <v>12.871839679771229</v>
      </c>
      <c r="BG45">
        <f t="shared" si="6"/>
        <v>-10.619182898397282</v>
      </c>
      <c r="BH45">
        <f t="shared" si="7"/>
        <v>11.745511289084257</v>
      </c>
      <c r="BI45">
        <f t="shared" si="8"/>
        <v>112.63283906869745</v>
      </c>
      <c r="BJ45">
        <f t="shared" si="9"/>
        <v>12</v>
      </c>
      <c r="BK45">
        <f>IF($BJ45&lt;=30,IF($B45=2015,VLOOKUP($BJ45,'Treasury Yields'!$C$5:$N$34,$E45,FALSE)/100,IF($B45=2016,VLOOKUP($BJ45,'Treasury Yields'!$C$40:$N$69,$E45,FALSE)/100,IF($B45=2017,VLOOKUP($BJ45,'Treasury Yields'!$C$75:$N$104,$E45,FALSE)/100,IF($B45=2018,VLOOKUP($BJ45,'Treasury Yields'!$C$110:$N$139,$E45,FALSE)/100,IF($B45=2019,VLOOKUP($BJ45,'Treasury Yields'!$C$145:$N$174,$E45,FALSE)/100,IF($B45=2020,VLOOKUP($BJ45,'Treasury Yields'!$C$180:$N$209,$E45,FALSE)/100,IF($B45=2021,VLOOKUP($BJ45,'Treasury Yields'!$C$215:$N$244,$E45,FALSE)/100,IF($B45=2022,VLOOKUP($BJ45,'Treasury Yields'!$C$250:$N$279,$E45,FALSE)/100)))))))),0)</f>
        <v>2.5467599999999993E-2</v>
      </c>
      <c r="BL45">
        <f t="shared" si="10"/>
        <v>1.584236822025197</v>
      </c>
      <c r="BM45">
        <f t="shared" si="11"/>
        <v>65302089.717143707</v>
      </c>
      <c r="BN45">
        <f t="shared" si="12"/>
        <v>44043999.717143707</v>
      </c>
      <c r="BP45">
        <f>IF($BJ45&lt;=30,IF($B45=2015,VLOOKUP($BJ45,'Treasury Yields'!$C$40:$N$69,$E45,FALSE)/100,IF($B45=2016,VLOOKUP($BJ45,'Treasury Yields'!$C$75:$N$104,$E45,FALSE)/100,IF($B45=2017,VLOOKUP($BJ45,'Treasury Yields'!$C$110:$N$139,$E45,FALSE)/100,IF($B45=2018,VLOOKUP($BJ45,'Treasury Yields'!$C$145:$N$174,$E45,FALSE)/100,IF($B45=2019,VLOOKUP($BJ45,'Treasury Yields'!$C$180:$N$209,$E45,FALSE)/100,IF($B45=2020,VLOOKUP($BJ45,'Treasury Yields'!$C$215:$N$244,$E45,FALSE)/100,IF($B45=2021,VLOOKUP($BJ45,'Treasury Yields'!$C$250:$N$279,$E45,FALSE)/100,IF($B45=2022,VLOOKUP($BJ45,'Treasury Yields'!$C$285:$N$314,$E45,FALSE)/100)))))))),0)</f>
        <v>2.8906472727272727E-2</v>
      </c>
      <c r="BQ45">
        <f t="shared" si="13"/>
        <v>1.5435166581919728</v>
      </c>
      <c r="BR45">
        <f t="shared" si="14"/>
        <v>44210983.141475819</v>
      </c>
      <c r="BS45">
        <f t="shared" si="15"/>
        <v>21848896.141475819</v>
      </c>
      <c r="BU45">
        <f t="shared" si="16"/>
        <v>15</v>
      </c>
      <c r="BV45">
        <f t="shared" si="17"/>
        <v>2.6011093766355589</v>
      </c>
      <c r="BW45">
        <f t="shared" si="18"/>
        <v>2748542.8572126389</v>
      </c>
      <c r="BX45" s="5">
        <f t="shared" si="19"/>
        <v>1686432.5247894772</v>
      </c>
      <c r="BY45" s="5">
        <f t="shared" si="20"/>
        <v>1145039.9919054774</v>
      </c>
      <c r="BZ45" s="5">
        <f t="shared" si="21"/>
        <v>3120829</v>
      </c>
      <c r="CA45" s="5">
        <f t="shared" si="22"/>
        <v>3893582.8491181163</v>
      </c>
      <c r="CB45" s="5"/>
      <c r="CC45" s="5">
        <f t="shared" si="23"/>
        <v>44210983.141475819</v>
      </c>
      <c r="CD45" s="5" t="str">
        <f t="shared" si="0"/>
        <v>Minnesota</v>
      </c>
      <c r="CE45" s="5">
        <f t="shared" si="1"/>
        <v>0.7807167211365923</v>
      </c>
      <c r="CF45" s="5">
        <f t="shared" si="24"/>
        <v>0.50580388426199396</v>
      </c>
      <c r="CG45" s="5"/>
      <c r="CH45" s="5"/>
      <c r="CI45" s="5"/>
    </row>
    <row r="46" spans="1:87" x14ac:dyDescent="0.2">
      <c r="A46">
        <v>24000000010301</v>
      </c>
      <c r="B46">
        <v>2019</v>
      </c>
      <c r="C46">
        <v>568</v>
      </c>
      <c r="D46" t="s">
        <v>147</v>
      </c>
      <c r="E46">
        <v>6</v>
      </c>
      <c r="F46" t="s">
        <v>122</v>
      </c>
      <c r="G46" t="s">
        <v>148</v>
      </c>
      <c r="H46" t="s">
        <v>149</v>
      </c>
      <c r="I46" t="b">
        <v>1</v>
      </c>
      <c r="J46">
        <v>476708</v>
      </c>
      <c r="K46">
        <v>2079081</v>
      </c>
      <c r="L46">
        <v>0</v>
      </c>
      <c r="M46">
        <v>-70899</v>
      </c>
      <c r="N46">
        <v>0</v>
      </c>
      <c r="O46">
        <v>1877836</v>
      </c>
      <c r="Q46">
        <v>607054</v>
      </c>
      <c r="R46">
        <v>28643023</v>
      </c>
      <c r="S46">
        <v>29250077</v>
      </c>
      <c r="T46">
        <v>403300</v>
      </c>
      <c r="U46">
        <v>35587</v>
      </c>
      <c r="V46">
        <v>386669</v>
      </c>
      <c r="W46">
        <v>1579099</v>
      </c>
      <c r="Y46">
        <v>15156</v>
      </c>
      <c r="Z46">
        <v>2306</v>
      </c>
      <c r="AA46">
        <v>513969</v>
      </c>
      <c r="AB46">
        <v>22362087</v>
      </c>
      <c r="AC46">
        <v>22876056</v>
      </c>
      <c r="AD46">
        <v>6374021</v>
      </c>
      <c r="AE46">
        <v>6280936</v>
      </c>
      <c r="AF46">
        <v>93085</v>
      </c>
      <c r="AG46">
        <v>5000930</v>
      </c>
      <c r="AH46">
        <v>8.0645000029994418E-2</v>
      </c>
      <c r="AI46" t="b">
        <v>1</v>
      </c>
      <c r="AK46">
        <v>7.4999999999999997E-2</v>
      </c>
      <c r="AL46">
        <v>7.4999999999999997E-2</v>
      </c>
      <c r="AM46">
        <v>7.4999999999999997E-2</v>
      </c>
      <c r="AN46">
        <v>7.4999999999999997E-2</v>
      </c>
      <c r="AO46">
        <v>1</v>
      </c>
      <c r="AP46">
        <v>0</v>
      </c>
      <c r="AQ46">
        <v>3.5000000000000003E-2</v>
      </c>
      <c r="AR46">
        <v>2118</v>
      </c>
      <c r="AS46">
        <v>10161748</v>
      </c>
      <c r="AT46">
        <v>3251096</v>
      </c>
      <c r="AU46" t="s">
        <v>152</v>
      </c>
      <c r="AV46" t="s">
        <v>156</v>
      </c>
      <c r="BB46">
        <f t="shared" si="2"/>
        <v>0.78208532579247569</v>
      </c>
      <c r="BD46">
        <f t="shared" si="3"/>
        <v>3787727</v>
      </c>
      <c r="BE46">
        <f t="shared" si="4"/>
        <v>-3122925</v>
      </c>
      <c r="BF46">
        <f t="shared" si="5"/>
        <v>12.949459927917456</v>
      </c>
      <c r="BG46">
        <f t="shared" si="6"/>
        <v>-10.67663856064379</v>
      </c>
      <c r="BH46">
        <f t="shared" si="7"/>
        <v>11.813049244280622</v>
      </c>
      <c r="BI46">
        <f t="shared" si="8"/>
        <v>113.64106836368327</v>
      </c>
      <c r="BJ46">
        <f t="shared" si="9"/>
        <v>12</v>
      </c>
      <c r="BK46">
        <f>IF($BJ46&lt;=30,IF($B46=2015,VLOOKUP($BJ46,'Treasury Yields'!$C$5:$N$34,$E46,FALSE)/100,IF($B46=2016,VLOOKUP($BJ46,'Treasury Yields'!$C$40:$N$69,$E46,FALSE)/100,IF($B46=2017,VLOOKUP($BJ46,'Treasury Yields'!$C$75:$N$104,$E46,FALSE)/100,IF($B46=2018,VLOOKUP($BJ46,'Treasury Yields'!$C$110:$N$139,$E46,FALSE)/100,IF($B46=2019,VLOOKUP($BJ46,'Treasury Yields'!$C$145:$N$174,$E46,FALSE)/100,IF($B46=2020,VLOOKUP($BJ46,'Treasury Yields'!$C$180:$N$209,$E46,FALSE)/100,IF($B46=2021,VLOOKUP($BJ46,'Treasury Yields'!$C$215:$N$244,$E46,FALSE)/100,IF($B46=2022,VLOOKUP($BJ46,'Treasury Yields'!$C$250:$N$279,$E46,FALSE)/100)))))))),0)</f>
        <v>2.8906472727272727E-2</v>
      </c>
      <c r="BL46">
        <f t="shared" si="10"/>
        <v>1.5466297207717608</v>
      </c>
      <c r="BM46">
        <f t="shared" si="11"/>
        <v>44300150.66454912</v>
      </c>
      <c r="BN46">
        <f t="shared" si="12"/>
        <v>21938063.66454912</v>
      </c>
      <c r="BP46">
        <f>IF($BJ46&lt;=30,IF($B46=2015,VLOOKUP($BJ46,'Treasury Yields'!$C$40:$N$69,$E46,FALSE)/100,IF($B46=2016,VLOOKUP($BJ46,'Treasury Yields'!$C$75:$N$104,$E46,FALSE)/100,IF($B46=2017,VLOOKUP($BJ46,'Treasury Yields'!$C$110:$N$139,$E46,FALSE)/100,IF($B46=2018,VLOOKUP($BJ46,'Treasury Yields'!$C$145:$N$174,$E46,FALSE)/100,IF($B46=2019,VLOOKUP($BJ46,'Treasury Yields'!$C$180:$N$209,$E46,FALSE)/100,IF($B46=2020,VLOOKUP($BJ46,'Treasury Yields'!$C$215:$N$244,$E46,FALSE)/100,IF($B46=2021,VLOOKUP($BJ46,'Treasury Yields'!$C$250:$N$279,$E46,FALSE)/100,IF($B46=2022,VLOOKUP($BJ46,'Treasury Yields'!$C$285:$N$314,$E46,FALSE)/100)))))))),0)</f>
        <v>2.2184000000000002E-2</v>
      </c>
      <c r="BQ46">
        <f t="shared" si="13"/>
        <v>1.6267075387419252</v>
      </c>
      <c r="BR46">
        <f t="shared" si="14"/>
        <v>47581320.764681794</v>
      </c>
      <c r="BS46">
        <f t="shared" si="15"/>
        <v>24705264.764681794</v>
      </c>
      <c r="BU46">
        <f t="shared" si="16"/>
        <v>15</v>
      </c>
      <c r="BV46">
        <f t="shared" si="17"/>
        <v>2.4773513369279012</v>
      </c>
      <c r="BW46">
        <f t="shared" si="18"/>
        <v>1180973.201124226</v>
      </c>
      <c r="BX46" s="5">
        <f t="shared" si="19"/>
        <v>1260417.2515085086</v>
      </c>
      <c r="BY46" s="5">
        <f t="shared" si="20"/>
        <v>614008.19351810834</v>
      </c>
      <c r="BZ46" s="5">
        <f t="shared" si="21"/>
        <v>2555789</v>
      </c>
      <c r="CA46" s="5">
        <f t="shared" si="22"/>
        <v>1794981.3946423344</v>
      </c>
      <c r="CB46" s="5"/>
      <c r="CC46" s="5">
        <f t="shared" si="23"/>
        <v>47581320.764681794</v>
      </c>
      <c r="CD46" s="5" t="str">
        <f t="shared" si="0"/>
        <v>Minnesota</v>
      </c>
      <c r="CE46" s="5">
        <f t="shared" si="1"/>
        <v>0.78208532579247569</v>
      </c>
      <c r="CF46" s="5">
        <f t="shared" si="24"/>
        <v>0.48077807913605081</v>
      </c>
      <c r="CG46" s="5"/>
      <c r="CH46" s="5"/>
      <c r="CI46" s="5"/>
    </row>
    <row r="47" spans="1:87" x14ac:dyDescent="0.2">
      <c r="A47">
        <v>24000000010301</v>
      </c>
      <c r="B47">
        <v>2020</v>
      </c>
      <c r="C47">
        <v>568</v>
      </c>
      <c r="D47" t="s">
        <v>147</v>
      </c>
      <c r="E47">
        <v>6</v>
      </c>
      <c r="F47" t="s">
        <v>122</v>
      </c>
      <c r="G47" t="s">
        <v>148</v>
      </c>
      <c r="H47" t="s">
        <v>149</v>
      </c>
      <c r="I47" t="b">
        <v>1</v>
      </c>
      <c r="J47">
        <v>489790</v>
      </c>
      <c r="K47">
        <v>2123261</v>
      </c>
      <c r="L47">
        <v>0</v>
      </c>
      <c r="M47">
        <v>177794</v>
      </c>
      <c r="N47">
        <v>6673</v>
      </c>
      <c r="O47">
        <v>1914465</v>
      </c>
      <c r="Q47">
        <v>883053</v>
      </c>
      <c r="R47">
        <v>29250077</v>
      </c>
      <c r="S47">
        <v>30133130</v>
      </c>
      <c r="T47">
        <v>425223</v>
      </c>
      <c r="U47">
        <v>35587</v>
      </c>
      <c r="V47">
        <v>396679</v>
      </c>
      <c r="W47">
        <v>939748</v>
      </c>
      <c r="Y47">
        <v>15392</v>
      </c>
      <c r="Z47">
        <v>1560</v>
      </c>
      <c r="AA47">
        <v>-131060</v>
      </c>
      <c r="AB47">
        <v>22876056</v>
      </c>
      <c r="AC47">
        <v>22744996</v>
      </c>
      <c r="AD47">
        <v>7388134</v>
      </c>
      <c r="AE47">
        <v>6374021</v>
      </c>
      <c r="AF47">
        <v>1014113</v>
      </c>
      <c r="AG47">
        <v>5166241</v>
      </c>
      <c r="AH47">
        <v>8.2308006924183372E-2</v>
      </c>
      <c r="AI47" t="b">
        <v>1</v>
      </c>
      <c r="AK47">
        <v>7.4999999999999997E-2</v>
      </c>
      <c r="AL47">
        <v>7.4999999999999997E-2</v>
      </c>
      <c r="AM47">
        <v>7.4999999999999997E-2</v>
      </c>
      <c r="AN47">
        <v>7.4999999999999997E-2</v>
      </c>
      <c r="AO47">
        <v>1</v>
      </c>
      <c r="AP47">
        <v>0</v>
      </c>
      <c r="AQ47">
        <v>2.1899999999999999E-2</v>
      </c>
      <c r="AR47">
        <v>2119</v>
      </c>
      <c r="AS47">
        <v>11311155</v>
      </c>
      <c r="AT47">
        <v>4155763</v>
      </c>
      <c r="AU47" t="s">
        <v>152</v>
      </c>
      <c r="AV47" t="s">
        <v>157</v>
      </c>
      <c r="BB47">
        <f t="shared" si="2"/>
        <v>0.75481690750346875</v>
      </c>
      <c r="BD47">
        <f t="shared" si="3"/>
        <v>3923021</v>
      </c>
      <c r="BE47">
        <f t="shared" si="4"/>
        <v>-3232371</v>
      </c>
      <c r="BF47">
        <f t="shared" si="5"/>
        <v>13.018962849196217</v>
      </c>
      <c r="BG47">
        <f t="shared" si="6"/>
        <v>-10.726967294801435</v>
      </c>
      <c r="BH47">
        <f t="shared" si="7"/>
        <v>11.872965071998827</v>
      </c>
      <c r="BI47">
        <f t="shared" si="8"/>
        <v>114.59977771973904</v>
      </c>
      <c r="BJ47">
        <f t="shared" si="9"/>
        <v>12</v>
      </c>
      <c r="BK47">
        <f>IF($BJ47&lt;=30,IF($B47=2015,VLOOKUP($BJ47,'Treasury Yields'!$C$5:$N$34,$E47,FALSE)/100,IF($B47=2016,VLOOKUP($BJ47,'Treasury Yields'!$C$40:$N$69,$E47,FALSE)/100,IF($B47=2017,VLOOKUP($BJ47,'Treasury Yields'!$C$75:$N$104,$E47,FALSE)/100,IF($B47=2018,VLOOKUP($BJ47,'Treasury Yields'!$C$110:$N$139,$E47,FALSE)/100,IF($B47=2019,VLOOKUP($BJ47,'Treasury Yields'!$C$145:$N$174,$E47,FALSE)/100,IF($B47=2020,VLOOKUP($BJ47,'Treasury Yields'!$C$180:$N$209,$E47,FALSE)/100,IF($B47=2021,VLOOKUP($BJ47,'Treasury Yields'!$C$215:$N$244,$E47,FALSE)/100,IF($B47=2022,VLOOKUP($BJ47,'Treasury Yields'!$C$250:$N$279,$E47,FALSE)/100)))))))),0)</f>
        <v>2.2184000000000002E-2</v>
      </c>
      <c r="BL47">
        <f t="shared" si="10"/>
        <v>1.6298720530986899</v>
      </c>
      <c r="BM47">
        <f t="shared" si="11"/>
        <v>47673883.053284764</v>
      </c>
      <c r="BN47">
        <f t="shared" si="12"/>
        <v>24797827.053284764</v>
      </c>
      <c r="BP47">
        <f>IF($BJ47&lt;=30,IF($B47=2015,VLOOKUP($BJ47,'Treasury Yields'!$C$40:$N$69,$E47,FALSE)/100,IF($B47=2016,VLOOKUP($BJ47,'Treasury Yields'!$C$75:$N$104,$E47,FALSE)/100,IF($B47=2017,VLOOKUP($BJ47,'Treasury Yields'!$C$110:$N$139,$E47,FALSE)/100,IF($B47=2018,VLOOKUP($BJ47,'Treasury Yields'!$C$145:$N$174,$E47,FALSE)/100,IF($B47=2019,VLOOKUP($BJ47,'Treasury Yields'!$C$180:$N$209,$E47,FALSE)/100,IF($B47=2020,VLOOKUP($BJ47,'Treasury Yields'!$C$215:$N$244,$E47,FALSE)/100,IF($B47=2021,VLOOKUP($BJ47,'Treasury Yields'!$C$250:$N$279,$E47,FALSE)/100,IF($B47=2022,VLOOKUP($BJ47,'Treasury Yields'!$C$285:$N$314,$E47,FALSE)/100)))))))),0)</f>
        <v>1.3689454545454545E-2</v>
      </c>
      <c r="BQ47">
        <f t="shared" si="13"/>
        <v>1.7316969477109485</v>
      </c>
      <c r="BR47">
        <f t="shared" si="14"/>
        <v>52181449.245977215</v>
      </c>
      <c r="BS47">
        <f t="shared" si="15"/>
        <v>29436453.245977215</v>
      </c>
      <c r="BU47">
        <f t="shared" si="16"/>
        <v>15</v>
      </c>
      <c r="BV47">
        <f t="shared" si="17"/>
        <v>2.7390020246828652</v>
      </c>
      <c r="BW47">
        <f t="shared" si="18"/>
        <v>1341535.8016694207</v>
      </c>
      <c r="BX47" s="5">
        <f t="shared" si="19"/>
        <v>1044887.5603183038</v>
      </c>
      <c r="BY47" s="5">
        <f t="shared" si="20"/>
        <v>537405.13401430368</v>
      </c>
      <c r="BZ47" s="5">
        <f t="shared" si="21"/>
        <v>2613051</v>
      </c>
      <c r="CA47" s="5">
        <f t="shared" si="22"/>
        <v>1878940.9356837245</v>
      </c>
      <c r="CB47" s="5"/>
      <c r="CC47" s="5">
        <f t="shared" si="23"/>
        <v>52181449.245977215</v>
      </c>
      <c r="CD47" s="5" t="str">
        <f t="shared" si="0"/>
        <v>Minnesota</v>
      </c>
      <c r="CE47" s="5">
        <f t="shared" si="1"/>
        <v>0.75481690750346875</v>
      </c>
      <c r="CF47" s="5">
        <f t="shared" si="24"/>
        <v>0.43588279606384184</v>
      </c>
      <c r="CG47" s="5"/>
      <c r="CH47" s="5"/>
      <c r="CI47" s="5"/>
    </row>
    <row r="48" spans="1:87" x14ac:dyDescent="0.2">
      <c r="A48">
        <v>24000000010301</v>
      </c>
      <c r="B48">
        <v>2021</v>
      </c>
      <c r="C48">
        <v>568</v>
      </c>
      <c r="D48" t="s">
        <v>147</v>
      </c>
      <c r="E48">
        <v>6</v>
      </c>
      <c r="F48" t="s">
        <v>122</v>
      </c>
      <c r="G48" t="s">
        <v>148</v>
      </c>
      <c r="H48" t="s">
        <v>149</v>
      </c>
      <c r="I48" t="b">
        <v>1</v>
      </c>
      <c r="J48">
        <v>513165</v>
      </c>
      <c r="K48">
        <v>2188186</v>
      </c>
      <c r="L48">
        <v>0</v>
      </c>
      <c r="M48">
        <v>-65710</v>
      </c>
      <c r="N48">
        <v>1919160</v>
      </c>
      <c r="O48">
        <v>1949875</v>
      </c>
      <c r="Q48">
        <v>2604926</v>
      </c>
      <c r="R48">
        <v>30133130</v>
      </c>
      <c r="S48">
        <v>32738056</v>
      </c>
      <c r="T48">
        <v>448829</v>
      </c>
      <c r="U48">
        <v>37840</v>
      </c>
      <c r="V48">
        <v>410162</v>
      </c>
      <c r="W48">
        <v>6684106</v>
      </c>
      <c r="Y48">
        <v>16022</v>
      </c>
      <c r="Z48">
        <v>1721</v>
      </c>
      <c r="AA48">
        <v>5616761</v>
      </c>
      <c r="AB48">
        <v>22744996</v>
      </c>
      <c r="AC48">
        <v>28361757</v>
      </c>
      <c r="AD48">
        <v>4376299</v>
      </c>
      <c r="AE48">
        <v>7388134</v>
      </c>
      <c r="AF48">
        <v>-3011835</v>
      </c>
      <c r="AG48">
        <v>5326108</v>
      </c>
      <c r="AI48" t="b">
        <v>1</v>
      </c>
      <c r="AK48">
        <v>7.4999999999999997E-2</v>
      </c>
      <c r="AL48">
        <v>7.0000000000000007E-2</v>
      </c>
      <c r="AM48">
        <v>7.0000000000000007E-2</v>
      </c>
      <c r="AN48">
        <v>7.4999999999999997E-2</v>
      </c>
      <c r="AS48">
        <v>8840337</v>
      </c>
      <c r="AT48">
        <v>715432</v>
      </c>
      <c r="BB48">
        <f t="shared" si="2"/>
        <v>0.86632379760117706</v>
      </c>
      <c r="BD48">
        <f t="shared" si="3"/>
        <v>4464038</v>
      </c>
      <c r="BE48">
        <f t="shared" si="4"/>
        <v>-3660867</v>
      </c>
      <c r="BF48">
        <f t="shared" si="5"/>
        <v>13.635623324732538</v>
      </c>
      <c r="BG48">
        <f t="shared" si="6"/>
        <v>-11.182298057037961</v>
      </c>
      <c r="BH48">
        <f t="shared" si="7"/>
        <v>12.40896069088525</v>
      </c>
      <c r="BI48">
        <f t="shared" si="8"/>
        <v>122.66626338472877</v>
      </c>
      <c r="BJ48">
        <f t="shared" si="9"/>
        <v>12</v>
      </c>
      <c r="BK48">
        <f>IF($BJ48&lt;=30,IF($B48=2015,VLOOKUP($BJ48,'Treasury Yields'!$C$5:$N$34,$E48,FALSE)/100,IF($B48=2016,VLOOKUP($BJ48,'Treasury Yields'!$C$40:$N$69,$E48,FALSE)/100,IF($B48=2017,VLOOKUP($BJ48,'Treasury Yields'!$C$75:$N$104,$E48,FALSE)/100,IF($B48=2018,VLOOKUP($BJ48,'Treasury Yields'!$C$110:$N$139,$E48,FALSE)/100,IF($B48=2019,VLOOKUP($BJ48,'Treasury Yields'!$C$145:$N$174,$E48,FALSE)/100,IF($B48=2020,VLOOKUP($BJ48,'Treasury Yields'!$C$180:$N$209,$E48,FALSE)/100,IF($B48=2021,VLOOKUP($BJ48,'Treasury Yields'!$C$215:$N$244,$E48,FALSE)/100,IF($B48=2022,VLOOKUP($BJ48,'Treasury Yields'!$C$250:$N$279,$E48,FALSE)/100)))))))),0)</f>
        <v>1.3689454545454545E-2</v>
      </c>
      <c r="BL48">
        <f t="shared" si="10"/>
        <v>1.7019262225571501</v>
      </c>
      <c r="BM48">
        <f t="shared" si="11"/>
        <v>51284364.114723533</v>
      </c>
      <c r="BN48">
        <f t="shared" si="12"/>
        <v>28539368.114723533</v>
      </c>
      <c r="BP48">
        <f>IF($BJ48&lt;=30,IF($B48=2015,VLOOKUP($BJ48,'Treasury Yields'!$C$40:$N$69,$E48,FALSE)/100,IF($B48=2016,VLOOKUP($BJ48,'Treasury Yields'!$C$75:$N$104,$E48,FALSE)/100,IF($B48=2017,VLOOKUP($BJ48,'Treasury Yields'!$C$110:$N$139,$E48,FALSE)/100,IF($B48=2018,VLOOKUP($BJ48,'Treasury Yields'!$C$145:$N$174,$E48,FALSE)/100,IF($B48=2019,VLOOKUP($BJ48,'Treasury Yields'!$C$180:$N$209,$E48,FALSE)/100,IF($B48=2020,VLOOKUP($BJ48,'Treasury Yields'!$C$215:$N$244,$E48,FALSE)/100,IF($B48=2021,VLOOKUP($BJ48,'Treasury Yields'!$C$250:$N$279,$E48,FALSE)/100,IF($B48=2022,VLOOKUP($BJ48,'Treasury Yields'!$C$285:$N$314,$E48,FALSE)/100)))))))),0)</f>
        <v>2.1085818181818185E-2</v>
      </c>
      <c r="BQ48">
        <f>1+BH48*(AN48-BP48)+(AN48-BP48)^2</f>
        <v>1.6719257018641824</v>
      </c>
      <c r="BR48">
        <f>BQ48*S48</f>
        <v>54735597.255468912</v>
      </c>
      <c r="BS48">
        <f t="shared" si="15"/>
        <v>26373840.255468912</v>
      </c>
      <c r="BU48">
        <f t="shared" si="16"/>
        <v>15</v>
      </c>
      <c r="BV48">
        <f t="shared" si="17"/>
        <v>3.1415587270663172</v>
      </c>
      <c r="BW48">
        <f t="shared" si="18"/>
        <v>1612137.9841749866</v>
      </c>
      <c r="BX48" s="5">
        <f t="shared" si="19"/>
        <v>697431.53591459407</v>
      </c>
      <c r="BY48" s="5">
        <f t="shared" si="20"/>
        <v>386064.94703604857</v>
      </c>
      <c r="BZ48" s="5">
        <f t="shared" si="21"/>
        <v>2701351</v>
      </c>
      <c r="CA48" s="5">
        <f t="shared" si="22"/>
        <v>1998202.9312110352</v>
      </c>
      <c r="CB48" s="5"/>
      <c r="CC48" s="5">
        <f>BR48</f>
        <v>54735597.255468912</v>
      </c>
      <c r="CD48" s="5" t="str">
        <f t="shared" si="0"/>
        <v>Minnesota</v>
      </c>
      <c r="CE48" s="5">
        <f t="shared" si="1"/>
        <v>0.86632379760117706</v>
      </c>
      <c r="CF48" s="5">
        <f>AC48/CC48</f>
        <v>0.51815926786413635</v>
      </c>
      <c r="CG48" s="5"/>
      <c r="CH48" s="5"/>
      <c r="CI48" s="5"/>
    </row>
    <row r="49" spans="1:87" x14ac:dyDescent="0.2">
      <c r="A49">
        <v>24000000010301</v>
      </c>
      <c r="B49">
        <v>2022</v>
      </c>
      <c r="C49">
        <v>568</v>
      </c>
      <c r="D49" t="s">
        <v>147</v>
      </c>
      <c r="E49">
        <v>6</v>
      </c>
      <c r="F49" t="s">
        <v>122</v>
      </c>
      <c r="G49" t="s">
        <v>148</v>
      </c>
      <c r="H49" t="s">
        <v>149</v>
      </c>
      <c r="I49" t="b">
        <v>1</v>
      </c>
      <c r="J49">
        <v>596232</v>
      </c>
      <c r="K49">
        <v>2223274</v>
      </c>
      <c r="L49">
        <v>0</v>
      </c>
      <c r="M49">
        <v>33875</v>
      </c>
      <c r="N49">
        <v>0</v>
      </c>
      <c r="O49">
        <v>1987622</v>
      </c>
      <c r="Q49">
        <v>865759</v>
      </c>
      <c r="R49">
        <v>32738056</v>
      </c>
      <c r="S49">
        <v>33603815</v>
      </c>
      <c r="T49">
        <v>482679</v>
      </c>
      <c r="U49">
        <v>35590</v>
      </c>
      <c r="V49">
        <v>428993</v>
      </c>
      <c r="W49">
        <v>-1710746</v>
      </c>
      <c r="Y49">
        <v>15666</v>
      </c>
      <c r="Z49">
        <v>1359</v>
      </c>
      <c r="AA49">
        <v>-2765413</v>
      </c>
      <c r="AB49">
        <v>28361757</v>
      </c>
      <c r="AC49">
        <v>25596344</v>
      </c>
      <c r="AD49">
        <v>8007471</v>
      </c>
      <c r="AE49">
        <v>4376299</v>
      </c>
      <c r="AF49">
        <v>3631172</v>
      </c>
      <c r="AG49">
        <v>5573701</v>
      </c>
      <c r="AI49" t="b">
        <v>1</v>
      </c>
      <c r="AK49">
        <v>7.0000000000000007E-2</v>
      </c>
      <c r="AL49">
        <v>7.0000000000000007E-2</v>
      </c>
      <c r="AM49">
        <v>7.0000000000000007E-2</v>
      </c>
      <c r="AN49">
        <v>7.0000000000000007E-2</v>
      </c>
      <c r="AS49">
        <v>12623342</v>
      </c>
      <c r="AT49">
        <v>4223896</v>
      </c>
      <c r="AV49" t="s">
        <v>158</v>
      </c>
      <c r="BB49">
        <f t="shared" si="2"/>
        <v>0.76170946661859673</v>
      </c>
      <c r="BD49">
        <f t="shared" si="3"/>
        <v>4615871</v>
      </c>
      <c r="BE49">
        <f t="shared" si="4"/>
        <v>-3783575</v>
      </c>
      <c r="BF49">
        <f t="shared" si="5"/>
        <v>13.736151683968027</v>
      </c>
      <c r="BG49">
        <f t="shared" si="6"/>
        <v>-11.259361474284988</v>
      </c>
      <c r="BH49">
        <f t="shared" si="7"/>
        <v>12.497756579126506</v>
      </c>
      <c r="BI49">
        <f t="shared" si="8"/>
        <v>123.83951048415187</v>
      </c>
      <c r="BJ49">
        <f t="shared" si="9"/>
        <v>12</v>
      </c>
      <c r="BK49">
        <f>IF($BJ49&lt;=30,IF($B49=2015,VLOOKUP($BJ49,'Treasury Yields'!$C$5:$N$34,$E49,FALSE)/100,IF($B49=2016,VLOOKUP($BJ49,'Treasury Yields'!$C$40:$N$69,$E49,FALSE)/100,IF($B49=2017,VLOOKUP($BJ49,'Treasury Yields'!$C$75:$N$104,$E49,FALSE)/100,IF($B49=2018,VLOOKUP($BJ49,'Treasury Yields'!$C$110:$N$139,$E49,FALSE)/100,IF($B49=2019,VLOOKUP($BJ49,'Treasury Yields'!$C$145:$N$174,$E49,FALSE)/100,IF($B49=2020,VLOOKUP($BJ49,'Treasury Yields'!$C$180:$N$209,$E49,FALSE)/100,IF($B49=2021,VLOOKUP($BJ49,'Treasury Yields'!$C$215:$N$244,$E49,FALSE)/100,IF($B49=2022,VLOOKUP($BJ49,'Treasury Yields'!$C$250:$N$279,$E49,FALSE)/100)))))))),0)</f>
        <v>2.1085818181818185E-2</v>
      </c>
      <c r="BL49">
        <f t="shared" si="10"/>
        <v>1.6137101348137142</v>
      </c>
      <c r="BM49">
        <f t="shared" si="11"/>
        <v>52829732.761298925</v>
      </c>
      <c r="BN49">
        <f t="shared" si="12"/>
        <v>24467975.761298925</v>
      </c>
      <c r="BP49">
        <f>IF($BJ49&lt;=30,IF($B49=2015,VLOOKUP($BJ49,'Treasury Yields'!$C$40:$N$69,$E49,FALSE)/100,IF($B49=2016,VLOOKUP($BJ49,'Treasury Yields'!$C$75:$N$104,$E49,FALSE)/100,IF($B49=2017,VLOOKUP($BJ49,'Treasury Yields'!$C$110:$N$139,$E49,FALSE)/100,IF($B49=2018,VLOOKUP($BJ49,'Treasury Yields'!$C$145:$N$174,$E49,FALSE)/100,IF($B49=2019,VLOOKUP($BJ49,'Treasury Yields'!$C$180:$N$209,$E49,FALSE)/100,IF($B49=2020,VLOOKUP($BJ49,'Treasury Yields'!$C$215:$N$244,$E49,FALSE)/100,IF($B49=2021,VLOOKUP($BJ49,'Treasury Yields'!$C$250:$N$279,$E49,FALSE)/100,IF($B49=2022,VLOOKUP($BJ49,'Treasury Yields'!$C$285:$N$314,$E49,FALSE)/100)))))))),0)</f>
        <v>3.2402272727272724E-2</v>
      </c>
      <c r="BQ49">
        <f t="shared" si="13"/>
        <v>1.471300832479006</v>
      </c>
      <c r="BR49">
        <f t="shared" si="14"/>
        <v>49441320.983970508</v>
      </c>
      <c r="BS49">
        <f t="shared" si="15"/>
        <v>23844976.983970508</v>
      </c>
      <c r="BU49">
        <f t="shared" si="16"/>
        <v>15</v>
      </c>
      <c r="BV49">
        <f t="shared" si="17"/>
        <v>2.6413283288248159</v>
      </c>
      <c r="BW49">
        <f t="shared" si="18"/>
        <v>1574844.4721518776</v>
      </c>
      <c r="BX49" s="5">
        <f t="shared" si="19"/>
        <v>1105254.3876970466</v>
      </c>
      <c r="BY49" s="5">
        <f t="shared" si="20"/>
        <v>507223.53627813765</v>
      </c>
      <c r="BZ49" s="5">
        <f t="shared" si="21"/>
        <v>2819506</v>
      </c>
      <c r="CA49" s="5">
        <f t="shared" si="22"/>
        <v>2082068.0084300153</v>
      </c>
      <c r="CB49" s="5"/>
      <c r="CC49" s="5">
        <f t="shared" si="23"/>
        <v>49441320.983970508</v>
      </c>
      <c r="CD49" s="5" t="str">
        <f t="shared" si="0"/>
        <v>Minnesota</v>
      </c>
      <c r="CE49" s="5">
        <f t="shared" si="1"/>
        <v>0.76170946661859673</v>
      </c>
      <c r="CF49" s="10">
        <f t="shared" si="24"/>
        <v>0.51771157183074967</v>
      </c>
      <c r="CG49" s="5"/>
      <c r="CH49" s="5"/>
      <c r="CI49" s="5"/>
    </row>
    <row r="50" spans="1:87" x14ac:dyDescent="0.2">
      <c r="A50">
        <v>22000000011801</v>
      </c>
      <c r="B50">
        <v>2015</v>
      </c>
      <c r="C50">
        <v>548</v>
      </c>
      <c r="D50" t="s">
        <v>104</v>
      </c>
      <c r="E50">
        <v>6</v>
      </c>
      <c r="F50" t="s">
        <v>105</v>
      </c>
      <c r="G50" t="s">
        <v>170</v>
      </c>
      <c r="H50" t="s">
        <v>171</v>
      </c>
      <c r="I50" t="b">
        <v>1</v>
      </c>
      <c r="J50">
        <v>700012</v>
      </c>
      <c r="K50">
        <v>2411551</v>
      </c>
      <c r="L50">
        <v>230302</v>
      </c>
      <c r="M50">
        <v>275000</v>
      </c>
      <c r="N50">
        <v>1397000</v>
      </c>
      <c r="O50">
        <v>1876451</v>
      </c>
      <c r="Q50">
        <v>3137414</v>
      </c>
      <c r="R50">
        <v>31355000</v>
      </c>
      <c r="S50">
        <v>34492414</v>
      </c>
      <c r="T50">
        <v>606376</v>
      </c>
      <c r="U50">
        <v>29403</v>
      </c>
      <c r="V50">
        <v>549493</v>
      </c>
      <c r="W50">
        <v>800886</v>
      </c>
      <c r="Y50">
        <v>15966</v>
      </c>
      <c r="Z50">
        <v>17949</v>
      </c>
      <c r="AA50">
        <v>111690</v>
      </c>
      <c r="AB50">
        <v>23930895</v>
      </c>
      <c r="AC50">
        <v>24042585</v>
      </c>
      <c r="AD50">
        <v>10449829</v>
      </c>
      <c r="AE50">
        <v>7424105</v>
      </c>
      <c r="AF50">
        <v>3025724</v>
      </c>
      <c r="AG50">
        <v>5591911</v>
      </c>
      <c r="AH50">
        <v>0.10843806348133939</v>
      </c>
      <c r="AI50" t="b">
        <v>1</v>
      </c>
      <c r="AK50">
        <v>0.08</v>
      </c>
      <c r="AL50">
        <v>7.7499999999999999E-2</v>
      </c>
      <c r="AM50">
        <v>7.7499999999999999E-2</v>
      </c>
      <c r="AN50">
        <v>0.08</v>
      </c>
      <c r="AO50">
        <v>1</v>
      </c>
      <c r="AP50">
        <v>0</v>
      </c>
      <c r="AS50">
        <v>14205331</v>
      </c>
      <c r="AT50">
        <v>7211692</v>
      </c>
      <c r="AU50" t="s">
        <v>172</v>
      </c>
      <c r="AV50" t="s">
        <v>108</v>
      </c>
      <c r="BB50">
        <f t="shared" si="2"/>
        <v>0.69703978967665181</v>
      </c>
      <c r="BD50">
        <f t="shared" si="3"/>
        <v>3755502</v>
      </c>
      <c r="BE50">
        <f t="shared" ref="BE50:BE57" si="25">AT50-AD50</f>
        <v>-3238137</v>
      </c>
      <c r="BF50">
        <f t="shared" ref="BF50:BF57" si="26">BD50/S50*100</f>
        <v>10.887907120678769</v>
      </c>
      <c r="BG50">
        <f t="shared" ref="BG50:BG57" si="27">BE50/S50*100</f>
        <v>-9.3879686124606998</v>
      </c>
      <c r="BH50">
        <f t="shared" ref="BH50:BH57" si="28">(BD50-BE50)/(2*S50)*100</f>
        <v>10.137937866569734</v>
      </c>
      <c r="BI50">
        <f t="shared" ref="BI50:BI57" si="29">(BD50+BE50)/(2*S50*(0.01^2))</f>
        <v>74.996925410903387</v>
      </c>
      <c r="BJ50">
        <f t="shared" ref="BJ50:BJ57" si="30">ROUND(BH50,0)</f>
        <v>10</v>
      </c>
      <c r="BK50">
        <f>IF($BJ50&lt;=30,IF($B50=2015,VLOOKUP($BJ50,'Treasury Yields'!$C$5:$N$34,$E50,FALSE)/100,IF($B50=2016,VLOOKUP($BJ50,'Treasury Yields'!$C$40:$N$69,$E50,FALSE)/100,IF($B50=2017,VLOOKUP($BJ50,'Treasury Yields'!$C$75:$N$104,$E50,FALSE)/100,IF($B50=2018,VLOOKUP($BJ50,'Treasury Yields'!$C$110:$N$139,$E50,FALSE)/100,IF($B50=2019,VLOOKUP($BJ50,'Treasury Yields'!$C$145:$N$174,$E50,FALSE)/100,IF($B50=2020,VLOOKUP($BJ50,'Treasury Yields'!$C$180:$N$209,$E50,FALSE)/100,IF($B50=2021,VLOOKUP($BJ50,'Treasury Yields'!$C$215:$N$244,$E50,FALSE)/100,IF($B50=2022,VLOOKUP($BJ50,'Treasury Yields'!$C$250:$N$279,$E50,FALSE)/100)))))))),0)</f>
        <v>2.7109999999999999E-2</v>
      </c>
      <c r="BL50">
        <f t="shared" ref="BL50:BL57" si="31">1+BH50*(AL50-BK50)+(AL50-BK50)^2</f>
        <v>1.5133898411964488</v>
      </c>
      <c r="BM50">
        <f t="shared" ref="BM50:BM57" si="32">BL50*R50</f>
        <v>47452338.470714651</v>
      </c>
      <c r="BN50">
        <f t="shared" ref="BN50:BN57" si="33">BM50-AB50</f>
        <v>23521443.470714651</v>
      </c>
      <c r="BP50">
        <f>IF($BJ50&lt;=30,IF($B50=2015,VLOOKUP($BJ50,'Treasury Yields'!$C$40:$N$69,$E50,FALSE)/100,IF($B50=2016,VLOOKUP($BJ50,'Treasury Yields'!$C$75:$N$104,$E50,FALSE)/100,IF($B50=2017,VLOOKUP($BJ50,'Treasury Yields'!$C$110:$N$139,$E50,FALSE)/100,IF($B50=2018,VLOOKUP($BJ50,'Treasury Yields'!$C$145:$N$174,$E50,FALSE)/100,IF($B50=2019,VLOOKUP($BJ50,'Treasury Yields'!$C$180:$N$209,$E50,FALSE)/100,IF($B50=2020,VLOOKUP($BJ50,'Treasury Yields'!$C$215:$N$244,$E50,FALSE)/100,IF($B50=2021,VLOOKUP($BJ50,'Treasury Yields'!$C$250:$N$279,$E50,FALSE)/100,IF($B50=2022,VLOOKUP($BJ50,'Treasury Yields'!$C$285:$N$314,$E50,FALSE)/100)))))))),0)</f>
        <v>2.5470000000000003E-2</v>
      </c>
      <c r="BQ50">
        <f t="shared" ref="BQ50:BQ57" si="34">1+BH50*(AN50-BP50)+(AN50-BP50)^2</f>
        <v>1.5557952727640476</v>
      </c>
      <c r="BR50">
        <f t="shared" ref="BR50:BR57" si="35">BQ50*S50</f>
        <v>53663134.647420451</v>
      </c>
      <c r="BS50">
        <f t="shared" ref="BS50:BS57" si="36">BR50-AC50</f>
        <v>29620549.647420451</v>
      </c>
      <c r="BU50">
        <f t="shared" si="16"/>
        <v>13</v>
      </c>
      <c r="BV50">
        <f t="shared" ref="BV50:BV57" si="37">1+(BH50+BU50)*(AN50-BK50)+(AN50-BK50)^2*BI50</f>
        <v>2.4335583405546073</v>
      </c>
      <c r="BW50">
        <f t="shared" ref="BW50:BW57" si="38">BV50*J50</f>
        <v>1703520.0410883117</v>
      </c>
      <c r="BX50" s="5">
        <f t="shared" ref="BX50:BX57" si="39">(BM50+BW50-O50)*BK50</f>
        <v>1281744.7376449783</v>
      </c>
      <c r="BY50" s="5">
        <f t="shared" ref="BY50:BY57" si="40">BK50*(BN50+BW50-O50)</f>
        <v>632978.17419497832</v>
      </c>
      <c r="BZ50" s="5">
        <f t="shared" ref="BZ50:BZ57" si="41">SUM(J50:K50)</f>
        <v>3111563</v>
      </c>
      <c r="CA50" s="5">
        <f t="shared" ref="CA50:CA57" si="42">SUM(BW50+BY50)</f>
        <v>2336498.21528329</v>
      </c>
      <c r="CC50" s="5">
        <f t="shared" si="23"/>
        <v>53663134.647420451</v>
      </c>
      <c r="CD50" s="5" t="str">
        <f t="shared" si="0"/>
        <v>Massachusetts</v>
      </c>
      <c r="CE50" s="5">
        <f t="shared" si="1"/>
        <v>0.69703978967665181</v>
      </c>
      <c r="CF50" s="10">
        <f t="shared" ref="CF50:CF56" si="43">AC50/CC50</f>
        <v>0.44802796478374768</v>
      </c>
    </row>
    <row r="51" spans="1:87" x14ac:dyDescent="0.2">
      <c r="A51">
        <v>22000000011801</v>
      </c>
      <c r="B51">
        <v>2016</v>
      </c>
      <c r="C51">
        <v>548</v>
      </c>
      <c r="D51" t="s">
        <v>104</v>
      </c>
      <c r="E51">
        <v>6</v>
      </c>
      <c r="F51" t="s">
        <v>105</v>
      </c>
      <c r="G51" t="s">
        <v>170</v>
      </c>
      <c r="H51" t="s">
        <v>171</v>
      </c>
      <c r="I51" t="b">
        <v>1</v>
      </c>
      <c r="J51">
        <v>813975</v>
      </c>
      <c r="K51">
        <v>2638929</v>
      </c>
      <c r="L51">
        <v>400000</v>
      </c>
      <c r="M51">
        <v>589009</v>
      </c>
      <c r="O51">
        <v>2107327</v>
      </c>
      <c r="Q51">
        <v>2334586</v>
      </c>
      <c r="R51">
        <v>35425414</v>
      </c>
      <c r="S51">
        <v>37760000</v>
      </c>
      <c r="T51">
        <v>660818</v>
      </c>
      <c r="U51">
        <v>21830</v>
      </c>
      <c r="V51">
        <v>16642</v>
      </c>
      <c r="W51">
        <v>422938</v>
      </c>
      <c r="Y51">
        <v>20624</v>
      </c>
      <c r="Z51">
        <v>-83824</v>
      </c>
      <c r="AA51">
        <v>-71429</v>
      </c>
      <c r="AB51">
        <v>24042585</v>
      </c>
      <c r="AC51">
        <v>23971156</v>
      </c>
      <c r="AD51">
        <v>13788844</v>
      </c>
      <c r="AE51">
        <v>11382829</v>
      </c>
      <c r="AF51">
        <v>2406015</v>
      </c>
      <c r="AG51">
        <v>5792288</v>
      </c>
      <c r="AH51">
        <v>0.11408583274864786</v>
      </c>
      <c r="AI51" t="b">
        <v>1</v>
      </c>
      <c r="AK51">
        <v>7.7499999999999999E-2</v>
      </c>
      <c r="AL51">
        <v>7.4999999999999997E-2</v>
      </c>
      <c r="AM51">
        <v>7.4999999999999997E-2</v>
      </c>
      <c r="AN51">
        <v>7.7499999999999999E-2</v>
      </c>
      <c r="AO51">
        <v>1</v>
      </c>
      <c r="AP51">
        <v>0</v>
      </c>
      <c r="AS51">
        <v>17969000</v>
      </c>
      <c r="AT51">
        <v>10246000</v>
      </c>
      <c r="AU51" t="s">
        <v>107</v>
      </c>
      <c r="AV51" t="s">
        <v>110</v>
      </c>
      <c r="BB51">
        <f t="shared" si="2"/>
        <v>0.63482934322033902</v>
      </c>
      <c r="BD51">
        <f t="shared" si="3"/>
        <v>4180156</v>
      </c>
      <c r="BE51">
        <f t="shared" si="25"/>
        <v>-3542844</v>
      </c>
      <c r="BF51">
        <f t="shared" si="26"/>
        <v>11.070328389830507</v>
      </c>
      <c r="BG51">
        <f t="shared" si="27"/>
        <v>-9.3825317796610168</v>
      </c>
      <c r="BH51">
        <f t="shared" si="28"/>
        <v>10.226430084745761</v>
      </c>
      <c r="BI51">
        <f t="shared" si="29"/>
        <v>84.389830508474574</v>
      </c>
      <c r="BJ51">
        <f t="shared" si="30"/>
        <v>10</v>
      </c>
      <c r="BK51">
        <f>IF($BJ51&lt;=30,IF($B51=2015,VLOOKUP($BJ51,'Treasury Yields'!$C$5:$N$34,$E51,FALSE)/100,IF($B51=2016,VLOOKUP($BJ51,'Treasury Yields'!$C$40:$N$69,$E51,FALSE)/100,IF($B51=2017,VLOOKUP($BJ51,'Treasury Yields'!$C$75:$N$104,$E51,FALSE)/100,IF($B51=2018,VLOOKUP($BJ51,'Treasury Yields'!$C$110:$N$139,$E51,FALSE)/100,IF($B51=2019,VLOOKUP($BJ51,'Treasury Yields'!$C$145:$N$174,$E51,FALSE)/100,IF($B51=2020,VLOOKUP($BJ51,'Treasury Yields'!$C$180:$N$209,$E51,FALSE)/100,IF($B51=2021,VLOOKUP($BJ51,'Treasury Yields'!$C$215:$N$244,$E51,FALSE)/100,IF($B51=2022,VLOOKUP($BJ51,'Treasury Yields'!$C$250:$N$279,$E51,FALSE)/100)))))))),0)</f>
        <v>2.5470000000000003E-2</v>
      </c>
      <c r="BL51">
        <f t="shared" si="31"/>
        <v>1.5089683029974577</v>
      </c>
      <c r="BM51">
        <f t="shared" si="32"/>
        <v>53455826.846562378</v>
      </c>
      <c r="BN51">
        <f t="shared" si="33"/>
        <v>29413241.846562378</v>
      </c>
      <c r="BP51">
        <f>IF($BJ51&lt;=30,IF($B51=2015,VLOOKUP($BJ51,'Treasury Yields'!$C$40:$N$69,$E51,FALSE)/100,IF($B51=2016,VLOOKUP($BJ51,'Treasury Yields'!$C$75:$N$104,$E51,FALSE)/100,IF($B51=2017,VLOOKUP($BJ51,'Treasury Yields'!$C$110:$N$139,$E51,FALSE)/100,IF($B51=2018,VLOOKUP($BJ51,'Treasury Yields'!$C$145:$N$174,$E51,FALSE)/100,IF($B51=2019,VLOOKUP($BJ51,'Treasury Yields'!$C$180:$N$209,$E51,FALSE)/100,IF($B51=2020,VLOOKUP($BJ51,'Treasury Yields'!$C$215:$N$244,$E51,FALSE)/100,IF($B51=2021,VLOOKUP($BJ51,'Treasury Yields'!$C$250:$N$279,$E51,FALSE)/100,IF($B51=2022,VLOOKUP($BJ51,'Treasury Yields'!$C$285:$N$314,$E51,FALSE)/100)))))))),0)</f>
        <v>1.635E-2</v>
      </c>
      <c r="BQ51">
        <f t="shared" si="34"/>
        <v>1.6290855221822031</v>
      </c>
      <c r="BR51">
        <f t="shared" si="35"/>
        <v>61514269.317599989</v>
      </c>
      <c r="BS51">
        <f t="shared" si="36"/>
        <v>37543113.317599989</v>
      </c>
      <c r="BU51">
        <f t="shared" si="16"/>
        <v>13</v>
      </c>
      <c r="BV51">
        <f t="shared" si="37"/>
        <v>2.4369246312262711</v>
      </c>
      <c r="BW51">
        <f t="shared" si="38"/>
        <v>1983595.726702404</v>
      </c>
      <c r="BX51" s="5">
        <f t="shared" si="39"/>
        <v>1358368.4742510542</v>
      </c>
      <c r="BY51" s="5">
        <f t="shared" si="40"/>
        <v>746003.83430105413</v>
      </c>
      <c r="BZ51" s="5">
        <f t="shared" si="41"/>
        <v>3452904</v>
      </c>
      <c r="CA51" s="5">
        <f t="shared" si="42"/>
        <v>2729599.5610034582</v>
      </c>
      <c r="CC51" s="5">
        <f t="shared" si="23"/>
        <v>61514269.317599989</v>
      </c>
      <c r="CD51" s="5" t="str">
        <f t="shared" si="0"/>
        <v>Massachusetts</v>
      </c>
      <c r="CE51" s="5">
        <f t="shared" si="1"/>
        <v>0.63482934322033902</v>
      </c>
      <c r="CF51" s="10">
        <f t="shared" si="43"/>
        <v>0.38968447916102544</v>
      </c>
    </row>
    <row r="52" spans="1:87" x14ac:dyDescent="0.2">
      <c r="A52">
        <v>22000000011801</v>
      </c>
      <c r="B52">
        <v>2017</v>
      </c>
      <c r="C52">
        <v>548</v>
      </c>
      <c r="D52" t="s">
        <v>104</v>
      </c>
      <c r="E52">
        <v>6</v>
      </c>
      <c r="F52" t="s">
        <v>105</v>
      </c>
      <c r="G52" t="s">
        <v>170</v>
      </c>
      <c r="H52" t="s">
        <v>171</v>
      </c>
      <c r="I52" t="b">
        <v>1</v>
      </c>
      <c r="J52">
        <v>855440</v>
      </c>
      <c r="K52">
        <v>2813374</v>
      </c>
      <c r="L52">
        <v>10000</v>
      </c>
      <c r="M52">
        <v>-428232</v>
      </c>
      <c r="N52">
        <v>304000</v>
      </c>
      <c r="O52">
        <v>2207582</v>
      </c>
      <c r="Q52">
        <v>1347000</v>
      </c>
      <c r="R52">
        <v>37760000</v>
      </c>
      <c r="S52">
        <v>39107000</v>
      </c>
      <c r="T52">
        <v>716266</v>
      </c>
      <c r="U52">
        <v>28455</v>
      </c>
      <c r="V52" s="11">
        <v>7999</v>
      </c>
      <c r="W52" s="11">
        <v>2987632</v>
      </c>
      <c r="X52" s="11"/>
      <c r="Y52">
        <v>30030</v>
      </c>
      <c r="Z52">
        <v>-58077</v>
      </c>
      <c r="AA52">
        <v>2311076</v>
      </c>
      <c r="AB52">
        <v>23971156</v>
      </c>
      <c r="AC52">
        <v>26282232</v>
      </c>
      <c r="AD52">
        <v>12824768</v>
      </c>
      <c r="AE52">
        <v>13788844</v>
      </c>
      <c r="AF52">
        <v>-964076</v>
      </c>
      <c r="AG52">
        <v>5927012</v>
      </c>
      <c r="AH52">
        <v>0.12084773913061084</v>
      </c>
      <c r="AI52" t="b">
        <v>1</v>
      </c>
      <c r="AK52">
        <v>7.4999999999999997E-2</v>
      </c>
      <c r="AL52">
        <v>7.4999999999999997E-2</v>
      </c>
      <c r="AM52">
        <v>7.4999999999999997E-2</v>
      </c>
      <c r="AN52">
        <v>7.4999999999999997E-2</v>
      </c>
      <c r="AO52">
        <v>1</v>
      </c>
      <c r="AP52">
        <v>0</v>
      </c>
      <c r="AS52">
        <v>17466800</v>
      </c>
      <c r="AT52">
        <v>9085500</v>
      </c>
      <c r="AU52" t="s">
        <v>111</v>
      </c>
      <c r="AV52" t="s">
        <v>112</v>
      </c>
      <c r="BB52">
        <f t="shared" si="2"/>
        <v>0.67205952898458077</v>
      </c>
      <c r="BD52">
        <f t="shared" si="3"/>
        <v>4642032</v>
      </c>
      <c r="BE52">
        <f t="shared" si="25"/>
        <v>-3739268</v>
      </c>
      <c r="BF52">
        <f t="shared" si="26"/>
        <v>11.870079525404659</v>
      </c>
      <c r="BG52">
        <f t="shared" si="27"/>
        <v>-9.561633467154218</v>
      </c>
      <c r="BH52">
        <f t="shared" si="28"/>
        <v>10.715856496279438</v>
      </c>
      <c r="BI52">
        <f t="shared" si="29"/>
        <v>115.42230291252204</v>
      </c>
      <c r="BJ52">
        <f t="shared" si="30"/>
        <v>11</v>
      </c>
      <c r="BK52">
        <f>IF($BJ52&lt;=30,IF($B52=2015,VLOOKUP($BJ52,'Treasury Yields'!$C$5:$N$34,$E52,FALSE)/100,IF($B52=2016,VLOOKUP($BJ52,'Treasury Yields'!$C$40:$N$69,$E52,FALSE)/100,IF($B52=2017,VLOOKUP($BJ52,'Treasury Yields'!$C$75:$N$104,$E52,FALSE)/100,IF($B52=2018,VLOOKUP($BJ52,'Treasury Yields'!$C$110:$N$139,$E52,FALSE)/100,IF($B52=2019,VLOOKUP($BJ52,'Treasury Yields'!$C$145:$N$174,$E52,FALSE)/100,IF($B52=2020,VLOOKUP($BJ52,'Treasury Yields'!$C$180:$N$209,$E52,FALSE)/100,IF($B52=2021,VLOOKUP($BJ52,'Treasury Yields'!$C$215:$N$244,$E52,FALSE)/100,IF($B52=2022,VLOOKUP($BJ52,'Treasury Yields'!$C$250:$N$279,$E52,FALSE)/100)))))))),0)</f>
        <v>1.6948000000000001E-2</v>
      </c>
      <c r="BL52">
        <f t="shared" si="31"/>
        <v>1.6254469360260138</v>
      </c>
      <c r="BM52">
        <f t="shared" si="32"/>
        <v>61376876.304342277</v>
      </c>
      <c r="BN52">
        <f t="shared" si="33"/>
        <v>37405720.304342277</v>
      </c>
      <c r="BP52">
        <f>IF($BJ52&lt;=30,IF($B52=2015,VLOOKUP($BJ52,'Treasury Yields'!$C$40:$N$69,$E52,FALSE)/100,IF($B52=2016,VLOOKUP($BJ52,'Treasury Yields'!$C$75:$N$104,$E52,FALSE)/100,IF($B52=2017,VLOOKUP($BJ52,'Treasury Yields'!$C$110:$N$139,$E52,FALSE)/100,IF($B52=2018,VLOOKUP($BJ52,'Treasury Yields'!$C$145:$N$174,$E52,FALSE)/100,IF($B52=2019,VLOOKUP($BJ52,'Treasury Yields'!$C$180:$N$209,$E52,FALSE)/100,IF($B52=2020,VLOOKUP($BJ52,'Treasury Yields'!$C$215:$N$244,$E52,FALSE)/100,IF($B52=2021,VLOOKUP($BJ52,'Treasury Yields'!$C$250:$N$279,$E52,FALSE)/100,IF($B52=2022,VLOOKUP($BJ52,'Treasury Yields'!$C$285:$N$314,$E52,FALSE)/100)))))))),0)</f>
        <v>2.5068799999999999E-2</v>
      </c>
      <c r="BQ52">
        <f t="shared" si="34"/>
        <v>1.5375486986204681</v>
      </c>
      <c r="BR52">
        <f t="shared" si="35"/>
        <v>60128916.956950642</v>
      </c>
      <c r="BS52">
        <f t="shared" si="36"/>
        <v>33846684.956950642</v>
      </c>
      <c r="BU52">
        <f t="shared" si="16"/>
        <v>14</v>
      </c>
      <c r="BV52">
        <f t="shared" si="37"/>
        <v>2.8237820677528132</v>
      </c>
      <c r="BW52">
        <f t="shared" si="38"/>
        <v>2415576.1320384666</v>
      </c>
      <c r="BX52" s="5">
        <f t="shared" si="39"/>
        <v>1043740.3841557809</v>
      </c>
      <c r="BY52" s="5">
        <f t="shared" si="40"/>
        <v>637477.23226778093</v>
      </c>
      <c r="BZ52" s="5">
        <f t="shared" si="41"/>
        <v>3668814</v>
      </c>
      <c r="CA52" s="5">
        <f t="shared" si="42"/>
        <v>3053053.3643062478</v>
      </c>
      <c r="CC52" s="5">
        <f t="shared" si="23"/>
        <v>60128916.956950642</v>
      </c>
      <c r="CD52" s="5" t="str">
        <f t="shared" si="0"/>
        <v>Massachusetts</v>
      </c>
      <c r="CE52" s="5">
        <f t="shared" si="1"/>
        <v>0.67205952898458077</v>
      </c>
      <c r="CF52" s="10">
        <f t="shared" si="43"/>
        <v>0.43709804417094006</v>
      </c>
    </row>
    <row r="53" spans="1:87" x14ac:dyDescent="0.2">
      <c r="A53">
        <v>22000000011801</v>
      </c>
      <c r="B53">
        <v>2018</v>
      </c>
      <c r="C53">
        <v>548</v>
      </c>
      <c r="D53" t="s">
        <v>104</v>
      </c>
      <c r="E53">
        <v>6</v>
      </c>
      <c r="F53" t="s">
        <v>105</v>
      </c>
      <c r="G53" t="s">
        <v>170</v>
      </c>
      <c r="H53" t="s">
        <v>171</v>
      </c>
      <c r="I53" t="b">
        <v>1</v>
      </c>
      <c r="J53">
        <v>856200</v>
      </c>
      <c r="K53">
        <v>2852239</v>
      </c>
      <c r="L53">
        <v>0</v>
      </c>
      <c r="M53">
        <v>102008</v>
      </c>
      <c r="N53">
        <v>622000</v>
      </c>
      <c r="O53">
        <v>2314447</v>
      </c>
      <c r="Q53">
        <v>2118000</v>
      </c>
      <c r="R53">
        <v>39107000</v>
      </c>
      <c r="S53">
        <v>41225000</v>
      </c>
      <c r="T53">
        <v>824864</v>
      </c>
      <c r="U53">
        <v>33310</v>
      </c>
      <c r="V53" s="11">
        <v>9564</v>
      </c>
      <c r="W53" s="11">
        <v>2460748</v>
      </c>
      <c r="X53" s="11"/>
      <c r="Y53">
        <v>16369</v>
      </c>
      <c r="Z53">
        <v>-50434</v>
      </c>
      <c r="AA53">
        <v>1712789</v>
      </c>
      <c r="AB53">
        <v>26282232</v>
      </c>
      <c r="AC53">
        <v>27995021</v>
      </c>
      <c r="AD53">
        <v>13229979</v>
      </c>
      <c r="AE53">
        <v>12824768</v>
      </c>
      <c r="AF53">
        <v>405211</v>
      </c>
      <c r="AG53">
        <v>6155194</v>
      </c>
      <c r="AH53">
        <v>0.13401104823016138</v>
      </c>
      <c r="AI53" t="b">
        <v>1</v>
      </c>
      <c r="AK53">
        <v>7.4999999999999997E-2</v>
      </c>
      <c r="AL53">
        <v>7.3499999999999996E-2</v>
      </c>
      <c r="AM53">
        <v>7.3499999999999996E-2</v>
      </c>
      <c r="AN53">
        <v>7.4999999999999997E-2</v>
      </c>
      <c r="AO53">
        <v>1</v>
      </c>
      <c r="AP53">
        <v>0</v>
      </c>
      <c r="AS53">
        <v>17831800</v>
      </c>
      <c r="AT53">
        <v>9297000</v>
      </c>
      <c r="AU53" t="s">
        <v>113</v>
      </c>
      <c r="AV53" t="s">
        <v>114</v>
      </c>
      <c r="BB53">
        <f t="shared" si="2"/>
        <v>0.67907873862947243</v>
      </c>
      <c r="BD53">
        <f t="shared" si="3"/>
        <v>4601821</v>
      </c>
      <c r="BE53">
        <f t="shared" si="25"/>
        <v>-3932979</v>
      </c>
      <c r="BF53">
        <f t="shared" si="26"/>
        <v>11.162694966646452</v>
      </c>
      <c r="BG53">
        <f t="shared" si="27"/>
        <v>-9.5402765312310489</v>
      </c>
      <c r="BH53">
        <f t="shared" si="28"/>
        <v>10.351485748938751</v>
      </c>
      <c r="BI53">
        <f t="shared" si="29"/>
        <v>81.120921770770167</v>
      </c>
      <c r="BJ53">
        <f t="shared" si="30"/>
        <v>10</v>
      </c>
      <c r="BK53">
        <f>IF($BJ53&lt;=30,IF($B53=2015,VLOOKUP($BJ53,'Treasury Yields'!$C$5:$N$34,$E53,FALSE)/100,IF($B53=2016,VLOOKUP($BJ53,'Treasury Yields'!$C$40:$N$69,$E53,FALSE)/100,IF($B53=2017,VLOOKUP($BJ53,'Treasury Yields'!$C$75:$N$104,$E53,FALSE)/100,IF($B53=2018,VLOOKUP($BJ53,'Treasury Yields'!$C$110:$N$139,$E53,FALSE)/100,IF($B53=2019,VLOOKUP($BJ53,'Treasury Yields'!$C$145:$N$174,$E53,FALSE)/100,IF($B53=2020,VLOOKUP($BJ53,'Treasury Yields'!$C$180:$N$209,$E53,FALSE)/100,IF($B53=2021,VLOOKUP($BJ53,'Treasury Yields'!$C$215:$N$244,$E53,FALSE)/100,IF($B53=2022,VLOOKUP($BJ53,'Treasury Yields'!$C$250:$N$279,$E53,FALSE)/100)))))))),0)</f>
        <v>2.4670000000000001E-2</v>
      </c>
      <c r="BL53">
        <f t="shared" si="31"/>
        <v>1.5078474180206793</v>
      </c>
      <c r="BM53">
        <f t="shared" si="32"/>
        <v>58967388.976534709</v>
      </c>
      <c r="BN53">
        <f t="shared" si="33"/>
        <v>32685156.976534709</v>
      </c>
      <c r="BP53">
        <f>IF($BJ53&lt;=30,IF($B53=2015,VLOOKUP($BJ53,'Treasury Yields'!$C$40:$N$69,$E53,FALSE)/100,IF($B53=2016,VLOOKUP($BJ53,'Treasury Yields'!$C$75:$N$104,$E53,FALSE)/100,IF($B53=2017,VLOOKUP($BJ53,'Treasury Yields'!$C$110:$N$139,$E53,FALSE)/100,IF($B53=2018,VLOOKUP($BJ53,'Treasury Yields'!$C$145:$N$174,$E53,FALSE)/100,IF($B53=2019,VLOOKUP($BJ53,'Treasury Yields'!$C$180:$N$209,$E53,FALSE)/100,IF($B53=2020,VLOOKUP($BJ53,'Treasury Yields'!$C$215:$N$244,$E53,FALSE)/100,IF($B53=2021,VLOOKUP($BJ53,'Treasury Yields'!$C$250:$N$279,$E53,FALSE)/100,IF($B53=2022,VLOOKUP($BJ53,'Treasury Yields'!$C$285:$N$314,$E53,FALSE)/100)))))))),0)</f>
        <v>2.964E-2</v>
      </c>
      <c r="BQ53">
        <f t="shared" si="34"/>
        <v>1.4716009231718619</v>
      </c>
      <c r="BR53">
        <f t="shared" si="35"/>
        <v>60666748.057760008</v>
      </c>
      <c r="BS53">
        <f t="shared" si="36"/>
        <v>32671727.057760008</v>
      </c>
      <c r="BU53">
        <f t="shared" si="16"/>
        <v>13</v>
      </c>
      <c r="BV53">
        <f t="shared" si="37"/>
        <v>2.380768406657829</v>
      </c>
      <c r="BW53">
        <f t="shared" si="38"/>
        <v>2038413.9097804332</v>
      </c>
      <c r="BX53" s="5">
        <f t="shared" si="39"/>
        <v>1447915.7497153946</v>
      </c>
      <c r="BY53" s="5">
        <f t="shared" si="40"/>
        <v>799533.08627539466</v>
      </c>
      <c r="BZ53" s="5">
        <f t="shared" si="41"/>
        <v>3708439</v>
      </c>
      <c r="CA53" s="5">
        <f t="shared" si="42"/>
        <v>2837946.9960558279</v>
      </c>
      <c r="CC53" s="5">
        <f t="shared" si="23"/>
        <v>60666748.057760008</v>
      </c>
      <c r="CD53" s="5" t="str">
        <f t="shared" si="0"/>
        <v>Massachusetts</v>
      </c>
      <c r="CE53" s="5">
        <f t="shared" si="1"/>
        <v>0.67907873862947243</v>
      </c>
      <c r="CF53" s="10">
        <f t="shared" si="43"/>
        <v>0.46145577101555385</v>
      </c>
    </row>
    <row r="54" spans="1:87" x14ac:dyDescent="0.2">
      <c r="A54">
        <v>22000000011801</v>
      </c>
      <c r="B54">
        <v>2019</v>
      </c>
      <c r="C54">
        <v>548</v>
      </c>
      <c r="D54" t="s">
        <v>104</v>
      </c>
      <c r="E54">
        <v>6</v>
      </c>
      <c r="F54" t="s">
        <v>105</v>
      </c>
      <c r="G54" t="s">
        <v>170</v>
      </c>
      <c r="H54" t="s">
        <v>171</v>
      </c>
      <c r="I54" t="b">
        <v>1</v>
      </c>
      <c r="J54">
        <v>897600</v>
      </c>
      <c r="K54">
        <v>2965890</v>
      </c>
      <c r="L54">
        <v>0</v>
      </c>
      <c r="M54">
        <v>303066</v>
      </c>
      <c r="N54">
        <v>434000</v>
      </c>
      <c r="O54">
        <v>2427556</v>
      </c>
      <c r="Q54">
        <v>2173000</v>
      </c>
      <c r="R54">
        <v>41225000</v>
      </c>
      <c r="S54">
        <v>43398000</v>
      </c>
      <c r="T54">
        <v>919545</v>
      </c>
      <c r="U54">
        <v>37359</v>
      </c>
      <c r="V54">
        <v>10191</v>
      </c>
      <c r="W54">
        <v>1543398</v>
      </c>
      <c r="Y54">
        <v>15853</v>
      </c>
      <c r="Z54">
        <v>-64528</v>
      </c>
      <c r="AA54">
        <v>768775</v>
      </c>
      <c r="AB54">
        <v>27995021</v>
      </c>
      <c r="AC54">
        <v>28763796</v>
      </c>
      <c r="AD54">
        <v>14634204</v>
      </c>
      <c r="AE54">
        <v>13229979</v>
      </c>
      <c r="AF54">
        <v>1404225</v>
      </c>
      <c r="AG54">
        <v>6354473</v>
      </c>
      <c r="AH54">
        <v>0.14470830232499218</v>
      </c>
      <c r="AI54" t="b">
        <v>1</v>
      </c>
      <c r="AK54">
        <v>7.3499999999999996E-2</v>
      </c>
      <c r="AL54">
        <v>7.2499999999999995E-2</v>
      </c>
      <c r="AM54">
        <v>7.2499999999999995E-2</v>
      </c>
      <c r="AN54">
        <v>7.3499999999999996E-2</v>
      </c>
      <c r="AO54">
        <v>1</v>
      </c>
      <c r="AP54">
        <v>0</v>
      </c>
      <c r="AS54">
        <v>19478600</v>
      </c>
      <c r="AT54">
        <v>10494900</v>
      </c>
      <c r="AU54" t="s">
        <v>173</v>
      </c>
      <c r="AV54" t="s">
        <v>116</v>
      </c>
      <c r="BB54">
        <f t="shared" si="2"/>
        <v>0.66279081985344945</v>
      </c>
      <c r="BD54">
        <f t="shared" si="3"/>
        <v>4844396</v>
      </c>
      <c r="BE54">
        <f t="shared" si="25"/>
        <v>-4139304</v>
      </c>
      <c r="BF54">
        <f t="shared" si="26"/>
        <v>11.162717175906725</v>
      </c>
      <c r="BG54">
        <f t="shared" si="27"/>
        <v>-9.5380063597400788</v>
      </c>
      <c r="BH54">
        <f t="shared" si="28"/>
        <v>10.350361767823401</v>
      </c>
      <c r="BI54">
        <f t="shared" si="29"/>
        <v>81.235540808332175</v>
      </c>
      <c r="BJ54">
        <f t="shared" si="30"/>
        <v>10</v>
      </c>
      <c r="BK54">
        <f>IF($BJ54&lt;=30,IF($B54=2015,VLOOKUP($BJ54,'Treasury Yields'!$C$5:$N$34,$E54,FALSE)/100,IF($B54=2016,VLOOKUP($BJ54,'Treasury Yields'!$C$40:$N$69,$E54,FALSE)/100,IF($B54=2017,VLOOKUP($BJ54,'Treasury Yields'!$C$75:$N$104,$E54,FALSE)/100,IF($B54=2018,VLOOKUP($BJ54,'Treasury Yields'!$C$110:$N$139,$E54,FALSE)/100,IF($B54=2019,VLOOKUP($BJ54,'Treasury Yields'!$C$145:$N$174,$E54,FALSE)/100,IF($B54=2020,VLOOKUP($BJ54,'Treasury Yields'!$C$180:$N$209,$E54,FALSE)/100,IF($B54=2021,VLOOKUP($BJ54,'Treasury Yields'!$C$215:$N$244,$E54,FALSE)/100,IF($B54=2022,VLOOKUP($BJ54,'Treasury Yields'!$C$250:$N$279,$E54,FALSE)/100)))))))),0)</f>
        <v>2.964E-2</v>
      </c>
      <c r="BL54">
        <f t="shared" si="31"/>
        <v>1.4454534849689109</v>
      </c>
      <c r="BM54">
        <f t="shared" si="32"/>
        <v>59588819.917843349</v>
      </c>
      <c r="BN54">
        <f t="shared" si="33"/>
        <v>31593798.917843349</v>
      </c>
      <c r="BP54">
        <f>IF($BJ54&lt;=30,IF($B54=2015,VLOOKUP($BJ54,'Treasury Yields'!$C$40:$N$69,$E54,FALSE)/100,IF($B54=2016,VLOOKUP($BJ54,'Treasury Yields'!$C$75:$N$104,$E54,FALSE)/100,IF($B54=2017,VLOOKUP($BJ54,'Treasury Yields'!$C$110:$N$139,$E54,FALSE)/100,IF($B54=2018,VLOOKUP($BJ54,'Treasury Yields'!$C$145:$N$174,$E54,FALSE)/100,IF($B54=2019,VLOOKUP($BJ54,'Treasury Yields'!$C$180:$N$209,$E54,FALSE)/100,IF($B54=2020,VLOOKUP($BJ54,'Treasury Yields'!$C$215:$N$244,$E54,FALSE)/100,IF($B54=2021,VLOOKUP($BJ54,'Treasury Yields'!$C$250:$N$279,$E54,FALSE)/100,IF($B54=2022,VLOOKUP($BJ54,'Treasury Yields'!$C$285:$N$314,$E54,FALSE)/100)))))))),0)</f>
        <v>2.1259999999999998E-2</v>
      </c>
      <c r="BQ54">
        <f t="shared" si="34"/>
        <v>1.5434319163510946</v>
      </c>
      <c r="BR54">
        <f t="shared" si="35"/>
        <v>66981858.305804804</v>
      </c>
      <c r="BS54">
        <f t="shared" si="36"/>
        <v>38218062.305804804</v>
      </c>
      <c r="BU54">
        <f t="shared" si="16"/>
        <v>13</v>
      </c>
      <c r="BV54">
        <f t="shared" si="37"/>
        <v>2.1804196444955064</v>
      </c>
      <c r="BW54">
        <f t="shared" si="38"/>
        <v>1957144.6728991666</v>
      </c>
      <c r="BX54" s="5">
        <f t="shared" si="39"/>
        <v>1752269.6306296082</v>
      </c>
      <c r="BY54" s="5">
        <f t="shared" si="40"/>
        <v>922497.20818960818</v>
      </c>
      <c r="BZ54" s="5">
        <f t="shared" si="41"/>
        <v>3863490</v>
      </c>
      <c r="CA54" s="5">
        <f t="shared" si="42"/>
        <v>2879641.8810887747</v>
      </c>
      <c r="CC54" s="5">
        <f t="shared" si="23"/>
        <v>66981858.305804804</v>
      </c>
      <c r="CD54" s="5" t="str">
        <f t="shared" si="0"/>
        <v>Massachusetts</v>
      </c>
      <c r="CE54" s="5">
        <f t="shared" si="1"/>
        <v>0.66279081985344945</v>
      </c>
      <c r="CF54" s="10">
        <f t="shared" si="43"/>
        <v>0.42942666458549511</v>
      </c>
    </row>
    <row r="55" spans="1:87" x14ac:dyDescent="0.2">
      <c r="A55">
        <v>22000000011801</v>
      </c>
      <c r="B55">
        <v>2020</v>
      </c>
      <c r="C55">
        <v>548</v>
      </c>
      <c r="D55" t="s">
        <v>104</v>
      </c>
      <c r="E55">
        <v>6</v>
      </c>
      <c r="F55" t="s">
        <v>105</v>
      </c>
      <c r="G55" t="s">
        <v>170</v>
      </c>
      <c r="H55" t="s">
        <v>171</v>
      </c>
      <c r="I55" t="b">
        <v>1</v>
      </c>
      <c r="J55">
        <v>963828</v>
      </c>
      <c r="K55">
        <v>3124187</v>
      </c>
      <c r="L55">
        <v>0</v>
      </c>
      <c r="M55">
        <v>336183</v>
      </c>
      <c r="N55">
        <v>442000</v>
      </c>
      <c r="O55">
        <v>2539198</v>
      </c>
      <c r="Q55">
        <v>2327000</v>
      </c>
      <c r="R55">
        <v>43398000</v>
      </c>
      <c r="S55">
        <v>45725000</v>
      </c>
      <c r="T55">
        <v>1003828</v>
      </c>
      <c r="U55">
        <v>38381</v>
      </c>
      <c r="V55">
        <v>9718</v>
      </c>
      <c r="W55">
        <v>567319</v>
      </c>
      <c r="Y55">
        <v>18089</v>
      </c>
      <c r="Z55">
        <v>-37138</v>
      </c>
      <c r="AA55">
        <v>-196496</v>
      </c>
      <c r="AB55">
        <v>28763796</v>
      </c>
      <c r="AC55">
        <v>28567300</v>
      </c>
      <c r="AD55">
        <v>17157700</v>
      </c>
      <c r="AE55">
        <v>14634204</v>
      </c>
      <c r="AF55">
        <v>2523496</v>
      </c>
      <c r="AG55">
        <v>6354473</v>
      </c>
      <c r="AH55">
        <v>0.15797187272650304</v>
      </c>
      <c r="AI55" t="b">
        <v>1</v>
      </c>
      <c r="AK55">
        <v>7.2499999999999995E-2</v>
      </c>
      <c r="AL55">
        <v>7.1499999999999994E-2</v>
      </c>
      <c r="AM55">
        <v>7.1499999999999994E-2</v>
      </c>
      <c r="AN55">
        <v>7.2499999999999995E-2</v>
      </c>
      <c r="AO55">
        <v>1</v>
      </c>
      <c r="AP55">
        <v>0</v>
      </c>
      <c r="AS55">
        <v>22606331</v>
      </c>
      <c r="AT55">
        <v>12679351</v>
      </c>
      <c r="AU55" t="s">
        <v>174</v>
      </c>
      <c r="AV55" t="s">
        <v>118</v>
      </c>
      <c r="BB55">
        <f t="shared" si="2"/>
        <v>0.62476325861126303</v>
      </c>
      <c r="BD55">
        <f t="shared" si="3"/>
        <v>5448631</v>
      </c>
      <c r="BE55">
        <f t="shared" si="25"/>
        <v>-4478349</v>
      </c>
      <c r="BF55">
        <f t="shared" si="26"/>
        <v>11.916087479496992</v>
      </c>
      <c r="BG55">
        <f t="shared" si="27"/>
        <v>-9.794092946965554</v>
      </c>
      <c r="BH55">
        <f t="shared" si="28"/>
        <v>10.855090213231273</v>
      </c>
      <c r="BI55">
        <f t="shared" si="29"/>
        <v>106.09972662657189</v>
      </c>
      <c r="BJ55">
        <f t="shared" si="30"/>
        <v>11</v>
      </c>
      <c r="BK55">
        <f>IF($BJ55&lt;=30,IF($B55=2015,VLOOKUP($BJ55,'Treasury Yields'!$C$5:$N$34,$E55,FALSE)/100,IF($B55=2016,VLOOKUP($BJ55,'Treasury Yields'!$C$40:$N$69,$E55,FALSE)/100,IF($B55=2017,VLOOKUP($BJ55,'Treasury Yields'!$C$75:$N$104,$E55,FALSE)/100,IF($B55=2018,VLOOKUP($BJ55,'Treasury Yields'!$C$110:$N$139,$E55,FALSE)/100,IF($B55=2019,VLOOKUP($BJ55,'Treasury Yields'!$C$145:$N$174,$E55,FALSE)/100,IF($B55=2020,VLOOKUP($BJ55,'Treasury Yields'!$C$180:$N$209,$E55,FALSE)/100,IF($B55=2021,VLOOKUP($BJ55,'Treasury Yields'!$C$215:$N$244,$E55,FALSE)/100,IF($B55=2022,VLOOKUP($BJ55,'Treasury Yields'!$C$250:$N$279,$E55,FALSE)/100)))))))),0)</f>
        <v>2.1722000000000002E-2</v>
      </c>
      <c r="BL55">
        <f t="shared" si="31"/>
        <v>1.5428225299182263</v>
      </c>
      <c r="BM55">
        <f t="shared" si="32"/>
        <v>66955412.153391182</v>
      </c>
      <c r="BN55">
        <f t="shared" si="33"/>
        <v>38191616.153391182</v>
      </c>
      <c r="BP55">
        <f>IF($BJ55&lt;=30,IF($B55=2015,VLOOKUP($BJ55,'Treasury Yields'!$C$40:$N$69,$E55,FALSE)/100,IF($B55=2016,VLOOKUP($BJ55,'Treasury Yields'!$C$75:$N$104,$E55,FALSE)/100,IF($B55=2017,VLOOKUP($BJ55,'Treasury Yields'!$C$110:$N$139,$E55,FALSE)/100,IF($B55=2018,VLOOKUP($BJ55,'Treasury Yields'!$C$145:$N$174,$E55,FALSE)/100,IF($B55=2019,VLOOKUP($BJ55,'Treasury Yields'!$C$180:$N$209,$E55,FALSE)/100,IF($B55=2020,VLOOKUP($BJ55,'Treasury Yields'!$C$215:$N$244,$E55,FALSE)/100,IF($B55=2021,VLOOKUP($BJ55,'Treasury Yields'!$C$250:$N$279,$E55,FALSE)/100,IF($B55=2022,VLOOKUP($BJ55,'Treasury Yields'!$C$285:$N$314,$E55,FALSE)/100)))))))),0)</f>
        <v>1.4551090909090908E-2</v>
      </c>
      <c r="BQ55">
        <f t="shared" si="34"/>
        <v>1.6323987120049823</v>
      </c>
      <c r="BR55">
        <f t="shared" si="35"/>
        <v>74641431.106427819</v>
      </c>
      <c r="BS55">
        <f t="shared" si="36"/>
        <v>46074131.106427819</v>
      </c>
      <c r="BU55">
        <f t="shared" si="16"/>
        <v>14</v>
      </c>
      <c r="BV55">
        <f t="shared" si="37"/>
        <v>2.5356598666123658</v>
      </c>
      <c r="BW55">
        <f t="shared" si="38"/>
        <v>2443939.9779172633</v>
      </c>
      <c r="BX55" s="5">
        <f t="shared" si="39"/>
        <v>1452336.2680402822</v>
      </c>
      <c r="BY55" s="5">
        <f t="shared" si="40"/>
        <v>827529.09132828203</v>
      </c>
      <c r="BZ55" s="5">
        <f t="shared" si="41"/>
        <v>4088015</v>
      </c>
      <c r="CA55" s="5">
        <f t="shared" si="42"/>
        <v>3271469.0692455452</v>
      </c>
      <c r="CC55" s="5">
        <f>BR55</f>
        <v>74641431.106427819</v>
      </c>
      <c r="CD55" s="5" t="str">
        <f t="shared" si="0"/>
        <v>Massachusetts</v>
      </c>
      <c r="CE55" s="5">
        <f t="shared" si="1"/>
        <v>0.62476325861126303</v>
      </c>
      <c r="CF55" s="10">
        <f t="shared" si="43"/>
        <v>0.38272712053533897</v>
      </c>
    </row>
    <row r="56" spans="1:87" x14ac:dyDescent="0.2">
      <c r="A56">
        <v>22000000011801</v>
      </c>
      <c r="B56">
        <v>2021</v>
      </c>
      <c r="C56">
        <v>548</v>
      </c>
      <c r="D56" t="s">
        <v>104</v>
      </c>
      <c r="E56">
        <v>6</v>
      </c>
      <c r="F56" t="s">
        <v>105</v>
      </c>
      <c r="G56" t="s">
        <v>170</v>
      </c>
      <c r="H56" t="s">
        <v>171</v>
      </c>
      <c r="I56" t="b">
        <v>1</v>
      </c>
      <c r="J56">
        <v>968648</v>
      </c>
      <c r="K56">
        <v>3243594</v>
      </c>
      <c r="L56">
        <v>0</v>
      </c>
      <c r="M56">
        <v>-904845</v>
      </c>
      <c r="N56">
        <v>101000</v>
      </c>
      <c r="O56">
        <v>2657397</v>
      </c>
      <c r="Q56">
        <v>751000</v>
      </c>
      <c r="R56">
        <v>45725000</v>
      </c>
      <c r="S56">
        <v>46476000</v>
      </c>
      <c r="T56">
        <v>1105838</v>
      </c>
      <c r="U56">
        <v>41963</v>
      </c>
      <c r="V56">
        <v>13352</v>
      </c>
      <c r="W56">
        <v>8232417</v>
      </c>
      <c r="Y56">
        <v>21685</v>
      </c>
      <c r="Z56">
        <v>-14556</v>
      </c>
      <c r="AA56">
        <v>7472171</v>
      </c>
      <c r="AB56">
        <v>28567300</v>
      </c>
      <c r="AC56">
        <v>36039471</v>
      </c>
      <c r="AD56">
        <v>10436529</v>
      </c>
      <c r="AE56">
        <v>17157700</v>
      </c>
      <c r="AF56">
        <v>-6721171</v>
      </c>
      <c r="AG56">
        <v>6544575</v>
      </c>
      <c r="AH56">
        <v>0.16897017758983585</v>
      </c>
      <c r="AI56" t="b">
        <v>1</v>
      </c>
      <c r="AK56">
        <v>7.1499999999999994E-2</v>
      </c>
      <c r="AL56">
        <v>7.0000000000000007E-2</v>
      </c>
      <c r="AM56">
        <v>7.0000000000000007E-2</v>
      </c>
      <c r="AN56">
        <v>7.1499999999999994E-2</v>
      </c>
      <c r="AS56">
        <v>15974650</v>
      </c>
      <c r="AT56">
        <v>5884626</v>
      </c>
      <c r="AV56" t="s">
        <v>120</v>
      </c>
      <c r="BB56">
        <f t="shared" si="2"/>
        <v>0.77544261554350635</v>
      </c>
      <c r="BD56">
        <f t="shared" si="3"/>
        <v>5538121</v>
      </c>
      <c r="BE56">
        <f t="shared" si="25"/>
        <v>-4551903</v>
      </c>
      <c r="BF56">
        <f t="shared" si="26"/>
        <v>11.916087873310955</v>
      </c>
      <c r="BG56">
        <f t="shared" si="27"/>
        <v>-9.7940937257939584</v>
      </c>
      <c r="BH56">
        <f t="shared" si="28"/>
        <v>10.855090799552457</v>
      </c>
      <c r="BI56">
        <f t="shared" si="29"/>
        <v>106.09970737584989</v>
      </c>
      <c r="BJ56">
        <f t="shared" si="30"/>
        <v>11</v>
      </c>
      <c r="BK56">
        <f>IF($BJ56&lt;=30,IF($B56=2015,VLOOKUP($BJ56,'Treasury Yields'!$C$5:$N$34,$E56,FALSE)/100,IF($B56=2016,VLOOKUP($BJ56,'Treasury Yields'!$C$40:$N$69,$E56,FALSE)/100,IF($B56=2017,VLOOKUP($BJ56,'Treasury Yields'!$C$75:$N$104,$E56,FALSE)/100,IF($B56=2018,VLOOKUP($BJ56,'Treasury Yields'!$C$110:$N$139,$E56,FALSE)/100,IF($B56=2019,VLOOKUP($BJ56,'Treasury Yields'!$C$145:$N$174,$E56,FALSE)/100,IF($B56=2020,VLOOKUP($BJ56,'Treasury Yields'!$C$180:$N$209,$E56,FALSE)/100,IF($B56=2021,VLOOKUP($BJ56,'Treasury Yields'!$C$215:$N$244,$E56,FALSE)/100,IF($B56=2022,VLOOKUP($BJ56,'Treasury Yields'!$C$250:$N$279,$E56,FALSE)/100)))))))),0)</f>
        <v>1.4551090909090908E-2</v>
      </c>
      <c r="BL56">
        <f t="shared" si="31"/>
        <v>1.6049775244373199</v>
      </c>
      <c r="BM56">
        <f t="shared" si="32"/>
        <v>73387597.304896459</v>
      </c>
      <c r="BN56">
        <f>BM56-AB56</f>
        <v>44820297.304896459</v>
      </c>
      <c r="BP56">
        <f>IF($BJ56&lt;=30,IF($B56=2015,VLOOKUP($BJ56,'Treasury Yields'!$C$40:$N$69,$E56,FALSE)/100,IF($B56=2016,VLOOKUP($BJ56,'Treasury Yields'!$C$75:$N$104,$E56,FALSE)/100,IF($B56=2017,VLOOKUP($BJ56,'Treasury Yields'!$C$110:$N$139,$E56,FALSE)/100,IF($B56=2018,VLOOKUP($BJ56,'Treasury Yields'!$C$145:$N$174,$E56,FALSE)/100,IF($B56=2019,VLOOKUP($BJ56,'Treasury Yields'!$C$180:$N$209,$E56,FALSE)/100,IF($B56=2020,VLOOKUP($BJ56,'Treasury Yields'!$C$215:$N$244,$E56,FALSE)/100,IF($B56=2021,VLOOKUP($BJ56,'Treasury Yields'!$C$250:$N$279,$E56,FALSE)/100,IF($B56=2022,VLOOKUP($BJ56,'Treasury Yields'!$C$285:$N$314,$E56,FALSE)/100)))))))),0)</f>
        <v>2.1554272727272727E-2</v>
      </c>
      <c r="BQ56">
        <f>1+BH56*(AN56-BP56)+(AN56-BP56)^2</f>
        <v>1.5446599802679397</v>
      </c>
      <c r="BR56">
        <f>BQ56*S56</f>
        <v>71789617.242932767</v>
      </c>
      <c r="BS56">
        <f t="shared" si="36"/>
        <v>35750146.242932767</v>
      </c>
      <c r="BU56">
        <f t="shared" si="16"/>
        <v>14</v>
      </c>
      <c r="BV56">
        <f t="shared" si="37"/>
        <v>2.7595705693267205</v>
      </c>
      <c r="BW56">
        <f t="shared" si="38"/>
        <v>2673052.5128371892</v>
      </c>
      <c r="BX56" s="5">
        <f t="shared" si="39"/>
        <v>1068097.4047738255</v>
      </c>
      <c r="BY56" s="5">
        <f t="shared" si="40"/>
        <v>652412.0254465529</v>
      </c>
      <c r="BZ56" s="5">
        <f t="shared" si="41"/>
        <v>4212242</v>
      </c>
      <c r="CA56" s="5">
        <f t="shared" si="42"/>
        <v>3325464.538283742</v>
      </c>
      <c r="CC56" s="5">
        <f>BR56</f>
        <v>71789617.242932767</v>
      </c>
      <c r="CD56" s="5" t="str">
        <f t="shared" si="0"/>
        <v>Massachusetts</v>
      </c>
      <c r="CE56" s="5">
        <f t="shared" si="1"/>
        <v>0.77544261554350635</v>
      </c>
      <c r="CF56" s="10">
        <f t="shared" si="43"/>
        <v>0.50201508775348513</v>
      </c>
    </row>
    <row r="57" spans="1:87" x14ac:dyDescent="0.2">
      <c r="A57">
        <v>22000000011801</v>
      </c>
      <c r="B57">
        <v>2022</v>
      </c>
      <c r="C57">
        <v>548</v>
      </c>
      <c r="D57" t="s">
        <v>104</v>
      </c>
      <c r="E57">
        <v>6</v>
      </c>
      <c r="F57" t="s">
        <v>105</v>
      </c>
      <c r="G57" t="s">
        <v>170</v>
      </c>
      <c r="H57" t="s">
        <v>171</v>
      </c>
      <c r="I57" t="b">
        <v>1</v>
      </c>
      <c r="J57">
        <v>981998</v>
      </c>
      <c r="K57">
        <v>3223993</v>
      </c>
      <c r="L57">
        <v>0</v>
      </c>
      <c r="M57">
        <v>160909</v>
      </c>
      <c r="N57">
        <v>0</v>
      </c>
      <c r="O57">
        <v>2801900</v>
      </c>
      <c r="Q57">
        <v>1565000</v>
      </c>
      <c r="R57">
        <v>46476000</v>
      </c>
      <c r="S57">
        <v>48041000</v>
      </c>
      <c r="T57">
        <v>1310596</v>
      </c>
      <c r="U57">
        <v>56988</v>
      </c>
      <c r="V57">
        <v>11454</v>
      </c>
      <c r="W57">
        <v>-1297464</v>
      </c>
      <c r="Y57">
        <v>14461</v>
      </c>
      <c r="Z57">
        <v>-34817</v>
      </c>
      <c r="AA57">
        <v>-1908345</v>
      </c>
      <c r="AB57">
        <v>36039471</v>
      </c>
      <c r="AC57">
        <v>34131126</v>
      </c>
      <c r="AD57">
        <v>13909874</v>
      </c>
      <c r="AE57">
        <v>10436529</v>
      </c>
      <c r="AF57">
        <v>3473345</v>
      </c>
      <c r="AG57">
        <v>6651010</v>
      </c>
      <c r="AH57">
        <v>0.19705217703777322</v>
      </c>
      <c r="AI57" t="b">
        <v>1</v>
      </c>
      <c r="AK57">
        <v>7.0000000000000007E-2</v>
      </c>
      <c r="AL57">
        <v>7.0000000000000007E-2</v>
      </c>
      <c r="AM57">
        <v>7.0000000000000007E-2</v>
      </c>
      <c r="AN57">
        <v>7.0000000000000007E-2</v>
      </c>
      <c r="AS57">
        <v>19184883</v>
      </c>
      <c r="AT57">
        <v>9446450</v>
      </c>
      <c r="AV57" t="s">
        <v>121</v>
      </c>
      <c r="BB57">
        <f>AC57/S57</f>
        <v>0.71045827522324678</v>
      </c>
      <c r="BD57">
        <f t="shared" si="3"/>
        <v>5275009</v>
      </c>
      <c r="BE57">
        <f t="shared" si="25"/>
        <v>-4463424</v>
      </c>
      <c r="BF57">
        <f t="shared" si="26"/>
        <v>10.98022314273225</v>
      </c>
      <c r="BG57">
        <f t="shared" si="27"/>
        <v>-9.2908640536208669</v>
      </c>
      <c r="BH57">
        <f t="shared" si="28"/>
        <v>10.135543598176557</v>
      </c>
      <c r="BI57">
        <f t="shared" si="29"/>
        <v>84.467954455569199</v>
      </c>
      <c r="BJ57">
        <f t="shared" si="30"/>
        <v>10</v>
      </c>
      <c r="BK57">
        <f>IF($BJ57&lt;=30,IF($B57=2015,VLOOKUP($BJ57,'Treasury Yields'!$C$5:$N$34,$E57,FALSE)/100,IF($B57=2016,VLOOKUP($BJ57,'Treasury Yields'!$C$40:$N$69,$E57,FALSE)/100,IF($B57=2017,VLOOKUP($BJ57,'Treasury Yields'!$C$75:$N$104,$E57,FALSE)/100,IF($B57=2018,VLOOKUP($BJ57,'Treasury Yields'!$C$110:$N$139,$E57,FALSE)/100,IF($B57=2019,VLOOKUP($BJ57,'Treasury Yields'!$C$145:$N$174,$E57,FALSE)/100,IF($B57=2020,VLOOKUP($BJ57,'Treasury Yields'!$C$180:$N$209,$E57,FALSE)/100,IF($B57=2021,VLOOKUP($BJ57,'Treasury Yields'!$C$215:$N$244,$E57,FALSE)/100,IF($B57=2022,VLOOKUP($BJ57,'Treasury Yields'!$C$250:$N$279,$E57,FALSE)/100)))))))),0)</f>
        <v>2.202272727272727E-2</v>
      </c>
      <c r="BL57">
        <f t="shared" si="31"/>
        <v>1.4885775581472269</v>
      </c>
      <c r="BM57">
        <f t="shared" si="32"/>
        <v>69183130.592450514</v>
      </c>
      <c r="BN57">
        <f t="shared" si="33"/>
        <v>33143659.592450514</v>
      </c>
      <c r="BP57">
        <f>IF($BJ57&lt;=30,IF($B57=2015,VLOOKUP($BJ57,'Treasury Yields'!$C$40:$N$69,$E57,FALSE)/100,IF($B57=2016,VLOOKUP($BJ57,'Treasury Yields'!$C$75:$N$104,$E57,FALSE)/100,IF($B57=2017,VLOOKUP($BJ57,'Treasury Yields'!$C$110:$N$139,$E57,FALSE)/100,IF($B57=2018,VLOOKUP($BJ57,'Treasury Yields'!$C$145:$N$174,$E57,FALSE)/100,IF($B57=2019,VLOOKUP($BJ57,'Treasury Yields'!$C$180:$N$209,$E57,FALSE)/100,IF($B57=2020,VLOOKUP($BJ57,'Treasury Yields'!$C$215:$N$244,$E57,FALSE)/100,IF($B57=2021,VLOOKUP($BJ57,'Treasury Yields'!$C$250:$N$279,$E57,FALSE)/100,IF($B57=2022,VLOOKUP($BJ57,'Treasury Yields'!$C$285:$N$314,$E57,FALSE)/100)))))))),0)</f>
        <v>3.1469545454545458E-2</v>
      </c>
      <c r="BQ57">
        <f t="shared" si="34"/>
        <v>1.3920116978304942</v>
      </c>
      <c r="BR57">
        <f t="shared" si="35"/>
        <v>66873633.975474767</v>
      </c>
      <c r="BS57">
        <f t="shared" si="36"/>
        <v>32742507.975474767</v>
      </c>
      <c r="BU57">
        <f t="shared" si="16"/>
        <v>13</v>
      </c>
      <c r="BV57">
        <f t="shared" si="37"/>
        <v>2.3044102018803865</v>
      </c>
      <c r="BW57">
        <f t="shared" si="38"/>
        <v>2262926.2094261358</v>
      </c>
      <c r="BX57" s="5">
        <f t="shared" si="39"/>
        <v>1511731.544114056</v>
      </c>
      <c r="BY57" s="5">
        <f t="shared" si="40"/>
        <v>718044.10322769254</v>
      </c>
      <c r="BZ57" s="5">
        <f t="shared" si="41"/>
        <v>4205991</v>
      </c>
      <c r="CA57" s="5">
        <f t="shared" si="42"/>
        <v>2980970.3126538284</v>
      </c>
      <c r="CC57" s="5">
        <f t="shared" si="23"/>
        <v>66873633.975474767</v>
      </c>
      <c r="CD57" s="5" t="str">
        <f t="shared" si="0"/>
        <v>Massachusetts</v>
      </c>
      <c r="CE57" s="5">
        <f t="shared" si="1"/>
        <v>0.71045827522324678</v>
      </c>
      <c r="CF57" s="10">
        <f>AC57/CC57</f>
        <v>0.51038240291408787</v>
      </c>
    </row>
    <row r="58" spans="1:87" x14ac:dyDescent="0.2">
      <c r="A58">
        <v>31000000001612</v>
      </c>
      <c r="B58">
        <v>2015</v>
      </c>
      <c r="C58">
        <v>582</v>
      </c>
      <c r="D58" t="s">
        <v>175</v>
      </c>
      <c r="E58">
        <v>6</v>
      </c>
      <c r="F58" t="s">
        <v>176</v>
      </c>
      <c r="G58" t="s">
        <v>177</v>
      </c>
      <c r="H58" t="s">
        <v>178</v>
      </c>
      <c r="I58" t="b">
        <v>1</v>
      </c>
      <c r="J58">
        <v>2022411.1969999999</v>
      </c>
      <c r="K58">
        <v>3797032.97</v>
      </c>
      <c r="M58">
        <v>365228.27899999998</v>
      </c>
      <c r="N58">
        <v>5913556</v>
      </c>
      <c r="O58">
        <v>4015003.5869999998</v>
      </c>
      <c r="Q58">
        <v>8087342</v>
      </c>
      <c r="R58">
        <v>81095320</v>
      </c>
      <c r="S58">
        <v>89182662</v>
      </c>
      <c r="T58">
        <v>807.24599999999998</v>
      </c>
      <c r="U58">
        <v>539796.28899999999</v>
      </c>
      <c r="V58">
        <v>740296.26500000001</v>
      </c>
      <c r="W58">
        <v>1066062.926</v>
      </c>
      <c r="X58">
        <v>4117.1409999999996</v>
      </c>
      <c r="Y58">
        <v>13890.08</v>
      </c>
      <c r="Z58">
        <v>358.899</v>
      </c>
      <c r="AA58">
        <v>-1677454.9010000001</v>
      </c>
      <c r="AB58">
        <v>27282252.460999999</v>
      </c>
      <c r="AC58">
        <v>25604797.559999999</v>
      </c>
      <c r="AD58">
        <v>63577864.439999998</v>
      </c>
      <c r="AE58">
        <v>53813067.539000005</v>
      </c>
      <c r="AF58">
        <v>9764796.9009999931</v>
      </c>
      <c r="AG58">
        <v>10162263</v>
      </c>
      <c r="AH58">
        <v>7.9435653259515127E-5</v>
      </c>
      <c r="AI58" t="b">
        <v>1</v>
      </c>
      <c r="AK58">
        <v>4.6800000000000001E-2</v>
      </c>
      <c r="AL58">
        <v>4.1300000000000003E-2</v>
      </c>
      <c r="AM58">
        <v>7.9000000000000001E-2</v>
      </c>
      <c r="AN58">
        <v>7.9000000000000001E-2</v>
      </c>
      <c r="AO58">
        <v>1</v>
      </c>
      <c r="AP58">
        <v>3.7699999999999997E-2</v>
      </c>
      <c r="AS58">
        <v>75559915.439999998</v>
      </c>
      <c r="AT58">
        <v>53254610.439999998</v>
      </c>
      <c r="BB58">
        <f t="shared" ref="BB58:BB73" si="44">AC58/S58</f>
        <v>0.28710510525016619</v>
      </c>
      <c r="BD58">
        <f t="shared" ref="BD58:BD65" si="45">AS58-AD58</f>
        <v>11982051</v>
      </c>
      <c r="BE58">
        <f t="shared" ref="BE58:BE65" si="46">AT58-AD58</f>
        <v>-10323254</v>
      </c>
      <c r="BF58">
        <f t="shared" ref="BF58:BF65" si="47">BD58/S58*100</f>
        <v>13.435404069907669</v>
      </c>
      <c r="BG58">
        <f t="shared" ref="BG58:BG65" si="48">BE58/S58*100</f>
        <v>-11.575404645355842</v>
      </c>
      <c r="BH58">
        <f t="shared" ref="BH58:BH65" si="49">(BD58-BE58)/(2*S58)*100</f>
        <v>12.505404357631756</v>
      </c>
      <c r="BI58">
        <f t="shared" ref="BI58:BI65" si="50">(BD58+BE58)/(2*S58*(0.01^2))</f>
        <v>92.999971227591303</v>
      </c>
      <c r="BJ58">
        <f t="shared" ref="BJ58:BJ65" si="51">ROUND(BH58,0)</f>
        <v>13</v>
      </c>
      <c r="BK58">
        <f>IF($BJ58&lt;=30,IF($B58=2015,VLOOKUP($BJ58,'Treasury Yields'!$C$5:$N$34,$E58,FALSE)/100,IF($B58=2016,VLOOKUP($BJ58,'Treasury Yields'!$C$40:$N$69,$E58,FALSE)/100,IF($B58=2017,VLOOKUP($BJ58,'Treasury Yields'!$C$75:$N$104,$E58,FALSE)/100,IF($B58=2018,VLOOKUP($BJ58,'Treasury Yields'!$C$110:$N$139,$E58,FALSE)/100,IF($B58=2019,VLOOKUP($BJ58,'Treasury Yields'!$C$145:$N$174,$E58,FALSE)/100,IF($B58=2020,VLOOKUP($BJ58,'Treasury Yields'!$C$180:$N$209,$E58,FALSE)/100,IF($B58=2021,VLOOKUP($BJ58,'Treasury Yields'!$C$215:$N$244,$E58,FALSE)/100,IF($B58=2022,VLOOKUP($BJ58,'Treasury Yields'!$C$250:$N$279,$E58,FALSE)/100)))))))),0)</f>
        <v>3.0224000000000001E-2</v>
      </c>
      <c r="BL58">
        <f t="shared" ref="BL58:BL65" si="52">1+BH58*(AL58-BK58)+(AL58-BK58)^2</f>
        <v>1.1386325364411294</v>
      </c>
      <c r="BM58">
        <f t="shared" ref="BM58:BM65" si="53">BL58*R58</f>
        <v>92337769.905105054</v>
      </c>
      <c r="BN58">
        <f t="shared" ref="BN58:BN65" si="54">BM58-AB58</f>
        <v>65055517.444105059</v>
      </c>
      <c r="BP58">
        <f>IF($BJ58&lt;=30,IF($B58=2015,VLOOKUP($BJ58,'Treasury Yields'!$C$40:$N$69,$E58,FALSE)/100,IF($B58=2016,VLOOKUP($BJ58,'Treasury Yields'!$C$75:$N$104,$E58,FALSE)/100,IF($B58=2017,VLOOKUP($BJ58,'Treasury Yields'!$C$110:$N$139,$E58,FALSE)/100,IF($B58=2018,VLOOKUP($BJ58,'Treasury Yields'!$C$145:$N$174,$E58,FALSE)/100,IF($B58=2019,VLOOKUP($BJ58,'Treasury Yields'!$C$180:$N$209,$E58,FALSE)/100,IF($B58=2020,VLOOKUP($BJ58,'Treasury Yields'!$C$215:$N$244,$E58,FALSE)/100,IF($B58=2021,VLOOKUP($BJ58,'Treasury Yields'!$C$250:$N$279,$E58,FALSE)/100,IF($B58=2022,VLOOKUP($BJ58,'Treasury Yields'!$C$285:$N$314,$E58,FALSE)/100)))))))),0)</f>
        <v>2.7833999999999994E-2</v>
      </c>
      <c r="BQ58">
        <f t="shared" ref="BQ58:BQ65" si="55">1+BH58*(AN58-BP58)+(AN58-BP58)^2</f>
        <v>1.6424694789185865</v>
      </c>
      <c r="BR58">
        <f t="shared" ref="BR58:BR65" si="56">BQ58*S58</f>
        <v>146479800.38371244</v>
      </c>
      <c r="BS58">
        <f t="shared" ref="BS58:BS65" si="57">BR58-AC58</f>
        <v>120875002.82371244</v>
      </c>
      <c r="BU58">
        <f t="shared" si="16"/>
        <v>16</v>
      </c>
      <c r="BV58">
        <f t="shared" ref="BV58:BV65" si="58">1+(BH58+BU58)*(AN58-BK58)+(AN58-BK58)^2*BI58</f>
        <v>2.6116356648634613</v>
      </c>
      <c r="BW58">
        <f t="shared" ref="BW58:BW65" si="59">BV58*J58</f>
        <v>5281801.2111044032</v>
      </c>
      <c r="BX58" s="5">
        <f t="shared" ref="BX58:BX65" si="60">(BM58+BW58-O58)*BK58</f>
        <v>2829104.4490028271</v>
      </c>
      <c r="BY58" s="5">
        <f t="shared" ref="BY58:BY65" si="61">BK58*(BN58+BW58-O58)</f>
        <v>2004525.650621563</v>
      </c>
      <c r="BZ58" s="5">
        <f t="shared" ref="BZ58:BZ65" si="62">SUM(J58:K58)</f>
        <v>5819444.1670000004</v>
      </c>
      <c r="CA58" s="5">
        <f t="shared" ref="CA58:CA65" si="63">SUM(BW58+BY58)</f>
        <v>7286326.8617259664</v>
      </c>
      <c r="CC58" s="5">
        <f t="shared" ref="CC58:CC65" si="64">BR58</f>
        <v>146479800.38371244</v>
      </c>
      <c r="CD58" s="5" t="str">
        <f t="shared" ref="CD58:CD65" si="65">F58</f>
        <v>New Jersey</v>
      </c>
      <c r="CE58" s="5">
        <f t="shared" si="1"/>
        <v>0.28710510525016619</v>
      </c>
      <c r="CF58" s="10">
        <f t="shared" ref="CF58:CF65" si="66">AC58/CC58</f>
        <v>0.17480087693270149</v>
      </c>
    </row>
    <row r="59" spans="1:87" x14ac:dyDescent="0.2">
      <c r="A59">
        <v>31000000001612</v>
      </c>
      <c r="B59">
        <v>2016</v>
      </c>
      <c r="C59">
        <v>582</v>
      </c>
      <c r="D59" t="s">
        <v>175</v>
      </c>
      <c r="E59">
        <v>6</v>
      </c>
      <c r="F59" t="s">
        <v>176</v>
      </c>
      <c r="G59" t="s">
        <v>177</v>
      </c>
      <c r="H59" t="s">
        <v>178</v>
      </c>
      <c r="I59" t="b">
        <v>1</v>
      </c>
      <c r="J59">
        <v>2344322</v>
      </c>
      <c r="K59">
        <v>3694844</v>
      </c>
      <c r="M59">
        <v>-134644</v>
      </c>
      <c r="N59">
        <v>10827093</v>
      </c>
      <c r="O59">
        <v>4169071</v>
      </c>
      <c r="Q59">
        <v>12564108</v>
      </c>
      <c r="R59">
        <v>89182662</v>
      </c>
      <c r="S59">
        <v>101746770</v>
      </c>
      <c r="T59">
        <v>1106</v>
      </c>
      <c r="U59">
        <v>798963</v>
      </c>
      <c r="V59">
        <v>761712</v>
      </c>
      <c r="W59">
        <v>-267684</v>
      </c>
      <c r="X59">
        <v>1564</v>
      </c>
      <c r="Y59">
        <v>13768</v>
      </c>
      <c r="Z59">
        <v>244</v>
      </c>
      <c r="AA59">
        <v>-2886935</v>
      </c>
      <c r="AB59">
        <v>25604798</v>
      </c>
      <c r="AC59">
        <v>22717863</v>
      </c>
      <c r="AD59">
        <v>79028907</v>
      </c>
      <c r="AE59">
        <v>63577864</v>
      </c>
      <c r="AF59">
        <v>15451043</v>
      </c>
      <c r="AG59">
        <v>10305472</v>
      </c>
      <c r="AH59">
        <v>1.073216248610447E-4</v>
      </c>
      <c r="AI59" t="b">
        <v>1</v>
      </c>
      <c r="AK59">
        <v>4.1300000000000003E-2</v>
      </c>
      <c r="AL59">
        <v>3.2199999999999999E-2</v>
      </c>
      <c r="AM59">
        <v>7.6499999999999999E-2</v>
      </c>
      <c r="AN59">
        <v>7.9000000000000001E-2</v>
      </c>
      <c r="AO59">
        <v>1</v>
      </c>
      <c r="AP59">
        <v>4.4299999999999999E-2</v>
      </c>
      <c r="AQ59">
        <v>2.8500000000000001E-2</v>
      </c>
      <c r="AR59">
        <v>2029</v>
      </c>
      <c r="AS59">
        <v>94378176</v>
      </c>
      <c r="AT59">
        <v>66494248</v>
      </c>
      <c r="AU59" t="s">
        <v>56</v>
      </c>
      <c r="AV59" t="s">
        <v>179</v>
      </c>
      <c r="BB59">
        <f t="shared" si="44"/>
        <v>0.22327846869242138</v>
      </c>
      <c r="BD59">
        <f t="shared" si="45"/>
        <v>15349269</v>
      </c>
      <c r="BE59">
        <f t="shared" si="46"/>
        <v>-12534659</v>
      </c>
      <c r="BF59">
        <f t="shared" si="47"/>
        <v>15.085755547817389</v>
      </c>
      <c r="BG59">
        <f t="shared" si="48"/>
        <v>-12.319466259223757</v>
      </c>
      <c r="BH59">
        <f t="shared" si="49"/>
        <v>13.702610903520574</v>
      </c>
      <c r="BI59">
        <f t="shared" si="50"/>
        <v>138.31446442968166</v>
      </c>
      <c r="BJ59">
        <f t="shared" si="51"/>
        <v>14</v>
      </c>
      <c r="BK59">
        <f>IF($BJ59&lt;=30,IF($B59=2015,VLOOKUP($BJ59,'Treasury Yields'!$C$5:$N$34,$E59,FALSE)/100,IF($B59=2016,VLOOKUP($BJ59,'Treasury Yields'!$C$40:$N$69,$E59,FALSE)/100,IF($B59=2017,VLOOKUP($BJ59,'Treasury Yields'!$C$75:$N$104,$E59,FALSE)/100,IF($B59=2018,VLOOKUP($BJ59,'Treasury Yields'!$C$110:$N$139,$E59,FALSE)/100,IF($B59=2019,VLOOKUP($BJ59,'Treasury Yields'!$C$145:$N$174,$E59,FALSE)/100,IF($B59=2020,VLOOKUP($BJ59,'Treasury Yields'!$C$180:$N$209,$E59,FALSE)/100,IF($B59=2021,VLOOKUP($BJ59,'Treasury Yields'!$C$215:$N$244,$E59,FALSE)/100,IF($B59=2022,VLOOKUP($BJ59,'Treasury Yields'!$C$250:$N$279,$E59,FALSE)/100)))))))),0)</f>
        <v>2.8621999999999991E-2</v>
      </c>
      <c r="BL59">
        <f t="shared" si="52"/>
        <v>1.0490407438967968</v>
      </c>
      <c r="BM59">
        <f t="shared" si="53"/>
        <v>93556246.087176591</v>
      </c>
      <c r="BN59">
        <f t="shared" si="54"/>
        <v>67951448.087176591</v>
      </c>
      <c r="BP59">
        <f>IF($BJ59&lt;=30,IF($B59=2015,VLOOKUP($BJ59,'Treasury Yields'!$C$40:$N$69,$E59,FALSE)/100,IF($B59=2016,VLOOKUP($BJ59,'Treasury Yields'!$C$75:$N$104,$E59,FALSE)/100,IF($B59=2017,VLOOKUP($BJ59,'Treasury Yields'!$C$110:$N$139,$E59,FALSE)/100,IF($B59=2018,VLOOKUP($BJ59,'Treasury Yields'!$C$145:$N$174,$E59,FALSE)/100,IF($B59=2019,VLOOKUP($BJ59,'Treasury Yields'!$C$180:$N$209,$E59,FALSE)/100,IF($B59=2020,VLOOKUP($BJ59,'Treasury Yields'!$C$215:$N$244,$E59,FALSE)/100,IF($B59=2021,VLOOKUP($BJ59,'Treasury Yields'!$C$250:$N$279,$E59,FALSE)/100,IF($B59=2022,VLOOKUP($BJ59,'Treasury Yields'!$C$285:$N$314,$E59,FALSE)/100)))))))),0)</f>
        <v>1.8742000000000002E-2</v>
      </c>
      <c r="BQ59">
        <f t="shared" si="55"/>
        <v>1.8293229543883427</v>
      </c>
      <c r="BR59">
        <f t="shared" si="56"/>
        <v>186127701.89587119</v>
      </c>
      <c r="BS59">
        <f t="shared" si="57"/>
        <v>163409838.89587119</v>
      </c>
      <c r="BU59">
        <f t="shared" si="16"/>
        <v>17</v>
      </c>
      <c r="BV59">
        <f t="shared" si="58"/>
        <v>2.8977703428511417</v>
      </c>
      <c r="BW59">
        <f t="shared" si="59"/>
        <v>6793306.7656934746</v>
      </c>
      <c r="BX59" s="5">
        <f t="shared" si="60"/>
        <v>2752877.7515928461</v>
      </c>
      <c r="BY59" s="5">
        <f t="shared" si="61"/>
        <v>2020017.2232368463</v>
      </c>
      <c r="BZ59" s="5">
        <f t="shared" si="62"/>
        <v>6039166</v>
      </c>
      <c r="CA59" s="5">
        <f t="shared" si="63"/>
        <v>8813323.9889303204</v>
      </c>
      <c r="CC59" s="5">
        <f t="shared" si="64"/>
        <v>186127701.89587119</v>
      </c>
      <c r="CD59" s="5" t="str">
        <f t="shared" si="65"/>
        <v>New Jersey</v>
      </c>
      <c r="CE59" s="5">
        <f t="shared" si="1"/>
        <v>0.22327846869242138</v>
      </c>
      <c r="CF59" s="10">
        <f t="shared" si="66"/>
        <v>0.12205524899624812</v>
      </c>
    </row>
    <row r="60" spans="1:87" x14ac:dyDescent="0.2">
      <c r="A60">
        <v>31000000001612</v>
      </c>
      <c r="B60">
        <v>2017</v>
      </c>
      <c r="C60">
        <v>582</v>
      </c>
      <c r="D60" t="s">
        <v>175</v>
      </c>
      <c r="E60">
        <v>6</v>
      </c>
      <c r="F60" t="s">
        <v>176</v>
      </c>
      <c r="G60" t="s">
        <v>177</v>
      </c>
      <c r="H60" t="s">
        <v>178</v>
      </c>
      <c r="I60" t="b">
        <v>1</v>
      </c>
      <c r="J60">
        <v>3028690</v>
      </c>
      <c r="K60">
        <v>3304988</v>
      </c>
      <c r="M60">
        <v>236378</v>
      </c>
      <c r="N60">
        <v>-13285524</v>
      </c>
      <c r="O60">
        <v>4306269</v>
      </c>
      <c r="Q60">
        <v>-11020399</v>
      </c>
      <c r="R60">
        <v>101746770</v>
      </c>
      <c r="S60">
        <v>90726371</v>
      </c>
      <c r="T60">
        <v>1404</v>
      </c>
      <c r="U60">
        <v>1125614</v>
      </c>
      <c r="V60">
        <v>790788</v>
      </c>
      <c r="W60">
        <v>2736989</v>
      </c>
      <c r="X60">
        <v>1338</v>
      </c>
      <c r="Y60">
        <v>11924</v>
      </c>
      <c r="Z60">
        <v>358</v>
      </c>
      <c r="AA60">
        <v>338299</v>
      </c>
      <c r="AB60">
        <v>22717863</v>
      </c>
      <c r="AC60">
        <v>23056162</v>
      </c>
      <c r="AD60">
        <v>67670209</v>
      </c>
      <c r="AE60">
        <v>79028907</v>
      </c>
      <c r="AF60">
        <v>-11358698</v>
      </c>
      <c r="AG60">
        <v>10436205</v>
      </c>
      <c r="AH60">
        <v>1.3453166165287094E-4</v>
      </c>
      <c r="AI60" t="b">
        <v>1</v>
      </c>
      <c r="AK60">
        <v>3.2199999999999999E-2</v>
      </c>
      <c r="AL60">
        <v>4.2500000000000003E-2</v>
      </c>
      <c r="AM60">
        <v>7.0000000000000007E-2</v>
      </c>
      <c r="AN60">
        <v>7.6499999999999999E-2</v>
      </c>
      <c r="AO60">
        <v>1</v>
      </c>
      <c r="AP60">
        <v>2.7500000000000004E-2</v>
      </c>
      <c r="AQ60">
        <v>3.85E-2</v>
      </c>
      <c r="AR60">
        <v>2036</v>
      </c>
      <c r="AS60">
        <v>80394331</v>
      </c>
      <c r="AT60">
        <v>57188022</v>
      </c>
      <c r="AU60" t="s">
        <v>180</v>
      </c>
      <c r="AV60" t="s">
        <v>181</v>
      </c>
      <c r="BB60">
        <f t="shared" si="44"/>
        <v>0.25412855982082649</v>
      </c>
      <c r="BD60">
        <f t="shared" si="45"/>
        <v>12724122</v>
      </c>
      <c r="BE60">
        <f t="shared" si="46"/>
        <v>-10482187</v>
      </c>
      <c r="BF60">
        <f t="shared" si="47"/>
        <v>14.0247227567385</v>
      </c>
      <c r="BG60">
        <f t="shared" si="48"/>
        <v>-11.553627555542809</v>
      </c>
      <c r="BH60">
        <f t="shared" si="49"/>
        <v>12.789175156140656</v>
      </c>
      <c r="BI60">
        <f t="shared" si="50"/>
        <v>123.5547600597846</v>
      </c>
      <c r="BJ60">
        <f t="shared" si="51"/>
        <v>13</v>
      </c>
      <c r="BK60">
        <f>IF($BJ60&lt;=30,IF($B60=2015,VLOOKUP($BJ60,'Treasury Yields'!$C$5:$N$34,$E60,FALSE)/100,IF($B60=2016,VLOOKUP($BJ60,'Treasury Yields'!$C$40:$N$69,$E60,FALSE)/100,IF($B60=2017,VLOOKUP($BJ60,'Treasury Yields'!$C$75:$N$104,$E60,FALSE)/100,IF($B60=2018,VLOOKUP($BJ60,'Treasury Yields'!$C$110:$N$139,$E60,FALSE)/100,IF($B60=2019,VLOOKUP($BJ60,'Treasury Yields'!$C$145:$N$174,$E60,FALSE)/100,IF($B60=2020,VLOOKUP($BJ60,'Treasury Yields'!$C$180:$N$209,$E60,FALSE)/100,IF($B60=2021,VLOOKUP($BJ60,'Treasury Yields'!$C$215:$N$244,$E60,FALSE)/100,IF($B60=2022,VLOOKUP($BJ60,'Treasury Yields'!$C$250:$N$279,$E60,FALSE)/100)))))))),0)</f>
        <v>1.8144000000000004E-2</v>
      </c>
      <c r="BL60">
        <f t="shared" si="52"/>
        <v>1.3120863648389618</v>
      </c>
      <c r="BM60">
        <f t="shared" si="53"/>
        <v>133500549.58340593</v>
      </c>
      <c r="BN60">
        <f t="shared" si="54"/>
        <v>110782686.58340593</v>
      </c>
      <c r="BP60">
        <f>IF($BJ60&lt;=30,IF($B60=2015,VLOOKUP($BJ60,'Treasury Yields'!$C$40:$N$69,$E60,FALSE)/100,IF($B60=2016,VLOOKUP($BJ60,'Treasury Yields'!$C$75:$N$104,$E60,FALSE)/100,IF($B60=2017,VLOOKUP($BJ60,'Treasury Yields'!$C$110:$N$139,$E60,FALSE)/100,IF($B60=2018,VLOOKUP($BJ60,'Treasury Yields'!$C$145:$N$174,$E60,FALSE)/100,IF($B60=2019,VLOOKUP($BJ60,'Treasury Yields'!$C$180:$N$209,$E60,FALSE)/100,IF($B60=2020,VLOOKUP($BJ60,'Treasury Yields'!$C$215:$N$244,$E60,FALSE)/100,IF($B60=2021,VLOOKUP($BJ60,'Treasury Yields'!$C$250:$N$279,$E60,FALSE)/100,IF($B60=2022,VLOOKUP($BJ60,'Treasury Yields'!$C$285:$N$314,$E60,FALSE)/100)))))))),0)</f>
        <v>2.5866399999999991E-2</v>
      </c>
      <c r="BQ60">
        <f t="shared" si="55"/>
        <v>1.6501257406349235</v>
      </c>
      <c r="BR60">
        <f t="shared" si="56"/>
        <v>149709920.14149383</v>
      </c>
      <c r="BS60">
        <f t="shared" si="57"/>
        <v>126653758.14149383</v>
      </c>
      <c r="BU60">
        <f t="shared" si="16"/>
        <v>16</v>
      </c>
      <c r="BV60">
        <f t="shared" si="58"/>
        <v>3.1007772944603591</v>
      </c>
      <c r="BW60">
        <f t="shared" si="59"/>
        <v>9391293.1839591451</v>
      </c>
      <c r="BX60" s="5">
        <f t="shared" si="60"/>
        <v>2514496.6504350724</v>
      </c>
      <c r="BY60" s="5">
        <f t="shared" si="61"/>
        <v>2102303.7441630722</v>
      </c>
      <c r="BZ60" s="5">
        <f t="shared" si="62"/>
        <v>6333678</v>
      </c>
      <c r="CA60" s="5">
        <f t="shared" si="63"/>
        <v>11493596.928122217</v>
      </c>
      <c r="CC60" s="5">
        <f t="shared" si="64"/>
        <v>149709920.14149383</v>
      </c>
      <c r="CD60" s="5" t="str">
        <f t="shared" si="65"/>
        <v>New Jersey</v>
      </c>
      <c r="CE60" s="5">
        <f t="shared" si="1"/>
        <v>0.25412855982082649</v>
      </c>
      <c r="CF60" s="10">
        <f t="shared" si="66"/>
        <v>0.15400557276504565</v>
      </c>
    </row>
    <row r="61" spans="1:87" x14ac:dyDescent="0.2">
      <c r="A61">
        <v>31000000001612</v>
      </c>
      <c r="B61">
        <v>2018</v>
      </c>
      <c r="C61">
        <v>582</v>
      </c>
      <c r="D61" t="s">
        <v>175</v>
      </c>
      <c r="E61">
        <v>6</v>
      </c>
      <c r="F61" t="s">
        <v>176</v>
      </c>
      <c r="G61" t="s">
        <v>177</v>
      </c>
      <c r="H61" t="s">
        <v>178</v>
      </c>
      <c r="I61" t="b">
        <v>1</v>
      </c>
      <c r="J61">
        <v>2229422</v>
      </c>
      <c r="K61">
        <v>3858188</v>
      </c>
      <c r="M61">
        <v>1195858</v>
      </c>
      <c r="N61">
        <v>-6816856</v>
      </c>
      <c r="O61">
        <v>4401203</v>
      </c>
      <c r="Q61">
        <v>-3928904</v>
      </c>
      <c r="R61">
        <v>90726371</v>
      </c>
      <c r="S61">
        <v>86797467</v>
      </c>
      <c r="T61">
        <v>1724</v>
      </c>
      <c r="U61">
        <v>1514408</v>
      </c>
      <c r="V61">
        <v>810900</v>
      </c>
      <c r="W61">
        <v>2016317</v>
      </c>
      <c r="X61">
        <v>5686</v>
      </c>
      <c r="Y61">
        <v>13222</v>
      </c>
      <c r="Z61">
        <v>346</v>
      </c>
      <c r="AA61">
        <v>-65045</v>
      </c>
      <c r="AB61">
        <v>23056162</v>
      </c>
      <c r="AC61">
        <v>22991117</v>
      </c>
      <c r="AD61">
        <v>63806350</v>
      </c>
      <c r="AE61">
        <v>67670209</v>
      </c>
      <c r="AF61">
        <v>-3863859</v>
      </c>
      <c r="AG61">
        <v>10636814</v>
      </c>
      <c r="AH61">
        <v>1.6207860737247075E-4</v>
      </c>
      <c r="AI61" t="b">
        <v>1</v>
      </c>
      <c r="AK61">
        <v>4.2500000000000003E-2</v>
      </c>
      <c r="AL61">
        <v>4.8599999999999997E-2</v>
      </c>
      <c r="AM61">
        <v>7.0000000000000007E-2</v>
      </c>
      <c r="AN61">
        <v>7.0000000000000007E-2</v>
      </c>
      <c r="AO61">
        <v>1</v>
      </c>
      <c r="AP61">
        <v>2.1400000000000009E-2</v>
      </c>
      <c r="AQ61">
        <v>3.8699999999999998E-2</v>
      </c>
      <c r="AR61">
        <v>2040</v>
      </c>
      <c r="AS61">
        <v>75417895</v>
      </c>
      <c r="AT61">
        <v>54180663</v>
      </c>
      <c r="AV61" t="s">
        <v>182</v>
      </c>
      <c r="BB61">
        <f t="shared" si="44"/>
        <v>0.26488234961971874</v>
      </c>
      <c r="BD61">
        <f t="shared" si="45"/>
        <v>11611545</v>
      </c>
      <c r="BE61">
        <f t="shared" si="46"/>
        <v>-9625687</v>
      </c>
      <c r="BF61">
        <f t="shared" si="47"/>
        <v>13.377746380548178</v>
      </c>
      <c r="BG61">
        <f t="shared" si="48"/>
        <v>-11.089824775646967</v>
      </c>
      <c r="BH61">
        <f t="shared" si="49"/>
        <v>12.233785578097573</v>
      </c>
      <c r="BI61">
        <f t="shared" si="50"/>
        <v>114.39608024506062</v>
      </c>
      <c r="BJ61">
        <f t="shared" si="51"/>
        <v>12</v>
      </c>
      <c r="BK61">
        <f>IF($BJ61&lt;=30,IF($B61=2015,VLOOKUP($BJ61,'Treasury Yields'!$C$5:$N$34,$E61,FALSE)/100,IF($B61=2016,VLOOKUP($BJ61,'Treasury Yields'!$C$40:$N$69,$E61,FALSE)/100,IF($B61=2017,VLOOKUP($BJ61,'Treasury Yields'!$C$75:$N$104,$E61,FALSE)/100,IF($B61=2018,VLOOKUP($BJ61,'Treasury Yields'!$C$110:$N$139,$E61,FALSE)/100,IF($B61=2019,VLOOKUP($BJ61,'Treasury Yields'!$C$145:$N$174,$E61,FALSE)/100,IF($B61=2020,VLOOKUP($BJ61,'Treasury Yields'!$C$180:$N$209,$E61,FALSE)/100,IF($B61=2021,VLOOKUP($BJ61,'Treasury Yields'!$C$215:$N$244,$E61,FALSE)/100,IF($B61=2022,VLOOKUP($BJ61,'Treasury Yields'!$C$250:$N$279,$E61,FALSE)/100)))))))),0)</f>
        <v>2.5467599999999993E-2</v>
      </c>
      <c r="BL61">
        <f t="shared" si="52"/>
        <v>1.2835319294365444</v>
      </c>
      <c r="BM61">
        <f t="shared" si="53"/>
        <v>116450194.02040574</v>
      </c>
      <c r="BN61">
        <f t="shared" si="54"/>
        <v>93394032.02040574</v>
      </c>
      <c r="BP61">
        <f>IF($BJ61&lt;=30,IF($B61=2015,VLOOKUP($BJ61,'Treasury Yields'!$C$40:$N$69,$E61,FALSE)/100,IF($B61=2016,VLOOKUP($BJ61,'Treasury Yields'!$C$75:$N$104,$E61,FALSE)/100,IF($B61=2017,VLOOKUP($BJ61,'Treasury Yields'!$C$110:$N$139,$E61,FALSE)/100,IF($B61=2018,VLOOKUP($BJ61,'Treasury Yields'!$C$145:$N$174,$E61,FALSE)/100,IF($B61=2019,VLOOKUP($BJ61,'Treasury Yields'!$C$180:$N$209,$E61,FALSE)/100,IF($B61=2020,VLOOKUP($BJ61,'Treasury Yields'!$C$215:$N$244,$E61,FALSE)/100,IF($B61=2021,VLOOKUP($BJ61,'Treasury Yields'!$C$250:$N$279,$E61,FALSE)/100,IF($B61=2022,VLOOKUP($BJ61,'Treasury Yields'!$C$285:$N$314,$E61,FALSE)/100)))))))),0)</f>
        <v>2.8906472727272727E-2</v>
      </c>
      <c r="BQ61">
        <f t="shared" si="55"/>
        <v>1.5044180792859645</v>
      </c>
      <c r="BR61">
        <f t="shared" si="56"/>
        <v>130579678.59102689</v>
      </c>
      <c r="BS61">
        <f t="shared" si="57"/>
        <v>107588561.59102689</v>
      </c>
      <c r="BU61">
        <f t="shared" si="16"/>
        <v>15</v>
      </c>
      <c r="BV61">
        <f t="shared" si="58"/>
        <v>2.4396486634087777</v>
      </c>
      <c r="BW61">
        <f t="shared" si="59"/>
        <v>5439006.402474124</v>
      </c>
      <c r="BX61" s="5">
        <f t="shared" si="60"/>
        <v>2992137.3231669343</v>
      </c>
      <c r="BY61" s="5">
        <f t="shared" si="61"/>
        <v>2404952.2118157344</v>
      </c>
      <c r="BZ61" s="5">
        <f t="shared" si="62"/>
        <v>6087610</v>
      </c>
      <c r="CA61" s="5">
        <f t="shared" si="63"/>
        <v>7843958.6142898584</v>
      </c>
      <c r="CC61" s="5">
        <f t="shared" si="64"/>
        <v>130579678.59102689</v>
      </c>
      <c r="CD61" s="5" t="str">
        <f t="shared" si="65"/>
        <v>New Jersey</v>
      </c>
      <c r="CE61" s="5">
        <f t="shared" si="1"/>
        <v>0.26488234961971874</v>
      </c>
      <c r="CF61" s="10">
        <f t="shared" si="66"/>
        <v>0.17606963999358391</v>
      </c>
    </row>
    <row r="62" spans="1:87" x14ac:dyDescent="0.2">
      <c r="A62">
        <v>31000000001612</v>
      </c>
      <c r="B62">
        <v>2019</v>
      </c>
      <c r="C62">
        <v>582</v>
      </c>
      <c r="D62" t="s">
        <v>175</v>
      </c>
      <c r="E62">
        <v>6</v>
      </c>
      <c r="F62" t="s">
        <v>176</v>
      </c>
      <c r="G62" t="s">
        <v>177</v>
      </c>
      <c r="H62" t="s">
        <v>178</v>
      </c>
      <c r="I62" t="b">
        <v>1</v>
      </c>
      <c r="J62">
        <v>1882082</v>
      </c>
      <c r="K62">
        <v>4201672</v>
      </c>
      <c r="M62">
        <v>-155622</v>
      </c>
      <c r="N62">
        <v>-4005548</v>
      </c>
      <c r="O62">
        <v>4510860</v>
      </c>
      <c r="Q62">
        <v>-2581621</v>
      </c>
      <c r="R62">
        <v>86797467</v>
      </c>
      <c r="S62">
        <v>84215847</v>
      </c>
      <c r="T62">
        <v>2050</v>
      </c>
      <c r="U62">
        <v>2013446</v>
      </c>
      <c r="V62">
        <v>846166</v>
      </c>
      <c r="W62">
        <v>1361781</v>
      </c>
      <c r="X62">
        <v>6656</v>
      </c>
      <c r="Y62">
        <v>13922</v>
      </c>
      <c r="Z62">
        <v>300</v>
      </c>
      <c r="AA62">
        <v>-294383</v>
      </c>
      <c r="AB62">
        <v>22991117</v>
      </c>
      <c r="AC62">
        <v>22696734</v>
      </c>
      <c r="AD62">
        <v>61519112</v>
      </c>
      <c r="AE62">
        <v>63806350</v>
      </c>
      <c r="AF62">
        <v>-2287238</v>
      </c>
      <c r="AG62">
        <v>10823505</v>
      </c>
      <c r="AH62">
        <v>1.8940260109825792E-4</v>
      </c>
      <c r="AI62" t="b">
        <v>1</v>
      </c>
      <c r="AK62">
        <v>4.8599999999999997E-2</v>
      </c>
      <c r="AL62">
        <v>5.6000000000000001E-2</v>
      </c>
      <c r="AM62">
        <v>7.0000000000000007E-2</v>
      </c>
      <c r="AN62">
        <v>7.0000000000000007E-2</v>
      </c>
      <c r="AO62">
        <v>1</v>
      </c>
      <c r="AP62">
        <v>1.4000000000000005E-2</v>
      </c>
      <c r="AQ62">
        <v>3.5000000000000003E-2</v>
      </c>
      <c r="AR62">
        <v>2054</v>
      </c>
      <c r="AS62">
        <v>72544650</v>
      </c>
      <c r="AT62">
        <v>52371398</v>
      </c>
      <c r="AU62" t="s">
        <v>180</v>
      </c>
      <c r="AV62" t="s">
        <v>183</v>
      </c>
      <c r="BB62">
        <f t="shared" si="44"/>
        <v>0.26950668797524535</v>
      </c>
      <c r="BD62">
        <f t="shared" si="45"/>
        <v>11025538</v>
      </c>
      <c r="BE62">
        <f t="shared" si="46"/>
        <v>-9147714</v>
      </c>
      <c r="BF62">
        <f t="shared" si="47"/>
        <v>13.091999181579212</v>
      </c>
      <c r="BG62">
        <f t="shared" si="48"/>
        <v>-10.862224065739076</v>
      </c>
      <c r="BH62">
        <f t="shared" si="49"/>
        <v>11.977111623659145</v>
      </c>
      <c r="BI62">
        <f t="shared" si="50"/>
        <v>111.48875579200669</v>
      </c>
      <c r="BJ62">
        <f t="shared" si="51"/>
        <v>12</v>
      </c>
      <c r="BK62">
        <f>IF($BJ62&lt;=30,IF($B62=2015,VLOOKUP($BJ62,'Treasury Yields'!$C$5:$N$34,$E62,FALSE)/100,IF($B62=2016,VLOOKUP($BJ62,'Treasury Yields'!$C$40:$N$69,$E62,FALSE)/100,IF($B62=2017,VLOOKUP($BJ62,'Treasury Yields'!$C$75:$N$104,$E62,FALSE)/100,IF($B62=2018,VLOOKUP($BJ62,'Treasury Yields'!$C$110:$N$139,$E62,FALSE)/100,IF($B62=2019,VLOOKUP($BJ62,'Treasury Yields'!$C$145:$N$174,$E62,FALSE)/100,IF($B62=2020,VLOOKUP($BJ62,'Treasury Yields'!$C$180:$N$209,$E62,FALSE)/100,IF($B62=2021,VLOOKUP($BJ62,'Treasury Yields'!$C$215:$N$244,$E62,FALSE)/100,IF($B62=2022,VLOOKUP($BJ62,'Treasury Yields'!$C$250:$N$279,$E62,FALSE)/100)))))))),0)</f>
        <v>2.8906472727272727E-2</v>
      </c>
      <c r="BL62">
        <f t="shared" si="52"/>
        <v>1.3252362596441858</v>
      </c>
      <c r="BM62">
        <f t="shared" si="53"/>
        <v>115027150.51366965</v>
      </c>
      <c r="BN62">
        <f t="shared" si="54"/>
        <v>92036033.513669655</v>
      </c>
      <c r="BP62">
        <f>IF($BJ62&lt;=30,IF($B62=2015,VLOOKUP($BJ62,'Treasury Yields'!$C$40:$N$69,$E62,FALSE)/100,IF($B62=2016,VLOOKUP($BJ62,'Treasury Yields'!$C$75:$N$104,$E62,FALSE)/100,IF($B62=2017,VLOOKUP($BJ62,'Treasury Yields'!$C$110:$N$139,$E62,FALSE)/100,IF($B62=2018,VLOOKUP($BJ62,'Treasury Yields'!$C$145:$N$174,$E62,FALSE)/100,IF($B62=2019,VLOOKUP($BJ62,'Treasury Yields'!$C$180:$N$209,$E62,FALSE)/100,IF($B62=2020,VLOOKUP($BJ62,'Treasury Yields'!$C$215:$N$244,$E62,FALSE)/100,IF($B62=2021,VLOOKUP($BJ62,'Treasury Yields'!$C$250:$N$279,$E62,FALSE)/100,IF($B62=2022,VLOOKUP($BJ62,'Treasury Yields'!$C$285:$N$314,$E62,FALSE)/100)))))))),0)</f>
        <v>2.2184000000000002E-2</v>
      </c>
      <c r="BQ62">
        <f t="shared" si="55"/>
        <v>1.5749839392528859</v>
      </c>
      <c r="BR62">
        <f t="shared" si="56"/>
        <v>132638606.45557834</v>
      </c>
      <c r="BS62">
        <f t="shared" si="57"/>
        <v>109941872.45557834</v>
      </c>
      <c r="BU62">
        <f t="shared" si="16"/>
        <v>15</v>
      </c>
      <c r="BV62">
        <f t="shared" si="58"/>
        <v>2.2968532795839156</v>
      </c>
      <c r="BW62">
        <f t="shared" si="59"/>
        <v>4322866.214145855</v>
      </c>
      <c r="BX62" s="5">
        <f t="shared" si="60"/>
        <v>3319594.9519755975</v>
      </c>
      <c r="BY62" s="5">
        <f t="shared" si="61"/>
        <v>2655002.855445561</v>
      </c>
      <c r="BZ62" s="5">
        <f t="shared" si="62"/>
        <v>6083754</v>
      </c>
      <c r="CA62" s="5">
        <f t="shared" si="63"/>
        <v>6977869.069591416</v>
      </c>
      <c r="CC62" s="5">
        <f t="shared" si="64"/>
        <v>132638606.45557834</v>
      </c>
      <c r="CD62" s="5" t="str">
        <f t="shared" si="65"/>
        <v>New Jersey</v>
      </c>
      <c r="CE62" s="5">
        <f t="shared" si="1"/>
        <v>0.26950668797524535</v>
      </c>
      <c r="CF62" s="10">
        <f t="shared" si="66"/>
        <v>0.17111710237698632</v>
      </c>
    </row>
    <row r="63" spans="1:87" x14ac:dyDescent="0.2">
      <c r="A63">
        <v>31000000001612</v>
      </c>
      <c r="B63">
        <v>2020</v>
      </c>
      <c r="C63">
        <v>582</v>
      </c>
      <c r="D63" t="s">
        <v>175</v>
      </c>
      <c r="E63">
        <v>6</v>
      </c>
      <c r="F63" t="s">
        <v>176</v>
      </c>
      <c r="G63" t="s">
        <v>177</v>
      </c>
      <c r="H63" t="s">
        <v>178</v>
      </c>
      <c r="I63" t="b">
        <v>1</v>
      </c>
      <c r="J63">
        <v>1643902</v>
      </c>
      <c r="K63">
        <v>4680942</v>
      </c>
      <c r="L63">
        <v>-16738</v>
      </c>
      <c r="M63">
        <v>-8597</v>
      </c>
      <c r="N63">
        <v>1613055</v>
      </c>
      <c r="O63">
        <v>4615149</v>
      </c>
      <c r="Q63">
        <v>3306832</v>
      </c>
      <c r="R63">
        <v>84215847</v>
      </c>
      <c r="S63">
        <v>87522679</v>
      </c>
      <c r="T63">
        <v>2109</v>
      </c>
      <c r="U63">
        <v>2268898</v>
      </c>
      <c r="V63">
        <v>867038</v>
      </c>
      <c r="W63">
        <v>318393</v>
      </c>
      <c r="X63">
        <v>9417</v>
      </c>
      <c r="Y63">
        <v>18591</v>
      </c>
      <c r="Z63">
        <v>330</v>
      </c>
      <c r="AA63">
        <v>-1167554</v>
      </c>
      <c r="AB63">
        <v>22696734</v>
      </c>
      <c r="AC63">
        <v>21529180</v>
      </c>
      <c r="AD63">
        <v>65993499</v>
      </c>
      <c r="AE63">
        <v>61519112</v>
      </c>
      <c r="AF63">
        <v>4474387</v>
      </c>
      <c r="AG63">
        <v>11061603</v>
      </c>
      <c r="AH63">
        <v>1.9065952737591467E-4</v>
      </c>
      <c r="AI63" t="b">
        <v>1</v>
      </c>
      <c r="AK63">
        <v>5.6000000000000001E-2</v>
      </c>
      <c r="AL63">
        <v>5.3999999999999999E-2</v>
      </c>
      <c r="AM63">
        <v>7.0000000000000007E-2</v>
      </c>
      <c r="AN63">
        <v>7.0000000000000007E-2</v>
      </c>
      <c r="AO63">
        <v>1</v>
      </c>
      <c r="AP63">
        <v>1.6000000000000007E-2</v>
      </c>
      <c r="AQ63">
        <v>2.2100000000000002E-2</v>
      </c>
      <c r="AR63">
        <v>2062</v>
      </c>
      <c r="AS63">
        <v>77517093</v>
      </c>
      <c r="AT63">
        <v>56425088</v>
      </c>
      <c r="AU63" t="s">
        <v>184</v>
      </c>
      <c r="AV63" t="s">
        <v>185</v>
      </c>
      <c r="BB63">
        <f t="shared" si="44"/>
        <v>0.24598401518308186</v>
      </c>
      <c r="BD63">
        <f t="shared" si="45"/>
        <v>11523594</v>
      </c>
      <c r="BE63">
        <f t="shared" si="46"/>
        <v>-9568411</v>
      </c>
      <c r="BF63">
        <f t="shared" si="47"/>
        <v>13.166409131512074</v>
      </c>
      <c r="BG63">
        <f t="shared" si="48"/>
        <v>-10.932493279827506</v>
      </c>
      <c r="BH63">
        <f t="shared" si="49"/>
        <v>12.04945120566979</v>
      </c>
      <c r="BI63">
        <f t="shared" si="50"/>
        <v>111.69579258422836</v>
      </c>
      <c r="BJ63">
        <f t="shared" si="51"/>
        <v>12</v>
      </c>
      <c r="BK63">
        <f>IF($BJ63&lt;=30,IF($B63=2015,VLOOKUP($BJ63,'Treasury Yields'!$C$5:$N$34,$E63,FALSE)/100,IF($B63=2016,VLOOKUP($BJ63,'Treasury Yields'!$C$40:$N$69,$E63,FALSE)/100,IF($B63=2017,VLOOKUP($BJ63,'Treasury Yields'!$C$75:$N$104,$E63,FALSE)/100,IF($B63=2018,VLOOKUP($BJ63,'Treasury Yields'!$C$110:$N$139,$E63,FALSE)/100,IF($B63=2019,VLOOKUP($BJ63,'Treasury Yields'!$C$145:$N$174,$E63,FALSE)/100,IF($B63=2020,VLOOKUP($BJ63,'Treasury Yields'!$C$180:$N$209,$E63,FALSE)/100,IF($B63=2021,VLOOKUP($BJ63,'Treasury Yields'!$C$215:$N$244,$E63,FALSE)/100,IF($B63=2022,VLOOKUP($BJ63,'Treasury Yields'!$C$250:$N$279,$E63,FALSE)/100)))))))),0)</f>
        <v>2.2184000000000002E-2</v>
      </c>
      <c r="BL63">
        <f t="shared" si="52"/>
        <v>1.3843775974155899</v>
      </c>
      <c r="BM63">
        <f t="shared" si="53"/>
        <v>116586531.9341789</v>
      </c>
      <c r="BN63">
        <f t="shared" si="54"/>
        <v>93889797.934178904</v>
      </c>
      <c r="BP63">
        <f>IF($BJ63&lt;=30,IF($B63=2015,VLOOKUP($BJ63,'Treasury Yields'!$C$40:$N$69,$E63,FALSE)/100,IF($B63=2016,VLOOKUP($BJ63,'Treasury Yields'!$C$75:$N$104,$E63,FALSE)/100,IF($B63=2017,VLOOKUP($BJ63,'Treasury Yields'!$C$110:$N$139,$E63,FALSE)/100,IF($B63=2018,VLOOKUP($BJ63,'Treasury Yields'!$C$145:$N$174,$E63,FALSE)/100,IF($B63=2019,VLOOKUP($BJ63,'Treasury Yields'!$C$180:$N$209,$E63,FALSE)/100,IF($B63=2020,VLOOKUP($BJ63,'Treasury Yields'!$C$215:$N$244,$E63,FALSE)/100,IF($B63=2021,VLOOKUP($BJ63,'Treasury Yields'!$C$250:$N$279,$E63,FALSE)/100,IF($B63=2022,VLOOKUP($BJ63,'Treasury Yields'!$C$285:$N$314,$E63,FALSE)/100)))))))),0)</f>
        <v>1.3689454545454545E-2</v>
      </c>
      <c r="BQ63">
        <f t="shared" si="55"/>
        <v>1.6816820473485847</v>
      </c>
      <c r="BR63">
        <f t="shared" si="56"/>
        <v>147185318.010153</v>
      </c>
      <c r="BS63">
        <f t="shared" si="57"/>
        <v>125656138.010153</v>
      </c>
      <c r="BU63">
        <f t="shared" si="16"/>
        <v>15</v>
      </c>
      <c r="BV63">
        <f t="shared" si="58"/>
        <v>2.5487744520569149</v>
      </c>
      <c r="BW63">
        <f t="shared" si="59"/>
        <v>4189935.4192852667</v>
      </c>
      <c r="BX63" s="5">
        <f t="shared" si="60"/>
        <v>2576922.6863532495</v>
      </c>
      <c r="BY63" s="5">
        <f t="shared" si="61"/>
        <v>2073418.3392972494</v>
      </c>
      <c r="BZ63" s="5">
        <f t="shared" si="62"/>
        <v>6324844</v>
      </c>
      <c r="CA63" s="5">
        <f t="shared" si="63"/>
        <v>6263353.7585825156</v>
      </c>
      <c r="CC63" s="5">
        <f t="shared" si="64"/>
        <v>147185318.010153</v>
      </c>
      <c r="CD63" s="5" t="str">
        <f t="shared" si="65"/>
        <v>New Jersey</v>
      </c>
      <c r="CE63" s="5">
        <f t="shared" si="1"/>
        <v>0.24598401518308186</v>
      </c>
      <c r="CF63" s="10">
        <f t="shared" si="66"/>
        <v>0.14627260579424706</v>
      </c>
    </row>
    <row r="64" spans="1:87" x14ac:dyDescent="0.2">
      <c r="A64">
        <v>31000000001612</v>
      </c>
      <c r="B64">
        <v>2021</v>
      </c>
      <c r="C64">
        <v>582</v>
      </c>
      <c r="D64" t="s">
        <v>175</v>
      </c>
      <c r="E64">
        <v>6</v>
      </c>
      <c r="F64" t="s">
        <v>176</v>
      </c>
      <c r="G64" t="s">
        <v>177</v>
      </c>
      <c r="H64" t="s">
        <v>178</v>
      </c>
      <c r="I64" t="b">
        <v>1</v>
      </c>
      <c r="J64">
        <v>1759508</v>
      </c>
      <c r="K64">
        <v>4695759</v>
      </c>
      <c r="M64">
        <v>195943</v>
      </c>
      <c r="N64">
        <v>-14765458</v>
      </c>
      <c r="O64">
        <v>4710584</v>
      </c>
      <c r="Q64">
        <v>-12823545</v>
      </c>
      <c r="R64">
        <v>87522679</v>
      </c>
      <c r="S64">
        <v>74699134</v>
      </c>
      <c r="T64">
        <v>2685</v>
      </c>
      <c r="U64">
        <v>2933363</v>
      </c>
      <c r="V64">
        <v>883659</v>
      </c>
      <c r="W64">
        <v>5902191</v>
      </c>
      <c r="X64">
        <v>1288</v>
      </c>
      <c r="Y64">
        <v>9043</v>
      </c>
      <c r="Z64">
        <v>403</v>
      </c>
      <c r="AA64">
        <v>5003963</v>
      </c>
      <c r="AB64">
        <v>21529180</v>
      </c>
      <c r="AC64">
        <v>26533143</v>
      </c>
      <c r="AD64">
        <v>48165991</v>
      </c>
      <c r="AE64">
        <v>65993499</v>
      </c>
      <c r="AF64">
        <v>-17827508</v>
      </c>
      <c r="AG64">
        <v>11339929</v>
      </c>
      <c r="AI64" t="b">
        <v>1</v>
      </c>
      <c r="AK64">
        <v>5.3999999999999999E-2</v>
      </c>
      <c r="AL64">
        <v>7.0000000000000007E-2</v>
      </c>
      <c r="AM64">
        <v>7.0000000000000007E-2</v>
      </c>
      <c r="AN64">
        <v>7.0000000000000007E-2</v>
      </c>
      <c r="AO64">
        <v>1</v>
      </c>
      <c r="AS64">
        <v>56988413</v>
      </c>
      <c r="AT64">
        <v>40755711</v>
      </c>
      <c r="BB64">
        <f t="shared" si="44"/>
        <v>0.35520014194542066</v>
      </c>
      <c r="BD64">
        <f t="shared" si="45"/>
        <v>8822422</v>
      </c>
      <c r="BE64">
        <f t="shared" si="46"/>
        <v>-7410280</v>
      </c>
      <c r="BF64">
        <f t="shared" si="47"/>
        <v>11.810608139044824</v>
      </c>
      <c r="BG64">
        <f t="shared" si="48"/>
        <v>-9.9201685524225756</v>
      </c>
      <c r="BH64">
        <f t="shared" si="49"/>
        <v>10.865388345733701</v>
      </c>
      <c r="BI64">
        <f t="shared" si="50"/>
        <v>94.521979331112462</v>
      </c>
      <c r="BJ64">
        <f t="shared" si="51"/>
        <v>11</v>
      </c>
      <c r="BK64">
        <f>IF($BJ64&lt;=30,IF($B64=2015,VLOOKUP($BJ64,'Treasury Yields'!$C$5:$N$34,$E64,FALSE)/100,IF($B64=2016,VLOOKUP($BJ64,'Treasury Yields'!$C$40:$N$69,$E64,FALSE)/100,IF($B64=2017,VLOOKUP($BJ64,'Treasury Yields'!$C$75:$N$104,$E64,FALSE)/100,IF($B64=2018,VLOOKUP($BJ64,'Treasury Yields'!$C$110:$N$139,$E64,FALSE)/100,IF($B64=2019,VLOOKUP($BJ64,'Treasury Yields'!$C$145:$N$174,$E64,FALSE)/100,IF($B64=2020,VLOOKUP($BJ64,'Treasury Yields'!$C$180:$N$209,$E64,FALSE)/100,IF($B64=2021,VLOOKUP($BJ64,'Treasury Yields'!$C$215:$N$244,$E64,FALSE)/100,IF($B64=2022,VLOOKUP($BJ64,'Treasury Yields'!$C$250:$N$279,$E64,FALSE)/100)))))))),0)</f>
        <v>1.4551090909090908E-2</v>
      </c>
      <c r="BL64">
        <f t="shared" si="52"/>
        <v>1.6055485121393831</v>
      </c>
      <c r="BM64">
        <f t="shared" si="53"/>
        <v>140521907.04690284</v>
      </c>
      <c r="BN64">
        <f t="shared" si="54"/>
        <v>118992727.04690284</v>
      </c>
      <c r="BP64">
        <f>IF($BJ64&lt;=30,IF($B64=2015,VLOOKUP($BJ64,'Treasury Yields'!$C$40:$N$69,$E64,FALSE)/100,IF($B64=2016,VLOOKUP($BJ64,'Treasury Yields'!$C$75:$N$104,$E64,FALSE)/100,IF($B64=2017,VLOOKUP($BJ64,'Treasury Yields'!$C$110:$N$139,$E64,FALSE)/100,IF($B64=2018,VLOOKUP($BJ64,'Treasury Yields'!$C$145:$N$174,$E64,FALSE)/100,IF($B64=2019,VLOOKUP($BJ64,'Treasury Yields'!$C$180:$N$209,$E64,FALSE)/100,IF($B64=2020,VLOOKUP($BJ64,'Treasury Yields'!$C$215:$N$244,$E64,FALSE)/100,IF($B64=2021,VLOOKUP($BJ64,'Treasury Yields'!$C$250:$N$279,$E64,FALSE)/100,IF($B64=2022,VLOOKUP($BJ64,'Treasury Yields'!$C$285:$N$314,$E64,FALSE)/100)))))))),0)</f>
        <v>2.1554272727272727E-2</v>
      </c>
      <c r="BQ64">
        <f t="shared" si="55"/>
        <v>1.5287286290006676</v>
      </c>
      <c r="BR64">
        <f t="shared" si="56"/>
        <v>114194704.70735715</v>
      </c>
      <c r="BS64">
        <f t="shared" si="57"/>
        <v>87661561.707357153</v>
      </c>
      <c r="BU64">
        <f t="shared" si="16"/>
        <v>14</v>
      </c>
      <c r="BV64">
        <f t="shared" si="58"/>
        <v>2.6693741887186295</v>
      </c>
      <c r="BW64">
        <f t="shared" si="59"/>
        <v>4696785.2400439382</v>
      </c>
      <c r="BX64" s="5">
        <f t="shared" si="60"/>
        <v>2044546.257147752</v>
      </c>
      <c r="BY64" s="5">
        <f t="shared" si="61"/>
        <v>1731273.2017695701</v>
      </c>
      <c r="BZ64" s="5">
        <f t="shared" si="62"/>
        <v>6455267</v>
      </c>
      <c r="CA64" s="5">
        <f t="shared" si="63"/>
        <v>6428058.441813508</v>
      </c>
      <c r="CC64" s="5">
        <f t="shared" si="64"/>
        <v>114194704.70735715</v>
      </c>
      <c r="CD64" s="5" t="str">
        <f t="shared" si="65"/>
        <v>New Jersey</v>
      </c>
      <c r="CE64" s="5">
        <f t="shared" si="1"/>
        <v>0.35520014194542066</v>
      </c>
      <c r="CF64" s="10">
        <f t="shared" si="66"/>
        <v>0.23235002943433825</v>
      </c>
    </row>
    <row r="65" spans="1:85" x14ac:dyDescent="0.2">
      <c r="A65">
        <v>31000000001612</v>
      </c>
      <c r="B65">
        <v>2022</v>
      </c>
      <c r="C65">
        <v>582</v>
      </c>
      <c r="D65" t="s">
        <v>175</v>
      </c>
      <c r="E65">
        <v>6</v>
      </c>
      <c r="F65" t="s">
        <v>176</v>
      </c>
      <c r="G65" t="s">
        <v>177</v>
      </c>
      <c r="H65" t="s">
        <v>178</v>
      </c>
      <c r="I65" t="b">
        <v>1</v>
      </c>
      <c r="J65">
        <v>1195044</v>
      </c>
      <c r="K65">
        <v>5146966</v>
      </c>
      <c r="M65">
        <v>-20646</v>
      </c>
      <c r="N65">
        <v>110220</v>
      </c>
      <c r="O65">
        <v>4822987</v>
      </c>
      <c r="Q65">
        <v>1617984</v>
      </c>
      <c r="R65">
        <v>74699134</v>
      </c>
      <c r="S65">
        <v>76317118</v>
      </c>
      <c r="T65">
        <v>3758</v>
      </c>
      <c r="U65">
        <v>4188158</v>
      </c>
      <c r="V65">
        <v>907326</v>
      </c>
      <c r="W65">
        <v>-2166015</v>
      </c>
      <c r="X65">
        <v>9387</v>
      </c>
      <c r="Y65">
        <v>12635</v>
      </c>
      <c r="Z65">
        <v>396</v>
      </c>
      <c r="AA65">
        <v>-1892612</v>
      </c>
      <c r="AB65">
        <v>26533143</v>
      </c>
      <c r="AC65">
        <v>24640531</v>
      </c>
      <c r="AD65">
        <v>51676587</v>
      </c>
      <c r="AE65">
        <v>48165991</v>
      </c>
      <c r="AF65">
        <v>3510596</v>
      </c>
      <c r="AG65">
        <v>11509653</v>
      </c>
      <c r="AI65" t="b">
        <v>1</v>
      </c>
      <c r="AK65">
        <v>7.0000000000000007E-2</v>
      </c>
      <c r="AL65">
        <v>7.0000000000000007E-2</v>
      </c>
      <c r="AM65">
        <v>7.0000000000000007E-2</v>
      </c>
      <c r="AN65">
        <v>7.0000000000000007E-2</v>
      </c>
      <c r="AO65">
        <v>1</v>
      </c>
      <c r="AS65">
        <v>60591897</v>
      </c>
      <c r="AT65">
        <v>44166559</v>
      </c>
      <c r="AV65" t="s">
        <v>186</v>
      </c>
      <c r="BB65">
        <f t="shared" si="44"/>
        <v>0.32287030283297646</v>
      </c>
      <c r="BD65">
        <f t="shared" si="45"/>
        <v>8915310</v>
      </c>
      <c r="BE65">
        <f t="shared" si="46"/>
        <v>-7510028</v>
      </c>
      <c r="BF65">
        <f t="shared" si="47"/>
        <v>11.681926982620073</v>
      </c>
      <c r="BG65">
        <f t="shared" si="48"/>
        <v>-9.8405550377308533</v>
      </c>
      <c r="BH65">
        <f t="shared" si="49"/>
        <v>10.761241010175462</v>
      </c>
      <c r="BI65">
        <f t="shared" si="50"/>
        <v>92.068597244460932</v>
      </c>
      <c r="BJ65">
        <f t="shared" si="51"/>
        <v>11</v>
      </c>
      <c r="BK65">
        <f>IF($BJ65&lt;=30,IF($B65=2015,VLOOKUP($BJ65,'Treasury Yields'!$C$5:$N$34,$E65,FALSE)/100,IF($B65=2016,VLOOKUP($BJ65,'Treasury Yields'!$C$40:$N$69,$E65,FALSE)/100,IF($B65=2017,VLOOKUP($BJ65,'Treasury Yields'!$C$75:$N$104,$E65,FALSE)/100,IF($B65=2018,VLOOKUP($BJ65,'Treasury Yields'!$C$110:$N$139,$E65,FALSE)/100,IF($B65=2019,VLOOKUP($BJ65,'Treasury Yields'!$C$145:$N$174,$E65,FALSE)/100,IF($B65=2020,VLOOKUP($BJ65,'Treasury Yields'!$C$180:$N$209,$E65,FALSE)/100,IF($B65=2021,VLOOKUP($BJ65,'Treasury Yields'!$C$215:$N$244,$E65,FALSE)/100,IF($B65=2022,VLOOKUP($BJ65,'Treasury Yields'!$C$250:$N$279,$E65,FALSE)/100)))))))),0)</f>
        <v>2.1554272727272727E-2</v>
      </c>
      <c r="BL65">
        <f t="shared" si="52"/>
        <v>1.5236831355860321</v>
      </c>
      <c r="BM65">
        <f t="shared" si="53"/>
        <v>113817810.71868117</v>
      </c>
      <c r="BN65">
        <f t="shared" si="54"/>
        <v>87284667.718681172</v>
      </c>
      <c r="BP65">
        <f>IF($BJ65&lt;=30,IF($B65=2015,VLOOKUP($BJ65,'Treasury Yields'!$C$40:$N$69,$E65,FALSE)/100,IF($B65=2016,VLOOKUP($BJ65,'Treasury Yields'!$C$75:$N$104,$E65,FALSE)/100,IF($B65=2017,VLOOKUP($BJ65,'Treasury Yields'!$C$110:$N$139,$E65,FALSE)/100,IF($B65=2018,VLOOKUP($BJ65,'Treasury Yields'!$C$145:$N$174,$E65,FALSE)/100,IF($B65=2019,VLOOKUP($BJ65,'Treasury Yields'!$C$180:$N$209,$E65,FALSE)/100,IF($B65=2020,VLOOKUP($BJ65,'Treasury Yields'!$C$215:$N$244,$E65,FALSE)/100,IF($B65=2021,VLOOKUP($BJ65,'Treasury Yields'!$C$250:$N$279,$E65,FALSE)/100,IF($B65=2022,VLOOKUP($BJ65,'Treasury Yields'!$C$285:$N$314,$E65,FALSE)/100)))))))),0)</f>
        <v>3.1935909090909091E-2</v>
      </c>
      <c r="BQ65">
        <f t="shared" si="55"/>
        <v>1.4110657311226917</v>
      </c>
      <c r="BR65">
        <f t="shared" si="56"/>
        <v>107688469.90784673</v>
      </c>
      <c r="BS65">
        <f t="shared" si="57"/>
        <v>83047938.907846734</v>
      </c>
      <c r="BU65">
        <f t="shared" si="16"/>
        <v>14</v>
      </c>
      <c r="BV65">
        <f t="shared" si="58"/>
        <v>2.4156602670269729</v>
      </c>
      <c r="BW65">
        <f t="shared" si="59"/>
        <v>2886820.308148982</v>
      </c>
      <c r="BX65" s="5">
        <f t="shared" si="60"/>
        <v>2411527.4685299406</v>
      </c>
      <c r="BY65" s="5">
        <f t="shared" si="61"/>
        <v>1839624.8679962135</v>
      </c>
      <c r="BZ65" s="5">
        <f t="shared" si="62"/>
        <v>6342010</v>
      </c>
      <c r="CA65" s="5">
        <f t="shared" si="63"/>
        <v>4726445.176145196</v>
      </c>
      <c r="CC65" s="5">
        <f t="shared" si="64"/>
        <v>107688469.90784673</v>
      </c>
      <c r="CD65" s="5" t="str">
        <f t="shared" si="65"/>
        <v>New Jersey</v>
      </c>
      <c r="CE65" s="5">
        <f t="shared" si="1"/>
        <v>0.32287030283297646</v>
      </c>
      <c r="CF65" s="10">
        <f t="shared" si="66"/>
        <v>0.22881308482779886</v>
      </c>
    </row>
    <row r="66" spans="1:85" x14ac:dyDescent="0.2">
      <c r="A66">
        <v>1000000003402</v>
      </c>
      <c r="B66">
        <v>2015</v>
      </c>
      <c r="C66">
        <v>575</v>
      </c>
      <c r="D66" t="s">
        <v>187</v>
      </c>
      <c r="E66">
        <v>9</v>
      </c>
      <c r="F66" t="s">
        <v>188</v>
      </c>
      <c r="G66" t="s">
        <v>189</v>
      </c>
      <c r="H66" t="s">
        <v>69</v>
      </c>
      <c r="I66" t="b">
        <v>1</v>
      </c>
      <c r="J66">
        <v>660390</v>
      </c>
      <c r="K66">
        <v>2421604</v>
      </c>
      <c r="L66">
        <v>0</v>
      </c>
      <c r="M66">
        <v>-70200</v>
      </c>
      <c r="O66">
        <v>2080896</v>
      </c>
      <c r="P66">
        <v>55898</v>
      </c>
      <c r="Q66">
        <v>875000</v>
      </c>
      <c r="R66">
        <v>31338446</v>
      </c>
      <c r="S66">
        <v>32213446</v>
      </c>
      <c r="T66">
        <v>737677</v>
      </c>
      <c r="V66">
        <v>477918</v>
      </c>
      <c r="W66">
        <v>261461</v>
      </c>
      <c r="Y66">
        <v>19331</v>
      </c>
      <c r="Z66">
        <v>172982</v>
      </c>
      <c r="AA66">
        <v>-506087</v>
      </c>
      <c r="AB66">
        <v>22253818</v>
      </c>
      <c r="AC66">
        <v>21747731</v>
      </c>
      <c r="AD66">
        <v>10465715</v>
      </c>
      <c r="AE66">
        <v>9084628</v>
      </c>
      <c r="AF66">
        <v>1381087</v>
      </c>
      <c r="AG66">
        <v>6541054</v>
      </c>
      <c r="AH66">
        <v>0.11277647302712988</v>
      </c>
      <c r="AI66" t="b">
        <v>1</v>
      </c>
      <c r="AK66">
        <v>0.08</v>
      </c>
      <c r="AL66">
        <v>0.08</v>
      </c>
      <c r="AM66">
        <v>0.08</v>
      </c>
      <c r="AN66">
        <v>0.08</v>
      </c>
      <c r="AO66">
        <v>1</v>
      </c>
      <c r="AP66">
        <v>0</v>
      </c>
      <c r="AS66">
        <v>13845362</v>
      </c>
      <c r="AT66">
        <v>7599251</v>
      </c>
      <c r="BB66">
        <f t="shared" si="44"/>
        <v>0.67511346038545517</v>
      </c>
      <c r="BD66">
        <f t="shared" ref="BD66:BD73" si="67">AS66-AD66</f>
        <v>3379647</v>
      </c>
      <c r="BE66">
        <f t="shared" ref="BE66:BE73" si="68">AT66-AD66</f>
        <v>-2866464</v>
      </c>
      <c r="BF66">
        <f t="shared" ref="BF66:BF73" si="69">BD66/S66*100</f>
        <v>10.491417155432549</v>
      </c>
      <c r="BG66">
        <f t="shared" ref="BG66:BG73" si="70">BE66/S66*100</f>
        <v>-8.8983463613299865</v>
      </c>
      <c r="BH66">
        <f t="shared" ref="BH66:BH73" si="71">(BD66-BE66)/(2*S66)*100</f>
        <v>9.6948817583812676</v>
      </c>
      <c r="BI66">
        <f t="shared" ref="BI66:BI73" si="72">(BD66+BE66)/(2*S66*(0.01^2))</f>
        <v>79.653539705128097</v>
      </c>
      <c r="BJ66">
        <f t="shared" ref="BJ66:BJ73" si="73">ROUND(BH66,0)</f>
        <v>10</v>
      </c>
      <c r="BK66">
        <f>IF($BJ66&lt;=30,IF($B66=2015,VLOOKUP($BJ66,'Treasury Yields'!$C$5:$N$34,$E66,FALSE)/100,IF($B66=2016,VLOOKUP($BJ66,'Treasury Yields'!$C$40:$N$69,$E66,FALSE)/100,IF($B66=2017,VLOOKUP($BJ66,'Treasury Yields'!$C$75:$N$104,$E66,FALSE)/100,IF($B66=2018,VLOOKUP($BJ66,'Treasury Yields'!$C$110:$N$139,$E66,FALSE)/100,IF($B66=2019,VLOOKUP($BJ66,'Treasury Yields'!$C$145:$N$174,$E66,FALSE)/100,IF($B66=2020,VLOOKUP($BJ66,'Treasury Yields'!$C$180:$N$209,$E66,FALSE)/100,IF($B66=2021,VLOOKUP($BJ66,'Treasury Yields'!$C$215:$N$244,$E66,FALSE)/100,IF($B66=2022,VLOOKUP($BJ66,'Treasury Yields'!$C$250:$N$279,$E66,FALSE)/100)))))))),0)</f>
        <v>2.6720000000000001E-2</v>
      </c>
      <c r="BL66">
        <f t="shared" ref="BL66:BL73" si="74">1+BH66*(AL66-BK66)+(AL66-BK66)^2</f>
        <v>1.5193820584865538</v>
      </c>
      <c r="BM66">
        <f t="shared" ref="BM66:BM73" si="75">BL66*R66</f>
        <v>47615072.593249708</v>
      </c>
      <c r="BN66">
        <f t="shared" ref="BN66:BN73" si="76">BM66-AB66</f>
        <v>25361254.593249708</v>
      </c>
      <c r="BP66">
        <f>IF($BJ66&lt;=30,IF($B66=2015,VLOOKUP($BJ66,'Treasury Yields'!$C$40:$N$69,$E66,FALSE)/100,IF($B66=2016,VLOOKUP($BJ66,'Treasury Yields'!$C$75:$N$104,$E66,FALSE)/100,IF($B66=2017,VLOOKUP($BJ66,'Treasury Yields'!$C$110:$N$139,$E66,FALSE)/100,IF($B66=2018,VLOOKUP($BJ66,'Treasury Yields'!$C$145:$N$174,$E66,FALSE)/100,IF($B66=2019,VLOOKUP($BJ66,'Treasury Yields'!$C$180:$N$209,$E66,FALSE)/100,IF($B66=2020,VLOOKUP($BJ66,'Treasury Yields'!$C$215:$N$244,$E66,FALSE)/100,IF($B66=2021,VLOOKUP($BJ66,'Treasury Yields'!$C$250:$N$279,$E66,FALSE)/100,IF($B66=2022,VLOOKUP($BJ66,'Treasury Yields'!$C$285:$N$314,$E66,FALSE)/100)))))))),0)</f>
        <v>2.2109999999999998E-2</v>
      </c>
      <c r="BQ66">
        <f t="shared" ref="BQ66:BQ73" si="77">1+BH66*(AN66-BP66)+(AN66-BP66)^2</f>
        <v>1.5645879570926917</v>
      </c>
      <c r="BR66">
        <f t="shared" ref="BR66:BR73" si="78">BQ66*S66</f>
        <v>50400769.668055743</v>
      </c>
      <c r="BS66">
        <f t="shared" ref="BS66:BS73" si="79">BR66-AC66</f>
        <v>28653038.668055743</v>
      </c>
      <c r="BU66">
        <f t="shared" si="16"/>
        <v>13</v>
      </c>
      <c r="BV66">
        <f t="shared" ref="BV66:BV73" si="80">1+(BH66+BU66)*(AN66-BK66)+(AN66-BK66)^2*BI66</f>
        <v>2.4353004550142199</v>
      </c>
      <c r="BW66">
        <f t="shared" ref="BW66:BW73" si="81">BV66*J66</f>
        <v>1608248.0674868408</v>
      </c>
      <c r="BX66" s="5">
        <f t="shared" ref="BX66:BX73" si="82">(BM66+BW66-O66)*BK66</f>
        <v>1259645.5869348806</v>
      </c>
      <c r="BY66" s="5">
        <f t="shared" ref="BY66:BY73" si="83">BK66*(BN66+BW66-O66)</f>
        <v>665023.56997488067</v>
      </c>
      <c r="BZ66" s="5">
        <f t="shared" ref="BZ66:BZ73" si="84">SUM(J66:K66)</f>
        <v>3081994</v>
      </c>
      <c r="CA66" s="5">
        <f t="shared" ref="CA66:CA73" si="85">SUM(BW66+BY66)</f>
        <v>2273271.6374617214</v>
      </c>
      <c r="CC66" s="5">
        <f t="shared" ref="CC66:CC73" si="86">BR66</f>
        <v>50400769.668055743</v>
      </c>
      <c r="CD66" s="5" t="str">
        <f t="shared" ref="CD66:CD73" si="87">F66</f>
        <v>Alabama</v>
      </c>
      <c r="CE66" s="5">
        <f t="shared" ref="CE66:CE129" si="88">BB66</f>
        <v>0.67511346038545517</v>
      </c>
      <c r="CF66" s="10">
        <f t="shared" ref="CF66:CF73" si="89">AC66/CC66</f>
        <v>0.43149600974811736</v>
      </c>
      <c r="CG66" s="7"/>
    </row>
    <row r="67" spans="1:85" x14ac:dyDescent="0.2">
      <c r="A67">
        <v>1000000003402</v>
      </c>
      <c r="B67">
        <v>2016</v>
      </c>
      <c r="C67">
        <v>575</v>
      </c>
      <c r="D67" t="s">
        <v>187</v>
      </c>
      <c r="E67">
        <v>9</v>
      </c>
      <c r="F67" t="s">
        <v>188</v>
      </c>
      <c r="G67" t="s">
        <v>189</v>
      </c>
      <c r="H67" t="s">
        <v>69</v>
      </c>
      <c r="I67" t="b">
        <v>1</v>
      </c>
      <c r="J67">
        <v>627938</v>
      </c>
      <c r="K67">
        <v>2488310</v>
      </c>
      <c r="L67">
        <v>0</v>
      </c>
      <c r="M67">
        <v>-290388</v>
      </c>
      <c r="N67">
        <v>942133</v>
      </c>
      <c r="O67">
        <v>2161570</v>
      </c>
      <c r="P67">
        <v>57566</v>
      </c>
      <c r="Q67">
        <v>1548857</v>
      </c>
      <c r="R67">
        <v>32213446</v>
      </c>
      <c r="S67">
        <v>33762303</v>
      </c>
      <c r="T67">
        <v>751909</v>
      </c>
      <c r="V67">
        <v>475980</v>
      </c>
      <c r="W67">
        <v>2199396</v>
      </c>
      <c r="Y67">
        <v>19582</v>
      </c>
      <c r="Z67">
        <v>0</v>
      </c>
      <c r="AA67">
        <v>1188567</v>
      </c>
      <c r="AB67">
        <v>21747731</v>
      </c>
      <c r="AC67">
        <v>22936298</v>
      </c>
      <c r="AD67">
        <v>10826005</v>
      </c>
      <c r="AE67">
        <v>10465715</v>
      </c>
      <c r="AF67">
        <v>360290</v>
      </c>
      <c r="AG67">
        <v>6541310</v>
      </c>
      <c r="AH67">
        <v>0.11494777040073013</v>
      </c>
      <c r="AI67" t="b">
        <v>1</v>
      </c>
      <c r="AK67">
        <v>0.08</v>
      </c>
      <c r="AL67">
        <v>7.7499999999999999E-2</v>
      </c>
      <c r="AM67">
        <v>0.08</v>
      </c>
      <c r="AN67">
        <v>0.08</v>
      </c>
      <c r="AO67">
        <v>1</v>
      </c>
      <c r="AP67">
        <v>2.5000000000000022E-3</v>
      </c>
      <c r="AS67">
        <v>14422630</v>
      </c>
      <c r="AT67">
        <v>7781048</v>
      </c>
      <c r="AU67" t="s">
        <v>190</v>
      </c>
      <c r="AV67" t="s">
        <v>191</v>
      </c>
      <c r="BB67">
        <f t="shared" si="44"/>
        <v>0.67934637041791845</v>
      </c>
      <c r="BD67">
        <f t="shared" si="67"/>
        <v>3596625</v>
      </c>
      <c r="BE67">
        <f t="shared" si="68"/>
        <v>-3044957</v>
      </c>
      <c r="BF67">
        <f t="shared" si="69"/>
        <v>10.652783372034781</v>
      </c>
      <c r="BG67">
        <f t="shared" si="70"/>
        <v>-9.0188071589784613</v>
      </c>
      <c r="BH67">
        <f t="shared" si="71"/>
        <v>9.8357952655066203</v>
      </c>
      <c r="BI67">
        <f t="shared" si="72"/>
        <v>81.698810652815951</v>
      </c>
      <c r="BJ67">
        <f t="shared" si="73"/>
        <v>10</v>
      </c>
      <c r="BK67">
        <f>IF($BJ67&lt;=30,IF($B67=2015,VLOOKUP($BJ67,'Treasury Yields'!$C$5:$N$34,$E67,FALSE)/100,IF($B67=2016,VLOOKUP($BJ67,'Treasury Yields'!$C$40:$N$69,$E67,FALSE)/100,IF($B67=2017,VLOOKUP($BJ67,'Treasury Yields'!$C$75:$N$104,$E67,FALSE)/100,IF($B67=2018,VLOOKUP($BJ67,'Treasury Yields'!$C$110:$N$139,$E67,FALSE)/100,IF($B67=2019,VLOOKUP($BJ67,'Treasury Yields'!$C$145:$N$174,$E67,FALSE)/100,IF($B67=2020,VLOOKUP($BJ67,'Treasury Yields'!$C$180:$N$209,$E67,FALSE)/100,IF($B67=2021,VLOOKUP($BJ67,'Treasury Yields'!$C$215:$N$244,$E67,FALSE)/100,IF($B67=2022,VLOOKUP($BJ67,'Treasury Yields'!$C$250:$N$279,$E67,FALSE)/100)))))))),0)</f>
        <v>2.2109999999999998E-2</v>
      </c>
      <c r="BL67">
        <f t="shared" si="74"/>
        <v>1.5478727518564117</v>
      </c>
      <c r="BM67">
        <f t="shared" si="75"/>
        <v>49862315.306797922</v>
      </c>
      <c r="BN67">
        <f t="shared" si="76"/>
        <v>28114584.306797922</v>
      </c>
      <c r="BP67">
        <f>IF($BJ67&lt;=30,IF($B67=2015,VLOOKUP($BJ67,'Treasury Yields'!$C$40:$N$69,$E67,FALSE)/100,IF($B67=2016,VLOOKUP($BJ67,'Treasury Yields'!$C$75:$N$104,$E67,FALSE)/100,IF($B67=2017,VLOOKUP($BJ67,'Treasury Yields'!$C$110:$N$139,$E67,FALSE)/100,IF($B67=2018,VLOOKUP($BJ67,'Treasury Yields'!$C$145:$N$174,$E67,FALSE)/100,IF($B67=2019,VLOOKUP($BJ67,'Treasury Yields'!$C$180:$N$209,$E67,FALSE)/100,IF($B67=2020,VLOOKUP($BJ67,'Treasury Yields'!$C$215:$N$244,$E67,FALSE)/100,IF($B67=2021,VLOOKUP($BJ67,'Treasury Yields'!$C$250:$N$279,$E67,FALSE)/100,IF($B67=2022,VLOOKUP($BJ67,'Treasury Yields'!$C$285:$N$314,$E67,FALSE)/100)))))))),0)</f>
        <v>1.7729999999999999E-2</v>
      </c>
      <c r="BQ67">
        <f t="shared" si="77"/>
        <v>1.6163525240830972</v>
      </c>
      <c r="BR67">
        <f t="shared" si="78"/>
        <v>54571783.672908321</v>
      </c>
      <c r="BS67">
        <f t="shared" si="79"/>
        <v>31635485.672908321</v>
      </c>
      <c r="BU67">
        <f t="shared" ref="BU67:BU130" si="90">IF(BJ67="","",ROUND(BJ67+$BT$2,0))</f>
        <v>13</v>
      </c>
      <c r="BV67">
        <f t="shared" si="80"/>
        <v>2.5957574986879304</v>
      </c>
      <c r="BW67">
        <f t="shared" si="81"/>
        <v>1629974.7722111016</v>
      </c>
      <c r="BX67" s="5">
        <f t="shared" si="82"/>
        <v>1090702.2209468894</v>
      </c>
      <c r="BY67" s="5">
        <f t="shared" si="83"/>
        <v>609859.88853688946</v>
      </c>
      <c r="BZ67" s="5">
        <f t="shared" si="84"/>
        <v>3116248</v>
      </c>
      <c r="CA67" s="5">
        <f t="shared" si="85"/>
        <v>2239834.6607479909</v>
      </c>
      <c r="CC67" s="5">
        <f t="shared" si="86"/>
        <v>54571783.672908321</v>
      </c>
      <c r="CD67" s="5" t="str">
        <f t="shared" si="87"/>
        <v>Alabama</v>
      </c>
      <c r="CE67" s="5">
        <f t="shared" si="88"/>
        <v>0.67934637041791845</v>
      </c>
      <c r="CF67" s="10">
        <f t="shared" si="89"/>
        <v>0.42029591954471013</v>
      </c>
      <c r="CG67" s="7"/>
    </row>
    <row r="68" spans="1:85" x14ac:dyDescent="0.2">
      <c r="A68">
        <v>1000000003402</v>
      </c>
      <c r="B68">
        <v>2017</v>
      </c>
      <c r="C68">
        <v>575</v>
      </c>
      <c r="D68" t="s">
        <v>187</v>
      </c>
      <c r="E68">
        <v>9</v>
      </c>
      <c r="F68" t="s">
        <v>188</v>
      </c>
      <c r="G68" t="s">
        <v>189</v>
      </c>
      <c r="H68" t="s">
        <v>69</v>
      </c>
      <c r="I68" t="b">
        <v>1</v>
      </c>
      <c r="J68">
        <v>617120</v>
      </c>
      <c r="K68">
        <v>2532457</v>
      </c>
      <c r="L68">
        <v>0</v>
      </c>
      <c r="M68">
        <v>-261067</v>
      </c>
      <c r="N68">
        <v>0</v>
      </c>
      <c r="O68">
        <v>2117351</v>
      </c>
      <c r="P68">
        <v>53526</v>
      </c>
      <c r="Q68">
        <v>717633</v>
      </c>
      <c r="R68">
        <v>33762303</v>
      </c>
      <c r="S68">
        <v>34479936</v>
      </c>
      <c r="T68">
        <v>782702</v>
      </c>
      <c r="V68">
        <v>489638</v>
      </c>
      <c r="W68">
        <v>2636098</v>
      </c>
      <c r="Y68">
        <v>22402</v>
      </c>
      <c r="Z68">
        <v>0</v>
      </c>
      <c r="AA68">
        <v>1715159</v>
      </c>
      <c r="AB68">
        <v>22936298</v>
      </c>
      <c r="AC68">
        <v>24651457</v>
      </c>
      <c r="AD68">
        <v>9828479</v>
      </c>
      <c r="AE68">
        <v>10826005</v>
      </c>
      <c r="AF68">
        <v>-997526</v>
      </c>
      <c r="AG68">
        <v>6623929</v>
      </c>
      <c r="AH68">
        <v>0.11816280035610285</v>
      </c>
      <c r="AI68" t="b">
        <v>1</v>
      </c>
      <c r="AK68">
        <v>7.7499999999999999E-2</v>
      </c>
      <c r="AL68">
        <v>7.7499999999999999E-2</v>
      </c>
      <c r="AM68">
        <v>7.7499999999999999E-2</v>
      </c>
      <c r="AN68">
        <v>0.08</v>
      </c>
      <c r="AO68">
        <v>1</v>
      </c>
      <c r="AP68">
        <v>0</v>
      </c>
      <c r="AS68">
        <v>13556622</v>
      </c>
      <c r="AT68">
        <v>6674759</v>
      </c>
      <c r="AU68" t="s">
        <v>192</v>
      </c>
      <c r="AV68" t="s">
        <v>193</v>
      </c>
      <c r="BB68">
        <f t="shared" si="44"/>
        <v>0.7149507760107211</v>
      </c>
      <c r="BD68">
        <f t="shared" si="67"/>
        <v>3728143</v>
      </c>
      <c r="BE68">
        <f t="shared" si="68"/>
        <v>-3153720</v>
      </c>
      <c r="BF68">
        <f t="shared" si="69"/>
        <v>10.812499767981008</v>
      </c>
      <c r="BG68">
        <f t="shared" si="70"/>
        <v>-9.1465366989080259</v>
      </c>
      <c r="BH68">
        <f t="shared" si="71"/>
        <v>9.9795182334445158</v>
      </c>
      <c r="BI68">
        <f t="shared" si="72"/>
        <v>83.298153453649093</v>
      </c>
      <c r="BJ68">
        <f t="shared" si="73"/>
        <v>10</v>
      </c>
      <c r="BK68">
        <f>IF($BJ68&lt;=30,IF($B68=2015,VLOOKUP($BJ68,'Treasury Yields'!$C$5:$N$34,$E68,FALSE)/100,IF($B68=2016,VLOOKUP($BJ68,'Treasury Yields'!$C$40:$N$69,$E68,FALSE)/100,IF($B68=2017,VLOOKUP($BJ68,'Treasury Yields'!$C$75:$N$104,$E68,FALSE)/100,IF($B68=2018,VLOOKUP($BJ68,'Treasury Yields'!$C$110:$N$139,$E68,FALSE)/100,IF($B68=2019,VLOOKUP($BJ68,'Treasury Yields'!$C$145:$N$174,$E68,FALSE)/100,IF($B68=2020,VLOOKUP($BJ68,'Treasury Yields'!$C$180:$N$209,$E68,FALSE)/100,IF($B68=2021,VLOOKUP($BJ68,'Treasury Yields'!$C$215:$N$244,$E68,FALSE)/100,IF($B68=2022,VLOOKUP($BJ68,'Treasury Yields'!$C$250:$N$279,$E68,FALSE)/100)))))))),0)</f>
        <v>1.7729999999999999E-2</v>
      </c>
      <c r="BL68">
        <f t="shared" si="74"/>
        <v>1.6000482577129789</v>
      </c>
      <c r="BM68">
        <f t="shared" si="75"/>
        <v>54021314.091527678</v>
      </c>
      <c r="BN68">
        <f t="shared" si="76"/>
        <v>31085016.091527678</v>
      </c>
      <c r="BP68">
        <f>IF($BJ68&lt;=30,IF($B68=2015,VLOOKUP($BJ68,'Treasury Yields'!$C$40:$N$69,$E68,FALSE)/100,IF($B68=2016,VLOOKUP($BJ68,'Treasury Yields'!$C$75:$N$104,$E68,FALSE)/100,IF($B68=2017,VLOOKUP($BJ68,'Treasury Yields'!$C$110:$N$139,$E68,FALSE)/100,IF($B68=2018,VLOOKUP($BJ68,'Treasury Yields'!$C$145:$N$174,$E68,FALSE)/100,IF($B68=2019,VLOOKUP($BJ68,'Treasury Yields'!$C$180:$N$209,$E68,FALSE)/100,IF($B68=2020,VLOOKUP($BJ68,'Treasury Yields'!$C$215:$N$244,$E68,FALSE)/100,IF($B68=2021,VLOOKUP($BJ68,'Treasury Yields'!$C$250:$N$279,$E68,FALSE)/100,IF($B68=2022,VLOOKUP($BJ68,'Treasury Yields'!$C$285:$N$314,$E68,FALSE)/100)))))))),0)</f>
        <v>2.4629999999999999E-2</v>
      </c>
      <c r="BQ68">
        <f t="shared" si="77"/>
        <v>1.5556317614858231</v>
      </c>
      <c r="BR68">
        <f t="shared" si="78"/>
        <v>53638083.575598441</v>
      </c>
      <c r="BS68">
        <f t="shared" si="79"/>
        <v>28986626.575598441</v>
      </c>
      <c r="BU68">
        <f t="shared" si="90"/>
        <v>13</v>
      </c>
      <c r="BV68">
        <f t="shared" si="80"/>
        <v>2.7539275968854322</v>
      </c>
      <c r="BW68">
        <f t="shared" si="81"/>
        <v>1699503.7985899379</v>
      </c>
      <c r="BX68" s="5">
        <f t="shared" si="82"/>
        <v>950389.46796178527</v>
      </c>
      <c r="BY68" s="5">
        <f t="shared" si="83"/>
        <v>543728.90442178526</v>
      </c>
      <c r="BZ68" s="5">
        <f t="shared" si="84"/>
        <v>3149577</v>
      </c>
      <c r="CA68" s="5">
        <f t="shared" si="85"/>
        <v>2243232.7030117232</v>
      </c>
      <c r="CC68" s="5">
        <f t="shared" si="86"/>
        <v>53638083.575598441</v>
      </c>
      <c r="CD68" s="5" t="str">
        <f t="shared" si="87"/>
        <v>Alabama</v>
      </c>
      <c r="CE68" s="5">
        <f t="shared" si="88"/>
        <v>0.7149507760107211</v>
      </c>
      <c r="CF68" s="10">
        <f t="shared" si="89"/>
        <v>0.4595886981169976</v>
      </c>
      <c r="CG68" s="7"/>
    </row>
    <row r="69" spans="1:85" x14ac:dyDescent="0.2">
      <c r="A69">
        <v>1000000003402</v>
      </c>
      <c r="B69">
        <v>2018</v>
      </c>
      <c r="C69">
        <v>575</v>
      </c>
      <c r="D69" t="s">
        <v>187</v>
      </c>
      <c r="E69">
        <v>9</v>
      </c>
      <c r="F69" t="s">
        <v>188</v>
      </c>
      <c r="G69" t="s">
        <v>189</v>
      </c>
      <c r="H69" t="s">
        <v>69</v>
      </c>
      <c r="I69" t="b">
        <v>1</v>
      </c>
      <c r="J69">
        <v>637532</v>
      </c>
      <c r="K69">
        <v>2584330</v>
      </c>
      <c r="L69">
        <v>0</v>
      </c>
      <c r="M69">
        <v>265644</v>
      </c>
      <c r="N69">
        <v>178049</v>
      </c>
      <c r="O69">
        <v>2208925</v>
      </c>
      <c r="P69">
        <v>58522</v>
      </c>
      <c r="Q69">
        <v>1398078</v>
      </c>
      <c r="R69">
        <v>34479936</v>
      </c>
      <c r="S69">
        <v>35878014</v>
      </c>
      <c r="T69">
        <v>802598</v>
      </c>
      <c r="V69">
        <v>493466</v>
      </c>
      <c r="W69">
        <v>2264234</v>
      </c>
      <c r="Y69">
        <v>22290</v>
      </c>
      <c r="Z69">
        <v>13445</v>
      </c>
      <c r="AA69">
        <v>1283976</v>
      </c>
      <c r="AB69">
        <v>24651457</v>
      </c>
      <c r="AC69">
        <v>25935433</v>
      </c>
      <c r="AD69">
        <v>9942581</v>
      </c>
      <c r="AE69">
        <v>9828479</v>
      </c>
      <c r="AF69">
        <v>114102</v>
      </c>
      <c r="AG69">
        <v>6899800</v>
      </c>
      <c r="AH69">
        <v>0.11632192237456158</v>
      </c>
      <c r="AI69" t="b">
        <v>1</v>
      </c>
      <c r="AK69">
        <v>7.7499999999999999E-2</v>
      </c>
      <c r="AL69">
        <v>7.6999999999999999E-2</v>
      </c>
      <c r="AM69">
        <v>7.6999999999999999E-2</v>
      </c>
      <c r="AN69">
        <v>7.7499999999999999E-2</v>
      </c>
      <c r="AO69">
        <v>1</v>
      </c>
      <c r="AP69">
        <v>0</v>
      </c>
      <c r="AS69">
        <v>13840181</v>
      </c>
      <c r="AT69">
        <v>6645815</v>
      </c>
      <c r="BB69">
        <f t="shared" si="44"/>
        <v>0.72287816711370922</v>
      </c>
      <c r="BD69">
        <f t="shared" si="67"/>
        <v>3897600</v>
      </c>
      <c r="BE69">
        <f t="shared" si="68"/>
        <v>-3296766</v>
      </c>
      <c r="BF69">
        <f t="shared" si="69"/>
        <v>10.863477560380014</v>
      </c>
      <c r="BG69">
        <f t="shared" si="70"/>
        <v>-9.1888196487129967</v>
      </c>
      <c r="BH69">
        <f t="shared" si="71"/>
        <v>10.026148604546506</v>
      </c>
      <c r="BI69">
        <f t="shared" si="72"/>
        <v>83.732895583350839</v>
      </c>
      <c r="BJ69">
        <f t="shared" si="73"/>
        <v>10</v>
      </c>
      <c r="BK69">
        <f>IF($BJ69&lt;=30,IF($B69=2015,VLOOKUP($BJ69,'Treasury Yields'!$C$5:$N$34,$E69,FALSE)/100,IF($B69=2016,VLOOKUP($BJ69,'Treasury Yields'!$C$40:$N$69,$E69,FALSE)/100,IF($B69=2017,VLOOKUP($BJ69,'Treasury Yields'!$C$75:$N$104,$E69,FALSE)/100,IF($B69=2018,VLOOKUP($BJ69,'Treasury Yields'!$C$110:$N$139,$E69,FALSE)/100,IF($B69=2019,VLOOKUP($BJ69,'Treasury Yields'!$C$145:$N$174,$E69,FALSE)/100,IF($B69=2020,VLOOKUP($BJ69,'Treasury Yields'!$C$180:$N$209,$E69,FALSE)/100,IF($B69=2021,VLOOKUP($BJ69,'Treasury Yields'!$C$215:$N$244,$E69,FALSE)/100,IF($B69=2022,VLOOKUP($BJ69,'Treasury Yields'!$C$250:$N$279,$E69,FALSE)/100)))))))),0)</f>
        <v>2.4629999999999999E-2</v>
      </c>
      <c r="BL69">
        <f t="shared" si="74"/>
        <v>1.5278120193201006</v>
      </c>
      <c r="BM69">
        <f t="shared" si="75"/>
        <v>52678860.646187834</v>
      </c>
      <c r="BN69">
        <f t="shared" si="76"/>
        <v>28027403.646187834</v>
      </c>
      <c r="BP69">
        <f>IF($BJ69&lt;=30,IF($B69=2015,VLOOKUP($BJ69,'Treasury Yields'!$C$40:$N$69,$E69,FALSE)/100,IF($B69=2016,VLOOKUP($BJ69,'Treasury Yields'!$C$75:$N$104,$E69,FALSE)/100,IF($B69=2017,VLOOKUP($BJ69,'Treasury Yields'!$C$110:$N$139,$E69,FALSE)/100,IF($B69=2018,VLOOKUP($BJ69,'Treasury Yields'!$C$145:$N$174,$E69,FALSE)/100,IF($B69=2019,VLOOKUP($BJ69,'Treasury Yields'!$C$180:$N$209,$E69,FALSE)/100,IF($B69=2020,VLOOKUP($BJ69,'Treasury Yields'!$C$215:$N$244,$E69,FALSE)/100,IF($B69=2021,VLOOKUP($BJ69,'Treasury Yields'!$C$250:$N$279,$E69,FALSE)/100,IF($B69=2022,VLOOKUP($BJ69,'Treasury Yields'!$C$285:$N$314,$E69,FALSE)/100)))))))),0)</f>
        <v>3.1660000000000001E-2</v>
      </c>
      <c r="BQ69">
        <f t="shared" si="77"/>
        <v>1.4616999576324119</v>
      </c>
      <c r="BR69">
        <f t="shared" si="78"/>
        <v>52442891.543735079</v>
      </c>
      <c r="BS69">
        <f t="shared" si="79"/>
        <v>26507458.543735079</v>
      </c>
      <c r="BU69">
        <f t="shared" si="90"/>
        <v>13</v>
      </c>
      <c r="BV69">
        <f t="shared" si="80"/>
        <v>2.451445756200803</v>
      </c>
      <c r="BW69">
        <f t="shared" si="81"/>
        <v>1562875.1158422104</v>
      </c>
      <c r="BX69" s="5">
        <f t="shared" si="82"/>
        <v>1281568.1290688</v>
      </c>
      <c r="BY69" s="5">
        <f t="shared" si="83"/>
        <v>674402.74315880006</v>
      </c>
      <c r="BZ69" s="5">
        <f t="shared" si="84"/>
        <v>3221862</v>
      </c>
      <c r="CA69" s="5">
        <f t="shared" si="85"/>
        <v>2237277.8590010107</v>
      </c>
      <c r="CC69" s="5">
        <f t="shared" si="86"/>
        <v>52442891.543735079</v>
      </c>
      <c r="CD69" s="5" t="str">
        <f t="shared" si="87"/>
        <v>Alabama</v>
      </c>
      <c r="CE69" s="5">
        <f t="shared" si="88"/>
        <v>0.72287816711370922</v>
      </c>
      <c r="CF69" s="10">
        <f t="shared" si="89"/>
        <v>0.4945462051490998</v>
      </c>
      <c r="CG69" s="7"/>
    </row>
    <row r="70" spans="1:85" x14ac:dyDescent="0.2">
      <c r="A70">
        <v>1000000003402</v>
      </c>
      <c r="B70">
        <v>2019</v>
      </c>
      <c r="C70">
        <v>575</v>
      </c>
      <c r="D70" t="s">
        <v>187</v>
      </c>
      <c r="E70">
        <v>9</v>
      </c>
      <c r="F70" t="s">
        <v>188</v>
      </c>
      <c r="G70" t="s">
        <v>189</v>
      </c>
      <c r="H70" t="s">
        <v>69</v>
      </c>
      <c r="I70" t="b">
        <v>1</v>
      </c>
      <c r="J70">
        <v>645409</v>
      </c>
      <c r="K70">
        <v>2674266</v>
      </c>
      <c r="L70">
        <v>0</v>
      </c>
      <c r="M70">
        <v>-226777</v>
      </c>
      <c r="N70">
        <v>0</v>
      </c>
      <c r="O70">
        <v>2238966</v>
      </c>
      <c r="P70">
        <v>55596</v>
      </c>
      <c r="Q70">
        <v>798336</v>
      </c>
      <c r="R70">
        <v>35878014</v>
      </c>
      <c r="S70">
        <v>36676350</v>
      </c>
      <c r="T70">
        <v>869336</v>
      </c>
      <c r="V70">
        <v>522909</v>
      </c>
      <c r="W70">
        <v>614427</v>
      </c>
      <c r="Y70">
        <v>28095</v>
      </c>
      <c r="Z70">
        <v>0</v>
      </c>
      <c r="AA70">
        <v>-315985</v>
      </c>
      <c r="AB70">
        <v>25935433</v>
      </c>
      <c r="AC70">
        <v>25619448</v>
      </c>
      <c r="AD70">
        <v>11056902</v>
      </c>
      <c r="AE70">
        <v>9942581</v>
      </c>
      <c r="AF70">
        <v>1114321</v>
      </c>
      <c r="AG70">
        <v>6959168</v>
      </c>
      <c r="AH70">
        <v>0.12491953061055575</v>
      </c>
      <c r="AI70" t="b">
        <v>1</v>
      </c>
      <c r="AK70">
        <v>7.6999999999999999E-2</v>
      </c>
      <c r="AL70">
        <v>7.6999999999999999E-2</v>
      </c>
      <c r="AM70">
        <v>7.6999999999999999E-2</v>
      </c>
      <c r="AN70">
        <v>7.6999999999999999E-2</v>
      </c>
      <c r="AO70">
        <v>1</v>
      </c>
      <c r="AP70">
        <v>0</v>
      </c>
      <c r="AS70">
        <v>15010404</v>
      </c>
      <c r="AT70">
        <v>7711324</v>
      </c>
      <c r="AU70" t="s">
        <v>82</v>
      </c>
      <c r="AV70" t="s">
        <v>194</v>
      </c>
      <c r="BB70">
        <f t="shared" si="44"/>
        <v>0.6985277433550503</v>
      </c>
      <c r="BD70">
        <f t="shared" si="67"/>
        <v>3953502</v>
      </c>
      <c r="BE70">
        <f t="shared" si="68"/>
        <v>-3345578</v>
      </c>
      <c r="BF70">
        <f t="shared" si="69"/>
        <v>10.77943143197183</v>
      </c>
      <c r="BG70">
        <f t="shared" si="70"/>
        <v>-9.1218946269189818</v>
      </c>
      <c r="BH70">
        <f t="shared" si="71"/>
        <v>9.9506630294454048</v>
      </c>
      <c r="BI70">
        <f t="shared" si="72"/>
        <v>82.876840252642367</v>
      </c>
      <c r="BJ70">
        <f t="shared" si="73"/>
        <v>10</v>
      </c>
      <c r="BK70">
        <f>IF($BJ70&lt;=30,IF($B70=2015,VLOOKUP($BJ70,'Treasury Yields'!$C$5:$N$34,$E70,FALSE)/100,IF($B70=2016,VLOOKUP($BJ70,'Treasury Yields'!$C$40:$N$69,$E70,FALSE)/100,IF($B70=2017,VLOOKUP($BJ70,'Treasury Yields'!$C$75:$N$104,$E70,FALSE)/100,IF($B70=2018,VLOOKUP($BJ70,'Treasury Yields'!$C$110:$N$139,$E70,FALSE)/100,IF($B70=2019,VLOOKUP($BJ70,'Treasury Yields'!$C$145:$N$174,$E70,FALSE)/100,IF($B70=2020,VLOOKUP($BJ70,'Treasury Yields'!$C$180:$N$209,$E70,FALSE)/100,IF($B70=2021,VLOOKUP($BJ70,'Treasury Yields'!$C$215:$N$244,$E70,FALSE)/100,IF($B70=2022,VLOOKUP($BJ70,'Treasury Yields'!$C$250:$N$279,$E70,FALSE)/100)))))))),0)</f>
        <v>3.1660000000000001E-2</v>
      </c>
      <c r="BL70">
        <f t="shared" si="74"/>
        <v>1.4532187773550547</v>
      </c>
      <c r="BM70">
        <f t="shared" si="75"/>
        <v>52138603.639007531</v>
      </c>
      <c r="BN70">
        <f t="shared" si="76"/>
        <v>26203170.639007531</v>
      </c>
      <c r="BP70">
        <f>IF($BJ70&lt;=30,IF($B70=2015,VLOOKUP($BJ70,'Treasury Yields'!$C$40:$N$69,$E70,FALSE)/100,IF($B70=2016,VLOOKUP($BJ70,'Treasury Yields'!$C$75:$N$104,$E70,FALSE)/100,IF($B70=2017,VLOOKUP($BJ70,'Treasury Yields'!$C$110:$N$139,$E70,FALSE)/100,IF($B70=2018,VLOOKUP($BJ70,'Treasury Yields'!$C$145:$N$174,$E70,FALSE)/100,IF($B70=2019,VLOOKUP($BJ70,'Treasury Yields'!$C$180:$N$209,$E70,FALSE)/100,IF($B70=2020,VLOOKUP($BJ70,'Treasury Yields'!$C$215:$N$244,$E70,FALSE)/100,IF($B70=2021,VLOOKUP($BJ70,'Treasury Yields'!$C$250:$N$279,$E70,FALSE)/100,IF($B70=2022,VLOOKUP($BJ70,'Treasury Yields'!$C$285:$N$314,$E70,FALSE)/100)))))))),0)</f>
        <v>1.789E-2</v>
      </c>
      <c r="BQ70">
        <f t="shared" si="77"/>
        <v>1.5916776837705178</v>
      </c>
      <c r="BR70">
        <f t="shared" si="78"/>
        <v>58376927.817156829</v>
      </c>
      <c r="BS70">
        <f t="shared" si="79"/>
        <v>32757479.817156829</v>
      </c>
      <c r="BU70">
        <f t="shared" si="90"/>
        <v>13</v>
      </c>
      <c r="BV70">
        <f t="shared" si="80"/>
        <v>2.2109542751411193</v>
      </c>
      <c r="BW70">
        <f t="shared" si="81"/>
        <v>1426969.7877645546</v>
      </c>
      <c r="BX70" s="5">
        <f t="shared" si="82"/>
        <v>1625000.3911316043</v>
      </c>
      <c r="BY70" s="5">
        <f t="shared" si="83"/>
        <v>803884.58235160424</v>
      </c>
      <c r="BZ70" s="5">
        <f t="shared" si="84"/>
        <v>3319675</v>
      </c>
      <c r="CA70" s="5">
        <f t="shared" si="85"/>
        <v>2230854.3701161589</v>
      </c>
      <c r="CC70" s="5">
        <f t="shared" si="86"/>
        <v>58376927.817156829</v>
      </c>
      <c r="CD70" s="5" t="str">
        <f t="shared" si="87"/>
        <v>Alabama</v>
      </c>
      <c r="CE70" s="5">
        <f t="shared" si="88"/>
        <v>0.6985277433550503</v>
      </c>
      <c r="CF70" s="10">
        <f t="shared" si="89"/>
        <v>0.4388625602265851</v>
      </c>
      <c r="CG70" s="7"/>
    </row>
    <row r="71" spans="1:85" x14ac:dyDescent="0.2">
      <c r="A71">
        <v>1000000003402</v>
      </c>
      <c r="B71">
        <v>2020</v>
      </c>
      <c r="C71">
        <v>575</v>
      </c>
      <c r="D71" t="s">
        <v>187</v>
      </c>
      <c r="E71">
        <v>9</v>
      </c>
      <c r="F71" t="s">
        <v>188</v>
      </c>
      <c r="G71" t="s">
        <v>189</v>
      </c>
      <c r="H71" t="s">
        <v>69</v>
      </c>
      <c r="I71" t="b">
        <v>1</v>
      </c>
      <c r="J71">
        <v>677424</v>
      </c>
      <c r="K71">
        <v>2731895</v>
      </c>
      <c r="L71">
        <v>0</v>
      </c>
      <c r="M71">
        <v>624754</v>
      </c>
      <c r="N71">
        <v>0</v>
      </c>
      <c r="O71">
        <v>2335705</v>
      </c>
      <c r="P71">
        <v>58679</v>
      </c>
      <c r="Q71">
        <v>1639689</v>
      </c>
      <c r="R71">
        <v>36676350</v>
      </c>
      <c r="S71">
        <v>38316039</v>
      </c>
      <c r="T71">
        <v>862475</v>
      </c>
      <c r="V71">
        <v>515003</v>
      </c>
      <c r="W71">
        <v>1374958</v>
      </c>
      <c r="Y71">
        <v>31111</v>
      </c>
      <c r="Z71">
        <v>0</v>
      </c>
      <c r="AA71">
        <v>326941</v>
      </c>
      <c r="AB71">
        <v>25619448</v>
      </c>
      <c r="AC71">
        <v>25946389</v>
      </c>
      <c r="AD71">
        <v>12369650</v>
      </c>
      <c r="AE71">
        <v>11056902</v>
      </c>
      <c r="AF71">
        <v>1312748</v>
      </c>
      <c r="AG71">
        <v>7409647</v>
      </c>
      <c r="AH71">
        <v>0.11639893236479416</v>
      </c>
      <c r="AI71" t="b">
        <v>1</v>
      </c>
      <c r="AK71">
        <v>7.6999999999999999E-2</v>
      </c>
      <c r="AL71">
        <v>7.6999999999999999E-2</v>
      </c>
      <c r="AM71">
        <v>7.6999999999999999E-2</v>
      </c>
      <c r="AN71">
        <v>7.6999999999999999E-2</v>
      </c>
      <c r="AO71">
        <v>1</v>
      </c>
      <c r="AP71">
        <v>0</v>
      </c>
      <c r="AS71">
        <v>16503709</v>
      </c>
      <c r="AT71">
        <v>8871759</v>
      </c>
      <c r="AU71" t="s">
        <v>195</v>
      </c>
      <c r="AV71" t="s">
        <v>196</v>
      </c>
      <c r="BB71">
        <f t="shared" si="44"/>
        <v>0.67716783042213735</v>
      </c>
      <c r="BD71">
        <f t="shared" si="67"/>
        <v>4134059</v>
      </c>
      <c r="BE71">
        <f t="shared" si="68"/>
        <v>-3497891</v>
      </c>
      <c r="BF71">
        <f t="shared" si="69"/>
        <v>10.789369433515818</v>
      </c>
      <c r="BG71">
        <f t="shared" si="70"/>
        <v>-9.1290516746785855</v>
      </c>
      <c r="BH71">
        <f t="shared" si="71"/>
        <v>9.9592105540972025</v>
      </c>
      <c r="BI71">
        <f t="shared" si="72"/>
        <v>83.015887941861635</v>
      </c>
      <c r="BJ71">
        <f t="shared" si="73"/>
        <v>10</v>
      </c>
      <c r="BK71">
        <f>IF($BJ71&lt;=30,IF($B71=2015,VLOOKUP($BJ71,'Treasury Yields'!$C$5:$N$34,$E71,FALSE)/100,IF($B71=2016,VLOOKUP($BJ71,'Treasury Yields'!$C$40:$N$69,$E71,FALSE)/100,IF($B71=2017,VLOOKUP($BJ71,'Treasury Yields'!$C$75:$N$104,$E71,FALSE)/100,IF($B71=2018,VLOOKUP($BJ71,'Treasury Yields'!$C$110:$N$139,$E71,FALSE)/100,IF($B71=2019,VLOOKUP($BJ71,'Treasury Yields'!$C$145:$N$174,$E71,FALSE)/100,IF($B71=2020,VLOOKUP($BJ71,'Treasury Yields'!$C$180:$N$209,$E71,FALSE)/100,IF($B71=2021,VLOOKUP($BJ71,'Treasury Yields'!$C$215:$N$244,$E71,FALSE)/100,IF($B71=2022,VLOOKUP($BJ71,'Treasury Yields'!$C$250:$N$279,$E71,FALSE)/100)))))))),0)</f>
        <v>1.789E-2</v>
      </c>
      <c r="BL71">
        <f t="shared" si="74"/>
        <v>1.5921829279526853</v>
      </c>
      <c r="BM71">
        <f t="shared" si="75"/>
        <v>58395458.329617471</v>
      </c>
      <c r="BN71">
        <f t="shared" si="76"/>
        <v>32776010.329617471</v>
      </c>
      <c r="BP71">
        <f>IF($BJ71&lt;=30,IF($B71=2015,VLOOKUP($BJ71,'Treasury Yields'!$C$40:$N$69,$E71,FALSE)/100,IF($B71=2016,VLOOKUP($BJ71,'Treasury Yields'!$C$75:$N$104,$E71,FALSE)/100,IF($B71=2017,VLOOKUP($BJ71,'Treasury Yields'!$C$110:$N$139,$E71,FALSE)/100,IF($B71=2018,VLOOKUP($BJ71,'Treasury Yields'!$C$145:$N$174,$E71,FALSE)/100,IF($B71=2019,VLOOKUP($BJ71,'Treasury Yields'!$C$180:$N$209,$E71,FALSE)/100,IF($B71=2020,VLOOKUP($BJ71,'Treasury Yields'!$C$215:$N$244,$E71,FALSE)/100,IF($B71=2021,VLOOKUP($BJ71,'Treasury Yields'!$C$250:$N$279,$E71,FALSE)/100,IF($B71=2022,VLOOKUP($BJ71,'Treasury Yields'!$C$285:$N$314,$E71,FALSE)/100)))))))),0)</f>
        <v>1.5045909090909091E-2</v>
      </c>
      <c r="BQ71">
        <f t="shared" si="77"/>
        <v>1.6208521454316878</v>
      </c>
      <c r="BR71">
        <f t="shared" si="78"/>
        <v>62104634.017594218</v>
      </c>
      <c r="BS71">
        <f t="shared" si="79"/>
        <v>36158245.017594218</v>
      </c>
      <c r="BU71">
        <f t="shared" si="90"/>
        <v>13</v>
      </c>
      <c r="BV71">
        <f t="shared" si="80"/>
        <v>2.6471757924960357</v>
      </c>
      <c r="BW71">
        <f t="shared" si="81"/>
        <v>1793260.4140558345</v>
      </c>
      <c r="BX71" s="5">
        <f t="shared" si="82"/>
        <v>1034990.4158743153</v>
      </c>
      <c r="BY71" s="5">
        <f t="shared" si="83"/>
        <v>576658.49115431542</v>
      </c>
      <c r="BZ71" s="5">
        <f t="shared" si="84"/>
        <v>3409319</v>
      </c>
      <c r="CA71" s="5">
        <f t="shared" si="85"/>
        <v>2369918.9052101499</v>
      </c>
      <c r="CC71" s="5">
        <f t="shared" si="86"/>
        <v>62104634.017594218</v>
      </c>
      <c r="CD71" s="5" t="str">
        <f t="shared" si="87"/>
        <v>Alabama</v>
      </c>
      <c r="CE71" s="5">
        <f t="shared" si="88"/>
        <v>0.67716783042213735</v>
      </c>
      <c r="CF71" s="10">
        <f t="shared" si="89"/>
        <v>0.41778507208736465</v>
      </c>
      <c r="CG71" s="7"/>
    </row>
    <row r="72" spans="1:85" x14ac:dyDescent="0.2">
      <c r="A72">
        <v>1000000003402</v>
      </c>
      <c r="B72">
        <v>2021</v>
      </c>
      <c r="C72">
        <v>575</v>
      </c>
      <c r="D72" t="s">
        <v>187</v>
      </c>
      <c r="E72">
        <v>9</v>
      </c>
      <c r="F72" t="s">
        <v>188</v>
      </c>
      <c r="G72" t="s">
        <v>189</v>
      </c>
      <c r="H72" t="s">
        <v>69</v>
      </c>
      <c r="I72" t="b">
        <v>1</v>
      </c>
      <c r="J72">
        <v>660269</v>
      </c>
      <c r="K72">
        <v>2854728</v>
      </c>
      <c r="L72">
        <v>0</v>
      </c>
      <c r="M72">
        <v>-562647</v>
      </c>
      <c r="N72">
        <v>1197157</v>
      </c>
      <c r="O72">
        <v>2424490</v>
      </c>
      <c r="P72">
        <v>58806</v>
      </c>
      <c r="Q72">
        <v>1666211</v>
      </c>
      <c r="R72">
        <v>38316039</v>
      </c>
      <c r="S72">
        <v>39982250</v>
      </c>
      <c r="T72">
        <v>874401</v>
      </c>
      <c r="V72">
        <v>525755</v>
      </c>
      <c r="W72">
        <v>5728217</v>
      </c>
      <c r="Y72">
        <v>29536</v>
      </c>
      <c r="Z72">
        <v>0</v>
      </c>
      <c r="AA72">
        <v>4615541</v>
      </c>
      <c r="AB72">
        <v>25946389</v>
      </c>
      <c r="AC72">
        <v>30561930</v>
      </c>
      <c r="AD72">
        <v>9420320</v>
      </c>
      <c r="AE72">
        <v>12369650</v>
      </c>
      <c r="AF72">
        <v>-2949330</v>
      </c>
      <c r="AG72">
        <v>7212288</v>
      </c>
      <c r="AI72" t="b">
        <v>1</v>
      </c>
      <c r="AK72">
        <v>7.6999999999999999E-2</v>
      </c>
      <c r="AL72">
        <v>7.4499999999999997E-2</v>
      </c>
      <c r="AM72">
        <v>7.4499999999999997E-2</v>
      </c>
      <c r="AN72">
        <v>7.6999999999999999E-2</v>
      </c>
      <c r="AS72">
        <v>13865812</v>
      </c>
      <c r="AT72">
        <v>5676078</v>
      </c>
      <c r="BB72">
        <f t="shared" si="44"/>
        <v>0.76438744692957505</v>
      </c>
      <c r="BD72">
        <f t="shared" si="67"/>
        <v>4445492</v>
      </c>
      <c r="BE72">
        <f t="shared" si="68"/>
        <v>-3744242</v>
      </c>
      <c r="BF72">
        <f t="shared" si="69"/>
        <v>11.118663907108779</v>
      </c>
      <c r="BG72">
        <f t="shared" si="70"/>
        <v>-9.3647606125218061</v>
      </c>
      <c r="BH72">
        <f t="shared" si="71"/>
        <v>10.241712259815293</v>
      </c>
      <c r="BI72">
        <f t="shared" si="72"/>
        <v>87.695164729348647</v>
      </c>
      <c r="BJ72">
        <f t="shared" si="73"/>
        <v>10</v>
      </c>
      <c r="BK72">
        <f>IF($BJ72&lt;=30,IF($B72=2015,VLOOKUP($BJ72,'Treasury Yields'!$C$5:$N$34,$E72,FALSE)/100,IF($B72=2016,VLOOKUP($BJ72,'Treasury Yields'!$C$40:$N$69,$E72,FALSE)/100,IF($B72=2017,VLOOKUP($BJ72,'Treasury Yields'!$C$75:$N$104,$E72,FALSE)/100,IF($B72=2018,VLOOKUP($BJ72,'Treasury Yields'!$C$110:$N$139,$E72,FALSE)/100,IF($B72=2019,VLOOKUP($BJ72,'Treasury Yields'!$C$145:$N$174,$E72,FALSE)/100,IF($B72=2020,VLOOKUP($BJ72,'Treasury Yields'!$C$180:$N$209,$E72,FALSE)/100,IF($B72=2021,VLOOKUP($BJ72,'Treasury Yields'!$C$215:$N$244,$E72,FALSE)/100,IF($B72=2022,VLOOKUP($BJ72,'Treasury Yields'!$C$250:$N$279,$E72,FALSE)/100)))))))),0)</f>
        <v>1.5045909090909091E-2</v>
      </c>
      <c r="BL72">
        <f t="shared" si="74"/>
        <v>1.6124464806856358</v>
      </c>
      <c r="BM72">
        <f t="shared" si="75"/>
        <v>61782562.239363566</v>
      </c>
      <c r="BN72">
        <f t="shared" si="76"/>
        <v>35836173.239363566</v>
      </c>
      <c r="BP72">
        <f>IF($BJ72&lt;=30,IF($B72=2015,VLOOKUP($BJ72,'Treasury Yields'!$C$40:$N$69,$E72,FALSE)/100,IF($B72=2016,VLOOKUP($BJ72,'Treasury Yields'!$C$75:$N$104,$E72,FALSE)/100,IF($B72=2017,VLOOKUP($BJ72,'Treasury Yields'!$C$110:$N$139,$E72,FALSE)/100,IF($B72=2018,VLOOKUP($BJ72,'Treasury Yields'!$C$145:$N$174,$E72,FALSE)/100,IF($B72=2019,VLOOKUP($BJ72,'Treasury Yields'!$C$180:$N$209,$E72,FALSE)/100,IF($B72=2020,VLOOKUP($BJ72,'Treasury Yields'!$C$215:$N$244,$E72,FALSE)/100,IF($B72=2021,VLOOKUP($BJ72,'Treasury Yields'!$C$250:$N$279,$E72,FALSE)/100,IF($B72=2022,VLOOKUP($BJ72,'Treasury Yields'!$C$285:$N$314,$E72,FALSE)/100)))))))),0)</f>
        <v>2.0074090909090909E-2</v>
      </c>
      <c r="BQ72">
        <f t="shared" si="77"/>
        <v>1.5862593401633207</v>
      </c>
      <c r="BR72">
        <f t="shared" si="78"/>
        <v>63422217.503244929</v>
      </c>
      <c r="BS72">
        <f t="shared" si="79"/>
        <v>32860287.503244929</v>
      </c>
      <c r="BU72">
        <f t="shared" si="90"/>
        <v>13</v>
      </c>
      <c r="BV72">
        <f t="shared" si="80"/>
        <v>2.7765203276214474</v>
      </c>
      <c r="BW72">
        <f t="shared" si="81"/>
        <v>1833250.3001982854</v>
      </c>
      <c r="BX72" s="5">
        <f t="shared" si="82"/>
        <v>920679.07608274405</v>
      </c>
      <c r="BY72" s="5">
        <f t="shared" si="83"/>
        <v>530292.06595138041</v>
      </c>
      <c r="BZ72" s="5">
        <f t="shared" si="84"/>
        <v>3514997</v>
      </c>
      <c r="CA72" s="5">
        <f t="shared" si="85"/>
        <v>2363542.3661496658</v>
      </c>
      <c r="CC72" s="5">
        <f t="shared" si="86"/>
        <v>63422217.503244929</v>
      </c>
      <c r="CD72" s="5" t="str">
        <f t="shared" si="87"/>
        <v>Alabama</v>
      </c>
      <c r="CE72" s="5">
        <f t="shared" si="88"/>
        <v>0.76438744692957505</v>
      </c>
      <c r="CF72" s="10">
        <f t="shared" si="89"/>
        <v>0.48188050186728859</v>
      </c>
      <c r="CG72" s="7"/>
    </row>
    <row r="73" spans="1:85" x14ac:dyDescent="0.2">
      <c r="A73">
        <v>1000000003402</v>
      </c>
      <c r="B73">
        <v>2022</v>
      </c>
      <c r="C73">
        <v>575</v>
      </c>
      <c r="D73" t="s">
        <v>187</v>
      </c>
      <c r="E73">
        <v>9</v>
      </c>
      <c r="F73" t="s">
        <v>188</v>
      </c>
      <c r="G73" t="s">
        <v>189</v>
      </c>
      <c r="H73" t="s">
        <v>69</v>
      </c>
      <c r="I73" t="b">
        <v>1</v>
      </c>
      <c r="J73">
        <v>717506</v>
      </c>
      <c r="K73">
        <v>2880698</v>
      </c>
      <c r="M73">
        <v>102411</v>
      </c>
      <c r="N73">
        <v>0</v>
      </c>
      <c r="O73">
        <v>2564392</v>
      </c>
      <c r="P73">
        <v>65934</v>
      </c>
      <c r="Q73">
        <v>1139414</v>
      </c>
      <c r="R73">
        <v>39982250</v>
      </c>
      <c r="S73">
        <v>41121664</v>
      </c>
      <c r="T73">
        <v>932332</v>
      </c>
      <c r="V73">
        <v>563132</v>
      </c>
      <c r="W73">
        <v>-3876927</v>
      </c>
      <c r="Y73">
        <v>28005</v>
      </c>
      <c r="Z73">
        <v>58735</v>
      </c>
      <c r="AA73">
        <v>-4981059</v>
      </c>
      <c r="AB73">
        <v>30561930</v>
      </c>
      <c r="AC73">
        <v>25580871</v>
      </c>
      <c r="AD73">
        <v>15540793</v>
      </c>
      <c r="AE73">
        <v>9420320</v>
      </c>
      <c r="AF73">
        <v>6120473</v>
      </c>
      <c r="AG73">
        <v>7420389</v>
      </c>
      <c r="AI73" t="b">
        <v>1</v>
      </c>
      <c r="AK73">
        <v>7.4499999999999997E-2</v>
      </c>
      <c r="AL73">
        <v>7.4499999999999997E-2</v>
      </c>
      <c r="AM73">
        <v>7.4499999999999997E-2</v>
      </c>
      <c r="AN73">
        <v>7.4499999999999997E-2</v>
      </c>
      <c r="AS73">
        <v>20109121</v>
      </c>
      <c r="AT73">
        <v>11692816</v>
      </c>
      <c r="AV73" t="s">
        <v>197</v>
      </c>
      <c r="BB73">
        <f t="shared" si="44"/>
        <v>0.62207772039575049</v>
      </c>
      <c r="BD73">
        <f t="shared" si="67"/>
        <v>4568328</v>
      </c>
      <c r="BE73">
        <f t="shared" si="68"/>
        <v>-3847977</v>
      </c>
      <c r="BF73">
        <f t="shared" si="69"/>
        <v>11.109297522590525</v>
      </c>
      <c r="BG73">
        <f t="shared" si="70"/>
        <v>-9.3575420488820686</v>
      </c>
      <c r="BH73">
        <f t="shared" si="71"/>
        <v>10.233419785736297</v>
      </c>
      <c r="BI73">
        <f t="shared" si="72"/>
        <v>87.587773685422846</v>
      </c>
      <c r="BJ73">
        <f t="shared" si="73"/>
        <v>10</v>
      </c>
      <c r="BK73">
        <f>IF($BJ73&lt;=30,IF($B73=2015,VLOOKUP($BJ73,'Treasury Yields'!$C$5:$N$34,$E73,FALSE)/100,IF($B73=2016,VLOOKUP($BJ73,'Treasury Yields'!$C$40:$N$69,$E73,FALSE)/100,IF($B73=2017,VLOOKUP($BJ73,'Treasury Yields'!$C$75:$N$104,$E73,FALSE)/100,IF($B73=2018,VLOOKUP($BJ73,'Treasury Yields'!$C$110:$N$139,$E73,FALSE)/100,IF($B73=2019,VLOOKUP($BJ73,'Treasury Yields'!$C$145:$N$174,$E73,FALSE)/100,IF($B73=2020,VLOOKUP($BJ73,'Treasury Yields'!$C$180:$N$209,$E73,FALSE)/100,IF($B73=2021,VLOOKUP($BJ73,'Treasury Yields'!$C$215:$N$244,$E73,FALSE)/100,IF($B73=2022,VLOOKUP($BJ73,'Treasury Yields'!$C$250:$N$279,$E73,FALSE)/100)))))))),0)</f>
        <v>2.0074090909090909E-2</v>
      </c>
      <c r="BL73">
        <f t="shared" si="74"/>
        <v>1.5599253545279659</v>
      </c>
      <c r="BM73">
        <f t="shared" si="75"/>
        <v>62369325.506075762</v>
      </c>
      <c r="BN73">
        <f t="shared" si="76"/>
        <v>31807395.506075762</v>
      </c>
      <c r="BP73">
        <f>IF($BJ73&lt;=30,IF($B73=2015,VLOOKUP($BJ73,'Treasury Yields'!$C$40:$N$69,$E73,FALSE)/100,IF($B73=2016,VLOOKUP($BJ73,'Treasury Yields'!$C$75:$N$104,$E73,FALSE)/100,IF($B73=2017,VLOOKUP($BJ73,'Treasury Yields'!$C$110:$N$139,$E73,FALSE)/100,IF($B73=2018,VLOOKUP($BJ73,'Treasury Yields'!$C$145:$N$174,$E73,FALSE)/100,IF($B73=2019,VLOOKUP($BJ73,'Treasury Yields'!$C$180:$N$209,$E73,FALSE)/100,IF($B73=2020,VLOOKUP($BJ73,'Treasury Yields'!$C$215:$N$244,$E73,FALSE)/100,IF($B73=2021,VLOOKUP($BJ73,'Treasury Yields'!$C$250:$N$279,$E73,FALSE)/100,IF($B73=2022,VLOOKUP($BJ73,'Treasury Yields'!$C$285:$N$314,$E73,FALSE)/100)))))))),0)</f>
        <v>3.4664090909090908E-2</v>
      </c>
      <c r="BQ73">
        <f t="shared" si="77"/>
        <v>1.4092444799268007</v>
      </c>
      <c r="BR73">
        <f t="shared" si="78"/>
        <v>57950477.997404642</v>
      </c>
      <c r="BS73">
        <f t="shared" si="79"/>
        <v>32369606.997404642</v>
      </c>
      <c r="BU73">
        <f t="shared" si="90"/>
        <v>13</v>
      </c>
      <c r="BV73">
        <f t="shared" si="80"/>
        <v>2.5239507078306072</v>
      </c>
      <c r="BW73">
        <f t="shared" si="81"/>
        <v>1810949.7765727076</v>
      </c>
      <c r="BX73" s="5">
        <f t="shared" si="82"/>
        <v>1236882.8424598202</v>
      </c>
      <c r="BY73" s="5">
        <f t="shared" si="83"/>
        <v>623379.88128254737</v>
      </c>
      <c r="BZ73" s="5">
        <f t="shared" si="84"/>
        <v>3598204</v>
      </c>
      <c r="CA73" s="5">
        <f t="shared" si="85"/>
        <v>2434329.6578552551</v>
      </c>
      <c r="CC73" s="5">
        <f t="shared" si="86"/>
        <v>57950477.997404642</v>
      </c>
      <c r="CD73" s="5" t="str">
        <f t="shared" si="87"/>
        <v>Alabama</v>
      </c>
      <c r="CE73" s="5">
        <f t="shared" si="88"/>
        <v>0.62207772039575049</v>
      </c>
      <c r="CF73" s="10">
        <f t="shared" si="89"/>
        <v>0.44142640205911088</v>
      </c>
      <c r="CG73" s="7"/>
    </row>
    <row r="74" spans="1:85" x14ac:dyDescent="0.2">
      <c r="A74">
        <v>2000000001605</v>
      </c>
      <c r="B74">
        <v>2015</v>
      </c>
      <c r="C74">
        <v>554</v>
      </c>
      <c r="D74" t="s">
        <v>198</v>
      </c>
      <c r="E74">
        <v>6</v>
      </c>
      <c r="F74" t="s">
        <v>199</v>
      </c>
      <c r="G74" t="s">
        <v>200</v>
      </c>
      <c r="H74" t="s">
        <v>69</v>
      </c>
      <c r="I74" t="b">
        <v>1</v>
      </c>
      <c r="J74">
        <v>63608</v>
      </c>
      <c r="K74">
        <v>540981</v>
      </c>
      <c r="M74">
        <v>-5693</v>
      </c>
      <c r="N74">
        <v>156854</v>
      </c>
      <c r="O74">
        <v>418545</v>
      </c>
      <c r="Q74">
        <v>337205</v>
      </c>
      <c r="R74">
        <v>6770201</v>
      </c>
      <c r="S74">
        <v>7107406</v>
      </c>
      <c r="T74">
        <v>36374</v>
      </c>
      <c r="U74">
        <v>1662700</v>
      </c>
      <c r="V74">
        <v>45506</v>
      </c>
      <c r="W74">
        <v>152561</v>
      </c>
      <c r="Y74">
        <v>2789</v>
      </c>
      <c r="Z74">
        <v>9</v>
      </c>
      <c r="AA74">
        <v>1475816</v>
      </c>
      <c r="AB74">
        <v>3771139</v>
      </c>
      <c r="AC74">
        <v>5246955</v>
      </c>
      <c r="AD74">
        <v>1860451</v>
      </c>
      <c r="AE74">
        <v>2999062</v>
      </c>
      <c r="AF74">
        <v>-1138611</v>
      </c>
      <c r="AG74">
        <v>490667</v>
      </c>
      <c r="AH74">
        <v>7.4131743117022336E-2</v>
      </c>
      <c r="AI74" t="b">
        <v>1</v>
      </c>
      <c r="AK74">
        <v>0.08</v>
      </c>
      <c r="AL74">
        <v>0.08</v>
      </c>
      <c r="AM74">
        <v>0.08</v>
      </c>
      <c r="AN74">
        <v>0.08</v>
      </c>
      <c r="AO74">
        <v>1</v>
      </c>
      <c r="AP74">
        <v>0</v>
      </c>
      <c r="AS74">
        <v>2685169</v>
      </c>
      <c r="AT74">
        <v>1169348</v>
      </c>
      <c r="AU74" t="s">
        <v>152</v>
      </c>
      <c r="AV74" t="s">
        <v>202</v>
      </c>
      <c r="BB74">
        <f t="shared" ref="BB74:BB81" si="91">AC74/S74</f>
        <v>0.73823769178234644</v>
      </c>
      <c r="BD74">
        <f t="shared" ref="BD74:BD81" si="92">AS74-AD74</f>
        <v>824718</v>
      </c>
      <c r="BE74">
        <f t="shared" ref="BE74:BE81" si="93">AT74-AD74</f>
        <v>-691103</v>
      </c>
      <c r="BF74">
        <f t="shared" ref="BF74:BF81" si="94">BD74/S74*100</f>
        <v>11.603642735479019</v>
      </c>
      <c r="BG74">
        <f t="shared" ref="BG74:BG81" si="95">BE74/S74*100</f>
        <v>-9.7237022902589221</v>
      </c>
      <c r="BH74">
        <f t="shared" ref="BH74:BH81" si="96">(BD74-BE74)/(2*S74)*100</f>
        <v>10.66367251286897</v>
      </c>
      <c r="BI74">
        <f t="shared" ref="BI74:BI81" si="97">(BD74+BE74)/(2*S74*(0.01^2))</f>
        <v>93.997022261004915</v>
      </c>
      <c r="BJ74">
        <f t="shared" ref="BJ74:BJ81" si="98">ROUND(BH74,0)</f>
        <v>11</v>
      </c>
      <c r="BK74">
        <f>IF($BJ74&lt;=30,IF($B74=2015,VLOOKUP($BJ74,'Treasury Yields'!$C$5:$N$34,$E74,FALSE)/100,IF($B74=2016,VLOOKUP($BJ74,'Treasury Yields'!$C$40:$N$69,$E74,FALSE)/100,IF($B74=2017,VLOOKUP($BJ74,'Treasury Yields'!$C$75:$N$104,$E74,FALSE)/100,IF($B74=2018,VLOOKUP($BJ74,'Treasury Yields'!$C$110:$N$139,$E74,FALSE)/100,IF($B74=2019,VLOOKUP($BJ74,'Treasury Yields'!$C$145:$N$174,$E74,FALSE)/100,IF($B74=2020,VLOOKUP($BJ74,'Treasury Yields'!$C$180:$N$209,$E74,FALSE)/100,IF($B74=2021,VLOOKUP($BJ74,'Treasury Yields'!$C$215:$N$244,$E74,FALSE)/100,IF($B74=2022,VLOOKUP($BJ74,'Treasury Yields'!$C$250:$N$279,$E74,FALSE)/100)))))))),0)</f>
        <v>2.8147999999999999E-2</v>
      </c>
      <c r="BL74">
        <f t="shared" ref="BL74:BL81" si="99">1+BH74*(AL74-BK74)+(AL74-BK74)^2</f>
        <v>1.5556213770412821</v>
      </c>
      <c r="BM74">
        <f t="shared" ref="BM74:BM81" si="100">BL74*R74</f>
        <v>10531869.402466265</v>
      </c>
      <c r="BN74">
        <f t="shared" ref="BN74:BN81" si="101">BM74-AB74</f>
        <v>6760730.4024662655</v>
      </c>
      <c r="BP74">
        <f>IF($BJ74&lt;=30,IF($B74=2015,VLOOKUP($BJ74,'Treasury Yields'!$C$40:$N$69,$E74,FALSE)/100,IF($B74=2016,VLOOKUP($BJ74,'Treasury Yields'!$C$75:$N$104,$E74,FALSE)/100,IF($B74=2017,VLOOKUP($BJ74,'Treasury Yields'!$C$110:$N$139,$E74,FALSE)/100,IF($B74=2018,VLOOKUP($BJ74,'Treasury Yields'!$C$145:$N$174,$E74,FALSE)/100,IF($B74=2019,VLOOKUP($BJ74,'Treasury Yields'!$C$180:$N$209,$E74,FALSE)/100,IF($B74=2020,VLOOKUP($BJ74,'Treasury Yields'!$C$215:$N$244,$E74,FALSE)/100,IF($B74=2021,VLOOKUP($BJ74,'Treasury Yields'!$C$250:$N$279,$E74,FALSE)/100,IF($B74=2022,VLOOKUP($BJ74,'Treasury Yields'!$C$285:$N$314,$E74,FALSE)/100)))))))),0)</f>
        <v>2.6258E-2</v>
      </c>
      <c r="BQ74">
        <f t="shared" ref="BQ74:BQ81" si="102">1+BH74*(AN74-BP74)+(AN74-BP74)^2</f>
        <v>1.5759752907506042</v>
      </c>
      <c r="BR74">
        <f t="shared" ref="BR74:BR81" si="103">BQ74*S74</f>
        <v>11201096.237332588</v>
      </c>
      <c r="BS74">
        <f t="shared" ref="BS74:BS81" si="104">BR74-AC74</f>
        <v>5954141.2373325881</v>
      </c>
      <c r="BU74">
        <f t="shared" si="90"/>
        <v>14</v>
      </c>
      <c r="BV74">
        <f t="shared" ref="BV74:BV81" si="105">1+(BH74+BU74)*(AN74-BK74)+(AN74-BK74)^2*BI74</f>
        <v>2.5315839520751733</v>
      </c>
      <c r="BW74">
        <f t="shared" ref="BW74:BW81" si="106">BV74*J74</f>
        <v>161028.99202359762</v>
      </c>
      <c r="BX74" s="5">
        <f t="shared" ref="BX74:BX81" si="107">(BM74+BW74-O74)*BK74</f>
        <v>289202.49934810068</v>
      </c>
      <c r="BY74" s="5">
        <f t="shared" ref="BY74:BY81" si="108">BK74*(BN74+BW74-O74)</f>
        <v>183052.47877610064</v>
      </c>
      <c r="BZ74" s="5">
        <f t="shared" ref="BZ74:BZ81" si="109">SUM(J74:K74)</f>
        <v>604589</v>
      </c>
      <c r="CA74" s="5">
        <f t="shared" ref="CA74:CA81" si="110">SUM(BW74+BY74)</f>
        <v>344081.47079969826</v>
      </c>
      <c r="CC74" s="5">
        <f t="shared" ref="CC74:CC81" si="111">BR74</f>
        <v>11201096.237332588</v>
      </c>
      <c r="CD74" s="5" t="str">
        <f t="shared" ref="CD74:CD81" si="112">F74</f>
        <v>Alaska</v>
      </c>
      <c r="CE74" s="5">
        <f t="shared" si="88"/>
        <v>0.73823769178234644</v>
      </c>
      <c r="CF74" s="10">
        <f t="shared" ref="CF74:CF81" si="113">AC74/CC74</f>
        <v>0.46843227562961298</v>
      </c>
    </row>
    <row r="75" spans="1:85" x14ac:dyDescent="0.2">
      <c r="A75">
        <v>2000000001605</v>
      </c>
      <c r="B75">
        <v>2016</v>
      </c>
      <c r="C75">
        <v>554</v>
      </c>
      <c r="D75" t="s">
        <v>198</v>
      </c>
      <c r="E75">
        <v>6</v>
      </c>
      <c r="F75" t="s">
        <v>199</v>
      </c>
      <c r="G75" t="s">
        <v>200</v>
      </c>
      <c r="H75" t="s">
        <v>69</v>
      </c>
      <c r="I75" t="b">
        <v>1</v>
      </c>
      <c r="J75">
        <v>61011</v>
      </c>
      <c r="K75">
        <v>550392</v>
      </c>
      <c r="M75">
        <v>-55682</v>
      </c>
      <c r="O75">
        <v>437582</v>
      </c>
      <c r="Q75">
        <v>118139</v>
      </c>
      <c r="R75">
        <v>7107406</v>
      </c>
      <c r="S75">
        <v>7225545</v>
      </c>
      <c r="T75">
        <v>33478</v>
      </c>
      <c r="U75">
        <v>90589</v>
      </c>
      <c r="V75">
        <v>42654</v>
      </c>
      <c r="W75">
        <v>-31340</v>
      </c>
      <c r="Y75">
        <v>2648</v>
      </c>
      <c r="Z75">
        <v>95</v>
      </c>
      <c r="AA75">
        <v>-304754</v>
      </c>
      <c r="AB75">
        <v>5246955</v>
      </c>
      <c r="AC75">
        <v>4942201</v>
      </c>
      <c r="AD75">
        <v>2283344</v>
      </c>
      <c r="AE75">
        <v>1860451</v>
      </c>
      <c r="AF75">
        <v>422893</v>
      </c>
      <c r="AG75">
        <v>473734</v>
      </c>
      <c r="AH75">
        <v>7.0668349749015272E-2</v>
      </c>
      <c r="AI75" t="b">
        <v>1</v>
      </c>
      <c r="AK75">
        <v>0.08</v>
      </c>
      <c r="AL75">
        <v>0.08</v>
      </c>
      <c r="AM75">
        <v>0.08</v>
      </c>
      <c r="AN75">
        <v>0.08</v>
      </c>
      <c r="AO75">
        <v>1</v>
      </c>
      <c r="AP75">
        <v>0</v>
      </c>
      <c r="AS75">
        <v>3111338</v>
      </c>
      <c r="AT75">
        <v>1589141</v>
      </c>
      <c r="AU75" t="s">
        <v>203</v>
      </c>
      <c r="AV75" t="s">
        <v>204</v>
      </c>
      <c r="BB75">
        <f t="shared" si="91"/>
        <v>0.68399006580126487</v>
      </c>
      <c r="BD75">
        <f t="shared" si="92"/>
        <v>827994</v>
      </c>
      <c r="BE75">
        <f t="shared" si="93"/>
        <v>-694203</v>
      </c>
      <c r="BF75">
        <f t="shared" si="94"/>
        <v>11.45926016653415</v>
      </c>
      <c r="BG75">
        <f t="shared" si="95"/>
        <v>-9.6076212936186813</v>
      </c>
      <c r="BH75">
        <f t="shared" si="96"/>
        <v>10.533440730076418</v>
      </c>
      <c r="BI75">
        <f t="shared" si="97"/>
        <v>92.581943645773421</v>
      </c>
      <c r="BJ75">
        <f t="shared" si="98"/>
        <v>11</v>
      </c>
      <c r="BK75">
        <f>IF($BJ75&lt;=30,IF($B75=2015,VLOOKUP($BJ75,'Treasury Yields'!$C$5:$N$34,$E75,FALSE)/100,IF($B75=2016,VLOOKUP($BJ75,'Treasury Yields'!$C$40:$N$69,$E75,FALSE)/100,IF($B75=2017,VLOOKUP($BJ75,'Treasury Yields'!$C$75:$N$104,$E75,FALSE)/100,IF($B75=2018,VLOOKUP($BJ75,'Treasury Yields'!$C$110:$N$139,$E75,FALSE)/100,IF($B75=2019,VLOOKUP($BJ75,'Treasury Yields'!$C$145:$N$174,$E75,FALSE)/100,IF($B75=2020,VLOOKUP($BJ75,'Treasury Yields'!$C$180:$N$209,$E75,FALSE)/100,IF($B75=2021,VLOOKUP($BJ75,'Treasury Yields'!$C$215:$N$244,$E75,FALSE)/100,IF($B75=2022,VLOOKUP($BJ75,'Treasury Yields'!$C$250:$N$279,$E75,FALSE)/100)))))))),0)</f>
        <v>2.6258E-2</v>
      </c>
      <c r="BL75">
        <f t="shared" si="99"/>
        <v>1.5689763742797669</v>
      </c>
      <c r="BM75">
        <f t="shared" si="100"/>
        <v>11151352.096414261</v>
      </c>
      <c r="BN75">
        <f t="shared" si="101"/>
        <v>5904397.0964142606</v>
      </c>
      <c r="BP75">
        <f>IF($BJ75&lt;=30,IF($B75=2015,VLOOKUP($BJ75,'Treasury Yields'!$C$40:$N$69,$E75,FALSE)/100,IF($B75=2016,VLOOKUP($BJ75,'Treasury Yields'!$C$75:$N$104,$E75,FALSE)/100,IF($B75=2017,VLOOKUP($BJ75,'Treasury Yields'!$C$110:$N$139,$E75,FALSE)/100,IF($B75=2018,VLOOKUP($BJ75,'Treasury Yields'!$C$145:$N$174,$E75,FALSE)/100,IF($B75=2019,VLOOKUP($BJ75,'Treasury Yields'!$C$180:$N$209,$E75,FALSE)/100,IF($B75=2020,VLOOKUP($BJ75,'Treasury Yields'!$C$215:$N$244,$E75,FALSE)/100,IF($B75=2021,VLOOKUP($BJ75,'Treasury Yields'!$C$250:$N$279,$E75,FALSE)/100,IF($B75=2022,VLOOKUP($BJ75,'Treasury Yields'!$C$285:$N$314,$E75,FALSE)/100)))))))),0)</f>
        <v>1.6948000000000001E-2</v>
      </c>
      <c r="BQ75">
        <f t="shared" si="102"/>
        <v>1.6681300596167781</v>
      </c>
      <c r="BR75">
        <f t="shared" si="103"/>
        <v>12053148.811613712</v>
      </c>
      <c r="BS75">
        <f t="shared" si="104"/>
        <v>7110947.8116137125</v>
      </c>
      <c r="BU75">
        <f t="shared" si="90"/>
        <v>14</v>
      </c>
      <c r="BV75">
        <f t="shared" si="105"/>
        <v>2.5858715787335926</v>
      </c>
      <c r="BW75">
        <f t="shared" si="106"/>
        <v>157766.61089011523</v>
      </c>
      <c r="BX75" s="5">
        <f t="shared" si="107"/>
        <v>285464.81086039828</v>
      </c>
      <c r="BY75" s="5">
        <f t="shared" si="108"/>
        <v>147690.26647039832</v>
      </c>
      <c r="BZ75" s="5">
        <f t="shared" si="109"/>
        <v>611403</v>
      </c>
      <c r="CA75" s="5">
        <f t="shared" si="110"/>
        <v>305456.87736051355</v>
      </c>
      <c r="CC75" s="5">
        <f t="shared" si="111"/>
        <v>12053148.811613712</v>
      </c>
      <c r="CD75" s="5" t="str">
        <f t="shared" si="112"/>
        <v>Alaska</v>
      </c>
      <c r="CE75" s="5">
        <f t="shared" si="88"/>
        <v>0.68399006580126487</v>
      </c>
      <c r="CF75" s="10">
        <f t="shared" si="113"/>
        <v>0.41003401494868985</v>
      </c>
    </row>
    <row r="76" spans="1:85" x14ac:dyDescent="0.2">
      <c r="A76">
        <v>2000000001605</v>
      </c>
      <c r="B76">
        <v>2017</v>
      </c>
      <c r="C76">
        <v>554</v>
      </c>
      <c r="D76" t="s">
        <v>198</v>
      </c>
      <c r="E76">
        <v>6</v>
      </c>
      <c r="F76" t="s">
        <v>199</v>
      </c>
      <c r="G76" t="s">
        <v>200</v>
      </c>
      <c r="H76" t="s">
        <v>69</v>
      </c>
      <c r="I76" t="b">
        <v>1</v>
      </c>
      <c r="J76">
        <v>68376</v>
      </c>
      <c r="K76">
        <v>559165</v>
      </c>
      <c r="M76">
        <v>-65757</v>
      </c>
      <c r="O76">
        <v>448422</v>
      </c>
      <c r="Q76">
        <v>113362</v>
      </c>
      <c r="R76">
        <v>7225545</v>
      </c>
      <c r="S76">
        <v>7338907</v>
      </c>
      <c r="T76">
        <v>36634</v>
      </c>
      <c r="U76">
        <v>116700</v>
      </c>
      <c r="V76">
        <v>39878</v>
      </c>
      <c r="W76">
        <v>628184</v>
      </c>
      <c r="Y76">
        <v>2890</v>
      </c>
      <c r="Z76">
        <v>10</v>
      </c>
      <c r="AA76">
        <v>370094</v>
      </c>
      <c r="AB76">
        <v>4942201</v>
      </c>
      <c r="AC76">
        <v>5312295</v>
      </c>
      <c r="AD76">
        <v>2026612</v>
      </c>
      <c r="AE76">
        <v>2283344</v>
      </c>
      <c r="AF76">
        <v>-256732</v>
      </c>
      <c r="AG76">
        <v>449629</v>
      </c>
      <c r="AH76">
        <v>8.1476061375044762E-2</v>
      </c>
      <c r="AI76" t="b">
        <v>1</v>
      </c>
      <c r="AK76">
        <v>0.08</v>
      </c>
      <c r="AL76">
        <v>0.08</v>
      </c>
      <c r="AM76">
        <v>0.08</v>
      </c>
      <c r="AN76">
        <v>0.08</v>
      </c>
      <c r="AO76">
        <v>1</v>
      </c>
      <c r="AP76">
        <v>0</v>
      </c>
      <c r="AS76">
        <v>2856759</v>
      </c>
      <c r="AT76">
        <v>1329198</v>
      </c>
      <c r="AU76" t="s">
        <v>203</v>
      </c>
      <c r="AV76" t="s">
        <v>205</v>
      </c>
      <c r="BB76">
        <f t="shared" si="91"/>
        <v>0.72385370192046306</v>
      </c>
      <c r="BD76">
        <f t="shared" si="92"/>
        <v>830147</v>
      </c>
      <c r="BE76">
        <f t="shared" si="93"/>
        <v>-697414</v>
      </c>
      <c r="BF76">
        <f t="shared" si="94"/>
        <v>11.311589041801456</v>
      </c>
      <c r="BG76">
        <f t="shared" si="95"/>
        <v>-9.5029682212896276</v>
      </c>
      <c r="BH76">
        <f t="shared" si="96"/>
        <v>10.407278631545543</v>
      </c>
      <c r="BI76">
        <f t="shared" si="97"/>
        <v>90.431041025591412</v>
      </c>
      <c r="BJ76">
        <f t="shared" si="98"/>
        <v>10</v>
      </c>
      <c r="BK76">
        <f>IF($BJ76&lt;=30,IF($B76=2015,VLOOKUP($BJ76,'Treasury Yields'!$C$5:$N$34,$E76,FALSE)/100,IF($B76=2016,VLOOKUP($BJ76,'Treasury Yields'!$C$40:$N$69,$E76,FALSE)/100,IF($B76=2017,VLOOKUP($BJ76,'Treasury Yields'!$C$75:$N$104,$E76,FALSE)/100,IF($B76=2018,VLOOKUP($BJ76,'Treasury Yields'!$C$110:$N$139,$E76,FALSE)/100,IF($B76=2019,VLOOKUP($BJ76,'Treasury Yields'!$C$145:$N$174,$E76,FALSE)/100,IF($B76=2020,VLOOKUP($BJ76,'Treasury Yields'!$C$180:$N$209,$E76,FALSE)/100,IF($B76=2021,VLOOKUP($BJ76,'Treasury Yields'!$C$215:$N$244,$E76,FALSE)/100,IF($B76=2022,VLOOKUP($BJ76,'Treasury Yields'!$C$250:$N$279,$E76,FALSE)/100)))))))),0)</f>
        <v>1.635E-2</v>
      </c>
      <c r="BL76">
        <f t="shared" si="99"/>
        <v>1.6664746073978738</v>
      </c>
      <c r="BM76">
        <f t="shared" si="100"/>
        <v>12041187.26711067</v>
      </c>
      <c r="BN76">
        <f t="shared" si="101"/>
        <v>7098986.26711067</v>
      </c>
      <c r="BP76">
        <f>IF($BJ76&lt;=30,IF($B76=2015,VLOOKUP($BJ76,'Treasury Yields'!$C$40:$N$69,$E76,FALSE)/100,IF($B76=2016,VLOOKUP($BJ76,'Treasury Yields'!$C$75:$N$104,$E76,FALSE)/100,IF($B76=2017,VLOOKUP($BJ76,'Treasury Yields'!$C$110:$N$139,$E76,FALSE)/100,IF($B76=2018,VLOOKUP($BJ76,'Treasury Yields'!$C$145:$N$174,$E76,FALSE)/100,IF($B76=2019,VLOOKUP($BJ76,'Treasury Yields'!$C$180:$N$209,$E76,FALSE)/100,IF($B76=2020,VLOOKUP($BJ76,'Treasury Yields'!$C$215:$N$244,$E76,FALSE)/100,IF($B76=2021,VLOOKUP($BJ76,'Treasury Yields'!$C$250:$N$279,$E76,FALSE)/100,IF($B76=2022,VLOOKUP($BJ76,'Treasury Yields'!$C$285:$N$314,$E76,FALSE)/100)))))))),0)</f>
        <v>2.4670000000000001E-2</v>
      </c>
      <c r="BQ76">
        <f t="shared" si="102"/>
        <v>1.578896135583415</v>
      </c>
      <c r="BR76">
        <f t="shared" si="103"/>
        <v>11587371.901706073</v>
      </c>
      <c r="BS76">
        <f t="shared" si="104"/>
        <v>6275076.9017060734</v>
      </c>
      <c r="BU76">
        <f t="shared" si="90"/>
        <v>13</v>
      </c>
      <c r="BV76">
        <f t="shared" si="105"/>
        <v>2.8562385961032755</v>
      </c>
      <c r="BW76">
        <f t="shared" si="106"/>
        <v>195298.17024715757</v>
      </c>
      <c r="BX76" s="5">
        <f t="shared" si="107"/>
        <v>192734.83720080048</v>
      </c>
      <c r="BY76" s="5">
        <f t="shared" si="108"/>
        <v>111929.85085080049</v>
      </c>
      <c r="BZ76" s="5">
        <f t="shared" si="109"/>
        <v>627541</v>
      </c>
      <c r="CA76" s="5">
        <f t="shared" si="110"/>
        <v>307228.02109795809</v>
      </c>
      <c r="CC76" s="5">
        <f t="shared" si="111"/>
        <v>11587371.901706073</v>
      </c>
      <c r="CD76" s="5" t="str">
        <f t="shared" si="112"/>
        <v>Alaska</v>
      </c>
      <c r="CE76" s="5">
        <f t="shared" si="88"/>
        <v>0.72385370192046306</v>
      </c>
      <c r="CF76" s="10">
        <f t="shared" si="113"/>
        <v>0.45845555360295642</v>
      </c>
    </row>
    <row r="77" spans="1:85" x14ac:dyDescent="0.2">
      <c r="A77">
        <v>2000000001605</v>
      </c>
      <c r="B77">
        <v>2018</v>
      </c>
      <c r="C77">
        <v>554</v>
      </c>
      <c r="D77" t="s">
        <v>198</v>
      </c>
      <c r="E77">
        <v>6</v>
      </c>
      <c r="F77" t="s">
        <v>199</v>
      </c>
      <c r="G77" t="s">
        <v>200</v>
      </c>
      <c r="H77" t="s">
        <v>69</v>
      </c>
      <c r="I77" t="b">
        <v>1</v>
      </c>
      <c r="J77">
        <v>64961</v>
      </c>
      <c r="K77">
        <v>572791</v>
      </c>
      <c r="M77">
        <v>-131092</v>
      </c>
      <c r="O77">
        <v>458511</v>
      </c>
      <c r="Q77">
        <v>48149</v>
      </c>
      <c r="R77">
        <v>7338907</v>
      </c>
      <c r="S77">
        <v>7387056</v>
      </c>
      <c r="T77">
        <v>39835</v>
      </c>
      <c r="U77">
        <v>111757</v>
      </c>
      <c r="V77">
        <v>37674</v>
      </c>
      <c r="W77">
        <v>432543</v>
      </c>
      <c r="Y77">
        <v>3050</v>
      </c>
      <c r="Z77">
        <v>184</v>
      </c>
      <c r="AA77">
        <v>160432</v>
      </c>
      <c r="AB77">
        <v>5312295</v>
      </c>
      <c r="AC77">
        <v>5472727</v>
      </c>
      <c r="AD77">
        <v>1914329</v>
      </c>
      <c r="AE77">
        <v>2026612</v>
      </c>
      <c r="AF77">
        <v>-112283</v>
      </c>
      <c r="AG77">
        <v>425841</v>
      </c>
      <c r="AH77">
        <v>9.3544304094720795E-2</v>
      </c>
      <c r="AI77" t="b">
        <v>1</v>
      </c>
      <c r="AK77">
        <v>0.08</v>
      </c>
      <c r="AL77">
        <v>0.08</v>
      </c>
      <c r="AM77">
        <v>0.08</v>
      </c>
      <c r="AN77">
        <v>0.08</v>
      </c>
      <c r="AO77">
        <v>1</v>
      </c>
      <c r="AP77">
        <v>0</v>
      </c>
      <c r="AS77">
        <v>2738519</v>
      </c>
      <c r="AT77">
        <v>1220808</v>
      </c>
      <c r="AU77" t="s">
        <v>201</v>
      </c>
      <c r="AV77" t="s">
        <v>206</v>
      </c>
      <c r="BB77">
        <f t="shared" si="91"/>
        <v>0.74085359580325372</v>
      </c>
      <c r="BD77">
        <f t="shared" si="92"/>
        <v>824190</v>
      </c>
      <c r="BE77">
        <f t="shared" si="93"/>
        <v>-693521</v>
      </c>
      <c r="BF77">
        <f t="shared" si="94"/>
        <v>11.157218789190173</v>
      </c>
      <c r="BG77">
        <f t="shared" si="95"/>
        <v>-9.3883273661388245</v>
      </c>
      <c r="BH77">
        <f t="shared" si="96"/>
        <v>10.2727730776645</v>
      </c>
      <c r="BI77">
        <f t="shared" si="97"/>
        <v>88.444571152567406</v>
      </c>
      <c r="BJ77">
        <f t="shared" si="98"/>
        <v>10</v>
      </c>
      <c r="BK77">
        <f>IF($BJ77&lt;=30,IF($B77=2015,VLOOKUP($BJ77,'Treasury Yields'!$C$5:$N$34,$E77,FALSE)/100,IF($B77=2016,VLOOKUP($BJ77,'Treasury Yields'!$C$40:$N$69,$E77,FALSE)/100,IF($B77=2017,VLOOKUP($BJ77,'Treasury Yields'!$C$75:$N$104,$E77,FALSE)/100,IF($B77=2018,VLOOKUP($BJ77,'Treasury Yields'!$C$110:$N$139,$E77,FALSE)/100,IF($B77=2019,VLOOKUP($BJ77,'Treasury Yields'!$C$145:$N$174,$E77,FALSE)/100,IF($B77=2020,VLOOKUP($BJ77,'Treasury Yields'!$C$180:$N$209,$E77,FALSE)/100,IF($B77=2021,VLOOKUP($BJ77,'Treasury Yields'!$C$215:$N$244,$E77,FALSE)/100,IF($B77=2022,VLOOKUP($BJ77,'Treasury Yields'!$C$250:$N$279,$E77,FALSE)/100)))))))),0)</f>
        <v>2.4670000000000001E-2</v>
      </c>
      <c r="BL77">
        <f t="shared" si="99"/>
        <v>1.571453943287177</v>
      </c>
      <c r="BM77">
        <f t="shared" si="100"/>
        <v>11532754.344567867</v>
      </c>
      <c r="BN77">
        <f t="shared" si="101"/>
        <v>6220459.344567867</v>
      </c>
      <c r="BP77">
        <f>IF($BJ77&lt;=30,IF($B77=2015,VLOOKUP($BJ77,'Treasury Yields'!$C$40:$N$69,$E77,FALSE)/100,IF($B77=2016,VLOOKUP($BJ77,'Treasury Yields'!$C$75:$N$104,$E77,FALSE)/100,IF($B77=2017,VLOOKUP($BJ77,'Treasury Yields'!$C$110:$N$139,$E77,FALSE)/100,IF($B77=2018,VLOOKUP($BJ77,'Treasury Yields'!$C$145:$N$174,$E77,FALSE)/100,IF($B77=2019,VLOOKUP($BJ77,'Treasury Yields'!$C$180:$N$209,$E77,FALSE)/100,IF($B77=2020,VLOOKUP($BJ77,'Treasury Yields'!$C$215:$N$244,$E77,FALSE)/100,IF($B77=2021,VLOOKUP($BJ77,'Treasury Yields'!$C$250:$N$279,$E77,FALSE)/100,IF($B77=2022,VLOOKUP($BJ77,'Treasury Yields'!$C$285:$N$314,$E77,FALSE)/100)))))))),0)</f>
        <v>2.964E-2</v>
      </c>
      <c r="BQ77">
        <f t="shared" si="102"/>
        <v>1.519872981791184</v>
      </c>
      <c r="BR77">
        <f t="shared" si="103"/>
        <v>11227386.829378456</v>
      </c>
      <c r="BS77">
        <f t="shared" si="104"/>
        <v>5754659.8293784559</v>
      </c>
      <c r="BU77">
        <f t="shared" si="90"/>
        <v>13</v>
      </c>
      <c r="BV77">
        <f t="shared" si="105"/>
        <v>2.5584475316703301</v>
      </c>
      <c r="BW77">
        <f t="shared" si="106"/>
        <v>166199.3101048363</v>
      </c>
      <c r="BX77" s="5">
        <f t="shared" si="107"/>
        <v>277301.72029077559</v>
      </c>
      <c r="BY77" s="5">
        <f t="shared" si="108"/>
        <v>146247.4026407756</v>
      </c>
      <c r="BZ77" s="5">
        <f t="shared" si="109"/>
        <v>637752</v>
      </c>
      <c r="CA77" s="5">
        <f t="shared" si="110"/>
        <v>312446.71274561191</v>
      </c>
      <c r="CC77" s="5">
        <f t="shared" si="111"/>
        <v>11227386.829378456</v>
      </c>
      <c r="CD77" s="5" t="str">
        <f t="shared" si="112"/>
        <v>Alaska</v>
      </c>
      <c r="CE77" s="5">
        <f t="shared" si="88"/>
        <v>0.74085359580325372</v>
      </c>
      <c r="CF77" s="10">
        <f t="shared" si="113"/>
        <v>0.48744441455242604</v>
      </c>
    </row>
    <row r="78" spans="1:85" x14ac:dyDescent="0.2">
      <c r="A78">
        <v>2000000001605</v>
      </c>
      <c r="B78">
        <v>2019</v>
      </c>
      <c r="C78">
        <v>554</v>
      </c>
      <c r="D78" t="s">
        <v>198</v>
      </c>
      <c r="E78">
        <v>6</v>
      </c>
      <c r="F78" t="s">
        <v>199</v>
      </c>
      <c r="G78" t="s">
        <v>200</v>
      </c>
      <c r="H78" t="s">
        <v>69</v>
      </c>
      <c r="I78" t="b">
        <v>1</v>
      </c>
      <c r="J78">
        <v>60810</v>
      </c>
      <c r="K78">
        <v>575706</v>
      </c>
      <c r="M78">
        <v>-135121</v>
      </c>
      <c r="O78">
        <v>472717</v>
      </c>
      <c r="Q78">
        <v>-6584</v>
      </c>
      <c r="R78">
        <v>7387056</v>
      </c>
      <c r="S78">
        <v>7380472</v>
      </c>
      <c r="T78">
        <v>36805</v>
      </c>
      <c r="U78">
        <v>127365</v>
      </c>
      <c r="V78">
        <v>35763</v>
      </c>
      <c r="W78">
        <v>314972</v>
      </c>
      <c r="Y78">
        <v>3018</v>
      </c>
      <c r="Z78">
        <v>32</v>
      </c>
      <c r="AA78">
        <v>39202</v>
      </c>
      <c r="AB78">
        <v>5472727</v>
      </c>
      <c r="AC78">
        <v>5511929</v>
      </c>
      <c r="AD78">
        <v>1868543</v>
      </c>
      <c r="AE78">
        <v>1914329</v>
      </c>
      <c r="AF78">
        <v>-45786</v>
      </c>
      <c r="AG78">
        <v>392609</v>
      </c>
      <c r="AH78">
        <v>9.3744667086083103E-2</v>
      </c>
      <c r="AI78" t="b">
        <v>1</v>
      </c>
      <c r="AK78">
        <v>0.08</v>
      </c>
      <c r="AL78">
        <v>7.3800000000000004E-2</v>
      </c>
      <c r="AM78">
        <v>7.3800000000000004E-2</v>
      </c>
      <c r="AN78">
        <v>0.08</v>
      </c>
      <c r="AO78">
        <v>1</v>
      </c>
      <c r="AP78">
        <v>0</v>
      </c>
      <c r="AS78">
        <v>2691688</v>
      </c>
      <c r="AT78">
        <v>1177412</v>
      </c>
      <c r="AU78" t="s">
        <v>201</v>
      </c>
      <c r="AV78" t="s">
        <v>207</v>
      </c>
      <c r="BB78">
        <f t="shared" si="91"/>
        <v>0.74682608375182513</v>
      </c>
      <c r="BD78">
        <f t="shared" si="92"/>
        <v>823145</v>
      </c>
      <c r="BE78">
        <f t="shared" si="93"/>
        <v>-691131</v>
      </c>
      <c r="BF78">
        <f t="shared" si="94"/>
        <v>11.153012978031757</v>
      </c>
      <c r="BG78">
        <f t="shared" si="95"/>
        <v>-9.3643197887614775</v>
      </c>
      <c r="BH78">
        <f t="shared" si="96"/>
        <v>10.258666383396617</v>
      </c>
      <c r="BI78">
        <f t="shared" si="97"/>
        <v>89.434659463513981</v>
      </c>
      <c r="BJ78">
        <f t="shared" si="98"/>
        <v>10</v>
      </c>
      <c r="BK78">
        <f>IF($BJ78&lt;=30,IF($B78=2015,VLOOKUP($BJ78,'Treasury Yields'!$C$5:$N$34,$E78,FALSE)/100,IF($B78=2016,VLOOKUP($BJ78,'Treasury Yields'!$C$40:$N$69,$E78,FALSE)/100,IF($B78=2017,VLOOKUP($BJ78,'Treasury Yields'!$C$75:$N$104,$E78,FALSE)/100,IF($B78=2018,VLOOKUP($BJ78,'Treasury Yields'!$C$110:$N$139,$E78,FALSE)/100,IF($B78=2019,VLOOKUP($BJ78,'Treasury Yields'!$C$145:$N$174,$E78,FALSE)/100,IF($B78=2020,VLOOKUP($BJ78,'Treasury Yields'!$C$180:$N$209,$E78,FALSE)/100,IF($B78=2021,VLOOKUP($BJ78,'Treasury Yields'!$C$215:$N$244,$E78,FALSE)/100,IF($B78=2022,VLOOKUP($BJ78,'Treasury Yields'!$C$250:$N$279,$E78,FALSE)/100)))))))),0)</f>
        <v>2.964E-2</v>
      </c>
      <c r="BL78">
        <f t="shared" si="99"/>
        <v>1.4549728130907946</v>
      </c>
      <c r="BM78">
        <f t="shared" si="100"/>
        <v>10747965.648779232</v>
      </c>
      <c r="BN78">
        <f t="shared" si="101"/>
        <v>5275238.6487792321</v>
      </c>
      <c r="BP78">
        <f>IF($BJ78&lt;=30,IF($B78=2015,VLOOKUP($BJ78,'Treasury Yields'!$C$40:$N$69,$E78,FALSE)/100,IF($B78=2016,VLOOKUP($BJ78,'Treasury Yields'!$C$75:$N$104,$E78,FALSE)/100,IF($B78=2017,VLOOKUP($BJ78,'Treasury Yields'!$C$110:$N$139,$E78,FALSE)/100,IF($B78=2018,VLOOKUP($BJ78,'Treasury Yields'!$C$145:$N$174,$E78,FALSE)/100,IF($B78=2019,VLOOKUP($BJ78,'Treasury Yields'!$C$180:$N$209,$E78,FALSE)/100,IF($B78=2020,VLOOKUP($BJ78,'Treasury Yields'!$C$215:$N$244,$E78,FALSE)/100,IF($B78=2021,VLOOKUP($BJ78,'Treasury Yields'!$C$250:$N$279,$E78,FALSE)/100,IF($B78=2022,VLOOKUP($BJ78,'Treasury Yields'!$C$285:$N$314,$E78,FALSE)/100)))))))),0)</f>
        <v>2.1259999999999998E-2</v>
      </c>
      <c r="BQ78">
        <f t="shared" si="102"/>
        <v>1.6060444509607175</v>
      </c>
      <c r="BR78">
        <f t="shared" si="103"/>
        <v>11853366.101070948</v>
      </c>
      <c r="BS78">
        <f t="shared" si="104"/>
        <v>6341437.1010709479</v>
      </c>
      <c r="BU78">
        <f t="shared" si="90"/>
        <v>13</v>
      </c>
      <c r="BV78">
        <f t="shared" si="105"/>
        <v>2.3981243261991914</v>
      </c>
      <c r="BW78">
        <f t="shared" si="106"/>
        <v>145829.94027617283</v>
      </c>
      <c r="BX78" s="5">
        <f t="shared" si="107"/>
        <v>308880.76937960216</v>
      </c>
      <c r="BY78" s="5">
        <f t="shared" si="108"/>
        <v>146669.14109960222</v>
      </c>
      <c r="BZ78" s="5">
        <f t="shared" si="109"/>
        <v>636516</v>
      </c>
      <c r="CA78" s="5">
        <f t="shared" si="110"/>
        <v>292499.08137577504</v>
      </c>
      <c r="CC78" s="5">
        <f t="shared" si="111"/>
        <v>11853366.101070948</v>
      </c>
      <c r="CD78" s="5" t="str">
        <f t="shared" si="112"/>
        <v>Alaska</v>
      </c>
      <c r="CE78" s="5">
        <f t="shared" si="88"/>
        <v>0.74682608375182513</v>
      </c>
      <c r="CF78" s="10">
        <f t="shared" si="113"/>
        <v>0.46500959752706861</v>
      </c>
    </row>
    <row r="79" spans="1:85" x14ac:dyDescent="0.2">
      <c r="A79">
        <v>2000000001605</v>
      </c>
      <c r="B79">
        <v>2020</v>
      </c>
      <c r="C79">
        <v>554</v>
      </c>
      <c r="D79" t="s">
        <v>198</v>
      </c>
      <c r="E79">
        <v>6</v>
      </c>
      <c r="F79" t="s">
        <v>199</v>
      </c>
      <c r="G79" t="s">
        <v>200</v>
      </c>
      <c r="H79" t="s">
        <v>69</v>
      </c>
      <c r="I79" t="b">
        <v>1</v>
      </c>
      <c r="J79">
        <v>50654</v>
      </c>
      <c r="K79">
        <v>529132</v>
      </c>
      <c r="M79">
        <v>8105</v>
      </c>
      <c r="O79">
        <v>490446</v>
      </c>
      <c r="Q79">
        <v>97445</v>
      </c>
      <c r="R79">
        <v>7380472</v>
      </c>
      <c r="S79">
        <v>7477917</v>
      </c>
      <c r="T79">
        <v>34114</v>
      </c>
      <c r="U79">
        <v>140219</v>
      </c>
      <c r="V79">
        <v>33566</v>
      </c>
      <c r="W79">
        <v>218372</v>
      </c>
      <c r="Y79">
        <v>2988</v>
      </c>
      <c r="Z79">
        <v>33</v>
      </c>
      <c r="AA79">
        <v>-67130</v>
      </c>
      <c r="AB79">
        <v>5511929</v>
      </c>
      <c r="AC79">
        <v>5444799</v>
      </c>
      <c r="AD79">
        <v>2033118</v>
      </c>
      <c r="AE79">
        <v>1868543</v>
      </c>
      <c r="AF79">
        <v>164575</v>
      </c>
      <c r="AG79">
        <v>366037</v>
      </c>
      <c r="AH79">
        <v>9.3198228594377069E-2</v>
      </c>
      <c r="AI79" t="b">
        <v>1</v>
      </c>
      <c r="AK79">
        <v>7.3800000000000004E-2</v>
      </c>
      <c r="AL79">
        <v>7.3800000000000004E-2</v>
      </c>
      <c r="AM79">
        <v>7.3800000000000004E-2</v>
      </c>
      <c r="AN79">
        <v>7.3800000000000004E-2</v>
      </c>
      <c r="AO79">
        <v>1</v>
      </c>
      <c r="AP79">
        <v>0</v>
      </c>
      <c r="AS79">
        <v>2853100</v>
      </c>
      <c r="AT79">
        <v>1343514</v>
      </c>
      <c r="AU79" t="s">
        <v>208</v>
      </c>
      <c r="AV79" t="s">
        <v>209</v>
      </c>
      <c r="BB79">
        <f t="shared" si="91"/>
        <v>0.7281170678947092</v>
      </c>
      <c r="BD79">
        <f t="shared" si="92"/>
        <v>819982</v>
      </c>
      <c r="BE79">
        <f t="shared" si="93"/>
        <v>-689604</v>
      </c>
      <c r="BF79">
        <f t="shared" si="94"/>
        <v>10.965379797609415</v>
      </c>
      <c r="BG79">
        <f t="shared" si="95"/>
        <v>-9.221872882515278</v>
      </c>
      <c r="BH79">
        <f t="shared" si="96"/>
        <v>10.093626340062347</v>
      </c>
      <c r="BI79">
        <f t="shared" si="97"/>
        <v>87.175345754706825</v>
      </c>
      <c r="BJ79">
        <f t="shared" si="98"/>
        <v>10</v>
      </c>
      <c r="BK79">
        <f>IF($BJ79&lt;=30,IF($B79=2015,VLOOKUP($BJ79,'Treasury Yields'!$C$5:$N$34,$E79,FALSE)/100,IF($B79=2016,VLOOKUP($BJ79,'Treasury Yields'!$C$40:$N$69,$E79,FALSE)/100,IF($B79=2017,VLOOKUP($BJ79,'Treasury Yields'!$C$75:$N$104,$E79,FALSE)/100,IF($B79=2018,VLOOKUP($BJ79,'Treasury Yields'!$C$110:$N$139,$E79,FALSE)/100,IF($B79=2019,VLOOKUP($BJ79,'Treasury Yields'!$C$145:$N$174,$E79,FALSE)/100,IF($B79=2020,VLOOKUP($BJ79,'Treasury Yields'!$C$180:$N$209,$E79,FALSE)/100,IF($B79=2021,VLOOKUP($BJ79,'Treasury Yields'!$C$215:$N$244,$E79,FALSE)/100,IF($B79=2022,VLOOKUP($BJ79,'Treasury Yields'!$C$250:$N$279,$E79,FALSE)/100)))))))),0)</f>
        <v>2.1259999999999998E-2</v>
      </c>
      <c r="BL79">
        <f t="shared" si="99"/>
        <v>1.5330795795068757</v>
      </c>
      <c r="BM79">
        <f t="shared" si="100"/>
        <v>11314850.910322269</v>
      </c>
      <c r="BN79">
        <f t="shared" si="101"/>
        <v>5802921.9103222694</v>
      </c>
      <c r="BP79">
        <f>IF($BJ79&lt;=30,IF($B79=2015,VLOOKUP($BJ79,'Treasury Yields'!$C$40:$N$69,$E79,FALSE)/100,IF($B79=2016,VLOOKUP($BJ79,'Treasury Yields'!$C$75:$N$104,$E79,FALSE)/100,IF($B79=2017,VLOOKUP($BJ79,'Treasury Yields'!$C$110:$N$139,$E79,FALSE)/100,IF($B79=2018,VLOOKUP($BJ79,'Treasury Yields'!$C$145:$N$174,$E79,FALSE)/100,IF($B79=2019,VLOOKUP($BJ79,'Treasury Yields'!$C$180:$N$209,$E79,FALSE)/100,IF($B79=2020,VLOOKUP($BJ79,'Treasury Yields'!$C$215:$N$244,$E79,FALSE)/100,IF($B79=2021,VLOOKUP($BJ79,'Treasury Yields'!$C$250:$N$279,$E79,FALSE)/100,IF($B79=2022,VLOOKUP($BJ79,'Treasury Yields'!$C$285:$N$314,$E79,FALSE)/100)))))))),0)</f>
        <v>1.5412727272727269E-2</v>
      </c>
      <c r="BQ79">
        <f t="shared" si="102"/>
        <v>1.592748387540933</v>
      </c>
      <c r="BR79">
        <f t="shared" si="103"/>
        <v>11910440.24391493</v>
      </c>
      <c r="BS79">
        <f t="shared" si="104"/>
        <v>6465641.2439149301</v>
      </c>
      <c r="BU79">
        <f t="shared" si="90"/>
        <v>13</v>
      </c>
      <c r="BV79">
        <f t="shared" si="105"/>
        <v>2.4539824505760093</v>
      </c>
      <c r="BW79">
        <f t="shared" si="106"/>
        <v>124304.02705147717</v>
      </c>
      <c r="BX79" s="5">
        <f t="shared" si="107"/>
        <v>232769.55200856581</v>
      </c>
      <c r="BY79" s="5">
        <f t="shared" si="108"/>
        <v>115585.94146856583</v>
      </c>
      <c r="BZ79" s="5">
        <f t="shared" si="109"/>
        <v>579786</v>
      </c>
      <c r="CA79" s="5">
        <f t="shared" si="110"/>
        <v>239889.96852004301</v>
      </c>
      <c r="CC79" s="5">
        <f t="shared" si="111"/>
        <v>11910440.24391493</v>
      </c>
      <c r="CD79" s="5" t="str">
        <f t="shared" si="112"/>
        <v>Alaska</v>
      </c>
      <c r="CE79" s="5">
        <f t="shared" si="88"/>
        <v>0.7281170678947092</v>
      </c>
      <c r="CF79" s="10">
        <f t="shared" si="113"/>
        <v>0.45714506672259742</v>
      </c>
    </row>
    <row r="80" spans="1:85" x14ac:dyDescent="0.2">
      <c r="A80">
        <v>2000000001605</v>
      </c>
      <c r="B80">
        <v>2021</v>
      </c>
      <c r="C80">
        <v>554</v>
      </c>
      <c r="D80" t="s">
        <v>198</v>
      </c>
      <c r="E80">
        <v>6</v>
      </c>
      <c r="F80" t="s">
        <v>199</v>
      </c>
      <c r="G80" t="s">
        <v>200</v>
      </c>
      <c r="H80" t="s">
        <v>69</v>
      </c>
      <c r="I80" t="b">
        <v>1</v>
      </c>
      <c r="J80">
        <v>48401</v>
      </c>
      <c r="K80">
        <v>535725</v>
      </c>
      <c r="M80">
        <v>-33160</v>
      </c>
      <c r="O80">
        <v>501429</v>
      </c>
      <c r="Q80">
        <v>49537</v>
      </c>
      <c r="R80">
        <v>7477917</v>
      </c>
      <c r="S80">
        <v>7527454</v>
      </c>
      <c r="T80">
        <v>29336</v>
      </c>
      <c r="U80">
        <v>134070</v>
      </c>
      <c r="V80">
        <v>33342</v>
      </c>
      <c r="W80">
        <v>1594536</v>
      </c>
      <c r="Y80">
        <v>3446</v>
      </c>
      <c r="Z80">
        <v>273</v>
      </c>
      <c r="AA80">
        <v>1286682</v>
      </c>
      <c r="AB80">
        <v>5444799</v>
      </c>
      <c r="AC80">
        <v>6731481</v>
      </c>
      <c r="AD80">
        <v>795973</v>
      </c>
      <c r="AE80">
        <v>2033118</v>
      </c>
      <c r="AF80">
        <v>-1237145</v>
      </c>
      <c r="AG80">
        <v>357288</v>
      </c>
      <c r="AI80" t="b">
        <v>1</v>
      </c>
      <c r="AK80">
        <v>7.3800000000000004E-2</v>
      </c>
      <c r="AL80">
        <v>7.3800000000000004E-2</v>
      </c>
      <c r="AM80">
        <v>7.3800000000000004E-2</v>
      </c>
      <c r="AN80">
        <v>7.3800000000000004E-2</v>
      </c>
      <c r="AS80">
        <v>1609245</v>
      </c>
      <c r="AT80">
        <v>111008</v>
      </c>
      <c r="BB80">
        <f t="shared" si="91"/>
        <v>0.89425734119398137</v>
      </c>
      <c r="BD80">
        <f t="shared" si="92"/>
        <v>813272</v>
      </c>
      <c r="BE80">
        <f t="shared" si="93"/>
        <v>-684965</v>
      </c>
      <c r="BF80">
        <f t="shared" si="94"/>
        <v>10.80407797908828</v>
      </c>
      <c r="BG80">
        <f t="shared" si="95"/>
        <v>-9.099557433363259</v>
      </c>
      <c r="BH80">
        <f t="shared" si="96"/>
        <v>9.9518177062257696</v>
      </c>
      <c r="BI80">
        <f t="shared" si="97"/>
        <v>85.226027286251096</v>
      </c>
      <c r="BJ80">
        <f t="shared" si="98"/>
        <v>10</v>
      </c>
      <c r="BK80">
        <f>IF($BJ80&lt;=30,IF($B80=2015,VLOOKUP($BJ80,'Treasury Yields'!$C$5:$N$34,$E80,FALSE)/100,IF($B80=2016,VLOOKUP($BJ80,'Treasury Yields'!$C$40:$N$69,$E80,FALSE)/100,IF($B80=2017,VLOOKUP($BJ80,'Treasury Yields'!$C$75:$N$104,$E80,FALSE)/100,IF($B80=2018,VLOOKUP($BJ80,'Treasury Yields'!$C$110:$N$139,$E80,FALSE)/100,IF($B80=2019,VLOOKUP($BJ80,'Treasury Yields'!$C$145:$N$174,$E80,FALSE)/100,IF($B80=2020,VLOOKUP($BJ80,'Treasury Yields'!$C$180:$N$209,$E80,FALSE)/100,IF($B80=2021,VLOOKUP($BJ80,'Treasury Yields'!$C$215:$N$244,$E80,FALSE)/100,IF($B80=2022,VLOOKUP($BJ80,'Treasury Yields'!$C$250:$N$279,$E80,FALSE)/100)))))))),0)</f>
        <v>1.5412727272727269E-2</v>
      </c>
      <c r="BL80">
        <f t="shared" si="99"/>
        <v>1.5844685681620345</v>
      </c>
      <c r="BM80">
        <f t="shared" si="100"/>
        <v>11848524.441824537</v>
      </c>
      <c r="BN80">
        <f t="shared" si="101"/>
        <v>6403725.4418245368</v>
      </c>
      <c r="BP80">
        <f>IF($BJ80&lt;=30,IF($B80=2015,VLOOKUP($BJ80,'Treasury Yields'!$C$40:$N$69,$E80,FALSE)/100,IF($B80=2016,VLOOKUP($BJ80,'Treasury Yields'!$C$75:$N$104,$E80,FALSE)/100,IF($B80=2017,VLOOKUP($BJ80,'Treasury Yields'!$C$110:$N$139,$E80,FALSE)/100,IF($B80=2018,VLOOKUP($BJ80,'Treasury Yields'!$C$145:$N$174,$E80,FALSE)/100,IF($B80=2019,VLOOKUP($BJ80,'Treasury Yields'!$C$180:$N$209,$E80,FALSE)/100,IF($B80=2020,VLOOKUP($BJ80,'Treasury Yields'!$C$215:$N$244,$E80,FALSE)/100,IF($B80=2021,VLOOKUP($BJ80,'Treasury Yields'!$C$250:$N$279,$E80,FALSE)/100,IF($B80=2022,VLOOKUP($BJ80,'Treasury Yields'!$C$285:$N$314,$E80,FALSE)/100)))))))),0)</f>
        <v>2.202272727272727E-2</v>
      </c>
      <c r="BQ80">
        <f t="shared" si="102"/>
        <v>1.5179588654784277</v>
      </c>
      <c r="BR80">
        <f t="shared" si="103"/>
        <v>11426365.533781053</v>
      </c>
      <c r="BS80">
        <f t="shared" si="104"/>
        <v>4694884.5337810535</v>
      </c>
      <c r="BU80">
        <f t="shared" si="90"/>
        <v>13</v>
      </c>
      <c r="BV80">
        <f t="shared" si="105"/>
        <v>2.6306358410631838</v>
      </c>
      <c r="BW80">
        <f t="shared" si="106"/>
        <v>127325.40534329916</v>
      </c>
      <c r="BX80" s="5">
        <f t="shared" si="107"/>
        <v>176852.11912989404</v>
      </c>
      <c r="BY80" s="5">
        <f t="shared" si="108"/>
        <v>92932.917088075876</v>
      </c>
      <c r="BZ80" s="5">
        <f t="shared" si="109"/>
        <v>584126</v>
      </c>
      <c r="CA80" s="5">
        <f t="shared" si="110"/>
        <v>220258.32243137504</v>
      </c>
      <c r="CC80" s="5">
        <f t="shared" si="111"/>
        <v>11426365.533781053</v>
      </c>
      <c r="CD80" s="5" t="str">
        <f t="shared" si="112"/>
        <v>Alaska</v>
      </c>
      <c r="CE80" s="5">
        <f t="shared" si="88"/>
        <v>0.89425734119398137</v>
      </c>
      <c r="CF80" s="10">
        <f t="shared" si="113"/>
        <v>0.58911829663587811</v>
      </c>
    </row>
    <row r="81" spans="1:84" x14ac:dyDescent="0.2">
      <c r="A81">
        <v>2000000001605</v>
      </c>
      <c r="B81">
        <v>2022</v>
      </c>
      <c r="C81">
        <v>554</v>
      </c>
      <c r="D81" t="s">
        <v>198</v>
      </c>
      <c r="E81">
        <v>6</v>
      </c>
      <c r="F81" t="s">
        <v>199</v>
      </c>
      <c r="G81" t="s">
        <v>200</v>
      </c>
      <c r="H81" t="s">
        <v>69</v>
      </c>
      <c r="I81" t="b">
        <v>1</v>
      </c>
      <c r="J81">
        <v>44727</v>
      </c>
      <c r="K81">
        <v>538703</v>
      </c>
      <c r="M81">
        <v>-59667</v>
      </c>
      <c r="N81">
        <v>154098</v>
      </c>
      <c r="O81">
        <v>511762</v>
      </c>
      <c r="Q81">
        <v>166099</v>
      </c>
      <c r="R81">
        <v>7527454</v>
      </c>
      <c r="S81">
        <v>7693553</v>
      </c>
      <c r="T81">
        <v>30707</v>
      </c>
      <c r="U81">
        <v>141739</v>
      </c>
      <c r="V81">
        <v>30013</v>
      </c>
      <c r="W81">
        <v>-391758</v>
      </c>
      <c r="Y81">
        <v>3805</v>
      </c>
      <c r="Z81">
        <v>36</v>
      </c>
      <c r="AA81">
        <v>-704830</v>
      </c>
      <c r="AB81">
        <v>6731481</v>
      </c>
      <c r="AC81">
        <v>6026651</v>
      </c>
      <c r="AD81">
        <v>1666902</v>
      </c>
      <c r="AE81">
        <v>795973</v>
      </c>
      <c r="AF81">
        <v>870929</v>
      </c>
      <c r="AG81">
        <v>333781</v>
      </c>
      <c r="AI81" t="b">
        <v>1</v>
      </c>
      <c r="AK81">
        <v>7.3800000000000004E-2</v>
      </c>
      <c r="AL81">
        <v>7.2499999999999995E-2</v>
      </c>
      <c r="AM81">
        <v>7.3800000000000004E-2</v>
      </c>
      <c r="AN81">
        <v>7.3800000000000004E-2</v>
      </c>
      <c r="AO81">
        <v>1</v>
      </c>
      <c r="AS81">
        <v>2493199</v>
      </c>
      <c r="AT81">
        <v>969858</v>
      </c>
      <c r="AU81" t="s">
        <v>154</v>
      </c>
      <c r="AV81" t="s">
        <v>210</v>
      </c>
      <c r="BB81">
        <f t="shared" si="91"/>
        <v>0.78333781544105829</v>
      </c>
      <c r="BD81">
        <f t="shared" si="92"/>
        <v>826297</v>
      </c>
      <c r="BE81">
        <f t="shared" si="93"/>
        <v>-697044</v>
      </c>
      <c r="BF81">
        <f t="shared" si="94"/>
        <v>10.740122281603831</v>
      </c>
      <c r="BG81">
        <f t="shared" si="95"/>
        <v>-9.0601052595595295</v>
      </c>
      <c r="BH81">
        <f t="shared" si="96"/>
        <v>9.9001137705816813</v>
      </c>
      <c r="BI81">
        <f t="shared" si="97"/>
        <v>84.000851102215051</v>
      </c>
      <c r="BJ81">
        <f t="shared" si="98"/>
        <v>10</v>
      </c>
      <c r="BK81">
        <f>IF($BJ81&lt;=30,IF($B81=2015,VLOOKUP($BJ81,'Treasury Yields'!$C$5:$N$34,$E81,FALSE)/100,IF($B81=2016,VLOOKUP($BJ81,'Treasury Yields'!$C$40:$N$69,$E81,FALSE)/100,IF($B81=2017,VLOOKUP($BJ81,'Treasury Yields'!$C$75:$N$104,$E81,FALSE)/100,IF($B81=2018,VLOOKUP($BJ81,'Treasury Yields'!$C$110:$N$139,$E81,FALSE)/100,IF($B81=2019,VLOOKUP($BJ81,'Treasury Yields'!$C$145:$N$174,$E81,FALSE)/100,IF($B81=2020,VLOOKUP($BJ81,'Treasury Yields'!$C$180:$N$209,$E81,FALSE)/100,IF($B81=2021,VLOOKUP($BJ81,'Treasury Yields'!$C$215:$N$244,$E81,FALSE)/100,IF($B81=2022,VLOOKUP($BJ81,'Treasury Yields'!$C$250:$N$279,$E81,FALSE)/100)))))))),0)</f>
        <v>2.202272727272727E-2</v>
      </c>
      <c r="BL81">
        <f t="shared" si="99"/>
        <v>1.5022786978906635</v>
      </c>
      <c r="BM81">
        <f t="shared" si="100"/>
        <v>11308333.793551866</v>
      </c>
      <c r="BN81">
        <f t="shared" si="101"/>
        <v>4576852.793551866</v>
      </c>
      <c r="BP81">
        <f>IF($BJ81&lt;=30,IF($B81=2015,VLOOKUP($BJ81,'Treasury Yields'!$C$40:$N$69,$E81,FALSE)/100,IF($B81=2016,VLOOKUP($BJ81,'Treasury Yields'!$C$75:$N$104,$E81,FALSE)/100,IF($B81=2017,VLOOKUP($BJ81,'Treasury Yields'!$C$110:$N$139,$E81,FALSE)/100,IF($B81=2018,VLOOKUP($BJ81,'Treasury Yields'!$C$145:$N$174,$E81,FALSE)/100,IF($B81=2019,VLOOKUP($BJ81,'Treasury Yields'!$C$180:$N$209,$E81,FALSE)/100,IF($B81=2020,VLOOKUP($BJ81,'Treasury Yields'!$C$215:$N$244,$E81,FALSE)/100,IF($B81=2021,VLOOKUP($BJ81,'Treasury Yields'!$C$250:$N$279,$E81,FALSE)/100,IF($B81=2022,VLOOKUP($BJ81,'Treasury Yields'!$C$285:$N$314,$E81,FALSE)/100)))))))),0)</f>
        <v>3.1469545454545458E-2</v>
      </c>
      <c r="BQ81">
        <f t="shared" si="102"/>
        <v>1.4208681833424612</v>
      </c>
      <c r="BR81">
        <f t="shared" si="103"/>
        <v>10931524.674558943</v>
      </c>
      <c r="BS81">
        <f t="shared" si="104"/>
        <v>4904873.6745589431</v>
      </c>
      <c r="BU81">
        <f t="shared" si="90"/>
        <v>13</v>
      </c>
      <c r="BV81">
        <f t="shared" si="105"/>
        <v>2.4109021394632184</v>
      </c>
      <c r="BW81">
        <f t="shared" si="106"/>
        <v>107832.41999177137</v>
      </c>
      <c r="BX81" s="5">
        <f t="shared" si="107"/>
        <v>240144.7200664496</v>
      </c>
      <c r="BY81" s="5">
        <f t="shared" si="108"/>
        <v>91899.149861904196</v>
      </c>
      <c r="BZ81" s="5">
        <f t="shared" si="109"/>
        <v>583430</v>
      </c>
      <c r="CA81" s="5">
        <f t="shared" si="110"/>
        <v>199731.56985367555</v>
      </c>
      <c r="CC81" s="5">
        <f t="shared" si="111"/>
        <v>10931524.674558943</v>
      </c>
      <c r="CD81" s="5" t="str">
        <f t="shared" si="112"/>
        <v>Alaska</v>
      </c>
      <c r="CE81" s="5">
        <f t="shared" si="88"/>
        <v>0.78333781544105829</v>
      </c>
      <c r="CF81" s="10">
        <f t="shared" si="113"/>
        <v>0.55130928021649994</v>
      </c>
    </row>
    <row r="82" spans="1:84" x14ac:dyDescent="0.2">
      <c r="A82">
        <v>3000000009001</v>
      </c>
      <c r="B82">
        <v>2015</v>
      </c>
      <c r="C82">
        <v>13</v>
      </c>
      <c r="D82" t="s">
        <v>211</v>
      </c>
      <c r="E82">
        <v>6</v>
      </c>
      <c r="F82" t="s">
        <v>212</v>
      </c>
      <c r="G82" t="s">
        <v>213</v>
      </c>
      <c r="H82" t="s">
        <v>214</v>
      </c>
      <c r="I82" t="b">
        <v>1</v>
      </c>
      <c r="J82">
        <v>1013854</v>
      </c>
      <c r="K82">
        <v>3832255</v>
      </c>
      <c r="M82">
        <v>-1187231</v>
      </c>
      <c r="O82">
        <v>2927102</v>
      </c>
      <c r="Q82">
        <v>731776</v>
      </c>
      <c r="R82">
        <v>48490307</v>
      </c>
      <c r="S82">
        <v>49222083</v>
      </c>
      <c r="T82">
        <v>1004747</v>
      </c>
      <c r="V82">
        <v>1031954</v>
      </c>
      <c r="W82">
        <v>849160</v>
      </c>
      <c r="Y82">
        <v>26400</v>
      </c>
      <c r="Z82">
        <v>19582</v>
      </c>
      <c r="AA82">
        <v>-48059</v>
      </c>
      <c r="AB82">
        <v>33693705</v>
      </c>
      <c r="AC82">
        <v>33645646</v>
      </c>
      <c r="AD82">
        <v>15576437</v>
      </c>
      <c r="AE82">
        <v>14796602</v>
      </c>
      <c r="AF82">
        <v>779835</v>
      </c>
      <c r="AG82">
        <v>9226319</v>
      </c>
      <c r="AH82">
        <v>0.10890009330915179</v>
      </c>
      <c r="AI82" t="b">
        <v>1</v>
      </c>
      <c r="AK82">
        <v>0.08</v>
      </c>
      <c r="AL82">
        <v>0.08</v>
      </c>
      <c r="AM82">
        <v>8.7900000000000006E-2</v>
      </c>
      <c r="AN82">
        <v>8.7900000000000006E-2</v>
      </c>
      <c r="AO82">
        <v>1</v>
      </c>
      <c r="AP82">
        <v>7.9000000000000042E-3</v>
      </c>
      <c r="AS82">
        <v>20410457</v>
      </c>
      <c r="AT82">
        <v>12263551</v>
      </c>
      <c r="AU82" t="s">
        <v>101</v>
      </c>
      <c r="AV82" t="s">
        <v>215</v>
      </c>
      <c r="BB82">
        <f t="shared" ref="BB82:BB89" si="114">AC82/S82</f>
        <v>0.6835477889060485</v>
      </c>
      <c r="BD82">
        <f t="shared" ref="BD82:BD89" si="115">AS82-AD82</f>
        <v>4834020</v>
      </c>
      <c r="BE82">
        <f t="shared" ref="BE82:BE89" si="116">AT82-AD82</f>
        <v>-3312886</v>
      </c>
      <c r="BF82">
        <f t="shared" ref="BF82:BF89" si="117">BD82/S82*100</f>
        <v>9.8208359040798818</v>
      </c>
      <c r="BG82">
        <f t="shared" ref="BG82:BG89" si="118">BE82/S82*100</f>
        <v>-6.7304872083532103</v>
      </c>
      <c r="BH82">
        <f t="shared" ref="BH82:BH89" si="119">(BD82-BE82)/(2*S82)*100</f>
        <v>8.2756615562165461</v>
      </c>
      <c r="BI82">
        <f t="shared" ref="BI82:BI89" si="120">(BD82+BE82)/(2*S82*(0.01^2))</f>
        <v>154.51743478633361</v>
      </c>
      <c r="BJ82">
        <f t="shared" ref="BJ82:BJ89" si="121">ROUND(BH82,0)</f>
        <v>8</v>
      </c>
      <c r="BK82">
        <f>IF($BJ82&lt;=30,IF($B82=2015,VLOOKUP($BJ82,'Treasury Yields'!$C$5:$N$34,$E82,FALSE)/100,IF($B82=2016,VLOOKUP($BJ82,'Treasury Yields'!$C$40:$N$69,$E82,FALSE)/100,IF($B82=2017,VLOOKUP($BJ82,'Treasury Yields'!$C$75:$N$104,$E82,FALSE)/100,IF($B82=2018,VLOOKUP($BJ82,'Treasury Yields'!$C$110:$N$139,$E82,FALSE)/100,IF($B82=2019,VLOOKUP($BJ82,'Treasury Yields'!$C$145:$N$174,$E82,FALSE)/100,IF($B82=2020,VLOOKUP($BJ82,'Treasury Yields'!$C$180:$N$209,$E82,FALSE)/100,IF($B82=2021,VLOOKUP($BJ82,'Treasury Yields'!$C$215:$N$244,$E82,FALSE)/100,IF($B82=2022,VLOOKUP($BJ82,'Treasury Yields'!$C$250:$N$279,$E82,FALSE)/100)))))))),0)</f>
        <v>2.4239999999999998E-2</v>
      </c>
      <c r="BL82">
        <f t="shared" ref="BL82:BL89" si="122">1+BH82*(AL82-BK82)+(AL82-BK82)^2</f>
        <v>1.4645600659746347</v>
      </c>
      <c r="BM82">
        <f t="shared" ref="BM82:BM89" si="123">BL82*R82</f>
        <v>71016967.219050288</v>
      </c>
      <c r="BN82">
        <f t="shared" ref="BN82:BN89" si="124">BM82-AB82</f>
        <v>37323262.219050288</v>
      </c>
      <c r="BP82">
        <f>IF($BJ82&lt;=30,IF($B82=2015,VLOOKUP($BJ82,'Treasury Yields'!$C$40:$N$69,$E82,FALSE)/100,IF($B82=2016,VLOOKUP($BJ82,'Treasury Yields'!$C$75:$N$104,$E82,FALSE)/100,IF($B82=2017,VLOOKUP($BJ82,'Treasury Yields'!$C$110:$N$139,$E82,FALSE)/100,IF($B82=2018,VLOOKUP($BJ82,'Treasury Yields'!$C$145:$N$174,$E82,FALSE)/100,IF($B82=2019,VLOOKUP($BJ82,'Treasury Yields'!$C$180:$N$209,$E82,FALSE)/100,IF($B82=2020,VLOOKUP($BJ82,'Treasury Yields'!$C$215:$N$244,$E82,FALSE)/100,IF($B82=2021,VLOOKUP($BJ82,'Treasury Yields'!$C$250:$N$279,$E82,FALSE)/100,IF($B82=2022,VLOOKUP($BJ82,'Treasury Yields'!$C$285:$N$314,$E82,FALSE)/100)))))))),0)</f>
        <v>2.3290000000000002E-2</v>
      </c>
      <c r="BQ82">
        <f t="shared" ref="BQ82:BQ89" si="125">1+BH82*(AN82-BP82)+(AN82-BP82)^2</f>
        <v>1.538864945247151</v>
      </c>
      <c r="BR82">
        <f t="shared" ref="BR82:BR89" si="126">BQ82*S82</f>
        <v>75746138.060745716</v>
      </c>
      <c r="BS82">
        <f t="shared" ref="BS82:BS89" si="127">BR82-AC82</f>
        <v>42100492.060745716</v>
      </c>
      <c r="BU82">
        <f t="shared" si="90"/>
        <v>11</v>
      </c>
      <c r="BV82">
        <f t="shared" ref="BV82:BV89" si="128">1+(BH82+BU82)*(AN82-BK82)+(AN82-BK82)^2*BI82</f>
        <v>2.8532852910071282</v>
      </c>
      <c r="BW82">
        <f t="shared" ref="BW82:BW89" si="129">BV82*J82</f>
        <v>2892814.7054287409</v>
      </c>
      <c r="BX82" s="5">
        <f t="shared" ref="BX82:BX89" si="130">(BM82+BW82-O82)*BK82</f>
        <v>1720620.1613693712</v>
      </c>
      <c r="BY82" s="5">
        <f t="shared" ref="BY82:BY89" si="131">BK82*(BN82+BW82-O82)</f>
        <v>903884.75216937158</v>
      </c>
      <c r="BZ82" s="5">
        <f t="shared" ref="BZ82:BZ89" si="132">SUM(J82:K82)</f>
        <v>4846109</v>
      </c>
      <c r="CA82" s="5">
        <f t="shared" ref="CA82:CA89" si="133">SUM(BW82+BY82)</f>
        <v>3796699.4575981125</v>
      </c>
      <c r="CC82" s="5">
        <f t="shared" ref="CC82:CC89" si="134">BR82</f>
        <v>75746138.060745716</v>
      </c>
      <c r="CD82" s="5" t="str">
        <f t="shared" ref="CD82:CD89" si="135">F82</f>
        <v>Arizona</v>
      </c>
      <c r="CE82" s="5">
        <f t="shared" si="88"/>
        <v>0.6835477889060485</v>
      </c>
      <c r="CF82" s="10">
        <f t="shared" ref="CF82:CF89" si="136">AC82/CC82</f>
        <v>0.44418958987740581</v>
      </c>
    </row>
    <row r="83" spans="1:84" x14ac:dyDescent="0.2">
      <c r="A83">
        <v>3000000009001</v>
      </c>
      <c r="B83">
        <v>2016</v>
      </c>
      <c r="C83">
        <v>13</v>
      </c>
      <c r="D83" t="s">
        <v>211</v>
      </c>
      <c r="E83">
        <v>6</v>
      </c>
      <c r="F83" t="s">
        <v>212</v>
      </c>
      <c r="G83" t="s">
        <v>213</v>
      </c>
      <c r="H83" t="s">
        <v>214</v>
      </c>
      <c r="I83" t="b">
        <v>1</v>
      </c>
      <c r="J83">
        <v>1144436</v>
      </c>
      <c r="K83">
        <v>3906808</v>
      </c>
      <c r="M83">
        <v>-967522</v>
      </c>
      <c r="N83">
        <v>-1242164</v>
      </c>
      <c r="O83">
        <v>3062846</v>
      </c>
      <c r="Q83">
        <v>-221288</v>
      </c>
      <c r="R83">
        <v>49222083</v>
      </c>
      <c r="S83">
        <v>49000795</v>
      </c>
      <c r="T83">
        <v>1015974</v>
      </c>
      <c r="V83">
        <v>1036714</v>
      </c>
      <c r="W83">
        <v>222906</v>
      </c>
      <c r="Y83">
        <v>22965</v>
      </c>
      <c r="Z83">
        <v>24362</v>
      </c>
      <c r="AA83">
        <v>-785855</v>
      </c>
      <c r="AB83">
        <v>33645646</v>
      </c>
      <c r="AC83">
        <v>32859791</v>
      </c>
      <c r="AD83">
        <v>16141004</v>
      </c>
      <c r="AE83">
        <v>15576437</v>
      </c>
      <c r="AF83">
        <v>564567</v>
      </c>
      <c r="AG83">
        <v>9125089</v>
      </c>
      <c r="AH83">
        <v>0.1113385305063874</v>
      </c>
      <c r="AI83" t="b">
        <v>1</v>
      </c>
      <c r="AK83">
        <v>0.08</v>
      </c>
      <c r="AL83">
        <v>0.08</v>
      </c>
      <c r="AM83">
        <v>8.7499999999999994E-2</v>
      </c>
      <c r="AN83">
        <v>8.7900000000000006E-2</v>
      </c>
      <c r="AO83">
        <v>1</v>
      </c>
      <c r="AP83">
        <v>7.4999999999999928E-3</v>
      </c>
      <c r="AS83">
        <v>20581007</v>
      </c>
      <c r="AT83">
        <v>12581094</v>
      </c>
      <c r="AU83" t="s">
        <v>216</v>
      </c>
      <c r="AV83" t="s">
        <v>217</v>
      </c>
      <c r="BB83">
        <f t="shared" si="114"/>
        <v>0.67059709949603874</v>
      </c>
      <c r="BD83">
        <f t="shared" si="115"/>
        <v>4440003</v>
      </c>
      <c r="BE83">
        <f t="shared" si="116"/>
        <v>-3559910</v>
      </c>
      <c r="BF83">
        <f t="shared" si="117"/>
        <v>9.0610836007864766</v>
      </c>
      <c r="BG83">
        <f t="shared" si="118"/>
        <v>-7.2650045779869483</v>
      </c>
      <c r="BH83">
        <f t="shared" si="119"/>
        <v>8.1630440893867124</v>
      </c>
      <c r="BI83">
        <f t="shared" si="120"/>
        <v>89.803951139976405</v>
      </c>
      <c r="BJ83">
        <f t="shared" si="121"/>
        <v>8</v>
      </c>
      <c r="BK83">
        <f>IF($BJ83&lt;=30,IF($B83=2015,VLOOKUP($BJ83,'Treasury Yields'!$C$5:$N$34,$E83,FALSE)/100,IF($B83=2016,VLOOKUP($BJ83,'Treasury Yields'!$C$40:$N$69,$E83,FALSE)/100,IF($B83=2017,VLOOKUP($BJ83,'Treasury Yields'!$C$75:$N$104,$E83,FALSE)/100,IF($B83=2018,VLOOKUP($BJ83,'Treasury Yields'!$C$110:$N$139,$E83,FALSE)/100,IF($B83=2019,VLOOKUP($BJ83,'Treasury Yields'!$C$145:$N$174,$E83,FALSE)/100,IF($B83=2020,VLOOKUP($BJ83,'Treasury Yields'!$C$180:$N$209,$E83,FALSE)/100,IF($B83=2021,VLOOKUP($BJ83,'Treasury Yields'!$C$215:$N$244,$E83,FALSE)/100,IF($B83=2022,VLOOKUP($BJ83,'Treasury Yields'!$C$250:$N$279,$E83,FALSE)/100)))))))),0)</f>
        <v>2.3290000000000002E-2</v>
      </c>
      <c r="BL83">
        <f t="shared" si="122"/>
        <v>1.4661422544091205</v>
      </c>
      <c r="BM83">
        <f t="shared" si="123"/>
        <v>72166575.736332849</v>
      </c>
      <c r="BN83">
        <f t="shared" si="124"/>
        <v>38520929.736332849</v>
      </c>
      <c r="BP83">
        <f>IF($BJ83&lt;=30,IF($B83=2015,VLOOKUP($BJ83,'Treasury Yields'!$C$40:$N$69,$E83,FALSE)/100,IF($B83=2016,VLOOKUP($BJ83,'Treasury Yields'!$C$75:$N$104,$E83,FALSE)/100,IF($B83=2017,VLOOKUP($BJ83,'Treasury Yields'!$C$110:$N$139,$E83,FALSE)/100,IF($B83=2018,VLOOKUP($BJ83,'Treasury Yields'!$C$145:$N$174,$E83,FALSE)/100,IF($B83=2019,VLOOKUP($BJ83,'Treasury Yields'!$C$180:$N$209,$E83,FALSE)/100,IF($B83=2020,VLOOKUP($BJ83,'Treasury Yields'!$C$215:$N$244,$E83,FALSE)/100,IF($B83=2021,VLOOKUP($BJ83,'Treasury Yields'!$C$250:$N$279,$E83,FALSE)/100,IF($B83=2022,VLOOKUP($BJ83,'Treasury Yields'!$C$285:$N$314,$E83,FALSE)/100)))))))),0)</f>
        <v>1.4579999999999999E-2</v>
      </c>
      <c r="BQ83">
        <f t="shared" si="125"/>
        <v>1.6038902150338339</v>
      </c>
      <c r="BR83">
        <f t="shared" si="126"/>
        <v>78591895.629378811</v>
      </c>
      <c r="BS83">
        <f t="shared" si="127"/>
        <v>45732104.629378811</v>
      </c>
      <c r="BU83">
        <f t="shared" si="90"/>
        <v>11</v>
      </c>
      <c r="BV83">
        <f t="shared" si="128"/>
        <v>2.6130065710398478</v>
      </c>
      <c r="BW83">
        <f t="shared" si="129"/>
        <v>2990418.7881345591</v>
      </c>
      <c r="BX83" s="5">
        <f t="shared" si="130"/>
        <v>1679072.719134846</v>
      </c>
      <c r="BY83" s="5">
        <f t="shared" si="131"/>
        <v>895465.623794846</v>
      </c>
      <c r="BZ83" s="5">
        <f t="shared" si="132"/>
        <v>5051244</v>
      </c>
      <c r="CA83" s="5">
        <f t="shared" si="133"/>
        <v>3885884.4119294053</v>
      </c>
      <c r="CC83" s="5">
        <f t="shared" si="134"/>
        <v>78591895.629378811</v>
      </c>
      <c r="CD83" s="5" t="str">
        <f t="shared" si="135"/>
        <v>Arizona</v>
      </c>
      <c r="CE83" s="5">
        <f t="shared" si="88"/>
        <v>0.67059709949603874</v>
      </c>
      <c r="CF83" s="10">
        <f t="shared" si="136"/>
        <v>0.41810660929924848</v>
      </c>
    </row>
    <row r="84" spans="1:84" x14ac:dyDescent="0.2">
      <c r="A84">
        <v>3000000009001</v>
      </c>
      <c r="B84">
        <v>2017</v>
      </c>
      <c r="C84">
        <v>13</v>
      </c>
      <c r="D84" t="s">
        <v>211</v>
      </c>
      <c r="E84">
        <v>6</v>
      </c>
      <c r="F84" t="s">
        <v>212</v>
      </c>
      <c r="G84" t="s">
        <v>213</v>
      </c>
      <c r="H84" t="s">
        <v>214</v>
      </c>
      <c r="I84" t="b">
        <v>1</v>
      </c>
      <c r="J84">
        <v>1137270</v>
      </c>
      <c r="K84">
        <v>3883789</v>
      </c>
      <c r="M84">
        <v>-43772</v>
      </c>
      <c r="N84">
        <v>984132</v>
      </c>
      <c r="O84">
        <v>3181407</v>
      </c>
      <c r="Q84">
        <v>2780012</v>
      </c>
      <c r="R84">
        <v>49000795</v>
      </c>
      <c r="S84">
        <v>51780807</v>
      </c>
      <c r="T84">
        <v>1053197</v>
      </c>
      <c r="V84">
        <v>1079256</v>
      </c>
      <c r="W84">
        <v>4406943</v>
      </c>
      <c r="Y84">
        <v>27895</v>
      </c>
      <c r="Z84">
        <v>12871</v>
      </c>
      <c r="AA84">
        <v>3342965</v>
      </c>
      <c r="AB84">
        <v>32859791</v>
      </c>
      <c r="AC84">
        <v>36202756</v>
      </c>
      <c r="AD84">
        <v>15578051</v>
      </c>
      <c r="AE84">
        <v>16141004</v>
      </c>
      <c r="AF84">
        <v>-562953</v>
      </c>
      <c r="AG84">
        <v>9518309</v>
      </c>
      <c r="AH84">
        <v>0.11064959122465975</v>
      </c>
      <c r="AI84" t="b">
        <v>1</v>
      </c>
      <c r="AK84">
        <v>0.08</v>
      </c>
      <c r="AL84">
        <v>0.08</v>
      </c>
      <c r="AM84">
        <v>0.08</v>
      </c>
      <c r="AN84">
        <v>8.7499999999999994E-2</v>
      </c>
      <c r="AO84">
        <v>1</v>
      </c>
      <c r="AP84">
        <v>0</v>
      </c>
      <c r="AS84">
        <v>19994699</v>
      </c>
      <c r="AT84">
        <v>11887563</v>
      </c>
      <c r="AU84" t="s">
        <v>203</v>
      </c>
      <c r="AV84" t="s">
        <v>218</v>
      </c>
      <c r="BB84">
        <f t="shared" si="114"/>
        <v>0.69915395486207854</v>
      </c>
      <c r="BD84">
        <f t="shared" si="115"/>
        <v>4416648</v>
      </c>
      <c r="BE84">
        <f t="shared" si="116"/>
        <v>-3690488</v>
      </c>
      <c r="BF84">
        <f t="shared" si="117"/>
        <v>8.5295078541359928</v>
      </c>
      <c r="BG84">
        <f t="shared" si="118"/>
        <v>-7.1271349633465544</v>
      </c>
      <c r="BH84">
        <f t="shared" si="119"/>
        <v>7.8283214087412736</v>
      </c>
      <c r="BI84">
        <f t="shared" si="120"/>
        <v>70.11864453947193</v>
      </c>
      <c r="BJ84">
        <f t="shared" si="121"/>
        <v>8</v>
      </c>
      <c r="BK84">
        <f>IF($BJ84&lt;=30,IF($B84=2015,VLOOKUP($BJ84,'Treasury Yields'!$C$5:$N$34,$E84,FALSE)/100,IF($B84=2016,VLOOKUP($BJ84,'Treasury Yields'!$C$40:$N$69,$E84,FALSE)/100,IF($B84=2017,VLOOKUP($BJ84,'Treasury Yields'!$C$75:$N$104,$E84,FALSE)/100,IF($B84=2018,VLOOKUP($BJ84,'Treasury Yields'!$C$110:$N$139,$E84,FALSE)/100,IF($B84=2019,VLOOKUP($BJ84,'Treasury Yields'!$C$145:$N$174,$E84,FALSE)/100,IF($B84=2020,VLOOKUP($BJ84,'Treasury Yields'!$C$180:$N$209,$E84,FALSE)/100,IF($B84=2021,VLOOKUP($BJ84,'Treasury Yields'!$C$215:$N$244,$E84,FALSE)/100,IF($B84=2022,VLOOKUP($BJ84,'Treasury Yields'!$C$250:$N$279,$E84,FALSE)/100)))))))),0)</f>
        <v>1.4579999999999999E-2</v>
      </c>
      <c r="BL84">
        <f t="shared" si="122"/>
        <v>1.5164085629598543</v>
      </c>
      <c r="BM84">
        <f t="shared" si="123"/>
        <v>74305225.129840419</v>
      </c>
      <c r="BN84">
        <f t="shared" si="124"/>
        <v>41445434.129840419</v>
      </c>
      <c r="BP84">
        <f>IF($BJ84&lt;=30,IF($B84=2015,VLOOKUP($BJ84,'Treasury Yields'!$C$40:$N$69,$E84,FALSE)/100,IF($B84=2016,VLOOKUP($BJ84,'Treasury Yields'!$C$75:$N$104,$E84,FALSE)/100,IF($B84=2017,VLOOKUP($BJ84,'Treasury Yields'!$C$110:$N$139,$E84,FALSE)/100,IF($B84=2018,VLOOKUP($BJ84,'Treasury Yields'!$C$145:$N$174,$E84,FALSE)/100,IF($B84=2019,VLOOKUP($BJ84,'Treasury Yields'!$C$180:$N$209,$E84,FALSE)/100,IF($B84=2020,VLOOKUP($BJ84,'Treasury Yields'!$C$215:$N$244,$E84,FALSE)/100,IF($B84=2021,VLOOKUP($BJ84,'Treasury Yields'!$C$250:$N$279,$E84,FALSE)/100,IF($B84=2022,VLOOKUP($BJ84,'Treasury Yields'!$C$285:$N$314,$E84,FALSE)/100)))))))),0)</f>
        <v>2.3099999999999999E-2</v>
      </c>
      <c r="BQ84">
        <f t="shared" si="125"/>
        <v>1.5082912587229378</v>
      </c>
      <c r="BR84">
        <f t="shared" si="126"/>
        <v>78100538.567719504</v>
      </c>
      <c r="BS84">
        <f t="shared" si="127"/>
        <v>41897782.567719504</v>
      </c>
      <c r="BU84">
        <f t="shared" si="90"/>
        <v>11</v>
      </c>
      <c r="BV84">
        <f t="shared" si="128"/>
        <v>2.7458049168673639</v>
      </c>
      <c r="BW84">
        <f t="shared" si="129"/>
        <v>3122721.5578057468</v>
      </c>
      <c r="BX84" s="5">
        <f t="shared" si="130"/>
        <v>1082514.548645881</v>
      </c>
      <c r="BY84" s="5">
        <f t="shared" si="131"/>
        <v>603418.79586588102</v>
      </c>
      <c r="BZ84" s="5">
        <f t="shared" si="132"/>
        <v>5021059</v>
      </c>
      <c r="CA84" s="5">
        <f t="shared" si="133"/>
        <v>3726140.3536716281</v>
      </c>
      <c r="CC84" s="5">
        <f t="shared" si="134"/>
        <v>78100538.567719504</v>
      </c>
      <c r="CD84" s="5" t="str">
        <f t="shared" si="135"/>
        <v>Arizona</v>
      </c>
      <c r="CE84" s="5">
        <f t="shared" si="88"/>
        <v>0.69915395486207854</v>
      </c>
      <c r="CF84" s="10">
        <f t="shared" si="136"/>
        <v>0.46354041423938802</v>
      </c>
    </row>
    <row r="85" spans="1:84" x14ac:dyDescent="0.2">
      <c r="A85">
        <v>3000000009001</v>
      </c>
      <c r="B85">
        <v>2018</v>
      </c>
      <c r="C85">
        <v>13</v>
      </c>
      <c r="D85" t="s">
        <v>211</v>
      </c>
      <c r="E85">
        <v>6</v>
      </c>
      <c r="F85" t="s">
        <v>212</v>
      </c>
      <c r="G85" t="s">
        <v>213</v>
      </c>
      <c r="H85" t="s">
        <v>214</v>
      </c>
      <c r="I85" t="b">
        <v>1</v>
      </c>
      <c r="J85">
        <v>1360306</v>
      </c>
      <c r="K85">
        <v>3764172</v>
      </c>
      <c r="M85">
        <v>576321</v>
      </c>
      <c r="N85">
        <v>-1738368</v>
      </c>
      <c r="O85">
        <v>3304808</v>
      </c>
      <c r="Q85">
        <v>657623</v>
      </c>
      <c r="R85">
        <v>51780807</v>
      </c>
      <c r="S85">
        <v>52438430</v>
      </c>
      <c r="T85">
        <v>1085033</v>
      </c>
      <c r="V85">
        <v>1099663</v>
      </c>
      <c r="W85">
        <v>3414623</v>
      </c>
      <c r="Y85">
        <v>26878</v>
      </c>
      <c r="Z85">
        <v>21560</v>
      </c>
      <c r="AA85">
        <v>2289193</v>
      </c>
      <c r="AB85">
        <v>36202756</v>
      </c>
      <c r="AC85">
        <v>38491949</v>
      </c>
      <c r="AD85">
        <v>13946481</v>
      </c>
      <c r="AE85">
        <v>15578051</v>
      </c>
      <c r="AF85">
        <v>-1631570</v>
      </c>
      <c r="AG85">
        <v>9697173</v>
      </c>
      <c r="AH85">
        <v>0.11189168224594941</v>
      </c>
      <c r="AI85" t="b">
        <v>1</v>
      </c>
      <c r="AK85">
        <v>0.08</v>
      </c>
      <c r="AL85">
        <v>7.4999999999999997E-2</v>
      </c>
      <c r="AM85">
        <v>7.4999999999999997E-2</v>
      </c>
      <c r="AN85">
        <v>0.08</v>
      </c>
      <c r="AO85">
        <v>1</v>
      </c>
      <c r="AP85">
        <v>0</v>
      </c>
      <c r="AS85">
        <v>19881029</v>
      </c>
      <c r="AT85">
        <v>8988261</v>
      </c>
      <c r="AU85" t="s">
        <v>219</v>
      </c>
      <c r="AV85" t="s">
        <v>220</v>
      </c>
      <c r="BB85">
        <f t="shared" si="114"/>
        <v>0.73404083608147686</v>
      </c>
      <c r="BD85">
        <f t="shared" si="115"/>
        <v>5934548</v>
      </c>
      <c r="BE85">
        <f t="shared" si="116"/>
        <v>-4958220</v>
      </c>
      <c r="BF85">
        <f t="shared" si="117"/>
        <v>11.317173302099242</v>
      </c>
      <c r="BG85">
        <f t="shared" si="118"/>
        <v>-9.4553174074814983</v>
      </c>
      <c r="BH85">
        <f t="shared" si="119"/>
        <v>10.38624535479037</v>
      </c>
      <c r="BI85">
        <f t="shared" si="120"/>
        <v>93.092794730887249</v>
      </c>
      <c r="BJ85">
        <f t="shared" si="121"/>
        <v>10</v>
      </c>
      <c r="BK85">
        <f>IF($BJ85&lt;=30,IF($B85=2015,VLOOKUP($BJ85,'Treasury Yields'!$C$5:$N$34,$E85,FALSE)/100,IF($B85=2016,VLOOKUP($BJ85,'Treasury Yields'!$C$40:$N$69,$E85,FALSE)/100,IF($B85=2017,VLOOKUP($BJ85,'Treasury Yields'!$C$75:$N$104,$E85,FALSE)/100,IF($B85=2018,VLOOKUP($BJ85,'Treasury Yields'!$C$110:$N$139,$E85,FALSE)/100,IF($B85=2019,VLOOKUP($BJ85,'Treasury Yields'!$C$145:$N$174,$E85,FALSE)/100,IF($B85=2020,VLOOKUP($BJ85,'Treasury Yields'!$C$180:$N$209,$E85,FALSE)/100,IF($B85=2021,VLOOKUP($BJ85,'Treasury Yields'!$C$215:$N$244,$E85,FALSE)/100,IF($B85=2022,VLOOKUP($BJ85,'Treasury Yields'!$C$250:$N$279,$E85,FALSE)/100)))))))),0)</f>
        <v>2.4670000000000001E-2</v>
      </c>
      <c r="BL85">
        <f t="shared" si="122"/>
        <v>1.5252728376065994</v>
      </c>
      <c r="BM85">
        <f t="shared" si="123"/>
        <v>78979858.426449671</v>
      </c>
      <c r="BN85">
        <f t="shared" si="124"/>
        <v>42777102.426449671</v>
      </c>
      <c r="BP85">
        <f>IF($BJ85&lt;=30,IF($B85=2015,VLOOKUP($BJ85,'Treasury Yields'!$C$40:$N$69,$E85,FALSE)/100,IF($B85=2016,VLOOKUP($BJ85,'Treasury Yields'!$C$75:$N$104,$E85,FALSE)/100,IF($B85=2017,VLOOKUP($BJ85,'Treasury Yields'!$C$110:$N$139,$E85,FALSE)/100,IF($B85=2018,VLOOKUP($BJ85,'Treasury Yields'!$C$145:$N$174,$E85,FALSE)/100,IF($B85=2019,VLOOKUP($BJ85,'Treasury Yields'!$C$180:$N$209,$E85,FALSE)/100,IF($B85=2020,VLOOKUP($BJ85,'Treasury Yields'!$C$215:$N$244,$E85,FALSE)/100,IF($B85=2021,VLOOKUP($BJ85,'Treasury Yields'!$C$250:$N$279,$E85,FALSE)/100,IF($B85=2022,VLOOKUP($BJ85,'Treasury Yields'!$C$285:$N$314,$E85,FALSE)/100)))))))),0)</f>
        <v>2.964E-2</v>
      </c>
      <c r="BQ85">
        <f t="shared" si="125"/>
        <v>1.5255874456672431</v>
      </c>
      <c r="BR85">
        <f t="shared" si="126"/>
        <v>79999410.47850053</v>
      </c>
      <c r="BS85">
        <f t="shared" si="127"/>
        <v>41507461.47850053</v>
      </c>
      <c r="BU85">
        <f t="shared" si="90"/>
        <v>13</v>
      </c>
      <c r="BV85">
        <f t="shared" si="128"/>
        <v>2.5789560657955621</v>
      </c>
      <c r="BW85">
        <f t="shared" si="129"/>
        <v>3508169.4100380978</v>
      </c>
      <c r="BX85" s="5">
        <f t="shared" si="130"/>
        <v>1953450.0333661532</v>
      </c>
      <c r="BY85" s="5">
        <f t="shared" si="131"/>
        <v>1060328.0428461533</v>
      </c>
      <c r="BZ85" s="5">
        <f t="shared" si="132"/>
        <v>5124478</v>
      </c>
      <c r="CA85" s="5">
        <f t="shared" si="133"/>
        <v>4568497.4528842513</v>
      </c>
      <c r="CC85" s="5">
        <f t="shared" si="134"/>
        <v>79999410.47850053</v>
      </c>
      <c r="CD85" s="5" t="str">
        <f t="shared" si="135"/>
        <v>Arizona</v>
      </c>
      <c r="CE85" s="5">
        <f t="shared" si="88"/>
        <v>0.73404083608147686</v>
      </c>
      <c r="CF85" s="10">
        <f t="shared" si="136"/>
        <v>0.48115290812479838</v>
      </c>
    </row>
    <row r="86" spans="1:84" x14ac:dyDescent="0.2">
      <c r="A86">
        <v>3000000009001</v>
      </c>
      <c r="B86">
        <v>2019</v>
      </c>
      <c r="C86">
        <v>13</v>
      </c>
      <c r="D86" t="s">
        <v>211</v>
      </c>
      <c r="E86">
        <v>6</v>
      </c>
      <c r="F86" t="s">
        <v>212</v>
      </c>
      <c r="G86" t="s">
        <v>213</v>
      </c>
      <c r="H86" t="s">
        <v>214</v>
      </c>
      <c r="I86" t="b">
        <v>1</v>
      </c>
      <c r="J86">
        <v>1356048</v>
      </c>
      <c r="K86">
        <v>3905584</v>
      </c>
      <c r="M86">
        <v>108006</v>
      </c>
      <c r="N86">
        <v>0</v>
      </c>
      <c r="O86">
        <v>3431763</v>
      </c>
      <c r="Q86">
        <v>1937875</v>
      </c>
      <c r="R86">
        <v>52438430</v>
      </c>
      <c r="S86">
        <v>54376305</v>
      </c>
      <c r="T86">
        <v>1180966</v>
      </c>
      <c r="V86">
        <v>1194100</v>
      </c>
      <c r="W86">
        <v>2398937</v>
      </c>
      <c r="Y86">
        <v>26802</v>
      </c>
      <c r="Z86">
        <v>17755</v>
      </c>
      <c r="AA86">
        <v>1333193</v>
      </c>
      <c r="AB86">
        <v>38491949</v>
      </c>
      <c r="AC86">
        <v>39825142</v>
      </c>
      <c r="AD86">
        <v>14551163</v>
      </c>
      <c r="AE86">
        <v>13946481</v>
      </c>
      <c r="AF86">
        <v>604682</v>
      </c>
      <c r="AG86">
        <v>10264999</v>
      </c>
      <c r="AH86">
        <v>0.11504784364810947</v>
      </c>
      <c r="AI86" t="b">
        <v>1</v>
      </c>
      <c r="AK86">
        <v>7.4999999999999997E-2</v>
      </c>
      <c r="AL86">
        <v>7.4999999999999997E-2</v>
      </c>
      <c r="AM86">
        <v>7.4999999999999997E-2</v>
      </c>
      <c r="AN86">
        <v>7.4999999999999997E-2</v>
      </c>
      <c r="AO86">
        <v>1</v>
      </c>
      <c r="AP86">
        <v>0</v>
      </c>
      <c r="AS86">
        <v>20709676</v>
      </c>
      <c r="AT86">
        <v>9404232</v>
      </c>
      <c r="AU86" t="s">
        <v>219</v>
      </c>
      <c r="AV86" t="s">
        <v>221</v>
      </c>
      <c r="BB86">
        <f t="shared" si="114"/>
        <v>0.73239882702585257</v>
      </c>
      <c r="BD86">
        <f t="shared" si="115"/>
        <v>6158513</v>
      </c>
      <c r="BE86">
        <f t="shared" si="116"/>
        <v>-5146931</v>
      </c>
      <c r="BF86">
        <f t="shared" si="117"/>
        <v>11.32572910204178</v>
      </c>
      <c r="BG86">
        <f t="shared" si="118"/>
        <v>-9.4653930604516052</v>
      </c>
      <c r="BH86">
        <f t="shared" si="119"/>
        <v>10.395561081246694</v>
      </c>
      <c r="BI86">
        <f t="shared" si="120"/>
        <v>93.016802079508707</v>
      </c>
      <c r="BJ86">
        <f t="shared" si="121"/>
        <v>10</v>
      </c>
      <c r="BK86">
        <f>IF($BJ86&lt;=30,IF($B86=2015,VLOOKUP($BJ86,'Treasury Yields'!$C$5:$N$34,$E86,FALSE)/100,IF($B86=2016,VLOOKUP($BJ86,'Treasury Yields'!$C$40:$N$69,$E86,FALSE)/100,IF($B86=2017,VLOOKUP($BJ86,'Treasury Yields'!$C$75:$N$104,$E86,FALSE)/100,IF($B86=2018,VLOOKUP($BJ86,'Treasury Yields'!$C$110:$N$139,$E86,FALSE)/100,IF($B86=2019,VLOOKUP($BJ86,'Treasury Yields'!$C$145:$N$174,$E86,FALSE)/100,IF($B86=2020,VLOOKUP($BJ86,'Treasury Yields'!$C$180:$N$209,$E86,FALSE)/100,IF($B86=2021,VLOOKUP($BJ86,'Treasury Yields'!$C$215:$N$244,$E86,FALSE)/100,IF($B86=2022,VLOOKUP($BJ86,'Treasury Yields'!$C$250:$N$279,$E86,FALSE)/100)))))))),0)</f>
        <v>2.964E-2</v>
      </c>
      <c r="BL86">
        <f t="shared" si="122"/>
        <v>1.47360018024535</v>
      </c>
      <c r="BM86">
        <f t="shared" si="123"/>
        <v>77273279.899783164</v>
      </c>
      <c r="BN86">
        <f t="shared" si="124"/>
        <v>38781330.899783164</v>
      </c>
      <c r="BP86">
        <f>IF($BJ86&lt;=30,IF($B86=2015,VLOOKUP($BJ86,'Treasury Yields'!$C$40:$N$69,$E86,FALSE)/100,IF($B86=2016,VLOOKUP($BJ86,'Treasury Yields'!$C$75:$N$104,$E86,FALSE)/100,IF($B86=2017,VLOOKUP($BJ86,'Treasury Yields'!$C$110:$N$139,$E86,FALSE)/100,IF($B86=2018,VLOOKUP($BJ86,'Treasury Yields'!$C$145:$N$174,$E86,FALSE)/100,IF($B86=2019,VLOOKUP($BJ86,'Treasury Yields'!$C$180:$N$209,$E86,FALSE)/100,IF($B86=2020,VLOOKUP($BJ86,'Treasury Yields'!$C$215:$N$244,$E86,FALSE)/100,IF($B86=2021,VLOOKUP($BJ86,'Treasury Yields'!$C$250:$N$279,$E86,FALSE)/100,IF($B86=2022,VLOOKUP($BJ86,'Treasury Yields'!$C$285:$N$314,$E86,FALSE)/100)))))))),0)</f>
        <v>2.1259999999999998E-2</v>
      </c>
      <c r="BQ86">
        <f t="shared" si="125"/>
        <v>1.5615454401061972</v>
      </c>
      <c r="BR86">
        <f t="shared" si="126"/>
        <v>84911071.122573808</v>
      </c>
      <c r="BS86">
        <f t="shared" si="127"/>
        <v>45085929.122573808</v>
      </c>
      <c r="BU86">
        <f t="shared" si="90"/>
        <v>13</v>
      </c>
      <c r="BV86">
        <f t="shared" si="128"/>
        <v>2.2526074742212807</v>
      </c>
      <c r="BW86">
        <f t="shared" si="129"/>
        <v>3054643.8602028191</v>
      </c>
      <c r="BX86" s="5">
        <f t="shared" si="130"/>
        <v>2279202.2049259846</v>
      </c>
      <c r="BY86" s="5">
        <f t="shared" si="131"/>
        <v>1138300.8365659846</v>
      </c>
      <c r="BZ86" s="5">
        <f t="shared" si="132"/>
        <v>5261632</v>
      </c>
      <c r="CA86" s="5">
        <f t="shared" si="133"/>
        <v>4192944.6967688035</v>
      </c>
      <c r="CC86" s="5">
        <f t="shared" si="134"/>
        <v>84911071.122573808</v>
      </c>
      <c r="CD86" s="5" t="str">
        <f t="shared" si="135"/>
        <v>Arizona</v>
      </c>
      <c r="CE86" s="5">
        <f t="shared" si="88"/>
        <v>0.73239882702585257</v>
      </c>
      <c r="CF86" s="10">
        <f t="shared" si="136"/>
        <v>0.46902178330208805</v>
      </c>
    </row>
    <row r="87" spans="1:84" x14ac:dyDescent="0.2">
      <c r="A87">
        <v>3000000009001</v>
      </c>
      <c r="B87">
        <v>2020</v>
      </c>
      <c r="C87">
        <v>13</v>
      </c>
      <c r="D87" t="s">
        <v>211</v>
      </c>
      <c r="E87">
        <v>6</v>
      </c>
      <c r="F87" t="s">
        <v>212</v>
      </c>
      <c r="G87" t="s">
        <v>213</v>
      </c>
      <c r="H87" t="s">
        <v>214</v>
      </c>
      <c r="I87" t="b">
        <v>1</v>
      </c>
      <c r="J87">
        <v>1396954</v>
      </c>
      <c r="K87">
        <v>4056330</v>
      </c>
      <c r="M87">
        <v>188086</v>
      </c>
      <c r="N87">
        <v>0</v>
      </c>
      <c r="O87">
        <v>3523569</v>
      </c>
      <c r="Q87">
        <v>2117801</v>
      </c>
      <c r="R87">
        <v>54376305</v>
      </c>
      <c r="S87">
        <v>56494106</v>
      </c>
      <c r="T87">
        <v>1254651</v>
      </c>
      <c r="V87">
        <v>1272080</v>
      </c>
      <c r="W87">
        <v>354195</v>
      </c>
      <c r="Y87">
        <v>26845</v>
      </c>
      <c r="Z87">
        <v>11932</v>
      </c>
      <c r="AA87">
        <v>-657556</v>
      </c>
      <c r="AB87">
        <v>39825142</v>
      </c>
      <c r="AC87">
        <v>39167586</v>
      </c>
      <c r="AD87">
        <v>17326520</v>
      </c>
      <c r="AE87">
        <v>14551163</v>
      </c>
      <c r="AF87">
        <v>2775357</v>
      </c>
      <c r="AG87">
        <v>10663535</v>
      </c>
      <c r="AH87">
        <v>0.11765807492543513</v>
      </c>
      <c r="AI87" t="b">
        <v>1</v>
      </c>
      <c r="AK87">
        <v>7.4999999999999997E-2</v>
      </c>
      <c r="AL87">
        <v>7.4999999999999997E-2</v>
      </c>
      <c r="AM87">
        <v>7.4999999999999997E-2</v>
      </c>
      <c r="AN87">
        <v>7.4999999999999997E-2</v>
      </c>
      <c r="AO87">
        <v>1</v>
      </c>
      <c r="AP87">
        <v>0</v>
      </c>
      <c r="AS87">
        <v>23693781</v>
      </c>
      <c r="AT87">
        <v>12003817</v>
      </c>
      <c r="AU87" t="s">
        <v>152</v>
      </c>
      <c r="AV87" t="s">
        <v>222</v>
      </c>
      <c r="BB87">
        <f t="shared" si="114"/>
        <v>0.69330393510430977</v>
      </c>
      <c r="BD87">
        <f t="shared" si="115"/>
        <v>6367261</v>
      </c>
      <c r="BE87">
        <f t="shared" si="116"/>
        <v>-5322703</v>
      </c>
      <c r="BF87">
        <f t="shared" si="117"/>
        <v>11.270664235309786</v>
      </c>
      <c r="BG87">
        <f t="shared" si="118"/>
        <v>-9.4216961323363524</v>
      </c>
      <c r="BH87">
        <f t="shared" si="119"/>
        <v>10.346180183823069</v>
      </c>
      <c r="BI87">
        <f t="shared" si="120"/>
        <v>92.448405148671611</v>
      </c>
      <c r="BJ87">
        <f t="shared" si="121"/>
        <v>10</v>
      </c>
      <c r="BK87">
        <f>IF($BJ87&lt;=30,IF($B87=2015,VLOOKUP($BJ87,'Treasury Yields'!$C$5:$N$34,$E87,FALSE)/100,IF($B87=2016,VLOOKUP($BJ87,'Treasury Yields'!$C$40:$N$69,$E87,FALSE)/100,IF($B87=2017,VLOOKUP($BJ87,'Treasury Yields'!$C$75:$N$104,$E87,FALSE)/100,IF($B87=2018,VLOOKUP($BJ87,'Treasury Yields'!$C$110:$N$139,$E87,FALSE)/100,IF($B87=2019,VLOOKUP($BJ87,'Treasury Yields'!$C$145:$N$174,$E87,FALSE)/100,IF($B87=2020,VLOOKUP($BJ87,'Treasury Yields'!$C$180:$N$209,$E87,FALSE)/100,IF($B87=2021,VLOOKUP($BJ87,'Treasury Yields'!$C$215:$N$244,$E87,FALSE)/100,IF($B87=2022,VLOOKUP($BJ87,'Treasury Yields'!$C$250:$N$279,$E87,FALSE)/100)))))))),0)</f>
        <v>2.1259999999999998E-2</v>
      </c>
      <c r="BL87">
        <f t="shared" si="122"/>
        <v>1.5588917106786517</v>
      </c>
      <c r="BM87">
        <f t="shared" si="123"/>
        <v>84766771.121834129</v>
      </c>
      <c r="BN87">
        <f t="shared" si="124"/>
        <v>44941629.121834129</v>
      </c>
      <c r="BP87">
        <f>IF($BJ87&lt;=30,IF($B87=2015,VLOOKUP($BJ87,'Treasury Yields'!$C$40:$N$69,$E87,FALSE)/100,IF($B87=2016,VLOOKUP($BJ87,'Treasury Yields'!$C$75:$N$104,$E87,FALSE)/100,IF($B87=2017,VLOOKUP($BJ87,'Treasury Yields'!$C$110:$N$139,$E87,FALSE)/100,IF($B87=2018,VLOOKUP($BJ87,'Treasury Yields'!$C$145:$N$174,$E87,FALSE)/100,IF($B87=2019,VLOOKUP($BJ87,'Treasury Yields'!$C$180:$N$209,$E87,FALSE)/100,IF($B87=2020,VLOOKUP($BJ87,'Treasury Yields'!$C$215:$N$244,$E87,FALSE)/100,IF($B87=2021,VLOOKUP($BJ87,'Treasury Yields'!$C$250:$N$279,$E87,FALSE)/100,IF($B87=2022,VLOOKUP($BJ87,'Treasury Yields'!$C$285:$N$314,$E87,FALSE)/100)))))))),0)</f>
        <v>1.5412727272727269E-2</v>
      </c>
      <c r="BQ87">
        <f t="shared" si="125"/>
        <v>1.6200513033700443</v>
      </c>
      <c r="BR87">
        <f t="shared" si="126"/>
        <v>91523350.058025435</v>
      </c>
      <c r="BS87">
        <f t="shared" si="127"/>
        <v>52355764.058025435</v>
      </c>
      <c r="BU87">
        <f t="shared" si="90"/>
        <v>13</v>
      </c>
      <c r="BV87">
        <f t="shared" si="128"/>
        <v>2.5216135707877916</v>
      </c>
      <c r="BW87">
        <f t="shared" si="129"/>
        <v>3522578.1641662885</v>
      </c>
      <c r="BX87" s="5">
        <f t="shared" si="130"/>
        <v>1802120.4888803686</v>
      </c>
      <c r="BY87" s="5">
        <f t="shared" si="131"/>
        <v>955437.9699603687</v>
      </c>
      <c r="BZ87" s="5">
        <f t="shared" si="132"/>
        <v>5453284</v>
      </c>
      <c r="CA87" s="5">
        <f t="shared" si="133"/>
        <v>4478016.1341266576</v>
      </c>
      <c r="CC87" s="5">
        <f t="shared" si="134"/>
        <v>91523350.058025435</v>
      </c>
      <c r="CD87" s="5" t="str">
        <f t="shared" si="135"/>
        <v>Arizona</v>
      </c>
      <c r="CE87" s="5">
        <f t="shared" si="88"/>
        <v>0.69330393510430977</v>
      </c>
      <c r="CF87" s="10">
        <f t="shared" si="136"/>
        <v>0.42795183934119446</v>
      </c>
    </row>
    <row r="88" spans="1:84" x14ac:dyDescent="0.2">
      <c r="A88">
        <v>3000000009001</v>
      </c>
      <c r="B88">
        <v>2021</v>
      </c>
      <c r="C88">
        <v>13</v>
      </c>
      <c r="D88" t="s">
        <v>211</v>
      </c>
      <c r="E88">
        <v>6</v>
      </c>
      <c r="F88" t="s">
        <v>212</v>
      </c>
      <c r="G88" t="s">
        <v>213</v>
      </c>
      <c r="H88" t="s">
        <v>214</v>
      </c>
      <c r="I88" t="b">
        <v>1</v>
      </c>
      <c r="J88">
        <v>1451224</v>
      </c>
      <c r="K88">
        <v>4216447</v>
      </c>
      <c r="M88">
        <v>215628</v>
      </c>
      <c r="N88">
        <v>2610333</v>
      </c>
      <c r="O88">
        <v>3646959</v>
      </c>
      <c r="Q88">
        <v>4847673</v>
      </c>
      <c r="R88">
        <v>56494106</v>
      </c>
      <c r="S88">
        <v>61341779</v>
      </c>
      <c r="T88">
        <v>1311380</v>
      </c>
      <c r="V88">
        <v>1321694</v>
      </c>
      <c r="W88">
        <v>10061477</v>
      </c>
      <c r="Y88">
        <v>27104</v>
      </c>
      <c r="Z88">
        <v>14149</v>
      </c>
      <c r="AA88">
        <v>9034637</v>
      </c>
      <c r="AB88">
        <v>39167586</v>
      </c>
      <c r="AC88">
        <v>48202223</v>
      </c>
      <c r="AD88">
        <v>13139556</v>
      </c>
      <c r="AE88">
        <v>17326520</v>
      </c>
      <c r="AF88">
        <v>-4186964</v>
      </c>
      <c r="AG88">
        <v>10979023</v>
      </c>
      <c r="AI88" t="b">
        <v>1</v>
      </c>
      <c r="AK88">
        <v>7.4999999999999997E-2</v>
      </c>
      <c r="AL88">
        <v>7.0000000000000007E-2</v>
      </c>
      <c r="AM88">
        <v>7.0000000000000007E-2</v>
      </c>
      <c r="AN88">
        <v>7.4999999999999997E-2</v>
      </c>
      <c r="AS88">
        <v>20667421</v>
      </c>
      <c r="AT88">
        <v>6863399</v>
      </c>
      <c r="BB88">
        <f t="shared" si="114"/>
        <v>0.7857976045983277</v>
      </c>
      <c r="BD88">
        <f t="shared" si="115"/>
        <v>7527865</v>
      </c>
      <c r="BE88">
        <f t="shared" si="116"/>
        <v>-6276157</v>
      </c>
      <c r="BF88">
        <f t="shared" si="117"/>
        <v>12.272003066621201</v>
      </c>
      <c r="BG88">
        <f t="shared" si="118"/>
        <v>-10.231455791329431</v>
      </c>
      <c r="BH88">
        <f t="shared" si="119"/>
        <v>11.251729428975315</v>
      </c>
      <c r="BI88">
        <f t="shared" si="120"/>
        <v>102.02736376458856</v>
      </c>
      <c r="BJ88">
        <f t="shared" si="121"/>
        <v>11</v>
      </c>
      <c r="BK88">
        <f>IF($BJ88&lt;=30,IF($B88=2015,VLOOKUP($BJ88,'Treasury Yields'!$C$5:$N$34,$E88,FALSE)/100,IF($B88=2016,VLOOKUP($BJ88,'Treasury Yields'!$C$40:$N$69,$E88,FALSE)/100,IF($B88=2017,VLOOKUP($BJ88,'Treasury Yields'!$C$75:$N$104,$E88,FALSE)/100,IF($B88=2018,VLOOKUP($BJ88,'Treasury Yields'!$C$110:$N$139,$E88,FALSE)/100,IF($B88=2019,VLOOKUP($BJ88,'Treasury Yields'!$C$145:$N$174,$E88,FALSE)/100,IF($B88=2020,VLOOKUP($BJ88,'Treasury Yields'!$C$180:$N$209,$E88,FALSE)/100,IF($B88=2021,VLOOKUP($BJ88,'Treasury Yields'!$C$215:$N$244,$E88,FALSE)/100,IF($B88=2022,VLOOKUP($BJ88,'Treasury Yields'!$C$250:$N$279,$E88,FALSE)/100)))))))),0)</f>
        <v>1.4551090909090908E-2</v>
      </c>
      <c r="BL88">
        <f t="shared" si="122"/>
        <v>1.6269707037421308</v>
      </c>
      <c r="BM88">
        <f t="shared" si="123"/>
        <v>91914255.396102533</v>
      </c>
      <c r="BN88">
        <f t="shared" si="124"/>
        <v>52746669.396102533</v>
      </c>
      <c r="BP88">
        <f>IF($BJ88&lt;=30,IF($B88=2015,VLOOKUP($BJ88,'Treasury Yields'!$C$40:$N$69,$E88,FALSE)/100,IF($B88=2016,VLOOKUP($BJ88,'Treasury Yields'!$C$75:$N$104,$E88,FALSE)/100,IF($B88=2017,VLOOKUP($BJ88,'Treasury Yields'!$C$110:$N$139,$E88,FALSE)/100,IF($B88=2018,VLOOKUP($BJ88,'Treasury Yields'!$C$145:$N$174,$E88,FALSE)/100,IF($B88=2019,VLOOKUP($BJ88,'Treasury Yields'!$C$180:$N$209,$E88,FALSE)/100,IF($B88=2020,VLOOKUP($BJ88,'Treasury Yields'!$C$215:$N$244,$E88,FALSE)/100,IF($B88=2021,VLOOKUP($BJ88,'Treasury Yields'!$C$250:$N$279,$E88,FALSE)/100,IF($B88=2022,VLOOKUP($BJ88,'Treasury Yields'!$C$285:$N$314,$E88,FALSE)/100)))))))),0)</f>
        <v>2.1554272727272727E-2</v>
      </c>
      <c r="BQ88">
        <f t="shared" si="125"/>
        <v>1.6042133081712449</v>
      </c>
      <c r="BR88">
        <f t="shared" si="126"/>
        <v>98405298.218699396</v>
      </c>
      <c r="BS88">
        <f t="shared" si="127"/>
        <v>50203075.218699396</v>
      </c>
      <c r="BU88">
        <f t="shared" si="90"/>
        <v>14</v>
      </c>
      <c r="BV88">
        <f t="shared" si="128"/>
        <v>2.8992546880169932</v>
      </c>
      <c r="BW88">
        <f t="shared" si="129"/>
        <v>4207467.9853627728</v>
      </c>
      <c r="BX88" s="5">
        <f t="shared" si="130"/>
        <v>1345608.7033114634</v>
      </c>
      <c r="BY88" s="5">
        <f t="shared" si="131"/>
        <v>775677.59873582725</v>
      </c>
      <c r="BZ88" s="5">
        <f t="shared" si="132"/>
        <v>5667671</v>
      </c>
      <c r="CA88" s="5">
        <f t="shared" si="133"/>
        <v>4983145.5840985999</v>
      </c>
      <c r="CC88" s="5">
        <f t="shared" si="134"/>
        <v>98405298.218699396</v>
      </c>
      <c r="CD88" s="5" t="str">
        <f t="shared" si="135"/>
        <v>Arizona</v>
      </c>
      <c r="CE88" s="5">
        <f t="shared" si="88"/>
        <v>0.7857976045983277</v>
      </c>
      <c r="CF88" s="10">
        <f t="shared" si="136"/>
        <v>0.48983361539003401</v>
      </c>
    </row>
    <row r="89" spans="1:84" x14ac:dyDescent="0.2">
      <c r="A89">
        <v>3000000009001</v>
      </c>
      <c r="B89">
        <v>2022</v>
      </c>
      <c r="C89">
        <v>13</v>
      </c>
      <c r="D89" t="s">
        <v>211</v>
      </c>
      <c r="E89">
        <v>6</v>
      </c>
      <c r="F89" t="s">
        <v>212</v>
      </c>
      <c r="G89" t="s">
        <v>213</v>
      </c>
      <c r="H89" t="s">
        <v>214</v>
      </c>
      <c r="I89" t="b">
        <v>1</v>
      </c>
      <c r="J89">
        <v>1536996</v>
      </c>
      <c r="K89">
        <v>4265744</v>
      </c>
      <c r="M89">
        <v>109659</v>
      </c>
      <c r="N89">
        <v>0</v>
      </c>
      <c r="O89">
        <v>3842807</v>
      </c>
      <c r="Q89">
        <v>2069592</v>
      </c>
      <c r="R89">
        <v>61341779</v>
      </c>
      <c r="S89">
        <v>63411371</v>
      </c>
      <c r="T89">
        <v>1431558</v>
      </c>
      <c r="V89">
        <v>1421009</v>
      </c>
      <c r="W89">
        <v>-112227</v>
      </c>
      <c r="Y89">
        <v>27505</v>
      </c>
      <c r="Z89">
        <v>16899</v>
      </c>
      <c r="AA89">
        <v>-1113073</v>
      </c>
      <c r="AB89">
        <v>48202223</v>
      </c>
      <c r="AC89">
        <v>47089150</v>
      </c>
      <c r="AD89">
        <v>16322221</v>
      </c>
      <c r="AE89">
        <v>13139556</v>
      </c>
      <c r="AF89">
        <v>3182665</v>
      </c>
      <c r="AG89">
        <v>11630026</v>
      </c>
      <c r="AI89" t="b">
        <v>1</v>
      </c>
      <c r="AK89">
        <v>7.0000000000000007E-2</v>
      </c>
      <c r="AL89">
        <v>7.0000000000000007E-2</v>
      </c>
      <c r="AM89">
        <v>7.0000000000000007E-2</v>
      </c>
      <c r="AN89">
        <v>7.0000000000000007E-2</v>
      </c>
      <c r="AS89">
        <v>24082952</v>
      </c>
      <c r="AT89">
        <v>9850984</v>
      </c>
      <c r="AU89" t="s">
        <v>152</v>
      </c>
      <c r="AV89" t="s">
        <v>223</v>
      </c>
      <c r="BB89">
        <f t="shared" si="114"/>
        <v>0.74259788516479164</v>
      </c>
      <c r="BD89">
        <f t="shared" si="115"/>
        <v>7760731</v>
      </c>
      <c r="BE89">
        <f t="shared" si="116"/>
        <v>-6471237</v>
      </c>
      <c r="BF89">
        <f t="shared" si="117"/>
        <v>12.238705578531018</v>
      </c>
      <c r="BG89">
        <f t="shared" si="118"/>
        <v>-10.205168092013023</v>
      </c>
      <c r="BH89">
        <f t="shared" si="119"/>
        <v>11.221936835272022</v>
      </c>
      <c r="BI89">
        <f t="shared" si="120"/>
        <v>101.67687432589969</v>
      </c>
      <c r="BJ89">
        <f t="shared" si="121"/>
        <v>11</v>
      </c>
      <c r="BK89">
        <f>IF($BJ89&lt;=30,IF($B89=2015,VLOOKUP($BJ89,'Treasury Yields'!$C$5:$N$34,$E89,FALSE)/100,IF($B89=2016,VLOOKUP($BJ89,'Treasury Yields'!$C$40:$N$69,$E89,FALSE)/100,IF($B89=2017,VLOOKUP($BJ89,'Treasury Yields'!$C$75:$N$104,$E89,FALSE)/100,IF($B89=2018,VLOOKUP($BJ89,'Treasury Yields'!$C$110:$N$139,$E89,FALSE)/100,IF($B89=2019,VLOOKUP($BJ89,'Treasury Yields'!$C$145:$N$174,$E89,FALSE)/100,IF($B89=2020,VLOOKUP($BJ89,'Treasury Yields'!$C$180:$N$209,$E89,FALSE)/100,IF($B89=2021,VLOOKUP($BJ89,'Treasury Yields'!$C$215:$N$244,$E89,FALSE)/100,IF($B89=2022,VLOOKUP($BJ89,'Treasury Yields'!$C$250:$N$279,$E89,FALSE)/100)))))))),0)</f>
        <v>2.1554272727272727E-2</v>
      </c>
      <c r="BL89">
        <f t="shared" si="122"/>
        <v>1.546001879884344</v>
      </c>
      <c r="BM89">
        <f t="shared" si="123"/>
        <v>94834505.649449974</v>
      </c>
      <c r="BN89">
        <f t="shared" si="124"/>
        <v>46632282.649449974</v>
      </c>
      <c r="BP89">
        <f>IF($BJ89&lt;=30,IF($B89=2015,VLOOKUP($BJ89,'Treasury Yields'!$C$40:$N$69,$E89,FALSE)/100,IF($B89=2016,VLOOKUP($BJ89,'Treasury Yields'!$C$75:$N$104,$E89,FALSE)/100,IF($B89=2017,VLOOKUP($BJ89,'Treasury Yields'!$C$110:$N$139,$E89,FALSE)/100,IF($B89=2018,VLOOKUP($BJ89,'Treasury Yields'!$C$145:$N$174,$E89,FALSE)/100,IF($B89=2019,VLOOKUP($BJ89,'Treasury Yields'!$C$180:$N$209,$E89,FALSE)/100,IF($B89=2020,VLOOKUP($BJ89,'Treasury Yields'!$C$215:$N$244,$E89,FALSE)/100,IF($B89=2021,VLOOKUP($BJ89,'Treasury Yields'!$C$250:$N$279,$E89,FALSE)/100,IF($B89=2022,VLOOKUP($BJ89,'Treasury Yields'!$C$285:$N$314,$E89,FALSE)/100)))))))),0)</f>
        <v>3.1935909090909091E-2</v>
      </c>
      <c r="BQ89">
        <f t="shared" si="125"/>
        <v>1.4286016988906058</v>
      </c>
      <c r="BR89">
        <f t="shared" si="126"/>
        <v>90589592.339582503</v>
      </c>
      <c r="BS89">
        <f t="shared" si="127"/>
        <v>43500442.339582503</v>
      </c>
      <c r="BU89">
        <f t="shared" si="90"/>
        <v>14</v>
      </c>
      <c r="BV89">
        <f t="shared" si="128"/>
        <v>2.4605295270536018</v>
      </c>
      <c r="BW89">
        <f t="shared" si="129"/>
        <v>3781824.0409632777</v>
      </c>
      <c r="BX89" s="5">
        <f t="shared" si="130"/>
        <v>2042774.3553935373</v>
      </c>
      <c r="BY89" s="5">
        <f t="shared" si="131"/>
        <v>1003810.4947907191</v>
      </c>
      <c r="BZ89" s="5">
        <f t="shared" si="132"/>
        <v>5802740</v>
      </c>
      <c r="CA89" s="5">
        <f t="shared" si="133"/>
        <v>4785634.535753997</v>
      </c>
      <c r="CC89" s="5">
        <f t="shared" si="134"/>
        <v>90589592.339582503</v>
      </c>
      <c r="CD89" s="5" t="str">
        <f t="shared" si="135"/>
        <v>Arizona</v>
      </c>
      <c r="CE89" s="5">
        <f t="shared" si="88"/>
        <v>0.74259788516479164</v>
      </c>
      <c r="CF89" s="10">
        <f t="shared" si="136"/>
        <v>0.5198075052979868</v>
      </c>
    </row>
    <row r="90" spans="1:84" x14ac:dyDescent="0.2">
      <c r="A90">
        <v>4000000004301</v>
      </c>
      <c r="B90">
        <v>2015</v>
      </c>
      <c r="C90">
        <v>19</v>
      </c>
      <c r="D90" t="s">
        <v>224</v>
      </c>
      <c r="E90">
        <v>6</v>
      </c>
      <c r="F90" t="s">
        <v>225</v>
      </c>
      <c r="G90" t="s">
        <v>226</v>
      </c>
      <c r="H90" t="s">
        <v>227</v>
      </c>
      <c r="I90" t="b">
        <v>1</v>
      </c>
      <c r="J90">
        <v>298134.47700000001</v>
      </c>
      <c r="K90">
        <v>1371168.2709999999</v>
      </c>
      <c r="M90">
        <v>123519.05499999999</v>
      </c>
      <c r="O90">
        <v>970719.48400000005</v>
      </c>
      <c r="P90">
        <v>10774.121999999999</v>
      </c>
      <c r="Q90">
        <v>811328.19700000004</v>
      </c>
      <c r="R90">
        <v>17481282.947000001</v>
      </c>
      <c r="S90">
        <v>18292611.144000001</v>
      </c>
      <c r="T90">
        <v>408230.47200000001</v>
      </c>
      <c r="V90">
        <v>128555.68399999999</v>
      </c>
      <c r="W90">
        <v>632166.951</v>
      </c>
      <c r="Y90">
        <v>8034.857</v>
      </c>
      <c r="AA90">
        <v>179424.644</v>
      </c>
      <c r="AB90">
        <v>14856276.668</v>
      </c>
      <c r="AC90">
        <v>15035701.312000001</v>
      </c>
      <c r="AD90">
        <v>3256909.8319999999</v>
      </c>
      <c r="AE90">
        <v>2625006.279000001</v>
      </c>
      <c r="AF90">
        <v>631903.55299999891</v>
      </c>
      <c r="AG90">
        <v>2873988</v>
      </c>
      <c r="AH90">
        <v>0.14204320686098898</v>
      </c>
      <c r="AI90" t="b">
        <v>1</v>
      </c>
      <c r="AK90">
        <v>0.08</v>
      </c>
      <c r="AL90">
        <v>0.08</v>
      </c>
      <c r="AM90">
        <v>0.08</v>
      </c>
      <c r="AN90">
        <v>0.08</v>
      </c>
      <c r="AO90">
        <v>1</v>
      </c>
      <c r="AP90">
        <v>0</v>
      </c>
      <c r="AS90">
        <v>5408958.358</v>
      </c>
      <c r="AT90">
        <v>1452923.7549999999</v>
      </c>
      <c r="BB90">
        <f t="shared" ref="BB90:BB97" si="137">AC90/S90</f>
        <v>0.82195489717889336</v>
      </c>
      <c r="BD90">
        <f t="shared" ref="BD90:BD97" si="138">AS90-AD90</f>
        <v>2152048.5260000001</v>
      </c>
      <c r="BE90">
        <f t="shared" ref="BE90:BE97" si="139">AT90-AD90</f>
        <v>-1803986.077</v>
      </c>
      <c r="BF90">
        <f t="shared" ref="BF90:BF97" si="140">BD90/S90*100</f>
        <v>11.764578107843695</v>
      </c>
      <c r="BG90">
        <f t="shared" ref="BG90:BG97" si="141">BE90/S90*100</f>
        <v>-9.8618292533469702</v>
      </c>
      <c r="BH90">
        <f t="shared" ref="BH90:BH97" si="142">(BD90-BE90)/(2*S90)*100</f>
        <v>10.813203680595333</v>
      </c>
      <c r="BI90">
        <f t="shared" ref="BI90:BI97" si="143">(BD90+BE90)/(2*S90*(0.01^2))</f>
        <v>95.137442724836177</v>
      </c>
      <c r="BJ90">
        <f t="shared" ref="BJ90:BJ97" si="144">ROUND(BH90,0)</f>
        <v>11</v>
      </c>
      <c r="BK90">
        <f>IF($BJ90&lt;=30,IF($B90=2015,VLOOKUP($BJ90,'Treasury Yields'!$C$5:$N$34,$E90,FALSE)/100,IF($B90=2016,VLOOKUP($BJ90,'Treasury Yields'!$C$40:$N$69,$E90,FALSE)/100,IF($B90=2017,VLOOKUP($BJ90,'Treasury Yields'!$C$75:$N$104,$E90,FALSE)/100,IF($B90=2018,VLOOKUP($BJ90,'Treasury Yields'!$C$110:$N$139,$E90,FALSE)/100,IF($B90=2019,VLOOKUP($BJ90,'Treasury Yields'!$C$145:$N$174,$E90,FALSE)/100,IF($B90=2020,VLOOKUP($BJ90,'Treasury Yields'!$C$180:$N$209,$E90,FALSE)/100,IF($B90=2021,VLOOKUP($BJ90,'Treasury Yields'!$C$215:$N$244,$E90,FALSE)/100,IF($B90=2022,VLOOKUP($BJ90,'Treasury Yields'!$C$250:$N$279,$E90,FALSE)/100)))))))),0)</f>
        <v>2.8147999999999999E-2</v>
      </c>
      <c r="BL90">
        <f t="shared" ref="BL90:BL97" si="145">1+BH90*(AL90-BK90)+(AL90-BK90)^2</f>
        <v>1.5633748671502294</v>
      </c>
      <c r="BM90">
        <f t="shared" ref="BM90:BM97" si="146">BL90*R90</f>
        <v>27329798.404881697</v>
      </c>
      <c r="BN90">
        <f t="shared" ref="BN90:BN97" si="147">BM90-AB90</f>
        <v>12473521.736881698</v>
      </c>
      <c r="BP90">
        <f>IF($BJ90&lt;=30,IF($B90=2015,VLOOKUP($BJ90,'Treasury Yields'!$C$40:$N$69,$E90,FALSE)/100,IF($B90=2016,VLOOKUP($BJ90,'Treasury Yields'!$C$75:$N$104,$E90,FALSE)/100,IF($B90=2017,VLOOKUP($BJ90,'Treasury Yields'!$C$110:$N$139,$E90,FALSE)/100,IF($B90=2018,VLOOKUP($BJ90,'Treasury Yields'!$C$145:$N$174,$E90,FALSE)/100,IF($B90=2019,VLOOKUP($BJ90,'Treasury Yields'!$C$180:$N$209,$E90,FALSE)/100,IF($B90=2020,VLOOKUP($BJ90,'Treasury Yields'!$C$215:$N$244,$E90,FALSE)/100,IF($B90=2021,VLOOKUP($BJ90,'Treasury Yields'!$C$250:$N$279,$E90,FALSE)/100,IF($B90=2022,VLOOKUP($BJ90,'Treasury Yields'!$C$285:$N$314,$E90,FALSE)/100)))))))),0)</f>
        <v>2.6258E-2</v>
      </c>
      <c r="BQ90">
        <f t="shared" ref="BQ90:BQ97" si="148">1+BH90*(AN90-BP90)+(AN90-BP90)^2</f>
        <v>1.5840113947665544</v>
      </c>
      <c r="BR90">
        <f t="shared" ref="BR90:BR97" si="149">BQ90*S90</f>
        <v>28975704.492129657</v>
      </c>
      <c r="BS90">
        <f t="shared" ref="BS90:BS97" si="150">BR90-AC90</f>
        <v>13940003.180129657</v>
      </c>
      <c r="BU90">
        <f t="shared" si="90"/>
        <v>14</v>
      </c>
      <c r="BV90">
        <f t="shared" ref="BV90:BV97" si="151">1+(BH90+BU90)*(AN90-BK90)+(AN90-BK90)^2*BI90</f>
        <v>2.542403610746311</v>
      </c>
      <c r="BW90">
        <f t="shared" ref="BW90:BW97" si="152">BV90*J90</f>
        <v>757978.17081276304</v>
      </c>
      <c r="BX90" s="5">
        <f t="shared" ref="BX90:BX97" si="153">(BM90+BW90-O90)*BK90</f>
        <v>763290.92301701568</v>
      </c>
      <c r="BY90" s="5">
        <f t="shared" ref="BY90:BY97" si="154">BK90*(BN90+BW90-O90)</f>
        <v>345116.44736615173</v>
      </c>
      <c r="BZ90" s="5">
        <f t="shared" ref="BZ90:BZ97" si="155">SUM(J90:K90)</f>
        <v>1669302.7479999999</v>
      </c>
      <c r="CA90" s="5">
        <f t="shared" ref="CA90:CA97" si="156">SUM(BW90+BY90)</f>
        <v>1103094.6181789148</v>
      </c>
      <c r="CC90" s="5">
        <f t="shared" ref="CC90:CC97" si="157">BR90</f>
        <v>28975704.492129657</v>
      </c>
      <c r="CD90" s="5" t="str">
        <f t="shared" ref="CD90:CD97" si="158">F90</f>
        <v>Arkansas</v>
      </c>
      <c r="CE90" s="5">
        <f t="shared" si="88"/>
        <v>0.82195489717889336</v>
      </c>
      <c r="CF90" s="10">
        <f t="shared" ref="CF90:CF97" si="159">AC90/CC90</f>
        <v>0.51890718709130879</v>
      </c>
    </row>
    <row r="91" spans="1:84" x14ac:dyDescent="0.2">
      <c r="A91">
        <v>4000000004301</v>
      </c>
      <c r="B91">
        <v>2016</v>
      </c>
      <c r="C91">
        <v>19</v>
      </c>
      <c r="D91" t="s">
        <v>224</v>
      </c>
      <c r="E91">
        <v>6</v>
      </c>
      <c r="F91" t="s">
        <v>225</v>
      </c>
      <c r="G91" t="s">
        <v>226</v>
      </c>
      <c r="H91" t="s">
        <v>227</v>
      </c>
      <c r="I91" t="b">
        <v>1</v>
      </c>
      <c r="J91">
        <v>305086</v>
      </c>
      <c r="K91">
        <v>1433768</v>
      </c>
      <c r="M91">
        <v>-15342</v>
      </c>
      <c r="O91">
        <v>1035959</v>
      </c>
      <c r="P91">
        <v>10145</v>
      </c>
      <c r="Q91">
        <v>677408</v>
      </c>
      <c r="R91">
        <v>18292611</v>
      </c>
      <c r="S91">
        <v>18970019</v>
      </c>
      <c r="T91">
        <v>410358</v>
      </c>
      <c r="V91">
        <v>131101</v>
      </c>
      <c r="W91">
        <v>35580</v>
      </c>
      <c r="Y91">
        <v>8059</v>
      </c>
      <c r="AA91">
        <v>-477125</v>
      </c>
      <c r="AB91">
        <v>15035701</v>
      </c>
      <c r="AC91">
        <v>14558577</v>
      </c>
      <c r="AD91">
        <v>4411443</v>
      </c>
      <c r="AE91">
        <v>3256910</v>
      </c>
      <c r="AF91">
        <v>1154533</v>
      </c>
      <c r="AG91">
        <v>2888393</v>
      </c>
      <c r="AH91">
        <v>0.14207138710002412</v>
      </c>
      <c r="AI91" t="b">
        <v>1</v>
      </c>
      <c r="AK91">
        <v>0.08</v>
      </c>
      <c r="AL91">
        <v>0.08</v>
      </c>
      <c r="AM91">
        <v>0.08</v>
      </c>
      <c r="AN91">
        <v>0.08</v>
      </c>
      <c r="AO91">
        <v>1</v>
      </c>
      <c r="AP91">
        <v>0</v>
      </c>
      <c r="AS91">
        <v>6628200</v>
      </c>
      <c r="AT91">
        <v>2552887</v>
      </c>
      <c r="AU91" t="s">
        <v>228</v>
      </c>
      <c r="AV91" t="s">
        <v>229</v>
      </c>
      <c r="BB91">
        <f t="shared" si="137"/>
        <v>0.76745189343247366</v>
      </c>
      <c r="BD91">
        <f t="shared" si="138"/>
        <v>2216757</v>
      </c>
      <c r="BE91">
        <f t="shared" si="139"/>
        <v>-1858556</v>
      </c>
      <c r="BF91">
        <f t="shared" si="140"/>
        <v>11.685581337583267</v>
      </c>
      <c r="BG91">
        <f t="shared" si="141"/>
        <v>-9.797333360604437</v>
      </c>
      <c r="BH91">
        <f t="shared" si="142"/>
        <v>10.741457349093851</v>
      </c>
      <c r="BI91">
        <f t="shared" si="143"/>
        <v>94.412398848941592</v>
      </c>
      <c r="BJ91">
        <f t="shared" si="144"/>
        <v>11</v>
      </c>
      <c r="BK91">
        <f>IF($BJ91&lt;=30,IF($B91=2015,VLOOKUP($BJ91,'Treasury Yields'!$C$5:$N$34,$E91,FALSE)/100,IF($B91=2016,VLOOKUP($BJ91,'Treasury Yields'!$C$40:$N$69,$E91,FALSE)/100,IF($B91=2017,VLOOKUP($BJ91,'Treasury Yields'!$C$75:$N$104,$E91,FALSE)/100,IF($B91=2018,VLOOKUP($BJ91,'Treasury Yields'!$C$110:$N$139,$E91,FALSE)/100,IF($B91=2019,VLOOKUP($BJ91,'Treasury Yields'!$C$145:$N$174,$E91,FALSE)/100,IF($B91=2020,VLOOKUP($BJ91,'Treasury Yields'!$C$180:$N$209,$E91,FALSE)/100,IF($B91=2021,VLOOKUP($BJ91,'Treasury Yields'!$C$215:$N$244,$E91,FALSE)/100,IF($B91=2022,VLOOKUP($BJ91,'Treasury Yields'!$C$250:$N$279,$E91,FALSE)/100)))))))),0)</f>
        <v>2.6258E-2</v>
      </c>
      <c r="BL91">
        <f t="shared" si="145"/>
        <v>1.5801556034190016</v>
      </c>
      <c r="BM91">
        <f t="shared" si="146"/>
        <v>28905171.772814065</v>
      </c>
      <c r="BN91">
        <f t="shared" si="147"/>
        <v>13869470.772814065</v>
      </c>
      <c r="BP91">
        <f>IF($BJ91&lt;=30,IF($B91=2015,VLOOKUP($BJ91,'Treasury Yields'!$C$40:$N$69,$E91,FALSE)/100,IF($B91=2016,VLOOKUP($BJ91,'Treasury Yields'!$C$75:$N$104,$E91,FALSE)/100,IF($B91=2017,VLOOKUP($BJ91,'Treasury Yields'!$C$110:$N$139,$E91,FALSE)/100,IF($B91=2018,VLOOKUP($BJ91,'Treasury Yields'!$C$145:$N$174,$E91,FALSE)/100,IF($B91=2019,VLOOKUP($BJ91,'Treasury Yields'!$C$180:$N$209,$E91,FALSE)/100,IF($B91=2020,VLOOKUP($BJ91,'Treasury Yields'!$C$215:$N$244,$E91,FALSE)/100,IF($B91=2021,VLOOKUP($BJ91,'Treasury Yields'!$C$250:$N$279,$E91,FALSE)/100,IF($B91=2022,VLOOKUP($BJ91,'Treasury Yields'!$C$285:$N$314,$E91,FALSE)/100)))))))),0)</f>
        <v>1.6948000000000001E-2</v>
      </c>
      <c r="BQ91">
        <f t="shared" si="148"/>
        <v>1.6812459234790655</v>
      </c>
      <c r="BR91">
        <f t="shared" si="149"/>
        <v>31893267.112070419</v>
      </c>
      <c r="BS91">
        <f t="shared" si="150"/>
        <v>17334690.112070419</v>
      </c>
      <c r="BU91">
        <f t="shared" si="90"/>
        <v>14</v>
      </c>
      <c r="BV91">
        <f t="shared" si="151"/>
        <v>2.6023375332839054</v>
      </c>
      <c r="BW91">
        <f t="shared" si="152"/>
        <v>793936.74867945351</v>
      </c>
      <c r="BX91" s="5">
        <f t="shared" si="153"/>
        <v>752636.9801353768</v>
      </c>
      <c r="BY91" s="5">
        <f t="shared" si="154"/>
        <v>357829.5432773768</v>
      </c>
      <c r="BZ91" s="5">
        <f t="shared" si="155"/>
        <v>1738854</v>
      </c>
      <c r="CA91" s="5">
        <f t="shared" si="156"/>
        <v>1151766.2919568303</v>
      </c>
      <c r="CC91" s="5">
        <f t="shared" si="157"/>
        <v>31893267.112070419</v>
      </c>
      <c r="CD91" s="5" t="str">
        <f t="shared" si="158"/>
        <v>Arkansas</v>
      </c>
      <c r="CE91" s="5">
        <f t="shared" si="88"/>
        <v>0.76745189343247366</v>
      </c>
      <c r="CF91" s="10">
        <f t="shared" si="159"/>
        <v>0.45647806945717762</v>
      </c>
    </row>
    <row r="92" spans="1:84" x14ac:dyDescent="0.2">
      <c r="A92">
        <v>4000000004301</v>
      </c>
      <c r="B92">
        <v>2017</v>
      </c>
      <c r="C92">
        <v>19</v>
      </c>
      <c r="D92" t="s">
        <v>224</v>
      </c>
      <c r="E92">
        <v>6</v>
      </c>
      <c r="F92" t="s">
        <v>225</v>
      </c>
      <c r="G92" t="s">
        <v>226</v>
      </c>
      <c r="H92" t="s">
        <v>227</v>
      </c>
      <c r="I92" t="b">
        <v>1</v>
      </c>
      <c r="J92">
        <v>307787</v>
      </c>
      <c r="K92">
        <v>1485760</v>
      </c>
      <c r="L92">
        <v>-469206</v>
      </c>
      <c r="M92">
        <v>-76813</v>
      </c>
      <c r="N92">
        <v>1374951</v>
      </c>
      <c r="O92">
        <v>1092952</v>
      </c>
      <c r="P92">
        <v>10874</v>
      </c>
      <c r="Q92">
        <v>1518653</v>
      </c>
      <c r="R92">
        <v>18970020</v>
      </c>
      <c r="S92">
        <v>20488672</v>
      </c>
      <c r="T92">
        <v>414955</v>
      </c>
      <c r="V92">
        <v>133110</v>
      </c>
      <c r="W92">
        <v>2289819</v>
      </c>
      <c r="Y92">
        <v>7826</v>
      </c>
      <c r="AA92">
        <v>1726232</v>
      </c>
      <c r="AB92">
        <v>14558577</v>
      </c>
      <c r="AC92">
        <v>16284808</v>
      </c>
      <c r="AD92">
        <v>4203864</v>
      </c>
      <c r="AE92">
        <v>4411443</v>
      </c>
      <c r="AF92">
        <v>-207579</v>
      </c>
      <c r="AG92">
        <v>2921965</v>
      </c>
      <c r="AH92">
        <v>0.14201231020905453</v>
      </c>
      <c r="AI92" t="b">
        <v>1</v>
      </c>
      <c r="AK92">
        <v>0.08</v>
      </c>
      <c r="AL92">
        <v>7.4999999999999997E-2</v>
      </c>
      <c r="AM92">
        <v>7.4999999999999997E-2</v>
      </c>
      <c r="AN92">
        <v>0.08</v>
      </c>
      <c r="AO92">
        <v>1</v>
      </c>
      <c r="AP92">
        <v>0</v>
      </c>
      <c r="AS92">
        <v>6733569</v>
      </c>
      <c r="AT92">
        <v>2106730</v>
      </c>
      <c r="AU92" t="s">
        <v>228</v>
      </c>
      <c r="AV92" t="s">
        <v>230</v>
      </c>
      <c r="BB92">
        <f t="shared" si="137"/>
        <v>0.79482008399568305</v>
      </c>
      <c r="BD92">
        <f t="shared" si="138"/>
        <v>2529705</v>
      </c>
      <c r="BE92">
        <f t="shared" si="139"/>
        <v>-2097134</v>
      </c>
      <c r="BF92">
        <f t="shared" si="140"/>
        <v>12.346847077253226</v>
      </c>
      <c r="BG92">
        <f t="shared" si="141"/>
        <v>-10.235577981823321</v>
      </c>
      <c r="BH92">
        <f t="shared" si="142"/>
        <v>11.291212529538273</v>
      </c>
      <c r="BI92">
        <f t="shared" si="143"/>
        <v>105.56345477149519</v>
      </c>
      <c r="BJ92">
        <f t="shared" si="144"/>
        <v>11</v>
      </c>
      <c r="BK92">
        <f>IF($BJ92&lt;=30,IF($B92=2015,VLOOKUP($BJ92,'Treasury Yields'!$C$5:$N$34,$E92,FALSE)/100,IF($B92=2016,VLOOKUP($BJ92,'Treasury Yields'!$C$40:$N$69,$E92,FALSE)/100,IF($B92=2017,VLOOKUP($BJ92,'Treasury Yields'!$C$75:$N$104,$E92,FALSE)/100,IF($B92=2018,VLOOKUP($BJ92,'Treasury Yields'!$C$110:$N$139,$E92,FALSE)/100,IF($B92=2019,VLOOKUP($BJ92,'Treasury Yields'!$C$145:$N$174,$E92,FALSE)/100,IF($B92=2020,VLOOKUP($BJ92,'Treasury Yields'!$C$180:$N$209,$E92,FALSE)/100,IF($B92=2021,VLOOKUP($BJ92,'Treasury Yields'!$C$215:$N$244,$E92,FALSE)/100,IF($B92=2022,VLOOKUP($BJ92,'Treasury Yields'!$C$250:$N$279,$E92,FALSE)/100)))))))),0)</f>
        <v>1.6948000000000001E-2</v>
      </c>
      <c r="BL92">
        <f t="shared" si="145"/>
        <v>1.6588475044687558</v>
      </c>
      <c r="BM92">
        <f t="shared" si="146"/>
        <v>31468370.336722389</v>
      </c>
      <c r="BN92">
        <f t="shared" si="147"/>
        <v>16909793.336722389</v>
      </c>
      <c r="BP92">
        <f>IF($BJ92&lt;=30,IF($B92=2015,VLOOKUP($BJ92,'Treasury Yields'!$C$40:$N$69,$E92,FALSE)/100,IF($B92=2016,VLOOKUP($BJ92,'Treasury Yields'!$C$75:$N$104,$E92,FALSE)/100,IF($B92=2017,VLOOKUP($BJ92,'Treasury Yields'!$C$110:$N$139,$E92,FALSE)/100,IF($B92=2018,VLOOKUP($BJ92,'Treasury Yields'!$C$145:$N$174,$E92,FALSE)/100,IF($B92=2019,VLOOKUP($BJ92,'Treasury Yields'!$C$180:$N$209,$E92,FALSE)/100,IF($B92=2020,VLOOKUP($BJ92,'Treasury Yields'!$C$215:$N$244,$E92,FALSE)/100,IF($B92=2021,VLOOKUP($BJ92,'Treasury Yields'!$C$250:$N$279,$E92,FALSE)/100,IF($B92=2022,VLOOKUP($BJ92,'Treasury Yields'!$C$285:$N$314,$E92,FALSE)/100)))))))),0)</f>
        <v>2.5068799999999999E-2</v>
      </c>
      <c r="BQ92">
        <f t="shared" si="148"/>
        <v>1.6232572904360127</v>
      </c>
      <c r="BR92">
        <f t="shared" si="149"/>
        <v>33258386.1953522</v>
      </c>
      <c r="BS92">
        <f t="shared" si="150"/>
        <v>16973578.1953522</v>
      </c>
      <c r="BU92">
        <f t="shared" si="90"/>
        <v>14</v>
      </c>
      <c r="BV92">
        <f t="shared" si="151"/>
        <v>3.0143348215997561</v>
      </c>
      <c r="BW92">
        <f t="shared" si="152"/>
        <v>927773.07173572411</v>
      </c>
      <c r="BX92" s="5">
        <f t="shared" si="153"/>
        <v>530526.48799054814</v>
      </c>
      <c r="BY92" s="5">
        <f t="shared" si="154"/>
        <v>283787.72499454813</v>
      </c>
      <c r="BZ92" s="5">
        <f t="shared" si="155"/>
        <v>1793547</v>
      </c>
      <c r="CA92" s="5">
        <f t="shared" si="156"/>
        <v>1211560.7967302722</v>
      </c>
      <c r="CC92" s="5">
        <f t="shared" si="157"/>
        <v>33258386.1953522</v>
      </c>
      <c r="CD92" s="5" t="str">
        <f t="shared" si="158"/>
        <v>Arkansas</v>
      </c>
      <c r="CE92" s="5">
        <f t="shared" si="88"/>
        <v>0.79482008399568305</v>
      </c>
      <c r="CF92" s="10">
        <f t="shared" si="159"/>
        <v>0.48964516511254452</v>
      </c>
    </row>
    <row r="93" spans="1:84" x14ac:dyDescent="0.2">
      <c r="A93">
        <v>4000000004301</v>
      </c>
      <c r="B93">
        <v>2018</v>
      </c>
      <c r="C93">
        <v>19</v>
      </c>
      <c r="D93" t="s">
        <v>224</v>
      </c>
      <c r="E93">
        <v>6</v>
      </c>
      <c r="F93" t="s">
        <v>225</v>
      </c>
      <c r="G93" t="s">
        <v>226</v>
      </c>
      <c r="H93" t="s">
        <v>227</v>
      </c>
      <c r="I93" t="b">
        <v>1</v>
      </c>
      <c r="J93">
        <v>315864</v>
      </c>
      <c r="K93">
        <v>1504613</v>
      </c>
      <c r="M93">
        <v>-7366</v>
      </c>
      <c r="O93">
        <v>1160738</v>
      </c>
      <c r="P93">
        <v>9455</v>
      </c>
      <c r="Q93">
        <v>642918</v>
      </c>
      <c r="R93">
        <v>20488672</v>
      </c>
      <c r="S93">
        <v>21131590</v>
      </c>
      <c r="T93">
        <v>424488</v>
      </c>
      <c r="V93">
        <v>138767</v>
      </c>
      <c r="W93">
        <v>1824095</v>
      </c>
      <c r="Y93">
        <v>9336</v>
      </c>
      <c r="AA93">
        <v>1207819</v>
      </c>
      <c r="AB93">
        <v>16284808</v>
      </c>
      <c r="AC93">
        <v>17492628</v>
      </c>
      <c r="AD93">
        <v>3638962</v>
      </c>
      <c r="AE93">
        <v>4203864</v>
      </c>
      <c r="AF93">
        <v>-564902</v>
      </c>
      <c r="AG93">
        <v>2936027</v>
      </c>
      <c r="AH93">
        <v>0.14457905189563994</v>
      </c>
      <c r="AI93" t="b">
        <v>1</v>
      </c>
      <c r="AK93">
        <v>7.4999999999999997E-2</v>
      </c>
      <c r="AL93">
        <v>7.4999999999999997E-2</v>
      </c>
      <c r="AM93">
        <v>7.4999999999999997E-2</v>
      </c>
      <c r="AN93">
        <v>7.4999999999999997E-2</v>
      </c>
      <c r="AO93">
        <v>1</v>
      </c>
      <c r="AP93">
        <v>0</v>
      </c>
      <c r="AS93">
        <v>6241311</v>
      </c>
      <c r="AT93">
        <v>1480856</v>
      </c>
      <c r="AV93" t="s">
        <v>231</v>
      </c>
      <c r="BB93">
        <f t="shared" si="137"/>
        <v>0.8277951635442482</v>
      </c>
      <c r="BD93">
        <f t="shared" si="138"/>
        <v>2602349</v>
      </c>
      <c r="BE93">
        <f t="shared" si="139"/>
        <v>-2158106</v>
      </c>
      <c r="BF93">
        <f t="shared" si="140"/>
        <v>12.314970146590957</v>
      </c>
      <c r="BG93">
        <f t="shared" si="141"/>
        <v>-10.212700511414427</v>
      </c>
      <c r="BH93">
        <f t="shared" si="142"/>
        <v>11.263835329002692</v>
      </c>
      <c r="BI93">
        <f t="shared" si="143"/>
        <v>105.11348175882647</v>
      </c>
      <c r="BJ93">
        <f t="shared" si="144"/>
        <v>11</v>
      </c>
      <c r="BK93">
        <f>IF($BJ93&lt;=30,IF($B93=2015,VLOOKUP($BJ93,'Treasury Yields'!$C$5:$N$34,$E93,FALSE)/100,IF($B93=2016,VLOOKUP($BJ93,'Treasury Yields'!$C$40:$N$69,$E93,FALSE)/100,IF($B93=2017,VLOOKUP($BJ93,'Treasury Yields'!$C$75:$N$104,$E93,FALSE)/100,IF($B93=2018,VLOOKUP($BJ93,'Treasury Yields'!$C$110:$N$139,$E93,FALSE)/100,IF($B93=2019,VLOOKUP($BJ93,'Treasury Yields'!$C$145:$N$174,$E93,FALSE)/100,IF($B93=2020,VLOOKUP($BJ93,'Treasury Yields'!$C$180:$N$209,$E93,FALSE)/100,IF($B93=2021,VLOOKUP($BJ93,'Treasury Yields'!$C$215:$N$244,$E93,FALSE)/100,IF($B93=2022,VLOOKUP($BJ93,'Treasury Yields'!$C$250:$N$279,$E93,FALSE)/100)))))))),0)</f>
        <v>2.5068799999999999E-2</v>
      </c>
      <c r="BL93">
        <f t="shared" si="145"/>
        <v>1.5649099393129393</v>
      </c>
      <c r="BM93">
        <f t="shared" si="146"/>
        <v>32062926.456122719</v>
      </c>
      <c r="BN93">
        <f t="shared" si="147"/>
        <v>15778118.456122719</v>
      </c>
      <c r="BP93">
        <f>IF($BJ93&lt;=30,IF($B93=2015,VLOOKUP($BJ93,'Treasury Yields'!$C$40:$N$69,$E93,FALSE)/100,IF($B93=2016,VLOOKUP($BJ93,'Treasury Yields'!$C$75:$N$104,$E93,FALSE)/100,IF($B93=2017,VLOOKUP($BJ93,'Treasury Yields'!$C$110:$N$139,$E93,FALSE)/100,IF($B93=2018,VLOOKUP($BJ93,'Treasury Yields'!$C$145:$N$174,$E93,FALSE)/100,IF($B93=2019,VLOOKUP($BJ93,'Treasury Yields'!$C$180:$N$209,$E93,FALSE)/100,IF($B93=2020,VLOOKUP($BJ93,'Treasury Yields'!$C$215:$N$244,$E93,FALSE)/100,IF($B93=2021,VLOOKUP($BJ93,'Treasury Yields'!$C$250:$N$279,$E93,FALSE)/100,IF($B93=2022,VLOOKUP($BJ93,'Treasury Yields'!$C$285:$N$314,$E93,FALSE)/100)))))))),0)</f>
        <v>2.9273236363636365E-2</v>
      </c>
      <c r="BQ93">
        <f t="shared" si="148"/>
        <v>1.5171496726408842</v>
      </c>
      <c r="BR93">
        <f t="shared" si="149"/>
        <v>32059784.850881383</v>
      </c>
      <c r="BS93">
        <f t="shared" si="150"/>
        <v>14567156.850881383</v>
      </c>
      <c r="BU93">
        <f t="shared" si="90"/>
        <v>14</v>
      </c>
      <c r="BV93">
        <f t="shared" si="151"/>
        <v>2.5235146357704235</v>
      </c>
      <c r="BW93">
        <f t="shared" si="152"/>
        <v>797087.426912989</v>
      </c>
      <c r="BX93" s="5">
        <f t="shared" si="153"/>
        <v>794662.80725664552</v>
      </c>
      <c r="BY93" s="5">
        <f t="shared" si="154"/>
        <v>386422.21246624552</v>
      </c>
      <c r="BZ93" s="5">
        <f t="shared" si="155"/>
        <v>1820477</v>
      </c>
      <c r="CA93" s="5">
        <f t="shared" si="156"/>
        <v>1183509.6393792345</v>
      </c>
      <c r="CC93" s="5">
        <f t="shared" si="157"/>
        <v>32059784.850881383</v>
      </c>
      <c r="CD93" s="5" t="str">
        <f t="shared" si="158"/>
        <v>Arkansas</v>
      </c>
      <c r="CE93" s="5">
        <f t="shared" si="88"/>
        <v>0.8277951635442482</v>
      </c>
      <c r="CF93" s="10">
        <f t="shared" si="159"/>
        <v>0.54562524612572672</v>
      </c>
    </row>
    <row r="94" spans="1:84" x14ac:dyDescent="0.2">
      <c r="A94">
        <v>4000000004301</v>
      </c>
      <c r="B94">
        <v>2019</v>
      </c>
      <c r="C94">
        <v>19</v>
      </c>
      <c r="D94" t="s">
        <v>224</v>
      </c>
      <c r="E94">
        <v>6</v>
      </c>
      <c r="F94" t="s">
        <v>225</v>
      </c>
      <c r="G94" t="s">
        <v>226</v>
      </c>
      <c r="H94" t="s">
        <v>227</v>
      </c>
      <c r="I94" t="b">
        <v>1</v>
      </c>
      <c r="J94">
        <v>325465</v>
      </c>
      <c r="K94">
        <v>1551511</v>
      </c>
      <c r="M94">
        <v>119427</v>
      </c>
      <c r="O94">
        <v>1205327</v>
      </c>
      <c r="P94">
        <v>9680</v>
      </c>
      <c r="Q94">
        <v>781397</v>
      </c>
      <c r="R94">
        <v>21131590</v>
      </c>
      <c r="S94">
        <v>21912987</v>
      </c>
      <c r="T94">
        <v>430865</v>
      </c>
      <c r="V94">
        <v>141886</v>
      </c>
      <c r="W94">
        <v>898385</v>
      </c>
      <c r="Y94">
        <v>7135</v>
      </c>
      <c r="AA94">
        <v>248994</v>
      </c>
      <c r="AB94">
        <v>17492628</v>
      </c>
      <c r="AC94">
        <v>17741622</v>
      </c>
      <c r="AD94">
        <v>4171365</v>
      </c>
      <c r="AE94">
        <v>3638962</v>
      </c>
      <c r="AF94">
        <v>532403</v>
      </c>
      <c r="AG94">
        <v>3027154</v>
      </c>
      <c r="AH94">
        <v>0.14233335998102509</v>
      </c>
      <c r="AI94" t="b">
        <v>1</v>
      </c>
      <c r="AK94">
        <v>7.4999999999999997E-2</v>
      </c>
      <c r="AL94">
        <v>7.4999999999999997E-2</v>
      </c>
      <c r="AM94">
        <v>7.4999999999999997E-2</v>
      </c>
      <c r="AN94">
        <v>7.4999999999999997E-2</v>
      </c>
      <c r="AO94">
        <v>1</v>
      </c>
      <c r="AP94">
        <v>0</v>
      </c>
      <c r="AS94">
        <v>6858101</v>
      </c>
      <c r="AT94">
        <v>1943114</v>
      </c>
      <c r="AU94" t="s">
        <v>232</v>
      </c>
      <c r="AV94" t="s">
        <v>233</v>
      </c>
      <c r="BB94">
        <f t="shared" si="137"/>
        <v>0.80963959865444179</v>
      </c>
      <c r="BD94">
        <f t="shared" si="138"/>
        <v>2686736</v>
      </c>
      <c r="BE94">
        <f t="shared" si="139"/>
        <v>-2228251</v>
      </c>
      <c r="BF94">
        <f t="shared" si="140"/>
        <v>12.260930013785888</v>
      </c>
      <c r="BG94">
        <f t="shared" si="141"/>
        <v>-10.168631962406586</v>
      </c>
      <c r="BH94">
        <f t="shared" si="142"/>
        <v>11.214780988096237</v>
      </c>
      <c r="BI94">
        <f t="shared" si="143"/>
        <v>104.61490256896514</v>
      </c>
      <c r="BJ94">
        <f t="shared" si="144"/>
        <v>11</v>
      </c>
      <c r="BK94">
        <f>IF($BJ94&lt;=30,IF($B94=2015,VLOOKUP($BJ94,'Treasury Yields'!$C$5:$N$34,$E94,FALSE)/100,IF($B94=2016,VLOOKUP($BJ94,'Treasury Yields'!$C$40:$N$69,$E94,FALSE)/100,IF($B94=2017,VLOOKUP($BJ94,'Treasury Yields'!$C$75:$N$104,$E94,FALSE)/100,IF($B94=2018,VLOOKUP($BJ94,'Treasury Yields'!$C$110:$N$139,$E94,FALSE)/100,IF($B94=2019,VLOOKUP($BJ94,'Treasury Yields'!$C$145:$N$174,$E94,FALSE)/100,IF($B94=2020,VLOOKUP($BJ94,'Treasury Yields'!$C$180:$N$209,$E94,FALSE)/100,IF($B94=2021,VLOOKUP($BJ94,'Treasury Yields'!$C$215:$N$244,$E94,FALSE)/100,IF($B94=2022,VLOOKUP($BJ94,'Treasury Yields'!$C$250:$N$279,$E94,FALSE)/100)))))))),0)</f>
        <v>2.9273236363636365E-2</v>
      </c>
      <c r="BL94">
        <f t="shared" si="145"/>
        <v>1.5149065763889169</v>
      </c>
      <c r="BM94">
        <f t="shared" si="146"/>
        <v>32012384.660554271</v>
      </c>
      <c r="BN94">
        <f t="shared" si="147"/>
        <v>14519756.660554271</v>
      </c>
      <c r="BP94">
        <f>IF($BJ94&lt;=30,IF($B94=2015,VLOOKUP($BJ94,'Treasury Yields'!$C$40:$N$69,$E94,FALSE)/100,IF($B94=2016,VLOOKUP($BJ94,'Treasury Yields'!$C$75:$N$104,$E94,FALSE)/100,IF($B94=2017,VLOOKUP($BJ94,'Treasury Yields'!$C$110:$N$139,$E94,FALSE)/100,IF($B94=2018,VLOOKUP($BJ94,'Treasury Yields'!$C$145:$N$174,$E94,FALSE)/100,IF($B94=2019,VLOOKUP($BJ94,'Treasury Yields'!$C$180:$N$209,$E94,FALSE)/100,IF($B94=2020,VLOOKUP($BJ94,'Treasury Yields'!$C$215:$N$244,$E94,FALSE)/100,IF($B94=2021,VLOOKUP($BJ94,'Treasury Yields'!$C$250:$N$279,$E94,FALSE)/100,IF($B94=2022,VLOOKUP($BJ94,'Treasury Yields'!$C$285:$N$314,$E94,FALSE)/100)))))))),0)</f>
        <v>2.1722000000000002E-2</v>
      </c>
      <c r="BQ94">
        <f t="shared" si="148"/>
        <v>1.6003396467677913</v>
      </c>
      <c r="BR94">
        <f t="shared" si="149"/>
        <v>35068221.875207201</v>
      </c>
      <c r="BS94">
        <f t="shared" si="150"/>
        <v>17326599.875207201</v>
      </c>
      <c r="BU94">
        <f t="shared" si="90"/>
        <v>14</v>
      </c>
      <c r="BV94">
        <f t="shared" si="151"/>
        <v>2.3717334917806983</v>
      </c>
      <c r="BW94">
        <f t="shared" si="152"/>
        <v>771916.240902405</v>
      </c>
      <c r="BX94" s="5">
        <f t="shared" si="153"/>
        <v>924418.76713844528</v>
      </c>
      <c r="BY94" s="5">
        <f t="shared" si="154"/>
        <v>412352.93307328166</v>
      </c>
      <c r="BZ94" s="5">
        <f t="shared" si="155"/>
        <v>1876976</v>
      </c>
      <c r="CA94" s="5">
        <f t="shared" si="156"/>
        <v>1184269.1739756865</v>
      </c>
      <c r="CC94" s="5">
        <f t="shared" si="157"/>
        <v>35068221.875207201</v>
      </c>
      <c r="CD94" s="5" t="str">
        <f t="shared" si="158"/>
        <v>Arkansas</v>
      </c>
      <c r="CE94" s="5">
        <f t="shared" si="88"/>
        <v>0.80963959865444179</v>
      </c>
      <c r="CF94" s="10">
        <f t="shared" si="159"/>
        <v>0.50591735341286603</v>
      </c>
    </row>
    <row r="95" spans="1:84" x14ac:dyDescent="0.2">
      <c r="A95">
        <v>4000000004301</v>
      </c>
      <c r="B95">
        <v>2020</v>
      </c>
      <c r="C95">
        <v>19</v>
      </c>
      <c r="D95" t="s">
        <v>224</v>
      </c>
      <c r="E95">
        <v>6</v>
      </c>
      <c r="F95" t="s">
        <v>225</v>
      </c>
      <c r="G95" t="s">
        <v>226</v>
      </c>
      <c r="H95" t="s">
        <v>227</v>
      </c>
      <c r="I95" t="b">
        <v>1</v>
      </c>
      <c r="J95">
        <v>331035</v>
      </c>
      <c r="K95">
        <v>1608463</v>
      </c>
      <c r="L95">
        <v>0</v>
      </c>
      <c r="M95">
        <v>-24869</v>
      </c>
      <c r="N95">
        <v>0</v>
      </c>
      <c r="O95">
        <v>1255066</v>
      </c>
      <c r="P95">
        <v>9592</v>
      </c>
      <c r="Q95">
        <v>649971</v>
      </c>
      <c r="R95">
        <v>21912987</v>
      </c>
      <c r="S95">
        <v>22562958</v>
      </c>
      <c r="T95">
        <v>446228</v>
      </c>
      <c r="V95">
        <v>153105</v>
      </c>
      <c r="W95">
        <v>-165766</v>
      </c>
      <c r="Y95">
        <v>8454</v>
      </c>
      <c r="AA95">
        <v>-839546</v>
      </c>
      <c r="AB95">
        <v>17741622</v>
      </c>
      <c r="AC95">
        <v>16902076</v>
      </c>
      <c r="AD95">
        <v>5660882</v>
      </c>
      <c r="AE95">
        <v>4171365</v>
      </c>
      <c r="AF95">
        <v>1489517</v>
      </c>
      <c r="AG95">
        <v>3077559</v>
      </c>
      <c r="AH95">
        <v>0.14499413333749248</v>
      </c>
      <c r="AI95" t="b">
        <v>1</v>
      </c>
      <c r="AK95">
        <v>7.4999999999999997E-2</v>
      </c>
      <c r="AL95">
        <v>7.4999999999999997E-2</v>
      </c>
      <c r="AM95">
        <v>7.4999999999999997E-2</v>
      </c>
      <c r="AN95">
        <v>7.4999999999999997E-2</v>
      </c>
      <c r="AO95">
        <v>1</v>
      </c>
      <c r="AP95">
        <v>0</v>
      </c>
      <c r="AS95">
        <v>8423121</v>
      </c>
      <c r="AT95">
        <v>3370051</v>
      </c>
      <c r="AU95" t="s">
        <v>232</v>
      </c>
      <c r="AV95" t="s">
        <v>234</v>
      </c>
      <c r="BB95">
        <f t="shared" si="137"/>
        <v>0.74910727573928915</v>
      </c>
      <c r="BD95">
        <f t="shared" si="138"/>
        <v>2762239</v>
      </c>
      <c r="BE95">
        <f t="shared" si="139"/>
        <v>-2290831</v>
      </c>
      <c r="BF95">
        <f t="shared" si="140"/>
        <v>12.242362016540561</v>
      </c>
      <c r="BG95">
        <f t="shared" si="141"/>
        <v>-10.153061491316874</v>
      </c>
      <c r="BH95">
        <f t="shared" si="142"/>
        <v>11.197711753928719</v>
      </c>
      <c r="BI95">
        <f t="shared" si="143"/>
        <v>104.46502626118436</v>
      </c>
      <c r="BJ95">
        <f t="shared" si="144"/>
        <v>11</v>
      </c>
      <c r="BK95">
        <f>IF($BJ95&lt;=30,IF($B95=2015,VLOOKUP($BJ95,'Treasury Yields'!$C$5:$N$34,$E95,FALSE)/100,IF($B95=2016,VLOOKUP($BJ95,'Treasury Yields'!$C$40:$N$69,$E95,FALSE)/100,IF($B95=2017,VLOOKUP($BJ95,'Treasury Yields'!$C$75:$N$104,$E95,FALSE)/100,IF($B95=2018,VLOOKUP($BJ95,'Treasury Yields'!$C$110:$N$139,$E95,FALSE)/100,IF($B95=2019,VLOOKUP($BJ95,'Treasury Yields'!$C$145:$N$174,$E95,FALSE)/100,IF($B95=2020,VLOOKUP($BJ95,'Treasury Yields'!$C$180:$N$209,$E95,FALSE)/100,IF($B95=2021,VLOOKUP($BJ95,'Treasury Yields'!$C$215:$N$244,$E95,FALSE)/100,IF($B95=2022,VLOOKUP($BJ95,'Treasury Yields'!$C$250:$N$279,$E95,FALSE)/100)))))))),0)</f>
        <v>2.1722000000000002E-2</v>
      </c>
      <c r="BL95">
        <f t="shared" si="145"/>
        <v>1.5994302321098142</v>
      </c>
      <c r="BM95">
        <f t="shared" si="146"/>
        <v>35048293.883629337</v>
      </c>
      <c r="BN95">
        <f t="shared" si="147"/>
        <v>17306671.883629337</v>
      </c>
      <c r="BP95">
        <f>IF($BJ95&lt;=30,IF($B95=2015,VLOOKUP($BJ95,'Treasury Yields'!$C$40:$N$69,$E95,FALSE)/100,IF($B95=2016,VLOOKUP($BJ95,'Treasury Yields'!$C$75:$N$104,$E95,FALSE)/100,IF($B95=2017,VLOOKUP($BJ95,'Treasury Yields'!$C$110:$N$139,$E95,FALSE)/100,IF($B95=2018,VLOOKUP($BJ95,'Treasury Yields'!$C$145:$N$174,$E95,FALSE)/100,IF($B95=2019,VLOOKUP($BJ95,'Treasury Yields'!$C$180:$N$209,$E95,FALSE)/100,IF($B95=2020,VLOOKUP($BJ95,'Treasury Yields'!$C$215:$N$244,$E95,FALSE)/100,IF($B95=2021,VLOOKUP($BJ95,'Treasury Yields'!$C$250:$N$279,$E95,FALSE)/100,IF($B95=2022,VLOOKUP($BJ95,'Treasury Yields'!$C$285:$N$314,$E95,FALSE)/100)))))))),0)</f>
        <v>1.4551090909090908E-2</v>
      </c>
      <c r="BQ95">
        <f t="shared" si="148"/>
        <v>1.6805435304497223</v>
      </c>
      <c r="BR95">
        <f t="shared" si="149"/>
        <v>37918033.094708808</v>
      </c>
      <c r="BS95">
        <f t="shared" si="150"/>
        <v>21015957.094708808</v>
      </c>
      <c r="BU95">
        <f t="shared" si="90"/>
        <v>14</v>
      </c>
      <c r="BV95">
        <f t="shared" si="151"/>
        <v>2.6390123944624353</v>
      </c>
      <c r="BW95">
        <f t="shared" si="152"/>
        <v>873605.46800087229</v>
      </c>
      <c r="BX95" s="5">
        <f t="shared" si="153"/>
        <v>753032.95406411146</v>
      </c>
      <c r="BY95" s="5">
        <f t="shared" si="154"/>
        <v>367649.44098011148</v>
      </c>
      <c r="BZ95" s="5">
        <f t="shared" si="155"/>
        <v>1939498</v>
      </c>
      <c r="CA95" s="5">
        <f t="shared" si="156"/>
        <v>1241254.9089809838</v>
      </c>
      <c r="CC95" s="5">
        <f t="shared" si="157"/>
        <v>37918033.094708808</v>
      </c>
      <c r="CD95" s="5" t="str">
        <f t="shared" si="158"/>
        <v>Arkansas</v>
      </c>
      <c r="CE95" s="5">
        <f t="shared" si="88"/>
        <v>0.74910727573928915</v>
      </c>
      <c r="CF95" s="10">
        <f t="shared" si="159"/>
        <v>0.44575297346735437</v>
      </c>
    </row>
    <row r="96" spans="1:84" x14ac:dyDescent="0.2">
      <c r="A96">
        <v>4000000004301</v>
      </c>
      <c r="B96">
        <v>2021</v>
      </c>
      <c r="C96">
        <v>19</v>
      </c>
      <c r="D96" t="s">
        <v>224</v>
      </c>
      <c r="E96">
        <v>6</v>
      </c>
      <c r="F96" t="s">
        <v>225</v>
      </c>
      <c r="G96" t="s">
        <v>226</v>
      </c>
      <c r="H96" t="s">
        <v>227</v>
      </c>
      <c r="I96" t="b">
        <v>1</v>
      </c>
      <c r="J96">
        <v>340401</v>
      </c>
      <c r="K96">
        <v>1655576</v>
      </c>
      <c r="L96">
        <v>0</v>
      </c>
      <c r="M96">
        <v>108860</v>
      </c>
      <c r="N96">
        <v>877447</v>
      </c>
      <c r="O96">
        <v>1308164</v>
      </c>
      <c r="P96">
        <v>9463</v>
      </c>
      <c r="Q96">
        <v>1674657</v>
      </c>
      <c r="R96">
        <v>22562958</v>
      </c>
      <c r="S96">
        <v>24237616</v>
      </c>
      <c r="T96">
        <v>476567</v>
      </c>
      <c r="V96">
        <v>168130</v>
      </c>
      <c r="W96">
        <v>5250953</v>
      </c>
      <c r="Y96">
        <v>7327</v>
      </c>
      <c r="AA96">
        <v>4566697</v>
      </c>
      <c r="AB96">
        <v>16902076</v>
      </c>
      <c r="AC96">
        <v>21468773</v>
      </c>
      <c r="AD96">
        <v>2768843</v>
      </c>
      <c r="AE96">
        <v>5660882</v>
      </c>
      <c r="AF96">
        <v>-2892039</v>
      </c>
      <c r="AG96">
        <v>3204721</v>
      </c>
      <c r="AI96" t="b">
        <v>1</v>
      </c>
      <c r="AK96">
        <v>7.4999999999999997E-2</v>
      </c>
      <c r="AL96">
        <v>7.2499999999999995E-2</v>
      </c>
      <c r="AM96">
        <v>7.2499999999999995E-2</v>
      </c>
      <c r="AN96">
        <v>7.4999999999999997E-2</v>
      </c>
      <c r="AS96">
        <v>5792963</v>
      </c>
      <c r="AT96">
        <v>259618</v>
      </c>
      <c r="AV96" t="s">
        <v>235</v>
      </c>
      <c r="BB96">
        <f t="shared" si="137"/>
        <v>0.88576256839781597</v>
      </c>
      <c r="BD96">
        <f t="shared" si="138"/>
        <v>3024120</v>
      </c>
      <c r="BE96">
        <f t="shared" si="139"/>
        <v>-2509225</v>
      </c>
      <c r="BF96">
        <f t="shared" si="140"/>
        <v>12.476969682166761</v>
      </c>
      <c r="BG96">
        <f t="shared" si="141"/>
        <v>-10.352606460965468</v>
      </c>
      <c r="BH96">
        <f t="shared" si="142"/>
        <v>11.414788071566115</v>
      </c>
      <c r="BI96">
        <f t="shared" si="143"/>
        <v>106.21816106006465</v>
      </c>
      <c r="BJ96">
        <f t="shared" si="144"/>
        <v>11</v>
      </c>
      <c r="BK96">
        <f>IF($BJ96&lt;=30,IF($B96=2015,VLOOKUP($BJ96,'Treasury Yields'!$C$5:$N$34,$E96,FALSE)/100,IF($B96=2016,VLOOKUP($BJ96,'Treasury Yields'!$C$40:$N$69,$E96,FALSE)/100,IF($B96=2017,VLOOKUP($BJ96,'Treasury Yields'!$C$75:$N$104,$E96,FALSE)/100,IF($B96=2018,VLOOKUP($BJ96,'Treasury Yields'!$C$110:$N$139,$E96,FALSE)/100,IF($B96=2019,VLOOKUP($BJ96,'Treasury Yields'!$C$145:$N$174,$E96,FALSE)/100,IF($B96=2020,VLOOKUP($BJ96,'Treasury Yields'!$C$180:$N$209,$E96,FALSE)/100,IF($B96=2021,VLOOKUP($BJ96,'Treasury Yields'!$C$215:$N$244,$E96,FALSE)/100,IF($B96=2022,VLOOKUP($BJ96,'Treasury Yields'!$C$250:$N$279,$E96,FALSE)/100)))))))),0)</f>
        <v>1.4551090909090908E-2</v>
      </c>
      <c r="BL96">
        <f t="shared" si="145"/>
        <v>1.6648325923160048</v>
      </c>
      <c r="BM96">
        <f t="shared" si="146"/>
        <v>37563547.857457139</v>
      </c>
      <c r="BN96">
        <f t="shared" si="147"/>
        <v>20661471.857457139</v>
      </c>
      <c r="BP96">
        <f>IF($BJ96&lt;=30,IF($B96=2015,VLOOKUP($BJ96,'Treasury Yields'!$C$40:$N$69,$E96,FALSE)/100,IF($B96=2016,VLOOKUP($BJ96,'Treasury Yields'!$C$75:$N$104,$E96,FALSE)/100,IF($B96=2017,VLOOKUP($BJ96,'Treasury Yields'!$C$110:$N$139,$E96,FALSE)/100,IF($B96=2018,VLOOKUP($BJ96,'Treasury Yields'!$C$145:$N$174,$E96,FALSE)/100,IF($B96=2019,VLOOKUP($BJ96,'Treasury Yields'!$C$180:$N$209,$E96,FALSE)/100,IF($B96=2020,VLOOKUP($BJ96,'Treasury Yields'!$C$215:$N$244,$E96,FALSE)/100,IF($B96=2021,VLOOKUP($BJ96,'Treasury Yields'!$C$250:$N$279,$E96,FALSE)/100,IF($B96=2022,VLOOKUP($BJ96,'Treasury Yields'!$C$285:$N$314,$E96,FALSE)/100)))))))),0)</f>
        <v>2.1554272727272727E-2</v>
      </c>
      <c r="BQ96">
        <f t="shared" si="148"/>
        <v>1.6129280959126138</v>
      </c>
      <c r="BR96">
        <f t="shared" si="149"/>
        <v>39093531.824341103</v>
      </c>
      <c r="BS96">
        <f t="shared" si="150"/>
        <v>17624758.824341103</v>
      </c>
      <c r="BU96">
        <f t="shared" si="90"/>
        <v>14</v>
      </c>
      <c r="BV96">
        <f t="shared" si="151"/>
        <v>2.9244248743104961</v>
      </c>
      <c r="BW96">
        <f t="shared" si="152"/>
        <v>995477.15164016723</v>
      </c>
      <c r="BX96" s="5">
        <f t="shared" si="153"/>
        <v>542040.66498528479</v>
      </c>
      <c r="BY96" s="5">
        <f t="shared" si="154"/>
        <v>296097.02055692114</v>
      </c>
      <c r="BZ96" s="5">
        <f t="shared" si="155"/>
        <v>1995977</v>
      </c>
      <c r="CA96" s="5">
        <f t="shared" si="156"/>
        <v>1291574.1721970884</v>
      </c>
      <c r="CC96" s="5">
        <f t="shared" si="157"/>
        <v>39093531.824341103</v>
      </c>
      <c r="CD96" s="5" t="str">
        <f t="shared" si="158"/>
        <v>Arkansas</v>
      </c>
      <c r="CE96" s="5">
        <f t="shared" si="88"/>
        <v>0.88576256839781597</v>
      </c>
      <c r="CF96" s="10">
        <f t="shared" si="159"/>
        <v>0.54916432458611308</v>
      </c>
    </row>
    <row r="97" spans="1:84" x14ac:dyDescent="0.2">
      <c r="A97">
        <v>4000000004301</v>
      </c>
      <c r="B97">
        <v>2022</v>
      </c>
      <c r="C97">
        <v>19</v>
      </c>
      <c r="D97" t="s">
        <v>224</v>
      </c>
      <c r="E97">
        <v>6</v>
      </c>
      <c r="F97" t="s">
        <v>225</v>
      </c>
      <c r="G97" t="s">
        <v>226</v>
      </c>
      <c r="H97" t="s">
        <v>227</v>
      </c>
      <c r="I97" t="b">
        <v>1</v>
      </c>
      <c r="J97">
        <v>379268</v>
      </c>
      <c r="K97">
        <v>1720782</v>
      </c>
      <c r="M97">
        <v>4881</v>
      </c>
      <c r="N97">
        <v>0</v>
      </c>
      <c r="O97">
        <v>1384648</v>
      </c>
      <c r="P97">
        <v>10426</v>
      </c>
      <c r="Q97">
        <v>720283</v>
      </c>
      <c r="R97">
        <v>24237616</v>
      </c>
      <c r="S97">
        <v>24957898</v>
      </c>
      <c r="T97">
        <v>501523</v>
      </c>
      <c r="V97">
        <v>183315</v>
      </c>
      <c r="W97">
        <v>-1590291</v>
      </c>
      <c r="Y97">
        <v>6651</v>
      </c>
      <c r="Z97">
        <v>507446</v>
      </c>
      <c r="AA97">
        <v>-1789306</v>
      </c>
      <c r="AB97">
        <v>21468773</v>
      </c>
      <c r="AC97">
        <v>19679467</v>
      </c>
      <c r="AD97">
        <v>5278431</v>
      </c>
      <c r="AE97">
        <v>2768843</v>
      </c>
      <c r="AF97">
        <v>2509588</v>
      </c>
      <c r="AG97">
        <v>3320346</v>
      </c>
      <c r="AI97" t="b">
        <v>1</v>
      </c>
      <c r="AK97">
        <v>7.2499999999999995E-2</v>
      </c>
      <c r="AL97">
        <v>7.2499999999999995E-2</v>
      </c>
      <c r="AM97">
        <v>7.2499999999999995E-2</v>
      </c>
      <c r="AN97">
        <v>7.2499999999999995E-2</v>
      </c>
      <c r="AS97">
        <v>8391001</v>
      </c>
      <c r="AT97">
        <v>2696129</v>
      </c>
      <c r="AU97" t="s">
        <v>236</v>
      </c>
      <c r="AV97" t="s">
        <v>237</v>
      </c>
      <c r="BB97">
        <f t="shared" si="137"/>
        <v>0.78850658817501373</v>
      </c>
      <c r="BD97">
        <f t="shared" si="138"/>
        <v>3112570</v>
      </c>
      <c r="BE97">
        <f t="shared" si="139"/>
        <v>-2582302</v>
      </c>
      <c r="BF97">
        <f t="shared" si="140"/>
        <v>12.471282637664437</v>
      </c>
      <c r="BG97">
        <f t="shared" si="141"/>
        <v>-10.34663255695652</v>
      </c>
      <c r="BH97">
        <f t="shared" si="142"/>
        <v>11.408957597310479</v>
      </c>
      <c r="BI97">
        <f t="shared" si="143"/>
        <v>106.23250403539593</v>
      </c>
      <c r="BJ97">
        <f t="shared" si="144"/>
        <v>11</v>
      </c>
      <c r="BK97">
        <f>IF($BJ97&lt;=30,IF($B97=2015,VLOOKUP($BJ97,'Treasury Yields'!$C$5:$N$34,$E97,FALSE)/100,IF($B97=2016,VLOOKUP($BJ97,'Treasury Yields'!$C$40:$N$69,$E97,FALSE)/100,IF($B97=2017,VLOOKUP($BJ97,'Treasury Yields'!$C$75:$N$104,$E97,FALSE)/100,IF($B97=2018,VLOOKUP($BJ97,'Treasury Yields'!$C$110:$N$139,$E97,FALSE)/100,IF($B97=2019,VLOOKUP($BJ97,'Treasury Yields'!$C$145:$N$174,$E97,FALSE)/100,IF($B97=2020,VLOOKUP($BJ97,'Treasury Yields'!$C$180:$N$209,$E97,FALSE)/100,IF($B97=2021,VLOOKUP($BJ97,'Treasury Yields'!$C$215:$N$244,$E97,FALSE)/100,IF($B97=2022,VLOOKUP($BJ97,'Treasury Yields'!$C$250:$N$279,$E97,FALSE)/100)))))))),0)</f>
        <v>2.1554272727272727E-2</v>
      </c>
      <c r="BL97">
        <f t="shared" si="145"/>
        <v>1.5838331093460367</v>
      </c>
      <c r="BM97">
        <f t="shared" si="146"/>
        <v>38388338.712415248</v>
      </c>
      <c r="BN97">
        <f t="shared" si="147"/>
        <v>16919565.712415248</v>
      </c>
      <c r="BP97">
        <f>IF($BJ97&lt;=30,IF($B97=2015,VLOOKUP($BJ97,'Treasury Yields'!$C$40:$N$69,$E97,FALSE)/100,IF($B97=2016,VLOOKUP($BJ97,'Treasury Yields'!$C$75:$N$104,$E97,FALSE)/100,IF($B97=2017,VLOOKUP($BJ97,'Treasury Yields'!$C$110:$N$139,$E97,FALSE)/100,IF($B97=2018,VLOOKUP($BJ97,'Treasury Yields'!$C$145:$N$174,$E97,FALSE)/100,IF($B97=2019,VLOOKUP($BJ97,'Treasury Yields'!$C$180:$N$209,$E97,FALSE)/100,IF($B97=2020,VLOOKUP($BJ97,'Treasury Yields'!$C$215:$N$244,$E97,FALSE)/100,IF($B97=2021,VLOOKUP($BJ97,'Treasury Yields'!$C$250:$N$279,$E97,FALSE)/100,IF($B97=2022,VLOOKUP($BJ97,'Treasury Yields'!$C$285:$N$314,$E97,FALSE)/100)))))))),0)</f>
        <v>3.1935909090909091E-2</v>
      </c>
      <c r="BQ97">
        <f t="shared" si="148"/>
        <v>1.4644394386265467</v>
      </c>
      <c r="BR97">
        <f t="shared" si="149"/>
        <v>36549330.136418611</v>
      </c>
      <c r="BS97">
        <f t="shared" si="150"/>
        <v>16869863.136418611</v>
      </c>
      <c r="BU97">
        <f t="shared" si="90"/>
        <v>14</v>
      </c>
      <c r="BV97">
        <f t="shared" si="151"/>
        <v>2.5702007961165103</v>
      </c>
      <c r="BW97">
        <f t="shared" si="152"/>
        <v>974794.91554151662</v>
      </c>
      <c r="BX97" s="5">
        <f t="shared" si="153"/>
        <v>818598.63699378772</v>
      </c>
      <c r="BY97" s="5">
        <f t="shared" si="154"/>
        <v>355854.84863187862</v>
      </c>
      <c r="BZ97" s="5">
        <f t="shared" si="155"/>
        <v>2100050</v>
      </c>
      <c r="CA97" s="5">
        <f t="shared" si="156"/>
        <v>1330649.7641733952</v>
      </c>
      <c r="CC97" s="5">
        <f t="shared" si="157"/>
        <v>36549330.136418611</v>
      </c>
      <c r="CD97" s="5" t="str">
        <f t="shared" si="158"/>
        <v>Arkansas</v>
      </c>
      <c r="CE97" s="5">
        <f t="shared" si="88"/>
        <v>0.78850658817501373</v>
      </c>
      <c r="CF97" s="10">
        <f t="shared" si="159"/>
        <v>0.53843577779804275</v>
      </c>
    </row>
    <row r="98" spans="1:84" x14ac:dyDescent="0.2">
      <c r="A98">
        <v>6000000004501</v>
      </c>
      <c r="B98">
        <v>2015</v>
      </c>
      <c r="C98">
        <v>162</v>
      </c>
      <c r="D98" t="s">
        <v>238</v>
      </c>
      <c r="E98">
        <v>12</v>
      </c>
      <c r="F98" t="s">
        <v>239</v>
      </c>
      <c r="G98" t="s">
        <v>240</v>
      </c>
      <c r="H98" t="s">
        <v>241</v>
      </c>
      <c r="I98" t="b">
        <v>1</v>
      </c>
      <c r="J98">
        <v>548358</v>
      </c>
      <c r="K98">
        <v>2652731</v>
      </c>
      <c r="M98">
        <v>278464</v>
      </c>
      <c r="N98">
        <v>-298005</v>
      </c>
      <c r="O98">
        <v>2208452</v>
      </c>
      <c r="Q98">
        <v>973096</v>
      </c>
      <c r="R98">
        <v>36473966</v>
      </c>
      <c r="S98">
        <v>37447062</v>
      </c>
      <c r="T98">
        <v>754182</v>
      </c>
      <c r="U98">
        <v>0</v>
      </c>
      <c r="V98">
        <v>372378</v>
      </c>
      <c r="W98">
        <v>344000</v>
      </c>
      <c r="Y98">
        <v>20865</v>
      </c>
      <c r="Z98">
        <v>-9082</v>
      </c>
      <c r="AA98">
        <v>-767839</v>
      </c>
      <c r="AB98">
        <v>22920607</v>
      </c>
      <c r="AC98">
        <v>22152768</v>
      </c>
      <c r="AD98">
        <v>15294294</v>
      </c>
      <c r="AE98">
        <v>13553359</v>
      </c>
      <c r="AF98">
        <v>1740935</v>
      </c>
      <c r="AG98">
        <v>4235290</v>
      </c>
      <c r="AH98">
        <v>0.17807092312450859</v>
      </c>
      <c r="AI98" t="b">
        <v>1</v>
      </c>
      <c r="AK98">
        <v>7.4999999999999997E-2</v>
      </c>
      <c r="AL98">
        <v>7.4999999999999997E-2</v>
      </c>
      <c r="AM98">
        <v>7.4999999999999997E-2</v>
      </c>
      <c r="AN98">
        <v>7.4999999999999997E-2</v>
      </c>
      <c r="AO98">
        <v>1</v>
      </c>
      <c r="AP98">
        <v>0</v>
      </c>
      <c r="AS98">
        <v>19825875</v>
      </c>
      <c r="AT98">
        <v>11524864</v>
      </c>
      <c r="BB98">
        <f t="shared" ref="BB98:BB105" si="160">AC98/S98</f>
        <v>0.5915755954365659</v>
      </c>
      <c r="BD98">
        <f t="shared" ref="BD98:BD105" si="161">AS98-AD98</f>
        <v>4531581</v>
      </c>
      <c r="BE98">
        <f t="shared" ref="BE98:BE105" si="162">AT98-AD98</f>
        <v>-3769430</v>
      </c>
      <c r="BF98">
        <f t="shared" ref="BF98:BF105" si="163">BD98/S98*100</f>
        <v>12.101299162001014</v>
      </c>
      <c r="BG98">
        <f t="shared" ref="BG98:BG105" si="164">BE98/S98*100</f>
        <v>-10.066023337157933</v>
      </c>
      <c r="BH98">
        <f t="shared" ref="BH98:BH105" si="165">(BD98-BE98)/(2*S98)*100</f>
        <v>11.083661249579473</v>
      </c>
      <c r="BI98">
        <f t="shared" ref="BI98:BI105" si="166">(BD98+BE98)/(2*S98*(0.01^2))</f>
        <v>101.76379124215406</v>
      </c>
      <c r="BJ98">
        <f t="shared" ref="BJ98:BJ105" si="167">ROUND(BH98,0)</f>
        <v>11</v>
      </c>
      <c r="BK98">
        <f>IF($BJ98&lt;=30,IF($B98=2015,VLOOKUP($BJ98,'Treasury Yields'!$C$5:$N$34,$E98,FALSE)/100,IF($B98=2016,VLOOKUP($BJ98,'Treasury Yields'!$C$40:$N$69,$E98,FALSE)/100,IF($B98=2017,VLOOKUP($BJ98,'Treasury Yields'!$C$75:$N$104,$E98,FALSE)/100,IF($B98=2018,VLOOKUP($BJ98,'Treasury Yields'!$C$110:$N$139,$E98,FALSE)/100,IF($B98=2019,VLOOKUP($BJ98,'Treasury Yields'!$C$145:$N$174,$E98,FALSE)/100,IF($B98=2020,VLOOKUP($BJ98,'Treasury Yields'!$C$180:$N$209,$E98,FALSE)/100,IF($B98=2021,VLOOKUP($BJ98,'Treasury Yields'!$C$215:$N$244,$E98,FALSE)/100,IF($B98=2022,VLOOKUP($BJ98,'Treasury Yields'!$C$250:$N$279,$E98,FALSE)/100)))))))),0)</f>
        <v>2.4132000000000001E-2</v>
      </c>
      <c r="BL98">
        <f t="shared" ref="BL98:BL105" si="168">1+BH98*(AL98-BK98)+(AL98-BK98)^2</f>
        <v>1.5663912338676087</v>
      </c>
      <c r="BM98">
        <f t="shared" ref="BM98:BM105" si="169">BL98*R98</f>
        <v>57132500.606785208</v>
      </c>
      <c r="BN98">
        <f t="shared" ref="BN98:BN105" si="170">BM98-AB98</f>
        <v>34211893.606785208</v>
      </c>
      <c r="BP98">
        <f>IF($BJ98&lt;=30,IF($B98=2015,VLOOKUP($BJ98,'Treasury Yields'!$C$40:$N$69,$E98,FALSE)/100,IF($B98=2016,VLOOKUP($BJ98,'Treasury Yields'!$C$75:$N$104,$E98,FALSE)/100,IF($B98=2017,VLOOKUP($BJ98,'Treasury Yields'!$C$110:$N$139,$E98,FALSE)/100,IF($B98=2018,VLOOKUP($BJ98,'Treasury Yields'!$C$145:$N$174,$E98,FALSE)/100,IF($B98=2019,VLOOKUP($BJ98,'Treasury Yields'!$C$180:$N$209,$E98,FALSE)/100,IF($B98=2020,VLOOKUP($BJ98,'Treasury Yields'!$C$215:$N$244,$E98,FALSE)/100,IF($B98=2021,VLOOKUP($BJ98,'Treasury Yields'!$C$250:$N$279,$E98,FALSE)/100,IF($B98=2022,VLOOKUP($BJ98,'Treasury Yields'!$C$285:$N$314,$E98,FALSE)/100)))))))),0)</f>
        <v>2.5495999999999998E-2</v>
      </c>
      <c r="BQ98">
        <f t="shared" ref="BQ98:BQ105" si="171">1+BH98*(AN98-BP98)+(AN98-BP98)^2</f>
        <v>1.5511362125151822</v>
      </c>
      <c r="BR98">
        <f t="shared" ref="BR98:BR105" si="172">BQ98*S98</f>
        <v>58085493.920501202</v>
      </c>
      <c r="BS98">
        <f t="shared" ref="BS98:BS105" si="173">BR98-AC98</f>
        <v>35932725.920501202</v>
      </c>
      <c r="BU98">
        <f t="shared" si="90"/>
        <v>14</v>
      </c>
      <c r="BV98">
        <f t="shared" ref="BV98:BV105" si="174">1+(BH98+BU98)*(AN98-BK98)+(AN98-BK98)^2*BI98</f>
        <v>2.5392749269114656</v>
      </c>
      <c r="BW98">
        <f t="shared" ref="BW98:BW105" si="175">BV98*J98</f>
        <v>1392431.7203713174</v>
      </c>
      <c r="BX98" s="5">
        <f t="shared" ref="BX98:BX105" si="176">(BM98+BW98-O98)*BK98</f>
        <v>1359029.3032549415</v>
      </c>
      <c r="BY98" s="5">
        <f t="shared" ref="BY98:BY105" si="177">BK98*(BN98+BW98-O98)</f>
        <v>805909.21513094136</v>
      </c>
      <c r="BZ98" s="5">
        <f t="shared" ref="BZ98:BZ105" si="178">SUM(J98:K98)</f>
        <v>3201089</v>
      </c>
      <c r="CA98" s="5">
        <f t="shared" ref="CA98:CA105" si="179">SUM(BW98+BY98)</f>
        <v>2198340.9355022586</v>
      </c>
      <c r="CC98" s="5">
        <f t="shared" ref="CC98:CC105" si="180">BR98</f>
        <v>58085493.920501202</v>
      </c>
      <c r="CD98" s="5" t="str">
        <f t="shared" ref="CD98:CD105" si="181">F98</f>
        <v>Colorado</v>
      </c>
      <c r="CE98" s="5">
        <f t="shared" si="88"/>
        <v>0.5915755954365659</v>
      </c>
      <c r="CF98" s="10">
        <f t="shared" ref="CF98:CF105" si="182">AC98/CC98</f>
        <v>0.38138210600945255</v>
      </c>
    </row>
    <row r="99" spans="1:84" x14ac:dyDescent="0.2">
      <c r="A99">
        <v>6000000004501</v>
      </c>
      <c r="B99">
        <v>2016</v>
      </c>
      <c r="C99">
        <v>162</v>
      </c>
      <c r="D99" t="s">
        <v>238</v>
      </c>
      <c r="E99">
        <v>12</v>
      </c>
      <c r="F99" t="s">
        <v>239</v>
      </c>
      <c r="G99" t="s">
        <v>240</v>
      </c>
      <c r="H99" t="s">
        <v>241</v>
      </c>
      <c r="I99" t="b">
        <v>1</v>
      </c>
      <c r="J99">
        <v>567247</v>
      </c>
      <c r="K99">
        <v>2722256</v>
      </c>
      <c r="M99">
        <v>346658</v>
      </c>
      <c r="N99">
        <v>13572334</v>
      </c>
      <c r="O99">
        <v>2300644</v>
      </c>
      <c r="Q99">
        <v>14907851</v>
      </c>
      <c r="R99">
        <v>37447062</v>
      </c>
      <c r="S99">
        <v>52354913</v>
      </c>
      <c r="T99">
        <v>812740</v>
      </c>
      <c r="U99">
        <v>0</v>
      </c>
      <c r="V99">
        <v>386481</v>
      </c>
      <c r="W99">
        <v>1569026</v>
      </c>
      <c r="Y99">
        <v>21991</v>
      </c>
      <c r="Z99">
        <v>-17334</v>
      </c>
      <c r="AA99">
        <v>428278</v>
      </c>
      <c r="AB99">
        <v>22152768</v>
      </c>
      <c r="AC99">
        <v>22581046</v>
      </c>
      <c r="AD99">
        <v>29773867</v>
      </c>
      <c r="AE99">
        <v>15294294</v>
      </c>
      <c r="AF99">
        <v>14479573</v>
      </c>
      <c r="AG99">
        <v>4349320</v>
      </c>
      <c r="AH99">
        <v>0.1868659928448585</v>
      </c>
      <c r="AI99" t="b">
        <v>1</v>
      </c>
      <c r="AK99">
        <v>7.4999999999999997E-2</v>
      </c>
      <c r="AL99">
        <v>5.2600000000000001E-2</v>
      </c>
      <c r="AM99">
        <v>7.2499999999999995E-2</v>
      </c>
      <c r="AN99">
        <v>7.4999999999999997E-2</v>
      </c>
      <c r="AO99">
        <v>1</v>
      </c>
      <c r="AP99">
        <v>1.9899999999999994E-2</v>
      </c>
      <c r="AQ99">
        <v>3.8600000000000002E-2</v>
      </c>
      <c r="AR99">
        <v>2041</v>
      </c>
      <c r="AS99">
        <v>37439681</v>
      </c>
      <c r="AT99">
        <v>23530339</v>
      </c>
      <c r="AU99" t="s">
        <v>242</v>
      </c>
      <c r="AV99" t="s">
        <v>243</v>
      </c>
      <c r="BB99">
        <f t="shared" si="160"/>
        <v>0.4313071057915806</v>
      </c>
      <c r="BD99">
        <f t="shared" si="161"/>
        <v>7665814</v>
      </c>
      <c r="BE99">
        <f t="shared" si="162"/>
        <v>-6243528</v>
      </c>
      <c r="BF99">
        <f t="shared" si="163"/>
        <v>14.642014589920146</v>
      </c>
      <c r="BG99">
        <f t="shared" si="164"/>
        <v>-11.925390841543372</v>
      </c>
      <c r="BH99">
        <f t="shared" si="165"/>
        <v>13.28370271573176</v>
      </c>
      <c r="BI99">
        <f t="shared" si="166"/>
        <v>135.83118741883879</v>
      </c>
      <c r="BJ99">
        <f t="shared" si="167"/>
        <v>13</v>
      </c>
      <c r="BK99">
        <f>IF($BJ99&lt;=30,IF($B99=2015,VLOOKUP($BJ99,'Treasury Yields'!$C$5:$N$34,$E99,FALSE)/100,IF($B99=2016,VLOOKUP($BJ99,'Treasury Yields'!$C$40:$N$69,$E99,FALSE)/100,IF($B99=2017,VLOOKUP($BJ99,'Treasury Yields'!$C$75:$N$104,$E99,FALSE)/100,IF($B99=2018,VLOOKUP($BJ99,'Treasury Yields'!$C$110:$N$139,$E99,FALSE)/100,IF($B99=2019,VLOOKUP($BJ99,'Treasury Yields'!$C$145:$N$174,$E99,FALSE)/100,IF($B99=2020,VLOOKUP($BJ99,'Treasury Yields'!$C$180:$N$209,$E99,FALSE)/100,IF($B99=2021,VLOOKUP($BJ99,'Treasury Yields'!$C$215:$N$244,$E99,FALSE)/100,IF($B99=2022,VLOOKUP($BJ99,'Treasury Yields'!$C$250:$N$279,$E99,FALSE)/100)))))))),0)</f>
        <v>2.6827999999999994E-2</v>
      </c>
      <c r="BL99">
        <f t="shared" si="168"/>
        <v>1.343011782373839</v>
      </c>
      <c r="BM99">
        <f t="shared" si="169"/>
        <v>50291845.481283657</v>
      </c>
      <c r="BN99">
        <f t="shared" si="170"/>
        <v>28139077.481283657</v>
      </c>
      <c r="BP99">
        <f>IF($BJ99&lt;=30,IF($B99=2015,VLOOKUP($BJ99,'Treasury Yields'!$C$40:$N$69,$E99,FALSE)/100,IF($B99=2016,VLOOKUP($BJ99,'Treasury Yields'!$C$75:$N$104,$E99,FALSE)/100,IF($B99=2017,VLOOKUP($BJ99,'Treasury Yields'!$C$110:$N$139,$E99,FALSE)/100,IF($B99=2018,VLOOKUP($BJ99,'Treasury Yields'!$C$145:$N$174,$E99,FALSE)/100,IF($B99=2019,VLOOKUP($BJ99,'Treasury Yields'!$C$180:$N$209,$E99,FALSE)/100,IF($B99=2020,VLOOKUP($BJ99,'Treasury Yields'!$C$215:$N$244,$E99,FALSE)/100,IF($B99=2021,VLOOKUP($BJ99,'Treasury Yields'!$C$250:$N$279,$E99,FALSE)/100,IF($B99=2022,VLOOKUP($BJ99,'Treasury Yields'!$C$285:$N$314,$E99,FALSE)/100)))))))),0)</f>
        <v>2.8165999999999993E-2</v>
      </c>
      <c r="BQ99">
        <f t="shared" si="171"/>
        <v>1.6243223565445812</v>
      </c>
      <c r="BR99">
        <f t="shared" si="172"/>
        <v>85041255.660846531</v>
      </c>
      <c r="BS99">
        <f t="shared" si="173"/>
        <v>62460209.660846531</v>
      </c>
      <c r="BU99">
        <f t="shared" si="90"/>
        <v>16</v>
      </c>
      <c r="BV99">
        <f t="shared" si="174"/>
        <v>2.7258564460317434</v>
      </c>
      <c r="BW99">
        <f t="shared" si="175"/>
        <v>1546233.8914421683</v>
      </c>
      <c r="BX99" s="5">
        <f t="shared" si="176"/>
        <v>1328990.3161794881</v>
      </c>
      <c r="BY99" s="5">
        <f t="shared" si="177"/>
        <v>734675.85627548827</v>
      </c>
      <c r="BZ99" s="5">
        <f t="shared" si="178"/>
        <v>3289503</v>
      </c>
      <c r="CA99" s="5">
        <f t="shared" si="179"/>
        <v>2280909.7477176567</v>
      </c>
      <c r="CC99" s="5">
        <f t="shared" si="180"/>
        <v>85041255.660846531</v>
      </c>
      <c r="CD99" s="5" t="str">
        <f t="shared" si="181"/>
        <v>Colorado</v>
      </c>
      <c r="CE99" s="5">
        <f t="shared" si="88"/>
        <v>0.4313071057915806</v>
      </c>
      <c r="CF99" s="10">
        <f t="shared" si="182"/>
        <v>0.26553048663880957</v>
      </c>
    </row>
    <row r="100" spans="1:84" x14ac:dyDescent="0.2">
      <c r="A100">
        <v>6000000004501</v>
      </c>
      <c r="B100">
        <v>2017</v>
      </c>
      <c r="C100">
        <v>162</v>
      </c>
      <c r="D100" t="s">
        <v>238</v>
      </c>
      <c r="E100">
        <v>12</v>
      </c>
      <c r="F100" t="s">
        <v>239</v>
      </c>
      <c r="G100" t="s">
        <v>240</v>
      </c>
      <c r="H100" t="s">
        <v>241</v>
      </c>
      <c r="I100" t="b">
        <v>1</v>
      </c>
      <c r="J100">
        <v>954368</v>
      </c>
      <c r="K100">
        <v>2690433</v>
      </c>
      <c r="M100">
        <v>564155</v>
      </c>
      <c r="N100">
        <v>3547294</v>
      </c>
      <c r="O100">
        <v>2411987</v>
      </c>
      <c r="Q100">
        <v>5344263</v>
      </c>
      <c r="R100">
        <v>52354913</v>
      </c>
      <c r="S100">
        <v>57699176</v>
      </c>
      <c r="T100">
        <v>857740</v>
      </c>
      <c r="U100">
        <v>0</v>
      </c>
      <c r="V100">
        <v>399053</v>
      </c>
      <c r="W100">
        <v>3982275</v>
      </c>
      <c r="Y100">
        <v>23019</v>
      </c>
      <c r="Z100">
        <v>-22378</v>
      </c>
      <c r="AA100">
        <v>2781684</v>
      </c>
      <c r="AB100">
        <v>22581046</v>
      </c>
      <c r="AC100">
        <v>25362730</v>
      </c>
      <c r="AD100">
        <v>32336446</v>
      </c>
      <c r="AE100">
        <v>29773867</v>
      </c>
      <c r="AF100">
        <v>2562579</v>
      </c>
      <c r="AG100">
        <v>4471357</v>
      </c>
      <c r="AH100">
        <v>0.19182990756497412</v>
      </c>
      <c r="AI100" t="b">
        <v>1</v>
      </c>
      <c r="AK100">
        <v>5.2600000000000001E-2</v>
      </c>
      <c r="AL100">
        <v>4.7800000000000002E-2</v>
      </c>
      <c r="AM100">
        <v>7.2499999999999995E-2</v>
      </c>
      <c r="AN100">
        <v>7.2499999999999995E-2</v>
      </c>
      <c r="AO100">
        <v>1</v>
      </c>
      <c r="AP100">
        <v>2.4699999999999993E-2</v>
      </c>
      <c r="AQ100">
        <v>3.4299999999999997E-2</v>
      </c>
      <c r="AR100">
        <v>2041</v>
      </c>
      <c r="AS100">
        <v>40846431</v>
      </c>
      <c r="AT100">
        <v>25401780</v>
      </c>
      <c r="AU100" t="s">
        <v>244</v>
      </c>
      <c r="AV100" t="s">
        <v>245</v>
      </c>
      <c r="BB100">
        <f t="shared" si="160"/>
        <v>0.43956832243150229</v>
      </c>
      <c r="BD100">
        <f t="shared" si="161"/>
        <v>8509985</v>
      </c>
      <c r="BE100">
        <f t="shared" si="162"/>
        <v>-6934666</v>
      </c>
      <c r="BF100">
        <f t="shared" si="163"/>
        <v>14.748884802098386</v>
      </c>
      <c r="BG100">
        <f t="shared" si="164"/>
        <v>-12.018656904216449</v>
      </c>
      <c r="BH100">
        <f t="shared" si="165"/>
        <v>13.383770853157417</v>
      </c>
      <c r="BI100">
        <f t="shared" si="166"/>
        <v>136.51139489409692</v>
      </c>
      <c r="BJ100">
        <f t="shared" si="167"/>
        <v>13</v>
      </c>
      <c r="BK100">
        <f>IF($BJ100&lt;=30,IF($B100=2015,VLOOKUP($BJ100,'Treasury Yields'!$C$5:$N$34,$E100,FALSE)/100,IF($B100=2016,VLOOKUP($BJ100,'Treasury Yields'!$C$40:$N$69,$E100,FALSE)/100,IF($B100=2017,VLOOKUP($BJ100,'Treasury Yields'!$C$75:$N$104,$E100,FALSE)/100,IF($B100=2018,VLOOKUP($BJ100,'Treasury Yields'!$C$110:$N$139,$E100,FALSE)/100,IF($B100=2019,VLOOKUP($BJ100,'Treasury Yields'!$C$145:$N$174,$E100,FALSE)/100,IF($B100=2020,VLOOKUP($BJ100,'Treasury Yields'!$C$180:$N$209,$E100,FALSE)/100,IF($B100=2021,VLOOKUP($BJ100,'Treasury Yields'!$C$215:$N$244,$E100,FALSE)/100,IF($B100=2022,VLOOKUP($BJ100,'Treasury Yields'!$C$250:$N$279,$E100,FALSE)/100)))))))),0)</f>
        <v>2.8165999999999993E-2</v>
      </c>
      <c r="BL100">
        <f t="shared" si="168"/>
        <v>1.2631624508868928</v>
      </c>
      <c r="BM100">
        <f t="shared" si="169"/>
        <v>66132760.221050046</v>
      </c>
      <c r="BN100">
        <f t="shared" si="170"/>
        <v>43551714.221050046</v>
      </c>
      <c r="BP100">
        <f>IF($BJ100&lt;=30,IF($B100=2015,VLOOKUP($BJ100,'Treasury Yields'!$C$40:$N$69,$E100,FALSE)/100,IF($B100=2016,VLOOKUP($BJ100,'Treasury Yields'!$C$75:$N$104,$E100,FALSE)/100,IF($B100=2017,VLOOKUP($BJ100,'Treasury Yields'!$C$110:$N$139,$E100,FALSE)/100,IF($B100=2018,VLOOKUP($BJ100,'Treasury Yields'!$C$145:$N$174,$E100,FALSE)/100,IF($B100=2019,VLOOKUP($BJ100,'Treasury Yields'!$C$180:$N$209,$E100,FALSE)/100,IF($B100=2020,VLOOKUP($BJ100,'Treasury Yields'!$C$215:$N$244,$E100,FALSE)/100,IF($B100=2021,VLOOKUP($BJ100,'Treasury Yields'!$C$250:$N$279,$E100,FALSE)/100,IF($B100=2022,VLOOKUP($BJ100,'Treasury Yields'!$C$285:$N$314,$E100,FALSE)/100)))))))),0)</f>
        <v>2.6572399999999993E-2</v>
      </c>
      <c r="BQ100">
        <f t="shared" si="171"/>
        <v>1.6167938186772326</v>
      </c>
      <c r="BR100">
        <f t="shared" si="172"/>
        <v>93287671.099569738</v>
      </c>
      <c r="BS100">
        <f t="shared" si="173"/>
        <v>67924941.099569738</v>
      </c>
      <c r="BU100">
        <f t="shared" si="90"/>
        <v>16</v>
      </c>
      <c r="BV100">
        <f t="shared" si="174"/>
        <v>2.5710137291027486</v>
      </c>
      <c r="BW100">
        <f t="shared" si="175"/>
        <v>2453693.230616332</v>
      </c>
      <c r="BX100" s="5">
        <f t="shared" si="176"/>
        <v>1863870.0220776349</v>
      </c>
      <c r="BY100" s="5">
        <f t="shared" si="177"/>
        <v>1227852.2804416348</v>
      </c>
      <c r="BZ100" s="5">
        <f t="shared" si="178"/>
        <v>3644801</v>
      </c>
      <c r="CA100" s="5">
        <f t="shared" si="179"/>
        <v>3681545.5110579669</v>
      </c>
      <c r="CC100" s="5">
        <f t="shared" si="180"/>
        <v>93287671.099569738</v>
      </c>
      <c r="CD100" s="5" t="str">
        <f t="shared" si="181"/>
        <v>Colorado</v>
      </c>
      <c r="CE100" s="5">
        <f t="shared" si="88"/>
        <v>0.43956832243150229</v>
      </c>
      <c r="CF100" s="10">
        <f t="shared" si="182"/>
        <v>0.27187654811244377</v>
      </c>
    </row>
    <row r="101" spans="1:84" x14ac:dyDescent="0.2">
      <c r="A101">
        <v>6000000004501</v>
      </c>
      <c r="B101">
        <v>2018</v>
      </c>
      <c r="C101">
        <v>162</v>
      </c>
      <c r="D101" t="s">
        <v>238</v>
      </c>
      <c r="E101">
        <v>12</v>
      </c>
      <c r="F101" t="s">
        <v>239</v>
      </c>
      <c r="G101" t="s">
        <v>240</v>
      </c>
      <c r="H101" t="s">
        <v>241</v>
      </c>
      <c r="I101" t="b">
        <v>1</v>
      </c>
      <c r="J101">
        <v>1270011</v>
      </c>
      <c r="K101">
        <v>2759146</v>
      </c>
      <c r="M101">
        <v>443651</v>
      </c>
      <c r="N101">
        <v>-15247222</v>
      </c>
      <c r="O101">
        <v>2492928</v>
      </c>
      <c r="Q101">
        <v>-16514572</v>
      </c>
      <c r="R101">
        <v>57699176</v>
      </c>
      <c r="S101">
        <v>41184604</v>
      </c>
      <c r="T101">
        <v>923910</v>
      </c>
      <c r="U101">
        <v>126505</v>
      </c>
      <c r="V101">
        <v>414336</v>
      </c>
      <c r="W101">
        <v>-838899</v>
      </c>
      <c r="Y101">
        <v>23560</v>
      </c>
      <c r="Z101">
        <v>5456</v>
      </c>
      <c r="AA101">
        <v>-1885180</v>
      </c>
      <c r="AB101">
        <v>25362730</v>
      </c>
      <c r="AC101">
        <v>23477550</v>
      </c>
      <c r="AD101">
        <v>17707054</v>
      </c>
      <c r="AE101">
        <v>32336446</v>
      </c>
      <c r="AF101">
        <v>-14629392</v>
      </c>
      <c r="AG101">
        <v>4789503</v>
      </c>
      <c r="AH101">
        <v>0.19290310497769811</v>
      </c>
      <c r="AI101" t="b">
        <v>1</v>
      </c>
      <c r="AK101">
        <v>4.7800000000000002E-2</v>
      </c>
      <c r="AL101">
        <v>7.2499999999999995E-2</v>
      </c>
      <c r="AM101">
        <v>7.2499999999999995E-2</v>
      </c>
      <c r="AN101">
        <v>7.2499999999999995E-2</v>
      </c>
      <c r="AO101">
        <v>1</v>
      </c>
      <c r="AP101">
        <v>0</v>
      </c>
      <c r="AS101">
        <v>22511490</v>
      </c>
      <c r="AT101">
        <v>13675322</v>
      </c>
      <c r="AU101" t="s">
        <v>246</v>
      </c>
      <c r="AV101" t="s">
        <v>247</v>
      </c>
      <c r="BB101">
        <f t="shared" si="160"/>
        <v>0.57005647061702958</v>
      </c>
      <c r="BD101">
        <f t="shared" si="161"/>
        <v>4804436</v>
      </c>
      <c r="BE101">
        <f t="shared" si="162"/>
        <v>-4031732</v>
      </c>
      <c r="BF101">
        <f t="shared" si="163"/>
        <v>11.665611741708139</v>
      </c>
      <c r="BG101">
        <f t="shared" si="164"/>
        <v>-9.7894154815717052</v>
      </c>
      <c r="BH101">
        <f t="shared" si="165"/>
        <v>10.727513611639923</v>
      </c>
      <c r="BI101">
        <f t="shared" si="166"/>
        <v>93.80981300682167</v>
      </c>
      <c r="BJ101">
        <f t="shared" si="167"/>
        <v>11</v>
      </c>
      <c r="BK101">
        <f>IF($BJ101&lt;=30,IF($B101=2015,VLOOKUP($BJ101,'Treasury Yields'!$C$5:$N$34,$E101,FALSE)/100,IF($B101=2016,VLOOKUP($BJ101,'Treasury Yields'!$C$40:$N$69,$E101,FALSE)/100,IF($B101=2017,VLOOKUP($BJ101,'Treasury Yields'!$C$75:$N$104,$E101,FALSE)/100,IF($B101=2018,VLOOKUP($BJ101,'Treasury Yields'!$C$110:$N$139,$E101,FALSE)/100,IF($B101=2019,VLOOKUP($BJ101,'Treasury Yields'!$C$145:$N$174,$E101,FALSE)/100,IF($B101=2020,VLOOKUP($BJ101,'Treasury Yields'!$C$180:$N$209,$E101,FALSE)/100,IF($B101=2021,VLOOKUP($BJ101,'Treasury Yields'!$C$215:$N$244,$E101,FALSE)/100,IF($B101=2022,VLOOKUP($BJ101,'Treasury Yields'!$C$250:$N$279,$E101,FALSE)/100)))))))),0)</f>
        <v>2.5790799999999999E-2</v>
      </c>
      <c r="BL101">
        <f t="shared" si="168"/>
        <v>1.5032553281534515</v>
      </c>
      <c r="BM101">
        <f t="shared" si="169"/>
        <v>86736593.752063751</v>
      </c>
      <c r="BN101">
        <f t="shared" si="170"/>
        <v>61373863.752063751</v>
      </c>
      <c r="BP101">
        <f>IF($BJ101&lt;=30,IF($B101=2015,VLOOKUP($BJ101,'Treasury Yields'!$C$40:$N$69,$E101,FALSE)/100,IF($B101=2016,VLOOKUP($BJ101,'Treasury Yields'!$C$75:$N$104,$E101,FALSE)/100,IF($B101=2017,VLOOKUP($BJ101,'Treasury Yields'!$C$110:$N$139,$E101,FALSE)/100,IF($B101=2018,VLOOKUP($BJ101,'Treasury Yields'!$C$145:$N$174,$E101,FALSE)/100,IF($B101=2019,VLOOKUP($BJ101,'Treasury Yields'!$C$180:$N$209,$E101,FALSE)/100,IF($B101=2020,VLOOKUP($BJ101,'Treasury Yields'!$C$215:$N$244,$E101,FALSE)/100,IF($B101=2021,VLOOKUP($BJ101,'Treasury Yields'!$C$250:$N$279,$E101,FALSE)/100,IF($B101=2022,VLOOKUP($BJ101,'Treasury Yields'!$C$285:$N$314,$E101,FALSE)/100)))))))),0)</f>
        <v>2.7904243478260874E-2</v>
      </c>
      <c r="BQ101">
        <f t="shared" si="171"/>
        <v>1.4803903666080824</v>
      </c>
      <c r="BR101">
        <f t="shared" si="172"/>
        <v>60969291.014168695</v>
      </c>
      <c r="BS101">
        <f t="shared" si="173"/>
        <v>37491741.014168695</v>
      </c>
      <c r="BU101">
        <f t="shared" si="90"/>
        <v>14</v>
      </c>
      <c r="BV101">
        <f t="shared" si="174"/>
        <v>2.3596718787134416</v>
      </c>
      <c r="BW101">
        <f t="shared" si="175"/>
        <v>2996809.2423567367</v>
      </c>
      <c r="BX101" s="5">
        <f t="shared" si="176"/>
        <v>2250001.6424860996</v>
      </c>
      <c r="BY101" s="5">
        <f t="shared" si="177"/>
        <v>1595876.5456021</v>
      </c>
      <c r="BZ101" s="5">
        <f t="shared" si="178"/>
        <v>4029157</v>
      </c>
      <c r="CA101" s="5">
        <f t="shared" si="179"/>
        <v>4592685.7879588362</v>
      </c>
      <c r="CC101" s="5">
        <f t="shared" si="180"/>
        <v>60969291.014168695</v>
      </c>
      <c r="CD101" s="5" t="str">
        <f t="shared" si="181"/>
        <v>Colorado</v>
      </c>
      <c r="CE101" s="5">
        <f t="shared" si="88"/>
        <v>0.57005647061702958</v>
      </c>
      <c r="CF101" s="10">
        <f t="shared" si="182"/>
        <v>0.385071723969105</v>
      </c>
    </row>
    <row r="102" spans="1:84" x14ac:dyDescent="0.2">
      <c r="A102">
        <v>6000000004501</v>
      </c>
      <c r="B102">
        <v>2019</v>
      </c>
      <c r="C102">
        <v>162</v>
      </c>
      <c r="D102" t="s">
        <v>238</v>
      </c>
      <c r="E102">
        <v>12</v>
      </c>
      <c r="F102" t="s">
        <v>239</v>
      </c>
      <c r="G102" t="s">
        <v>240</v>
      </c>
      <c r="H102" t="s">
        <v>241</v>
      </c>
      <c r="I102" t="b">
        <v>1</v>
      </c>
      <c r="J102">
        <v>618937</v>
      </c>
      <c r="K102">
        <v>2938492</v>
      </c>
      <c r="M102">
        <v>770676</v>
      </c>
      <c r="N102">
        <v>0</v>
      </c>
      <c r="O102">
        <v>2545230</v>
      </c>
      <c r="Q102">
        <v>926576</v>
      </c>
      <c r="R102">
        <v>41184604</v>
      </c>
      <c r="S102">
        <v>42111180</v>
      </c>
      <c r="T102">
        <v>1002760</v>
      </c>
      <c r="U102">
        <v>127367</v>
      </c>
      <c r="V102">
        <v>462891</v>
      </c>
      <c r="W102">
        <v>4676607</v>
      </c>
      <c r="Y102">
        <v>22619</v>
      </c>
      <c r="Z102">
        <v>-7929</v>
      </c>
      <c r="AA102">
        <v>3693847</v>
      </c>
      <c r="AB102">
        <v>23477550</v>
      </c>
      <c r="AC102">
        <v>27171397</v>
      </c>
      <c r="AD102">
        <v>14939783</v>
      </c>
      <c r="AE102">
        <v>17707054</v>
      </c>
      <c r="AF102">
        <v>-2767271</v>
      </c>
      <c r="AG102">
        <v>5104431</v>
      </c>
      <c r="AH102">
        <v>0.19644892839182271</v>
      </c>
      <c r="AI102" t="b">
        <v>1</v>
      </c>
      <c r="AK102">
        <v>7.2499999999999995E-2</v>
      </c>
      <c r="AL102">
        <v>7.2499999999999995E-2</v>
      </c>
      <c r="AM102">
        <v>7.2499999999999995E-2</v>
      </c>
      <c r="AN102">
        <v>7.2499999999999995E-2</v>
      </c>
      <c r="AO102">
        <v>1</v>
      </c>
      <c r="AP102">
        <v>0</v>
      </c>
      <c r="AS102">
        <v>19813351</v>
      </c>
      <c r="AT102">
        <v>10847998</v>
      </c>
      <c r="AU102" t="s">
        <v>248</v>
      </c>
      <c r="AV102" t="s">
        <v>249</v>
      </c>
      <c r="BB102">
        <f t="shared" si="160"/>
        <v>0.64523000780315343</v>
      </c>
      <c r="BD102">
        <f t="shared" si="161"/>
        <v>4873568</v>
      </c>
      <c r="BE102">
        <f t="shared" si="162"/>
        <v>-4091785</v>
      </c>
      <c r="BF102">
        <f t="shared" si="163"/>
        <v>11.57309769044705</v>
      </c>
      <c r="BG102">
        <f t="shared" si="164"/>
        <v>-9.7166239464199293</v>
      </c>
      <c r="BH102">
        <f t="shared" si="165"/>
        <v>10.644860818433489</v>
      </c>
      <c r="BI102">
        <f t="shared" si="166"/>
        <v>92.823687201356023</v>
      </c>
      <c r="BJ102">
        <f t="shared" si="167"/>
        <v>11</v>
      </c>
      <c r="BK102">
        <f>IF($BJ102&lt;=30,IF($B102=2015,VLOOKUP($BJ102,'Treasury Yields'!$C$5:$N$34,$E102,FALSE)/100,IF($B102=2016,VLOOKUP($BJ102,'Treasury Yields'!$C$40:$N$69,$E102,FALSE)/100,IF($B102=2017,VLOOKUP($BJ102,'Treasury Yields'!$C$75:$N$104,$E102,FALSE)/100,IF($B102=2018,VLOOKUP($BJ102,'Treasury Yields'!$C$110:$N$139,$E102,FALSE)/100,IF($B102=2019,VLOOKUP($BJ102,'Treasury Yields'!$C$145:$N$174,$E102,FALSE)/100,IF($B102=2020,VLOOKUP($BJ102,'Treasury Yields'!$C$180:$N$209,$E102,FALSE)/100,IF($B102=2021,VLOOKUP($BJ102,'Treasury Yields'!$C$215:$N$244,$E102,FALSE)/100,IF($B102=2022,VLOOKUP($BJ102,'Treasury Yields'!$C$250:$N$279,$E102,FALSE)/100)))))))),0)</f>
        <v>2.7904243478260874E-2</v>
      </c>
      <c r="BL102">
        <f t="shared" si="168"/>
        <v>1.4767044027664067</v>
      </c>
      <c r="BM102">
        <f t="shared" si="169"/>
        <v>60817486.052990966</v>
      </c>
      <c r="BN102">
        <f t="shared" si="170"/>
        <v>37339936.052990966</v>
      </c>
      <c r="BP102">
        <f>IF($BJ102&lt;=30,IF($B102=2015,VLOOKUP($BJ102,'Treasury Yields'!$C$40:$N$69,$E102,FALSE)/100,IF($B102=2016,VLOOKUP($BJ102,'Treasury Yields'!$C$75:$N$104,$E102,FALSE)/100,IF($B102=2017,VLOOKUP($BJ102,'Treasury Yields'!$C$110:$N$139,$E102,FALSE)/100,IF($B102=2018,VLOOKUP($BJ102,'Treasury Yields'!$C$145:$N$174,$E102,FALSE)/100,IF($B102=2019,VLOOKUP($BJ102,'Treasury Yields'!$C$180:$N$209,$E102,FALSE)/100,IF($B102=2020,VLOOKUP($BJ102,'Treasury Yields'!$C$215:$N$244,$E102,FALSE)/100,IF($B102=2021,VLOOKUP($BJ102,'Treasury Yields'!$C$250:$N$279,$E102,FALSE)/100,IF($B102=2022,VLOOKUP($BJ102,'Treasury Yields'!$C$285:$N$314,$E102,FALSE)/100)))))))),0)</f>
        <v>2.1368000000000002E-2</v>
      </c>
      <c r="BQ102">
        <f t="shared" si="171"/>
        <v>1.546907504792141</v>
      </c>
      <c r="BR102">
        <f t="shared" si="172"/>
        <v>65142100.377652712</v>
      </c>
      <c r="BS102">
        <f t="shared" si="173"/>
        <v>37970703.377652712</v>
      </c>
      <c r="BU102">
        <f t="shared" si="90"/>
        <v>14</v>
      </c>
      <c r="BV102">
        <f t="shared" si="174"/>
        <v>2.283662244415297</v>
      </c>
      <c r="BW102">
        <f t="shared" si="175"/>
        <v>1413443.0585716707</v>
      </c>
      <c r="BX102" s="5">
        <f t="shared" si="176"/>
        <v>1665484.2801792626</v>
      </c>
      <c r="BY102" s="5">
        <f t="shared" si="177"/>
        <v>1010361.008706219</v>
      </c>
      <c r="BZ102" s="5">
        <f t="shared" si="178"/>
        <v>3557429</v>
      </c>
      <c r="CA102" s="5">
        <f t="shared" si="179"/>
        <v>2423804.0672778897</v>
      </c>
      <c r="CC102" s="5">
        <f t="shared" si="180"/>
        <v>65142100.377652712</v>
      </c>
      <c r="CD102" s="5" t="str">
        <f t="shared" si="181"/>
        <v>Colorado</v>
      </c>
      <c r="CE102" s="5">
        <f t="shared" si="88"/>
        <v>0.64523000780315343</v>
      </c>
      <c r="CF102" s="10">
        <f t="shared" si="182"/>
        <v>0.41710962407532792</v>
      </c>
    </row>
    <row r="103" spans="1:84" x14ac:dyDescent="0.2">
      <c r="A103">
        <v>6000000004501</v>
      </c>
      <c r="B103">
        <v>2020</v>
      </c>
      <c r="C103">
        <v>162</v>
      </c>
      <c r="D103" t="s">
        <v>238</v>
      </c>
      <c r="E103">
        <v>12</v>
      </c>
      <c r="F103" t="s">
        <v>239</v>
      </c>
      <c r="G103" t="s">
        <v>240</v>
      </c>
      <c r="H103" t="s">
        <v>241</v>
      </c>
      <c r="I103" t="b">
        <v>1</v>
      </c>
      <c r="J103">
        <v>663873</v>
      </c>
      <c r="K103">
        <v>3006736</v>
      </c>
      <c r="L103">
        <v>0</v>
      </c>
      <c r="M103">
        <v>595867</v>
      </c>
      <c r="N103">
        <v>2020180</v>
      </c>
      <c r="O103">
        <v>2605668</v>
      </c>
      <c r="Q103">
        <v>3680988</v>
      </c>
      <c r="R103">
        <v>42111180</v>
      </c>
      <c r="S103">
        <v>45792168</v>
      </c>
      <c r="T103">
        <v>1048992</v>
      </c>
      <c r="U103">
        <v>0</v>
      </c>
      <c r="V103">
        <v>536847</v>
      </c>
      <c r="W103">
        <v>4556622</v>
      </c>
      <c r="Y103">
        <v>22779</v>
      </c>
      <c r="Z103">
        <v>-11226</v>
      </c>
      <c r="AA103">
        <v>3502788</v>
      </c>
      <c r="AB103">
        <v>27171397</v>
      </c>
      <c r="AC103">
        <v>30674185</v>
      </c>
      <c r="AD103">
        <v>15117983</v>
      </c>
      <c r="AE103">
        <v>14939783</v>
      </c>
      <c r="AF103">
        <v>178200</v>
      </c>
      <c r="AG103">
        <v>5146118</v>
      </c>
      <c r="AH103">
        <v>0.20384141988193819</v>
      </c>
      <c r="AI103" t="b">
        <v>1</v>
      </c>
      <c r="AK103">
        <v>7.2499999999999995E-2</v>
      </c>
      <c r="AL103">
        <v>7.2499999999999995E-2</v>
      </c>
      <c r="AM103">
        <v>7.2499999999999995E-2</v>
      </c>
      <c r="AN103">
        <v>7.2499999999999995E-2</v>
      </c>
      <c r="AO103">
        <v>1</v>
      </c>
      <c r="AP103">
        <v>0</v>
      </c>
      <c r="AS103">
        <v>20622167</v>
      </c>
      <c r="AT103">
        <v>10531184</v>
      </c>
      <c r="AU103" t="s">
        <v>248</v>
      </c>
      <c r="AV103" t="s">
        <v>250</v>
      </c>
      <c r="BB103">
        <f t="shared" si="160"/>
        <v>0.66985657896782702</v>
      </c>
      <c r="BD103">
        <f t="shared" si="161"/>
        <v>5504184</v>
      </c>
      <c r="BE103">
        <f t="shared" si="162"/>
        <v>-4586799</v>
      </c>
      <c r="BF103">
        <f t="shared" si="163"/>
        <v>12.01992445520378</v>
      </c>
      <c r="BG103">
        <f t="shared" si="164"/>
        <v>-10.016557853299281</v>
      </c>
      <c r="BH103">
        <f t="shared" si="165"/>
        <v>11.01824115425153</v>
      </c>
      <c r="BI103">
        <f t="shared" si="166"/>
        <v>100.16833009522502</v>
      </c>
      <c r="BJ103">
        <f t="shared" si="167"/>
        <v>11</v>
      </c>
      <c r="BK103">
        <f>IF($BJ103&lt;=30,IF($B103=2015,VLOOKUP($BJ103,'Treasury Yields'!$C$5:$N$34,$E103,FALSE)/100,IF($B103=2016,VLOOKUP($BJ103,'Treasury Yields'!$C$40:$N$69,$E103,FALSE)/100,IF($B103=2017,VLOOKUP($BJ103,'Treasury Yields'!$C$75:$N$104,$E103,FALSE)/100,IF($B103=2018,VLOOKUP($BJ103,'Treasury Yields'!$C$110:$N$139,$E103,FALSE)/100,IF($B103=2019,VLOOKUP($BJ103,'Treasury Yields'!$C$145:$N$174,$E103,FALSE)/100,IF($B103=2020,VLOOKUP($BJ103,'Treasury Yields'!$C$180:$N$209,$E103,FALSE)/100,IF($B103=2021,VLOOKUP($BJ103,'Treasury Yields'!$C$215:$N$244,$E103,FALSE)/100,IF($B103=2022,VLOOKUP($BJ103,'Treasury Yields'!$C$250:$N$279,$E103,FALSE)/100)))))))),0)</f>
        <v>2.1368000000000002E-2</v>
      </c>
      <c r="BL103">
        <f t="shared" si="168"/>
        <v>1.5659991881231889</v>
      </c>
      <c r="BM103">
        <f t="shared" si="169"/>
        <v>65946073.690909475</v>
      </c>
      <c r="BN103">
        <f t="shared" si="170"/>
        <v>38774676.690909475</v>
      </c>
      <c r="BP103">
        <f>IF($BJ103&lt;=30,IF($B103=2015,VLOOKUP($BJ103,'Treasury Yields'!$C$40:$N$69,$E103,FALSE)/100,IF($B103=2016,VLOOKUP($BJ103,'Treasury Yields'!$C$75:$N$104,$E103,FALSE)/100,IF($B103=2017,VLOOKUP($BJ103,'Treasury Yields'!$C$110:$N$139,$E103,FALSE)/100,IF($B103=2018,VLOOKUP($BJ103,'Treasury Yields'!$C$145:$N$174,$E103,FALSE)/100,IF($B103=2019,VLOOKUP($BJ103,'Treasury Yields'!$C$180:$N$209,$E103,FALSE)/100,IF($B103=2020,VLOOKUP($BJ103,'Treasury Yields'!$C$215:$N$244,$E103,FALSE)/100,IF($B103=2021,VLOOKUP($BJ103,'Treasury Yields'!$C$250:$N$279,$E103,FALSE)/100,IF($B103=2022,VLOOKUP($BJ103,'Treasury Yields'!$C$285:$N$314,$E103,FALSE)/100)))))))),0)</f>
        <v>1.6585652173913043E-2</v>
      </c>
      <c r="BQ103">
        <f t="shared" si="171"/>
        <v>1.6192041826233425</v>
      </c>
      <c r="BR103">
        <f t="shared" si="172"/>
        <v>74146869.956990778</v>
      </c>
      <c r="BS103">
        <f t="shared" si="173"/>
        <v>43472684.956990778</v>
      </c>
      <c r="BU103">
        <f t="shared" si="90"/>
        <v>14</v>
      </c>
      <c r="BV103">
        <f t="shared" si="174"/>
        <v>2.5411209450062553</v>
      </c>
      <c r="BW103">
        <f t="shared" si="175"/>
        <v>1686981.5851241378</v>
      </c>
      <c r="BX103" s="5">
        <f t="shared" si="176"/>
        <v>1389505.2113142863</v>
      </c>
      <c r="BY103" s="5">
        <f t="shared" si="177"/>
        <v>808906.80021828623</v>
      </c>
      <c r="BZ103" s="5">
        <f t="shared" si="178"/>
        <v>3670609</v>
      </c>
      <c r="CA103" s="5">
        <f t="shared" si="179"/>
        <v>2495888.3853424238</v>
      </c>
      <c r="CC103" s="5">
        <f t="shared" si="180"/>
        <v>74146869.956990778</v>
      </c>
      <c r="CD103" s="5" t="str">
        <f t="shared" si="181"/>
        <v>Colorado</v>
      </c>
      <c r="CE103" s="5">
        <f t="shared" si="88"/>
        <v>0.66985657896782702</v>
      </c>
      <c r="CF103" s="10">
        <f t="shared" si="182"/>
        <v>0.41369494110530486</v>
      </c>
    </row>
    <row r="104" spans="1:84" x14ac:dyDescent="0.2">
      <c r="A104">
        <v>6000000004501</v>
      </c>
      <c r="B104">
        <v>2021</v>
      </c>
      <c r="C104">
        <v>162</v>
      </c>
      <c r="D104" t="s">
        <v>238</v>
      </c>
      <c r="E104">
        <v>12</v>
      </c>
      <c r="F104" t="s">
        <v>239</v>
      </c>
      <c r="G104" t="s">
        <v>240</v>
      </c>
      <c r="H104" t="s">
        <v>241</v>
      </c>
      <c r="I104" t="b">
        <v>1</v>
      </c>
      <c r="J104">
        <v>783583</v>
      </c>
      <c r="K104">
        <v>3278565</v>
      </c>
      <c r="M104">
        <v>110446</v>
      </c>
      <c r="N104">
        <v>0</v>
      </c>
      <c r="O104">
        <v>2708328</v>
      </c>
      <c r="Q104">
        <v>499922</v>
      </c>
      <c r="R104">
        <v>45792168</v>
      </c>
      <c r="S104">
        <v>46292090</v>
      </c>
      <c r="T104">
        <v>1113636</v>
      </c>
      <c r="U104">
        <v>127781</v>
      </c>
      <c r="V104">
        <v>630849</v>
      </c>
      <c r="W104">
        <v>4847781</v>
      </c>
      <c r="Y104">
        <v>22608</v>
      </c>
      <c r="Z104">
        <v>-8572</v>
      </c>
      <c r="AA104">
        <v>3980539</v>
      </c>
      <c r="AB104">
        <v>30674185</v>
      </c>
      <c r="AC104">
        <v>34654724</v>
      </c>
      <c r="AD104">
        <v>11637366</v>
      </c>
      <c r="AE104">
        <v>15117983</v>
      </c>
      <c r="AF104">
        <v>-3480617</v>
      </c>
      <c r="AG104">
        <v>5465866</v>
      </c>
      <c r="AI104" t="b">
        <v>1</v>
      </c>
      <c r="AK104">
        <v>7.2499999999999995E-2</v>
      </c>
      <c r="AL104">
        <v>7.2499999999999995E-2</v>
      </c>
      <c r="AM104">
        <v>7.2499999999999995E-2</v>
      </c>
      <c r="AN104">
        <v>7.2499999999999995E-2</v>
      </c>
      <c r="AS104">
        <v>17129251</v>
      </c>
      <c r="AT104">
        <v>7054593</v>
      </c>
      <c r="BB104">
        <f t="shared" si="160"/>
        <v>0.74861005411507664</v>
      </c>
      <c r="BD104">
        <f t="shared" si="161"/>
        <v>5491885</v>
      </c>
      <c r="BE104">
        <f t="shared" si="162"/>
        <v>-4582773</v>
      </c>
      <c r="BF104">
        <f t="shared" si="163"/>
        <v>11.863549474651069</v>
      </c>
      <c r="BG104">
        <f t="shared" si="164"/>
        <v>-9.8996891261552467</v>
      </c>
      <c r="BH104">
        <f t="shared" si="165"/>
        <v>10.881619300403157</v>
      </c>
      <c r="BI104">
        <f t="shared" si="166"/>
        <v>98.193017424791151</v>
      </c>
      <c r="BJ104">
        <f t="shared" si="167"/>
        <v>11</v>
      </c>
      <c r="BK104">
        <f>IF($BJ104&lt;=30,IF($B104=2015,VLOOKUP($BJ104,'Treasury Yields'!$C$5:$N$34,$E104,FALSE)/100,IF($B104=2016,VLOOKUP($BJ104,'Treasury Yields'!$C$40:$N$69,$E104,FALSE)/100,IF($B104=2017,VLOOKUP($BJ104,'Treasury Yields'!$C$75:$N$104,$E104,FALSE)/100,IF($B104=2018,VLOOKUP($BJ104,'Treasury Yields'!$C$110:$N$139,$E104,FALSE)/100,IF($B104=2019,VLOOKUP($BJ104,'Treasury Yields'!$C$145:$N$174,$E104,FALSE)/100,IF($B104=2020,VLOOKUP($BJ104,'Treasury Yields'!$C$180:$N$209,$E104,FALSE)/100,IF($B104=2021,VLOOKUP($BJ104,'Treasury Yields'!$C$215:$N$244,$E104,FALSE)/100,IF($B104=2022,VLOOKUP($BJ104,'Treasury Yields'!$C$250:$N$279,$E104,FALSE)/100)))))))),0)</f>
        <v>1.6585652173913043E-2</v>
      </c>
      <c r="BL104">
        <f t="shared" si="168"/>
        <v>1.6115650607666197</v>
      </c>
      <c r="BM104">
        <f t="shared" si="169"/>
        <v>73797058.005555257</v>
      </c>
      <c r="BN104">
        <f t="shared" si="170"/>
        <v>43122873.005555257</v>
      </c>
      <c r="BP104">
        <f>IF($BJ104&lt;=30,IF($B104=2015,VLOOKUP($BJ104,'Treasury Yields'!$C$40:$N$69,$E104,FALSE)/100,IF($B104=2016,VLOOKUP($BJ104,'Treasury Yields'!$C$75:$N$104,$E104,FALSE)/100,IF($B104=2017,VLOOKUP($BJ104,'Treasury Yields'!$C$110:$N$139,$E104,FALSE)/100,IF($B104=2018,VLOOKUP($BJ104,'Treasury Yields'!$C$145:$N$174,$E104,FALSE)/100,IF($B104=2019,VLOOKUP($BJ104,'Treasury Yields'!$C$180:$N$209,$E104,FALSE)/100,IF($B104=2020,VLOOKUP($BJ104,'Treasury Yields'!$C$215:$N$244,$E104,FALSE)/100,IF($B104=2021,VLOOKUP($BJ104,'Treasury Yields'!$C$250:$N$279,$E104,FALSE)/100,IF($B104=2022,VLOOKUP($BJ104,'Treasury Yields'!$C$285:$N$314,$E104,FALSE)/100)))))))),0)</f>
        <v>1.8857478260869562E-2</v>
      </c>
      <c r="BQ104">
        <f t="shared" si="171"/>
        <v>1.5865950200173509</v>
      </c>
      <c r="BR104">
        <f t="shared" si="172"/>
        <v>73446799.460195005</v>
      </c>
      <c r="BS104">
        <f t="shared" si="173"/>
        <v>38792075.460195005</v>
      </c>
      <c r="BU104">
        <f t="shared" si="90"/>
        <v>14</v>
      </c>
      <c r="BV104">
        <f t="shared" si="174"/>
        <v>2.6982315691706806</v>
      </c>
      <c r="BW104">
        <f t="shared" si="175"/>
        <v>2114288.3876654697</v>
      </c>
      <c r="BX104" s="5">
        <f t="shared" si="176"/>
        <v>1214119.8011505178</v>
      </c>
      <c r="BY104" s="5">
        <f t="shared" si="177"/>
        <v>705368.43802225706</v>
      </c>
      <c r="BZ104" s="5">
        <f t="shared" si="178"/>
        <v>4062148</v>
      </c>
      <c r="CA104" s="5">
        <f t="shared" si="179"/>
        <v>2819656.825687727</v>
      </c>
      <c r="CC104" s="5">
        <f t="shared" si="180"/>
        <v>73446799.460195005</v>
      </c>
      <c r="CD104" s="5" t="str">
        <f t="shared" si="181"/>
        <v>Colorado</v>
      </c>
      <c r="CE104" s="5">
        <f t="shared" si="88"/>
        <v>0.74861005411507664</v>
      </c>
      <c r="CF104" s="10">
        <f t="shared" si="182"/>
        <v>0.47183436520990085</v>
      </c>
    </row>
    <row r="105" spans="1:84" x14ac:dyDescent="0.2">
      <c r="A105">
        <v>6000000004501</v>
      </c>
      <c r="B105">
        <v>2022</v>
      </c>
      <c r="C105">
        <v>162</v>
      </c>
      <c r="D105" t="s">
        <v>238</v>
      </c>
      <c r="E105">
        <v>12</v>
      </c>
      <c r="F105" t="s">
        <v>239</v>
      </c>
      <c r="G105" t="s">
        <v>240</v>
      </c>
      <c r="H105" t="s">
        <v>241</v>
      </c>
      <c r="I105" t="b">
        <v>1</v>
      </c>
      <c r="J105">
        <v>815689</v>
      </c>
      <c r="K105">
        <v>3313326</v>
      </c>
      <c r="M105">
        <v>47448</v>
      </c>
      <c r="N105">
        <v>0</v>
      </c>
      <c r="O105">
        <v>2813457</v>
      </c>
      <c r="Q105">
        <v>1363006</v>
      </c>
      <c r="R105">
        <v>46292090</v>
      </c>
      <c r="S105">
        <v>47655096</v>
      </c>
      <c r="T105">
        <v>1201265</v>
      </c>
      <c r="U105">
        <v>350393</v>
      </c>
      <c r="V105">
        <v>699671</v>
      </c>
      <c r="W105">
        <v>-4623013</v>
      </c>
      <c r="Y105">
        <v>25562</v>
      </c>
      <c r="Z105">
        <v>1610</v>
      </c>
      <c r="AA105">
        <v>-5209093</v>
      </c>
      <c r="AB105">
        <v>34654724</v>
      </c>
      <c r="AC105">
        <v>29445631</v>
      </c>
      <c r="AD105">
        <v>18209465</v>
      </c>
      <c r="AE105">
        <v>11637366</v>
      </c>
      <c r="AF105">
        <v>6572099</v>
      </c>
      <c r="AG105">
        <v>5670280</v>
      </c>
      <c r="AI105" t="b">
        <v>1</v>
      </c>
      <c r="AK105">
        <v>7.2499999999999995E-2</v>
      </c>
      <c r="AL105">
        <v>7.2499999999999995E-2</v>
      </c>
      <c r="AM105">
        <v>7.2499999999999995E-2</v>
      </c>
      <c r="AN105">
        <v>7.2499999999999995E-2</v>
      </c>
      <c r="AS105">
        <v>23829927</v>
      </c>
      <c r="AT105">
        <v>13515805</v>
      </c>
      <c r="AV105" t="s">
        <v>251</v>
      </c>
      <c r="BB105">
        <f t="shared" si="160"/>
        <v>0.61789049800676088</v>
      </c>
      <c r="BD105">
        <f t="shared" si="161"/>
        <v>5620462</v>
      </c>
      <c r="BE105">
        <f t="shared" si="162"/>
        <v>-4693660</v>
      </c>
      <c r="BF105">
        <f t="shared" si="163"/>
        <v>11.794041921560709</v>
      </c>
      <c r="BG105">
        <f t="shared" si="164"/>
        <v>-9.849229975321002</v>
      </c>
      <c r="BH105">
        <f t="shared" si="165"/>
        <v>10.821635948440855</v>
      </c>
      <c r="BI105">
        <f t="shared" si="166"/>
        <v>97.240597311985269</v>
      </c>
      <c r="BJ105">
        <f t="shared" si="167"/>
        <v>11</v>
      </c>
      <c r="BK105">
        <f>IF($BJ105&lt;=30,IF($B105=2015,VLOOKUP($BJ105,'Treasury Yields'!$C$5:$N$34,$E105,FALSE)/100,IF($B105=2016,VLOOKUP($BJ105,'Treasury Yields'!$C$40:$N$69,$E105,FALSE)/100,IF($B105=2017,VLOOKUP($BJ105,'Treasury Yields'!$C$75:$N$104,$E105,FALSE)/100,IF($B105=2018,VLOOKUP($BJ105,'Treasury Yields'!$C$110:$N$139,$E105,FALSE)/100,IF($B105=2019,VLOOKUP($BJ105,'Treasury Yields'!$C$145:$N$174,$E105,FALSE)/100,IF($B105=2020,VLOOKUP($BJ105,'Treasury Yields'!$C$180:$N$209,$E105,FALSE)/100,IF($B105=2021,VLOOKUP($BJ105,'Treasury Yields'!$C$215:$N$244,$E105,FALSE)/100,IF($B105=2022,VLOOKUP($BJ105,'Treasury Yields'!$C$250:$N$279,$E105,FALSE)/100)))))))),0)</f>
        <v>1.8857478260869562E-2</v>
      </c>
      <c r="BL105">
        <f t="shared" si="168"/>
        <v>1.5833773617557272</v>
      </c>
      <c r="BM105">
        <f t="shared" si="169"/>
        <v>73297847.334358677</v>
      </c>
      <c r="BN105">
        <f t="shared" si="170"/>
        <v>38643123.334358677</v>
      </c>
      <c r="BP105">
        <f>IF($BJ105&lt;=30,IF($B105=2015,VLOOKUP($BJ105,'Treasury Yields'!$C$40:$N$69,$E105,FALSE)/100,IF($B105=2016,VLOOKUP($BJ105,'Treasury Yields'!$C$75:$N$104,$E105,FALSE)/100,IF($B105=2017,VLOOKUP($BJ105,'Treasury Yields'!$C$110:$N$139,$E105,FALSE)/100,IF($B105=2018,VLOOKUP($BJ105,'Treasury Yields'!$C$145:$N$174,$E105,FALSE)/100,IF($B105=2019,VLOOKUP($BJ105,'Treasury Yields'!$C$180:$N$209,$E105,FALSE)/100,IF($B105=2020,VLOOKUP($BJ105,'Treasury Yields'!$C$215:$N$244,$E105,FALSE)/100,IF($B105=2021,VLOOKUP($BJ105,'Treasury Yields'!$C$250:$N$279,$E105,FALSE)/100,IF($B105=2022,VLOOKUP($BJ105,'Treasury Yields'!$C$285:$N$314,$E105,FALSE)/100)))))))),0)</f>
        <v>3.6297090909090904E-2</v>
      </c>
      <c r="BQ105">
        <f t="shared" si="171"/>
        <v>1.3930853530829628</v>
      </c>
      <c r="BR105">
        <f t="shared" si="172"/>
        <v>66387616.237362489</v>
      </c>
      <c r="BS105">
        <f t="shared" si="173"/>
        <v>36941985.237362489</v>
      </c>
      <c r="BU105">
        <f t="shared" si="90"/>
        <v>14</v>
      </c>
      <c r="BV105">
        <f t="shared" si="174"/>
        <v>2.6113069230132435</v>
      </c>
      <c r="BW105">
        <f t="shared" si="175"/>
        <v>2130014.3327257498</v>
      </c>
      <c r="BX105" s="5">
        <f t="shared" si="176"/>
        <v>1369324.5574355298</v>
      </c>
      <c r="BY105" s="5">
        <f t="shared" si="177"/>
        <v>715823.85296909523</v>
      </c>
      <c r="BZ105" s="5">
        <f t="shared" si="178"/>
        <v>4129015</v>
      </c>
      <c r="CA105" s="5">
        <f t="shared" si="179"/>
        <v>2845838.1856948449</v>
      </c>
      <c r="CC105" s="5">
        <f t="shared" si="180"/>
        <v>66387616.237362489</v>
      </c>
      <c r="CD105" s="5" t="str">
        <f t="shared" si="181"/>
        <v>Colorado</v>
      </c>
      <c r="CE105" s="5">
        <f t="shared" si="88"/>
        <v>0.61789049800676088</v>
      </c>
      <c r="CF105" s="10">
        <f t="shared" si="182"/>
        <v>0.44354101967933296</v>
      </c>
    </row>
    <row r="106" spans="1:84" x14ac:dyDescent="0.2">
      <c r="A106">
        <v>7000000010201</v>
      </c>
      <c r="B106">
        <v>2015</v>
      </c>
      <c r="C106">
        <v>573</v>
      </c>
      <c r="D106" t="s">
        <v>252</v>
      </c>
      <c r="E106">
        <v>6</v>
      </c>
      <c r="F106" t="s">
        <v>253</v>
      </c>
      <c r="G106" t="s">
        <v>254</v>
      </c>
      <c r="H106" t="s">
        <v>69</v>
      </c>
      <c r="I106" t="b">
        <v>1</v>
      </c>
      <c r="J106">
        <v>404449</v>
      </c>
      <c r="K106">
        <v>2162174</v>
      </c>
      <c r="O106">
        <v>1773408</v>
      </c>
      <c r="P106">
        <v>50329</v>
      </c>
      <c r="Q106">
        <v>742886</v>
      </c>
      <c r="R106">
        <v>26349209</v>
      </c>
      <c r="S106">
        <v>27092095</v>
      </c>
      <c r="T106">
        <v>984110</v>
      </c>
      <c r="V106">
        <v>228100</v>
      </c>
      <c r="W106">
        <v>452942</v>
      </c>
      <c r="Z106">
        <v>57749</v>
      </c>
      <c r="AA106">
        <v>-100836</v>
      </c>
      <c r="AB106">
        <v>16220889</v>
      </c>
      <c r="AC106">
        <v>16120053</v>
      </c>
      <c r="AD106">
        <v>10972042</v>
      </c>
      <c r="AE106">
        <v>10128320</v>
      </c>
      <c r="AF106">
        <v>843722</v>
      </c>
      <c r="AG106">
        <v>4078367</v>
      </c>
      <c r="AH106">
        <v>0.24130001051891603</v>
      </c>
      <c r="AI106" t="b">
        <v>1</v>
      </c>
      <c r="AK106">
        <v>8.5000000000000006E-2</v>
      </c>
      <c r="AL106">
        <v>8.5000000000000006E-2</v>
      </c>
      <c r="AM106">
        <v>8.5000000000000006E-2</v>
      </c>
      <c r="AN106">
        <v>8.5000000000000006E-2</v>
      </c>
      <c r="AO106">
        <v>1</v>
      </c>
      <c r="AP106">
        <v>0</v>
      </c>
      <c r="AS106">
        <v>13837000</v>
      </c>
      <c r="AT106">
        <v>8537000</v>
      </c>
      <c r="AU106" t="s">
        <v>255</v>
      </c>
      <c r="AV106" t="s">
        <v>256</v>
      </c>
      <c r="BB106">
        <f t="shared" ref="BB106:BB113" si="183">AC106/S106</f>
        <v>0.59500946678357658</v>
      </c>
      <c r="BD106">
        <f t="shared" ref="BD106:BD113" si="184">AS106-AD106</f>
        <v>2864958</v>
      </c>
      <c r="BE106">
        <f t="shared" ref="BE106:BE113" si="185">AT106-AD106</f>
        <v>-2435042</v>
      </c>
      <c r="BF106">
        <f t="shared" ref="BF106:BF113" si="186">BD106/S106*100</f>
        <v>10.574885404764748</v>
      </c>
      <c r="BG106">
        <f t="shared" ref="BG106:BG113" si="187">BE106/S106*100</f>
        <v>-8.988016615178708</v>
      </c>
      <c r="BH106">
        <f t="shared" ref="BH106:BH113" si="188">(BD106-BE106)/(2*S106)*100</f>
        <v>9.7814510099717289</v>
      </c>
      <c r="BI106">
        <f t="shared" ref="BI106:BI113" si="189">(BD106+BE106)/(2*S106*(0.01^2))</f>
        <v>79.343439479301992</v>
      </c>
      <c r="BJ106">
        <f t="shared" ref="BJ106:BJ113" si="190">ROUND(BH106,0)</f>
        <v>10</v>
      </c>
      <c r="BK106">
        <f>IF($BJ106&lt;=30,IF($B106=2015,VLOOKUP($BJ106,'Treasury Yields'!$C$5:$N$34,$E106,FALSE)/100,IF($B106=2016,VLOOKUP($BJ106,'Treasury Yields'!$C$40:$N$69,$E106,FALSE)/100,IF($B106=2017,VLOOKUP($BJ106,'Treasury Yields'!$C$75:$N$104,$E106,FALSE)/100,IF($B106=2018,VLOOKUP($BJ106,'Treasury Yields'!$C$110:$N$139,$E106,FALSE)/100,IF($B106=2019,VLOOKUP($BJ106,'Treasury Yields'!$C$145:$N$174,$E106,FALSE)/100,IF($B106=2020,VLOOKUP($BJ106,'Treasury Yields'!$C$180:$N$209,$E106,FALSE)/100,IF($B106=2021,VLOOKUP($BJ106,'Treasury Yields'!$C$215:$N$244,$E106,FALSE)/100,IF($B106=2022,VLOOKUP($BJ106,'Treasury Yields'!$C$250:$N$279,$E106,FALSE)/100)))))))),0)</f>
        <v>2.7109999999999999E-2</v>
      </c>
      <c r="BL106">
        <f t="shared" ref="BL106:BL113" si="191">1+BH106*(AL106-BK106)+(AL106-BK106)^2</f>
        <v>1.5695994510672635</v>
      </c>
      <c r="BM106">
        <f t="shared" ref="BM106:BM113" si="192">BL106*R106</f>
        <v>41357703.982456602</v>
      </c>
      <c r="BN106">
        <f t="shared" ref="BN106:BN113" si="193">BM106-AB106</f>
        <v>25136814.982456602</v>
      </c>
      <c r="BP106">
        <f>IF($BJ106&lt;=30,IF($B106=2015,VLOOKUP($BJ106,'Treasury Yields'!$C$40:$N$69,$E106,FALSE)/100,IF($B106=2016,VLOOKUP($BJ106,'Treasury Yields'!$C$75:$N$104,$E106,FALSE)/100,IF($B106=2017,VLOOKUP($BJ106,'Treasury Yields'!$C$110:$N$139,$E106,FALSE)/100,IF($B106=2018,VLOOKUP($BJ106,'Treasury Yields'!$C$145:$N$174,$E106,FALSE)/100,IF($B106=2019,VLOOKUP($BJ106,'Treasury Yields'!$C$180:$N$209,$E106,FALSE)/100,IF($B106=2020,VLOOKUP($BJ106,'Treasury Yields'!$C$215:$N$244,$E106,FALSE)/100,IF($B106=2021,VLOOKUP($BJ106,'Treasury Yields'!$C$250:$N$279,$E106,FALSE)/100,IF($B106=2022,VLOOKUP($BJ106,'Treasury Yields'!$C$285:$N$314,$E106,FALSE)/100)))))))),0)</f>
        <v>2.5470000000000003E-2</v>
      </c>
      <c r="BQ106">
        <f t="shared" ref="BQ106:BQ113" si="194">1+BH106*(AN106-BP106)+(AN106-BP106)^2</f>
        <v>1.585833599523617</v>
      </c>
      <c r="BR106">
        <f t="shared" ref="BR106:BR113" si="195">BQ106*S106</f>
        <v>42963554.532485791</v>
      </c>
      <c r="BS106">
        <f t="shared" ref="BS106:BS113" si="196">BR106-AC106</f>
        <v>26843501.532485791</v>
      </c>
      <c r="BU106">
        <f t="shared" si="90"/>
        <v>13</v>
      </c>
      <c r="BV106">
        <f t="shared" ref="BV106:BV113" si="197">1+(BH106+BU106)*(AN106-BK106)+(AN106-BK106)^2*BI106</f>
        <v>2.5847180671434971</v>
      </c>
      <c r="BW106">
        <f t="shared" ref="BW106:BW113" si="198">BV106*J106</f>
        <v>1045386.6375381203</v>
      </c>
      <c r="BX106" s="5">
        <f t="shared" ref="BX106:BX113" si="199">(BM106+BW106-O106)*BK106</f>
        <v>1101470.6958280569</v>
      </c>
      <c r="BY106" s="5">
        <f t="shared" ref="BY106:BY113" si="200">BK106*(BN106+BW106-O106)</f>
        <v>661722.39503805689</v>
      </c>
      <c r="BZ106" s="5">
        <f t="shared" ref="BZ106:BZ113" si="201">SUM(J106:K106)</f>
        <v>2566623</v>
      </c>
      <c r="CA106" s="5">
        <f t="shared" ref="CA106:CA113" si="202">SUM(BW106+BY106)</f>
        <v>1707109.0325761773</v>
      </c>
      <c r="CC106" s="5">
        <f t="shared" ref="CC106:CC113" si="203">BR106</f>
        <v>42963554.532485791</v>
      </c>
      <c r="CD106" s="5" t="str">
        <f t="shared" ref="CD106:CD113" si="204">F106</f>
        <v>Connecticut</v>
      </c>
      <c r="CE106" s="5">
        <f t="shared" si="88"/>
        <v>0.59500946678357658</v>
      </c>
      <c r="CF106" s="10">
        <f t="shared" ref="CF106:CF113" si="205">AC106/CC106</f>
        <v>0.3752029638937634</v>
      </c>
    </row>
    <row r="107" spans="1:84" x14ac:dyDescent="0.2">
      <c r="A107">
        <v>7000000010201</v>
      </c>
      <c r="B107">
        <v>2016</v>
      </c>
      <c r="C107">
        <v>573</v>
      </c>
      <c r="D107" t="s">
        <v>252</v>
      </c>
      <c r="E107">
        <v>6</v>
      </c>
      <c r="F107" t="s">
        <v>253</v>
      </c>
      <c r="G107" t="s">
        <v>254</v>
      </c>
      <c r="H107" t="s">
        <v>69</v>
      </c>
      <c r="I107" t="b">
        <v>1</v>
      </c>
      <c r="J107">
        <v>419616</v>
      </c>
      <c r="K107">
        <v>2228958</v>
      </c>
      <c r="M107">
        <v>-375805</v>
      </c>
      <c r="N107">
        <v>2213190</v>
      </c>
      <c r="O107">
        <v>1738131</v>
      </c>
      <c r="Q107">
        <v>2747828</v>
      </c>
      <c r="R107">
        <v>27092095</v>
      </c>
      <c r="S107">
        <v>29839923</v>
      </c>
      <c r="T107">
        <v>975578</v>
      </c>
      <c r="V107">
        <v>293493</v>
      </c>
      <c r="W107">
        <v>-18473</v>
      </c>
      <c r="Z107">
        <v>-37648</v>
      </c>
      <c r="AA107">
        <v>-525181</v>
      </c>
      <c r="AB107">
        <v>16120053</v>
      </c>
      <c r="AC107">
        <v>15594872</v>
      </c>
      <c r="AD107">
        <v>14245051</v>
      </c>
      <c r="AE107">
        <v>10972042</v>
      </c>
      <c r="AF107">
        <v>3273009</v>
      </c>
      <c r="AG107">
        <v>4125066</v>
      </c>
      <c r="AH107">
        <v>0.23649997357618036</v>
      </c>
      <c r="AI107" t="b">
        <v>1</v>
      </c>
      <c r="AK107">
        <v>8.5000000000000006E-2</v>
      </c>
      <c r="AL107">
        <v>0.08</v>
      </c>
      <c r="AM107">
        <v>0.08</v>
      </c>
      <c r="AN107">
        <v>8.5000000000000006E-2</v>
      </c>
      <c r="AO107">
        <v>1</v>
      </c>
      <c r="AP107">
        <v>0</v>
      </c>
      <c r="AS107">
        <v>17574399</v>
      </c>
      <c r="AT107">
        <v>11430611</v>
      </c>
      <c r="AU107" t="s">
        <v>255</v>
      </c>
      <c r="AV107" t="s">
        <v>257</v>
      </c>
      <c r="BB107">
        <f t="shared" si="183"/>
        <v>0.52261770246525097</v>
      </c>
      <c r="BD107">
        <f t="shared" si="184"/>
        <v>3329348</v>
      </c>
      <c r="BE107">
        <f t="shared" si="185"/>
        <v>-2814440</v>
      </c>
      <c r="BF107">
        <f t="shared" si="186"/>
        <v>11.157361230456258</v>
      </c>
      <c r="BG107">
        <f t="shared" si="187"/>
        <v>-9.4317937750710676</v>
      </c>
      <c r="BH107">
        <f t="shared" si="188"/>
        <v>10.294577502763664</v>
      </c>
      <c r="BI107">
        <f t="shared" si="189"/>
        <v>86.278372769259477</v>
      </c>
      <c r="BJ107">
        <f t="shared" si="190"/>
        <v>10</v>
      </c>
      <c r="BK107">
        <f>IF($BJ107&lt;=30,IF($B107=2015,VLOOKUP($BJ107,'Treasury Yields'!$C$5:$N$34,$E107,FALSE)/100,IF($B107=2016,VLOOKUP($BJ107,'Treasury Yields'!$C$40:$N$69,$E107,FALSE)/100,IF($B107=2017,VLOOKUP($BJ107,'Treasury Yields'!$C$75:$N$104,$E107,FALSE)/100,IF($B107=2018,VLOOKUP($BJ107,'Treasury Yields'!$C$110:$N$139,$E107,FALSE)/100,IF($B107=2019,VLOOKUP($BJ107,'Treasury Yields'!$C$145:$N$174,$E107,FALSE)/100,IF($B107=2020,VLOOKUP($BJ107,'Treasury Yields'!$C$180:$N$209,$E107,FALSE)/100,IF($B107=2021,VLOOKUP($BJ107,'Treasury Yields'!$C$215:$N$244,$E107,FALSE)/100,IF($B107=2022,VLOOKUP($BJ107,'Treasury Yields'!$C$250:$N$279,$E107,FALSE)/100)))))))),0)</f>
        <v>2.5470000000000003E-2</v>
      </c>
      <c r="BL107">
        <f t="shared" si="191"/>
        <v>1.5643368321257025</v>
      </c>
      <c r="BM107">
        <f t="shared" si="192"/>
        <v>42381162.067948587</v>
      </c>
      <c r="BN107">
        <f t="shared" si="193"/>
        <v>26261109.067948587</v>
      </c>
      <c r="BP107">
        <f>IF($BJ107&lt;=30,IF($B107=2015,VLOOKUP($BJ107,'Treasury Yields'!$C$40:$N$69,$E107,FALSE)/100,IF($B107=2016,VLOOKUP($BJ107,'Treasury Yields'!$C$75:$N$104,$E107,FALSE)/100,IF($B107=2017,VLOOKUP($BJ107,'Treasury Yields'!$C$110:$N$139,$E107,FALSE)/100,IF($B107=2018,VLOOKUP($BJ107,'Treasury Yields'!$C$145:$N$174,$E107,FALSE)/100,IF($B107=2019,VLOOKUP($BJ107,'Treasury Yields'!$C$180:$N$209,$E107,FALSE)/100,IF($B107=2020,VLOOKUP($BJ107,'Treasury Yields'!$C$215:$N$244,$E107,FALSE)/100,IF($B107=2021,VLOOKUP($BJ107,'Treasury Yields'!$C$250:$N$279,$E107,FALSE)/100,IF($B107=2022,VLOOKUP($BJ107,'Treasury Yields'!$C$285:$N$314,$E107,FALSE)/100)))))))),0)</f>
        <v>1.635E-2</v>
      </c>
      <c r="BQ107">
        <f t="shared" si="194"/>
        <v>1.7114355680647255</v>
      </c>
      <c r="BR107">
        <f t="shared" si="195"/>
        <v>51069105.570512667</v>
      </c>
      <c r="BS107">
        <f t="shared" si="196"/>
        <v>35474233.570512667</v>
      </c>
      <c r="BU107">
        <f t="shared" si="90"/>
        <v>13</v>
      </c>
      <c r="BV107">
        <f t="shared" si="197"/>
        <v>2.6924812993772136</v>
      </c>
      <c r="BW107">
        <f t="shared" si="198"/>
        <v>1129808.2329194688</v>
      </c>
      <c r="BX107" s="5">
        <f t="shared" si="199"/>
        <v>1063954.2169931096</v>
      </c>
      <c r="BY107" s="5">
        <f t="shared" si="200"/>
        <v>653376.46708310943</v>
      </c>
      <c r="BZ107" s="5">
        <f t="shared" si="201"/>
        <v>2648574</v>
      </c>
      <c r="CA107" s="5">
        <f t="shared" si="202"/>
        <v>1783184.7000025781</v>
      </c>
      <c r="CC107" s="5">
        <f t="shared" si="203"/>
        <v>51069105.570512667</v>
      </c>
      <c r="CD107" s="5" t="str">
        <f t="shared" si="204"/>
        <v>Connecticut</v>
      </c>
      <c r="CE107" s="5">
        <f t="shared" si="88"/>
        <v>0.52261770246525097</v>
      </c>
      <c r="CF107" s="10">
        <f t="shared" si="205"/>
        <v>0.30536802682920861</v>
      </c>
    </row>
    <row r="108" spans="1:84" x14ac:dyDescent="0.2">
      <c r="A108">
        <v>7000000010201</v>
      </c>
      <c r="B108">
        <v>2017</v>
      </c>
      <c r="C108">
        <v>573</v>
      </c>
      <c r="D108" t="s">
        <v>252</v>
      </c>
      <c r="E108">
        <v>6</v>
      </c>
      <c r="F108" t="s">
        <v>253</v>
      </c>
      <c r="G108" t="s">
        <v>254</v>
      </c>
      <c r="H108" t="s">
        <v>69</v>
      </c>
      <c r="I108" t="b">
        <v>1</v>
      </c>
      <c r="J108">
        <v>450563</v>
      </c>
      <c r="K108">
        <v>2308693</v>
      </c>
      <c r="M108">
        <v>0</v>
      </c>
      <c r="N108">
        <v>0</v>
      </c>
      <c r="O108">
        <v>1962533</v>
      </c>
      <c r="P108">
        <v>0</v>
      </c>
      <c r="Q108">
        <v>796723</v>
      </c>
      <c r="R108">
        <v>29839923</v>
      </c>
      <c r="S108">
        <v>30636646</v>
      </c>
      <c r="T108">
        <v>1012162</v>
      </c>
      <c r="V108">
        <v>288251</v>
      </c>
      <c r="W108">
        <v>2199895</v>
      </c>
      <c r="Z108">
        <v>1679</v>
      </c>
      <c r="AA108">
        <v>1539454</v>
      </c>
      <c r="AB108">
        <v>15594872</v>
      </c>
      <c r="AC108">
        <v>17134326</v>
      </c>
      <c r="AD108">
        <v>13502320</v>
      </c>
      <c r="AE108">
        <v>14245051</v>
      </c>
      <c r="AF108">
        <v>-742731</v>
      </c>
      <c r="AG108">
        <v>4279755</v>
      </c>
      <c r="AH108">
        <v>0.23649998656465149</v>
      </c>
      <c r="AI108" t="b">
        <v>1</v>
      </c>
      <c r="AK108">
        <v>0.08</v>
      </c>
      <c r="AL108">
        <v>0.08</v>
      </c>
      <c r="AM108">
        <v>0.08</v>
      </c>
      <c r="AN108">
        <v>0.08</v>
      </c>
      <c r="AO108">
        <v>1</v>
      </c>
      <c r="AP108">
        <v>0</v>
      </c>
      <c r="AS108">
        <v>16900923</v>
      </c>
      <c r="AT108">
        <v>10629014</v>
      </c>
      <c r="AU108" t="s">
        <v>255</v>
      </c>
      <c r="AV108" t="s">
        <v>258</v>
      </c>
      <c r="BB108">
        <f t="shared" si="183"/>
        <v>0.55927551599479919</v>
      </c>
      <c r="BD108">
        <f t="shared" si="184"/>
        <v>3398603</v>
      </c>
      <c r="BE108">
        <f t="shared" si="185"/>
        <v>-2873306</v>
      </c>
      <c r="BF108">
        <f t="shared" si="186"/>
        <v>11.093260665674695</v>
      </c>
      <c r="BG108">
        <f t="shared" si="187"/>
        <v>-9.3786571806848578</v>
      </c>
      <c r="BH108">
        <f t="shared" si="188"/>
        <v>10.235958923179776</v>
      </c>
      <c r="BI108">
        <f t="shared" si="189"/>
        <v>85.730174249491924</v>
      </c>
      <c r="BJ108">
        <f t="shared" si="190"/>
        <v>10</v>
      </c>
      <c r="BK108">
        <f>IF($BJ108&lt;=30,IF($B108=2015,VLOOKUP($BJ108,'Treasury Yields'!$C$5:$N$34,$E108,FALSE)/100,IF($B108=2016,VLOOKUP($BJ108,'Treasury Yields'!$C$40:$N$69,$E108,FALSE)/100,IF($B108=2017,VLOOKUP($BJ108,'Treasury Yields'!$C$75:$N$104,$E108,FALSE)/100,IF($B108=2018,VLOOKUP($BJ108,'Treasury Yields'!$C$110:$N$139,$E108,FALSE)/100,IF($B108=2019,VLOOKUP($BJ108,'Treasury Yields'!$C$145:$N$174,$E108,FALSE)/100,IF($B108=2020,VLOOKUP($BJ108,'Treasury Yields'!$C$180:$N$209,$E108,FALSE)/100,IF($B108=2021,VLOOKUP($BJ108,'Treasury Yields'!$C$215:$N$244,$E108,FALSE)/100,IF($B108=2022,VLOOKUP($BJ108,'Treasury Yields'!$C$250:$N$279,$E108,FALSE)/100)))))))),0)</f>
        <v>1.635E-2</v>
      </c>
      <c r="BL108">
        <f t="shared" si="191"/>
        <v>1.6555701079603928</v>
      </c>
      <c r="BM108">
        <f t="shared" si="192"/>
        <v>49402084.542639807</v>
      </c>
      <c r="BN108">
        <f t="shared" si="193"/>
        <v>33807212.542639807</v>
      </c>
      <c r="BP108">
        <f>IF($BJ108&lt;=30,IF($B108=2015,VLOOKUP($BJ108,'Treasury Yields'!$C$40:$N$69,$E108,FALSE)/100,IF($B108=2016,VLOOKUP($BJ108,'Treasury Yields'!$C$75:$N$104,$E108,FALSE)/100,IF($B108=2017,VLOOKUP($BJ108,'Treasury Yields'!$C$110:$N$139,$E108,FALSE)/100,IF($B108=2018,VLOOKUP($BJ108,'Treasury Yields'!$C$145:$N$174,$E108,FALSE)/100,IF($B108=2019,VLOOKUP($BJ108,'Treasury Yields'!$C$180:$N$209,$E108,FALSE)/100,IF($B108=2020,VLOOKUP($BJ108,'Treasury Yields'!$C$215:$N$244,$E108,FALSE)/100,IF($B108=2021,VLOOKUP($BJ108,'Treasury Yields'!$C$250:$N$279,$E108,FALSE)/100,IF($B108=2022,VLOOKUP($BJ108,'Treasury Yields'!$C$285:$N$314,$E108,FALSE)/100)))))))),0)</f>
        <v>2.4670000000000001E-2</v>
      </c>
      <c r="BQ108">
        <f t="shared" si="194"/>
        <v>1.5694170161195371</v>
      </c>
      <c r="BR108">
        <f t="shared" si="195"/>
        <v>48081673.549230553</v>
      </c>
      <c r="BS108">
        <f t="shared" si="196"/>
        <v>30947347.549230553</v>
      </c>
      <c r="BU108">
        <f t="shared" si="90"/>
        <v>13</v>
      </c>
      <c r="BV108">
        <f t="shared" si="197"/>
        <v>2.8262893693262798</v>
      </c>
      <c r="BW108">
        <f t="shared" si="198"/>
        <v>1273421.4171117565</v>
      </c>
      <c r="BX108" s="5">
        <f t="shared" si="199"/>
        <v>796457.10789193807</v>
      </c>
      <c r="BY108" s="5">
        <f t="shared" si="200"/>
        <v>541480.95069193805</v>
      </c>
      <c r="BZ108" s="5">
        <f t="shared" si="201"/>
        <v>2759256</v>
      </c>
      <c r="CA108" s="5">
        <f t="shared" si="202"/>
        <v>1814902.3678036947</v>
      </c>
      <c r="CC108" s="5">
        <f t="shared" si="203"/>
        <v>48081673.549230553</v>
      </c>
      <c r="CD108" s="5" t="str">
        <f t="shared" si="204"/>
        <v>Connecticut</v>
      </c>
      <c r="CE108" s="5">
        <f t="shared" si="88"/>
        <v>0.55927551599479919</v>
      </c>
      <c r="CF108" s="10">
        <f t="shared" si="205"/>
        <v>0.35635876905275066</v>
      </c>
    </row>
    <row r="109" spans="1:84" x14ac:dyDescent="0.2">
      <c r="A109">
        <v>7000000010201</v>
      </c>
      <c r="B109">
        <v>2018</v>
      </c>
      <c r="C109">
        <v>573</v>
      </c>
      <c r="D109" t="s">
        <v>252</v>
      </c>
      <c r="E109">
        <v>6</v>
      </c>
      <c r="F109" t="s">
        <v>253</v>
      </c>
      <c r="G109" t="s">
        <v>254</v>
      </c>
      <c r="H109" t="s">
        <v>69</v>
      </c>
      <c r="I109" t="b">
        <v>1</v>
      </c>
      <c r="J109">
        <v>465207</v>
      </c>
      <c r="K109">
        <v>2371168</v>
      </c>
      <c r="L109">
        <v>28036</v>
      </c>
      <c r="M109">
        <v>-396067</v>
      </c>
      <c r="N109">
        <v>0</v>
      </c>
      <c r="O109">
        <v>1994092</v>
      </c>
      <c r="Q109">
        <v>474252</v>
      </c>
      <c r="R109">
        <v>30636646</v>
      </c>
      <c r="S109">
        <v>31110898</v>
      </c>
      <c r="T109">
        <v>1272277</v>
      </c>
      <c r="V109">
        <v>312150</v>
      </c>
      <c r="W109">
        <v>1224931</v>
      </c>
      <c r="Y109">
        <v>0</v>
      </c>
      <c r="Z109">
        <v>-2753</v>
      </c>
      <c r="AA109">
        <v>812513</v>
      </c>
      <c r="AB109">
        <v>17134326</v>
      </c>
      <c r="AC109">
        <v>17946839</v>
      </c>
      <c r="AD109">
        <v>13164059</v>
      </c>
      <c r="AE109">
        <v>13502320</v>
      </c>
      <c r="AF109">
        <v>-338261</v>
      </c>
      <c r="AG109">
        <v>4321593</v>
      </c>
      <c r="AH109">
        <v>0.29440000481304002</v>
      </c>
      <c r="AI109" t="b">
        <v>1</v>
      </c>
      <c r="AK109">
        <v>0.08</v>
      </c>
      <c r="AL109">
        <v>6.9000000000000006E-2</v>
      </c>
      <c r="AM109">
        <v>6.9000000000000006E-2</v>
      </c>
      <c r="AN109">
        <v>0.08</v>
      </c>
      <c r="AO109">
        <v>1</v>
      </c>
      <c r="AP109">
        <v>0</v>
      </c>
      <c r="AS109">
        <v>16636976</v>
      </c>
      <c r="AT109">
        <v>10227117</v>
      </c>
      <c r="AU109" t="s">
        <v>255</v>
      </c>
      <c r="AV109" t="s">
        <v>259</v>
      </c>
      <c r="BB109">
        <f t="shared" si="183"/>
        <v>0.5768666336792978</v>
      </c>
      <c r="BD109">
        <f t="shared" si="184"/>
        <v>3472917</v>
      </c>
      <c r="BE109">
        <f t="shared" si="185"/>
        <v>-2936942</v>
      </c>
      <c r="BF109">
        <f t="shared" si="186"/>
        <v>11.163023966714173</v>
      </c>
      <c r="BG109">
        <f t="shared" si="187"/>
        <v>-9.4402353798980663</v>
      </c>
      <c r="BH109">
        <f t="shared" si="188"/>
        <v>10.301629673306119</v>
      </c>
      <c r="BI109">
        <f t="shared" si="189"/>
        <v>86.139429340805265</v>
      </c>
      <c r="BJ109">
        <f t="shared" si="190"/>
        <v>10</v>
      </c>
      <c r="BK109">
        <f>IF($BJ109&lt;=30,IF($B109=2015,VLOOKUP($BJ109,'Treasury Yields'!$C$5:$N$34,$E109,FALSE)/100,IF($B109=2016,VLOOKUP($BJ109,'Treasury Yields'!$C$40:$N$69,$E109,FALSE)/100,IF($B109=2017,VLOOKUP($BJ109,'Treasury Yields'!$C$75:$N$104,$E109,FALSE)/100,IF($B109=2018,VLOOKUP($BJ109,'Treasury Yields'!$C$110:$N$139,$E109,FALSE)/100,IF($B109=2019,VLOOKUP($BJ109,'Treasury Yields'!$C$145:$N$174,$E109,FALSE)/100,IF($B109=2020,VLOOKUP($BJ109,'Treasury Yields'!$C$180:$N$209,$E109,FALSE)/100,IF($B109=2021,VLOOKUP($BJ109,'Treasury Yields'!$C$215:$N$244,$E109,FALSE)/100,IF($B109=2022,VLOOKUP($BJ109,'Treasury Yields'!$C$250:$N$279,$E109,FALSE)/100)))))))),0)</f>
        <v>2.4670000000000001E-2</v>
      </c>
      <c r="BL109">
        <f t="shared" si="191"/>
        <v>1.4586363923176604</v>
      </c>
      <c r="BM109">
        <f t="shared" si="192"/>
        <v>44687726.794153281</v>
      </c>
      <c r="BN109">
        <f t="shared" si="193"/>
        <v>27553400.794153281</v>
      </c>
      <c r="BP109">
        <f>IF($BJ109&lt;=30,IF($B109=2015,VLOOKUP($BJ109,'Treasury Yields'!$C$40:$N$69,$E109,FALSE)/100,IF($B109=2016,VLOOKUP($BJ109,'Treasury Yields'!$C$75:$N$104,$E109,FALSE)/100,IF($B109=2017,VLOOKUP($BJ109,'Treasury Yields'!$C$110:$N$139,$E109,FALSE)/100,IF($B109=2018,VLOOKUP($BJ109,'Treasury Yields'!$C$145:$N$174,$E109,FALSE)/100,IF($B109=2019,VLOOKUP($BJ109,'Treasury Yields'!$C$180:$N$209,$E109,FALSE)/100,IF($B109=2020,VLOOKUP($BJ109,'Treasury Yields'!$C$215:$N$244,$E109,FALSE)/100,IF($B109=2021,VLOOKUP($BJ109,'Treasury Yields'!$C$250:$N$279,$E109,FALSE)/100,IF($B109=2022,VLOOKUP($BJ109,'Treasury Yields'!$C$285:$N$314,$E109,FALSE)/100)))))))),0)</f>
        <v>2.964E-2</v>
      </c>
      <c r="BQ109">
        <f t="shared" si="194"/>
        <v>1.5213261999476961</v>
      </c>
      <c r="BR109">
        <f t="shared" si="195"/>
        <v>47329824.231300376</v>
      </c>
      <c r="BS109">
        <f t="shared" si="196"/>
        <v>29382985.231300376</v>
      </c>
      <c r="BU109">
        <f t="shared" si="90"/>
        <v>13</v>
      </c>
      <c r="BV109">
        <f t="shared" si="197"/>
        <v>2.5529871854488899</v>
      </c>
      <c r="BW109">
        <f t="shared" si="198"/>
        <v>1187667.5095811216</v>
      </c>
      <c r="BX109" s="5">
        <f t="shared" si="199"/>
        <v>1082551.7278331276</v>
      </c>
      <c r="BY109" s="5">
        <f t="shared" si="200"/>
        <v>659847.90541312774</v>
      </c>
      <c r="BZ109" s="5">
        <f t="shared" si="201"/>
        <v>2836375</v>
      </c>
      <c r="CA109" s="5">
        <f t="shared" si="202"/>
        <v>1847515.4149942494</v>
      </c>
      <c r="CC109" s="5">
        <f t="shared" si="203"/>
        <v>47329824.231300376</v>
      </c>
      <c r="CD109" s="5" t="str">
        <f t="shared" si="204"/>
        <v>Connecticut</v>
      </c>
      <c r="CE109" s="5">
        <f t="shared" si="88"/>
        <v>0.5768666336792978</v>
      </c>
      <c r="CF109" s="10">
        <f t="shared" si="205"/>
        <v>0.37918668179061848</v>
      </c>
    </row>
    <row r="110" spans="1:84" x14ac:dyDescent="0.2">
      <c r="A110">
        <v>7000000010201</v>
      </c>
      <c r="B110">
        <v>2019</v>
      </c>
      <c r="C110">
        <v>573</v>
      </c>
      <c r="D110" t="s">
        <v>252</v>
      </c>
      <c r="E110">
        <v>6</v>
      </c>
      <c r="F110" t="s">
        <v>253</v>
      </c>
      <c r="G110" t="s">
        <v>254</v>
      </c>
      <c r="H110" t="s">
        <v>69</v>
      </c>
      <c r="I110" t="b">
        <v>1</v>
      </c>
      <c r="J110">
        <v>463997</v>
      </c>
      <c r="K110">
        <v>2406206</v>
      </c>
      <c r="L110">
        <v>-224281</v>
      </c>
      <c r="M110">
        <v>0</v>
      </c>
      <c r="N110">
        <v>3875996</v>
      </c>
      <c r="O110">
        <v>2066641</v>
      </c>
      <c r="Q110">
        <v>4455277</v>
      </c>
      <c r="R110">
        <v>31110898</v>
      </c>
      <c r="S110">
        <v>35566175</v>
      </c>
      <c r="T110">
        <v>1292672</v>
      </c>
      <c r="V110">
        <v>309333</v>
      </c>
      <c r="W110">
        <v>1012089</v>
      </c>
      <c r="Y110">
        <v>0</v>
      </c>
      <c r="Z110">
        <v>-837</v>
      </c>
      <c r="AA110">
        <v>546616</v>
      </c>
      <c r="AB110">
        <v>17946839</v>
      </c>
      <c r="AC110">
        <v>18493455</v>
      </c>
      <c r="AD110">
        <v>17072720</v>
      </c>
      <c r="AE110">
        <v>13164059</v>
      </c>
      <c r="AF110">
        <v>3908661</v>
      </c>
      <c r="AG110">
        <v>4389654</v>
      </c>
      <c r="AH110">
        <v>0.29448152405633793</v>
      </c>
      <c r="AI110" t="b">
        <v>1</v>
      </c>
      <c r="AK110">
        <v>6.9000000000000006E-2</v>
      </c>
      <c r="AL110">
        <v>6.9000000000000006E-2</v>
      </c>
      <c r="AM110">
        <v>6.9000000000000006E-2</v>
      </c>
      <c r="AN110">
        <v>6.9000000000000006E-2</v>
      </c>
      <c r="AO110">
        <v>1</v>
      </c>
      <c r="AP110">
        <v>0</v>
      </c>
      <c r="AS110">
        <v>21296573</v>
      </c>
      <c r="AT110">
        <v>13521724</v>
      </c>
      <c r="AU110" t="s">
        <v>260</v>
      </c>
      <c r="AV110" t="s">
        <v>259</v>
      </c>
      <c r="BB110">
        <f t="shared" si="183"/>
        <v>0.51997312052814226</v>
      </c>
      <c r="BD110">
        <f t="shared" si="184"/>
        <v>4223853</v>
      </c>
      <c r="BE110">
        <f t="shared" si="185"/>
        <v>-3550996</v>
      </c>
      <c r="BF110">
        <f t="shared" si="186"/>
        <v>11.87603952350794</v>
      </c>
      <c r="BG110">
        <f t="shared" si="187"/>
        <v>-9.9841942519823963</v>
      </c>
      <c r="BH110">
        <f t="shared" si="188"/>
        <v>10.930116887745168</v>
      </c>
      <c r="BI110">
        <f t="shared" si="189"/>
        <v>94.592263576277176</v>
      </c>
      <c r="BJ110">
        <f t="shared" si="190"/>
        <v>11</v>
      </c>
      <c r="BK110">
        <f>IF($BJ110&lt;=30,IF($B110=2015,VLOOKUP($BJ110,'Treasury Yields'!$C$5:$N$34,$E110,FALSE)/100,IF($B110=2016,VLOOKUP($BJ110,'Treasury Yields'!$C$40:$N$69,$E110,FALSE)/100,IF($B110=2017,VLOOKUP($BJ110,'Treasury Yields'!$C$75:$N$104,$E110,FALSE)/100,IF($B110=2018,VLOOKUP($BJ110,'Treasury Yields'!$C$110:$N$139,$E110,FALSE)/100,IF($B110=2019,VLOOKUP($BJ110,'Treasury Yields'!$C$145:$N$174,$E110,FALSE)/100,IF($B110=2020,VLOOKUP($BJ110,'Treasury Yields'!$C$180:$N$209,$E110,FALSE)/100,IF($B110=2021,VLOOKUP($BJ110,'Treasury Yields'!$C$215:$N$244,$E110,FALSE)/100,IF($B110=2022,VLOOKUP($BJ110,'Treasury Yields'!$C$250:$N$279,$E110,FALSE)/100)))))))),0)</f>
        <v>2.9273236363636365E-2</v>
      </c>
      <c r="BL110">
        <f t="shared" si="191"/>
        <v>1.4357963858662983</v>
      </c>
      <c r="BM110">
        <f t="shared" si="192"/>
        <v>44668914.909455046</v>
      </c>
      <c r="BN110">
        <f t="shared" si="193"/>
        <v>26722075.909455046</v>
      </c>
      <c r="BP110">
        <f>IF($BJ110&lt;=30,IF($B110=2015,VLOOKUP($BJ110,'Treasury Yields'!$C$40:$N$69,$E110,FALSE)/100,IF($B110=2016,VLOOKUP($BJ110,'Treasury Yields'!$C$75:$N$104,$E110,FALSE)/100,IF($B110=2017,VLOOKUP($BJ110,'Treasury Yields'!$C$110:$N$139,$E110,FALSE)/100,IF($B110=2018,VLOOKUP($BJ110,'Treasury Yields'!$C$145:$N$174,$E110,FALSE)/100,IF($B110=2019,VLOOKUP($BJ110,'Treasury Yields'!$C$180:$N$209,$E110,FALSE)/100,IF($B110=2020,VLOOKUP($BJ110,'Treasury Yields'!$C$215:$N$244,$E110,FALSE)/100,IF($B110=2021,VLOOKUP($BJ110,'Treasury Yields'!$C$250:$N$279,$E110,FALSE)/100,IF($B110=2022,VLOOKUP($BJ110,'Treasury Yields'!$C$285:$N$314,$E110,FALSE)/100)))))))),0)</f>
        <v>2.1722000000000002E-2</v>
      </c>
      <c r="BQ110">
        <f t="shared" si="194"/>
        <v>1.5189892755028158</v>
      </c>
      <c r="BR110">
        <f t="shared" si="195"/>
        <v>54024638.395656362</v>
      </c>
      <c r="BS110">
        <f t="shared" si="196"/>
        <v>35531183.395656362</v>
      </c>
      <c r="BU110">
        <f t="shared" si="90"/>
        <v>14</v>
      </c>
      <c r="BV110">
        <f t="shared" si="197"/>
        <v>2.1396798611378545</v>
      </c>
      <c r="BW110">
        <f t="shared" si="198"/>
        <v>992805.03652838105</v>
      </c>
      <c r="BX110" s="5">
        <f t="shared" si="199"/>
        <v>1276169.05027716</v>
      </c>
      <c r="BY110" s="5">
        <f t="shared" si="200"/>
        <v>750806.99025003286</v>
      </c>
      <c r="BZ110" s="5">
        <f t="shared" si="201"/>
        <v>2870203</v>
      </c>
      <c r="CA110" s="5">
        <f t="shared" si="202"/>
        <v>1743612.0267784139</v>
      </c>
      <c r="CC110" s="5">
        <f t="shared" si="203"/>
        <v>54024638.395656362</v>
      </c>
      <c r="CD110" s="5" t="str">
        <f t="shared" si="204"/>
        <v>Connecticut</v>
      </c>
      <c r="CE110" s="5">
        <f t="shared" si="88"/>
        <v>0.51997312052814226</v>
      </c>
      <c r="CF110" s="10">
        <f t="shared" si="205"/>
        <v>0.34231520190030357</v>
      </c>
    </row>
    <row r="111" spans="1:84" x14ac:dyDescent="0.2">
      <c r="A111">
        <v>7000000010201</v>
      </c>
      <c r="B111">
        <v>2020</v>
      </c>
      <c r="C111">
        <v>573</v>
      </c>
      <c r="D111" t="s">
        <v>252</v>
      </c>
      <c r="E111">
        <v>6</v>
      </c>
      <c r="F111" t="s">
        <v>253</v>
      </c>
      <c r="G111" t="s">
        <v>254</v>
      </c>
      <c r="H111" t="s">
        <v>69</v>
      </c>
      <c r="I111" t="b">
        <v>1</v>
      </c>
      <c r="J111">
        <v>616370</v>
      </c>
      <c r="K111">
        <v>2379886</v>
      </c>
      <c r="L111">
        <v>0</v>
      </c>
      <c r="M111">
        <v>-306400</v>
      </c>
      <c r="N111">
        <v>1022137</v>
      </c>
      <c r="O111">
        <v>2150168</v>
      </c>
      <c r="Q111">
        <v>1561825</v>
      </c>
      <c r="R111">
        <v>35566175</v>
      </c>
      <c r="S111">
        <v>37128000</v>
      </c>
      <c r="T111">
        <v>1209573</v>
      </c>
      <c r="V111">
        <v>318217</v>
      </c>
      <c r="W111">
        <v>410311</v>
      </c>
      <c r="Z111">
        <v>522</v>
      </c>
      <c r="AA111">
        <v>-211545</v>
      </c>
      <c r="AB111">
        <v>18493455</v>
      </c>
      <c r="AC111">
        <v>18281910</v>
      </c>
      <c r="AD111">
        <v>18846090</v>
      </c>
      <c r="AE111">
        <v>17072720</v>
      </c>
      <c r="AF111">
        <v>1773370</v>
      </c>
      <c r="AG111">
        <v>4352967</v>
      </c>
      <c r="AH111">
        <v>0.27787322991421715</v>
      </c>
      <c r="AI111" t="b">
        <v>1</v>
      </c>
      <c r="AK111">
        <v>6.9000000000000006E-2</v>
      </c>
      <c r="AL111">
        <v>6.9000000000000006E-2</v>
      </c>
      <c r="AM111">
        <v>6.9000000000000006E-2</v>
      </c>
      <c r="AN111">
        <v>6.9000000000000006E-2</v>
      </c>
      <c r="AO111">
        <v>1</v>
      </c>
      <c r="AP111">
        <v>0</v>
      </c>
      <c r="AS111">
        <v>23571019</v>
      </c>
      <c r="AT111">
        <v>14923429</v>
      </c>
      <c r="AU111" t="s">
        <v>260</v>
      </c>
      <c r="AV111" t="s">
        <v>261</v>
      </c>
      <c r="BB111">
        <f t="shared" si="183"/>
        <v>0.49240223012281836</v>
      </c>
      <c r="BD111">
        <f t="shared" si="184"/>
        <v>4724929</v>
      </c>
      <c r="BE111">
        <f t="shared" si="185"/>
        <v>-3922661</v>
      </c>
      <c r="BF111">
        <f t="shared" si="186"/>
        <v>12.726053113553112</v>
      </c>
      <c r="BG111">
        <f t="shared" si="187"/>
        <v>-10.565236479207067</v>
      </c>
      <c r="BH111">
        <f t="shared" si="188"/>
        <v>11.64564479638009</v>
      </c>
      <c r="BI111">
        <f t="shared" si="189"/>
        <v>108.0408317173023</v>
      </c>
      <c r="BJ111">
        <f t="shared" si="190"/>
        <v>12</v>
      </c>
      <c r="BK111">
        <f>IF($BJ111&lt;=30,IF($B111=2015,VLOOKUP($BJ111,'Treasury Yields'!$C$5:$N$34,$E111,FALSE)/100,IF($B111=2016,VLOOKUP($BJ111,'Treasury Yields'!$C$40:$N$69,$E111,FALSE)/100,IF($B111=2017,VLOOKUP($BJ111,'Treasury Yields'!$C$75:$N$104,$E111,FALSE)/100,IF($B111=2018,VLOOKUP($BJ111,'Treasury Yields'!$C$110:$N$139,$E111,FALSE)/100,IF($B111=2019,VLOOKUP($BJ111,'Treasury Yields'!$C$145:$N$174,$E111,FALSE)/100,IF($B111=2020,VLOOKUP($BJ111,'Treasury Yields'!$C$180:$N$209,$E111,FALSE)/100,IF($B111=2021,VLOOKUP($BJ111,'Treasury Yields'!$C$215:$N$244,$E111,FALSE)/100,IF($B111=2022,VLOOKUP($BJ111,'Treasury Yields'!$C$250:$N$279,$E111,FALSE)/100)))))))),0)</f>
        <v>2.2184000000000002E-2</v>
      </c>
      <c r="BL111">
        <f t="shared" si="191"/>
        <v>1.5473942446433302</v>
      </c>
      <c r="BM111">
        <f t="shared" si="192"/>
        <v>55034894.498977497</v>
      </c>
      <c r="BN111">
        <f t="shared" si="193"/>
        <v>36541439.498977497</v>
      </c>
      <c r="BP111">
        <f>IF($BJ111&lt;=30,IF($B111=2015,VLOOKUP($BJ111,'Treasury Yields'!$C$40:$N$69,$E111,FALSE)/100,IF($B111=2016,VLOOKUP($BJ111,'Treasury Yields'!$C$75:$N$104,$E111,FALSE)/100,IF($B111=2017,VLOOKUP($BJ111,'Treasury Yields'!$C$110:$N$139,$E111,FALSE)/100,IF($B111=2018,VLOOKUP($BJ111,'Treasury Yields'!$C$145:$N$174,$E111,FALSE)/100,IF($B111=2019,VLOOKUP($BJ111,'Treasury Yields'!$C$180:$N$209,$E111,FALSE)/100,IF($B111=2020,VLOOKUP($BJ111,'Treasury Yields'!$C$215:$N$244,$E111,FALSE)/100,IF($B111=2021,VLOOKUP($BJ111,'Treasury Yields'!$C$250:$N$279,$E111,FALSE)/100,IF($B111=2022,VLOOKUP($BJ111,'Treasury Yields'!$C$285:$N$314,$E111,FALSE)/100)))))))),0)</f>
        <v>1.3689454545454545E-2</v>
      </c>
      <c r="BQ111">
        <f t="shared" si="194"/>
        <v>1.6471862222961509</v>
      </c>
      <c r="BR111">
        <f t="shared" si="195"/>
        <v>61156730.061411493</v>
      </c>
      <c r="BS111">
        <f t="shared" si="196"/>
        <v>42874820.061411493</v>
      </c>
      <c r="BU111">
        <f t="shared" si="90"/>
        <v>15</v>
      </c>
      <c r="BV111">
        <f t="shared" si="197"/>
        <v>2.4842396876558674</v>
      </c>
      <c r="BW111">
        <f t="shared" si="198"/>
        <v>1531210.8162804469</v>
      </c>
      <c r="BX111" s="5">
        <f t="shared" si="199"/>
        <v>1207163.1534016824</v>
      </c>
      <c r="BY111" s="5">
        <f t="shared" si="200"/>
        <v>796904.34768168232</v>
      </c>
      <c r="BZ111" s="5">
        <f t="shared" si="201"/>
        <v>2996256</v>
      </c>
      <c r="CA111" s="5">
        <f t="shared" si="202"/>
        <v>2328115.1639621295</v>
      </c>
      <c r="CC111" s="5">
        <f t="shared" si="203"/>
        <v>61156730.061411493</v>
      </c>
      <c r="CD111" s="5" t="str">
        <f t="shared" si="204"/>
        <v>Connecticut</v>
      </c>
      <c r="CE111" s="5">
        <f t="shared" si="88"/>
        <v>0.49240223012281836</v>
      </c>
      <c r="CF111" s="10">
        <f t="shared" si="205"/>
        <v>0.29893537443290269</v>
      </c>
    </row>
    <row r="112" spans="1:84" x14ac:dyDescent="0.2">
      <c r="A112">
        <v>7000000010201</v>
      </c>
      <c r="B112">
        <v>2021</v>
      </c>
      <c r="C112">
        <v>573</v>
      </c>
      <c r="D112" t="s">
        <v>252</v>
      </c>
      <c r="E112">
        <v>6</v>
      </c>
      <c r="F112" t="s">
        <v>253</v>
      </c>
      <c r="G112" t="s">
        <v>254</v>
      </c>
      <c r="H112" t="s">
        <v>69</v>
      </c>
      <c r="I112" t="b">
        <v>1</v>
      </c>
      <c r="J112">
        <v>599484</v>
      </c>
      <c r="K112">
        <v>2486930</v>
      </c>
      <c r="L112">
        <v>0</v>
      </c>
      <c r="M112">
        <v>0</v>
      </c>
      <c r="N112">
        <v>0</v>
      </c>
      <c r="O112">
        <v>2171063</v>
      </c>
      <c r="P112">
        <v>0</v>
      </c>
      <c r="Q112">
        <v>915351</v>
      </c>
      <c r="R112">
        <v>37128000</v>
      </c>
      <c r="S112">
        <v>38043351</v>
      </c>
      <c r="T112">
        <v>1249835</v>
      </c>
      <c r="V112">
        <v>323306</v>
      </c>
      <c r="W112">
        <v>4528666</v>
      </c>
      <c r="Y112">
        <v>0</v>
      </c>
      <c r="Z112">
        <v>904434</v>
      </c>
      <c r="AA112">
        <v>4835178</v>
      </c>
      <c r="AB112">
        <v>18281910</v>
      </c>
      <c r="AC112">
        <v>23117088</v>
      </c>
      <c r="AD112">
        <v>14926263</v>
      </c>
      <c r="AE112">
        <v>18846090</v>
      </c>
      <c r="AF112">
        <v>-3919827</v>
      </c>
      <c r="AG112">
        <v>4500666</v>
      </c>
      <c r="AI112" t="b">
        <v>1</v>
      </c>
      <c r="AK112">
        <v>6.9000000000000006E-2</v>
      </c>
      <c r="AL112">
        <v>6.9000000000000006E-2</v>
      </c>
      <c r="AM112">
        <v>6.9000000000000006E-2</v>
      </c>
      <c r="AN112">
        <v>6.9000000000000006E-2</v>
      </c>
      <c r="AS112">
        <v>19751183</v>
      </c>
      <c r="AT112">
        <v>10920127</v>
      </c>
      <c r="BB112">
        <f t="shared" si="183"/>
        <v>0.60765120296579556</v>
      </c>
      <c r="BD112">
        <f t="shared" si="184"/>
        <v>4824920</v>
      </c>
      <c r="BE112">
        <f t="shared" si="185"/>
        <v>-4006136</v>
      </c>
      <c r="BF112">
        <f t="shared" si="186"/>
        <v>12.682689282550319</v>
      </c>
      <c r="BG112">
        <f t="shared" si="187"/>
        <v>-10.530449854430541</v>
      </c>
      <c r="BH112">
        <f t="shared" si="188"/>
        <v>11.60656956849043</v>
      </c>
      <c r="BI112">
        <f t="shared" si="189"/>
        <v>107.61197140598891</v>
      </c>
      <c r="BJ112">
        <f t="shared" si="190"/>
        <v>12</v>
      </c>
      <c r="BK112">
        <f>IF($BJ112&lt;=30,IF($B112=2015,VLOOKUP($BJ112,'Treasury Yields'!$C$5:$N$34,$E112,FALSE)/100,IF($B112=2016,VLOOKUP($BJ112,'Treasury Yields'!$C$40:$N$69,$E112,FALSE)/100,IF($B112=2017,VLOOKUP($BJ112,'Treasury Yields'!$C$75:$N$104,$E112,FALSE)/100,IF($B112=2018,VLOOKUP($BJ112,'Treasury Yields'!$C$110:$N$139,$E112,FALSE)/100,IF($B112=2019,VLOOKUP($BJ112,'Treasury Yields'!$C$145:$N$174,$E112,FALSE)/100,IF($B112=2020,VLOOKUP($BJ112,'Treasury Yields'!$C$180:$N$209,$E112,FALSE)/100,IF($B112=2021,VLOOKUP($BJ112,'Treasury Yields'!$C$215:$N$244,$E112,FALSE)/100,IF($B112=2022,VLOOKUP($BJ112,'Treasury Yields'!$C$250:$N$279,$E112,FALSE)/100)))))))),0)</f>
        <v>1.3689454545454545E-2</v>
      </c>
      <c r="BL112">
        <f t="shared" si="191"/>
        <v>1.6450249501278131</v>
      </c>
      <c r="BM112">
        <f t="shared" si="192"/>
        <v>61076486.348345444</v>
      </c>
      <c r="BN112">
        <f t="shared" si="193"/>
        <v>42794576.348345444</v>
      </c>
      <c r="BP112">
        <f>IF($BJ112&lt;=30,IF($B112=2015,VLOOKUP($BJ112,'Treasury Yields'!$C$40:$N$69,$E112,FALSE)/100,IF($B112=2016,VLOOKUP($BJ112,'Treasury Yields'!$C$75:$N$104,$E112,FALSE)/100,IF($B112=2017,VLOOKUP($BJ112,'Treasury Yields'!$C$110:$N$139,$E112,FALSE)/100,IF($B112=2018,VLOOKUP($BJ112,'Treasury Yields'!$C$145:$N$174,$E112,FALSE)/100,IF($B112=2019,VLOOKUP($BJ112,'Treasury Yields'!$C$180:$N$209,$E112,FALSE)/100,IF($B112=2020,VLOOKUP($BJ112,'Treasury Yields'!$C$215:$N$244,$E112,FALSE)/100,IF($B112=2021,VLOOKUP($BJ112,'Treasury Yields'!$C$250:$N$279,$E112,FALSE)/100,IF($B112=2022,VLOOKUP($BJ112,'Treasury Yields'!$C$285:$N$314,$E112,FALSE)/100)))))))),0)</f>
        <v>2.1085818181818185E-2</v>
      </c>
      <c r="BQ112">
        <f t="shared" si="194"/>
        <v>1.5584150534093322</v>
      </c>
      <c r="BR112">
        <f t="shared" si="195"/>
        <v>59287330.880534969</v>
      </c>
      <c r="BS112">
        <f t="shared" si="196"/>
        <v>36170242.880534969</v>
      </c>
      <c r="BU112">
        <f t="shared" si="90"/>
        <v>15</v>
      </c>
      <c r="BV112">
        <f t="shared" si="197"/>
        <v>2.8008364918887416</v>
      </c>
      <c r="BW112">
        <f t="shared" si="198"/>
        <v>1679056.6635034303</v>
      </c>
      <c r="BX112" s="5">
        <f t="shared" si="199"/>
        <v>829368.48528220458</v>
      </c>
      <c r="BY112" s="5">
        <f t="shared" si="200"/>
        <v>579099.10933311365</v>
      </c>
      <c r="BZ112" s="5">
        <f t="shared" si="201"/>
        <v>3086414</v>
      </c>
      <c r="CA112" s="5">
        <f t="shared" si="202"/>
        <v>2258155.7728365441</v>
      </c>
      <c r="CC112" s="5">
        <f t="shared" si="203"/>
        <v>59287330.880534969</v>
      </c>
      <c r="CD112" s="5" t="str">
        <f t="shared" si="204"/>
        <v>Connecticut</v>
      </c>
      <c r="CE112" s="5">
        <f t="shared" si="88"/>
        <v>0.60765120296579556</v>
      </c>
      <c r="CF112" s="10">
        <f t="shared" si="205"/>
        <v>0.38991615336135382</v>
      </c>
    </row>
    <row r="113" spans="1:84" x14ac:dyDescent="0.2">
      <c r="A113">
        <v>7000000010201</v>
      </c>
      <c r="B113">
        <v>2022</v>
      </c>
      <c r="C113">
        <v>573</v>
      </c>
      <c r="D113" t="s">
        <v>252</v>
      </c>
      <c r="E113">
        <v>6</v>
      </c>
      <c r="F113" t="s">
        <v>253</v>
      </c>
      <c r="G113" t="s">
        <v>254</v>
      </c>
      <c r="H113" t="s">
        <v>69</v>
      </c>
      <c r="I113" t="b">
        <v>1</v>
      </c>
      <c r="J113">
        <v>617468</v>
      </c>
      <c r="K113">
        <v>2548157</v>
      </c>
      <c r="L113">
        <v>89017</v>
      </c>
      <c r="M113">
        <v>789366</v>
      </c>
      <c r="N113">
        <v>0</v>
      </c>
      <c r="O113">
        <v>2227079</v>
      </c>
      <c r="P113">
        <v>0</v>
      </c>
      <c r="Q113">
        <v>1816929</v>
      </c>
      <c r="R113">
        <v>38043351</v>
      </c>
      <c r="S113">
        <v>39860280</v>
      </c>
      <c r="T113">
        <v>1443656</v>
      </c>
      <c r="V113">
        <v>392913</v>
      </c>
      <c r="W113">
        <v>-2024736</v>
      </c>
      <c r="Y113">
        <v>0</v>
      </c>
      <c r="Z113">
        <v>847879</v>
      </c>
      <c r="AA113">
        <v>-1567367</v>
      </c>
      <c r="AB113">
        <v>23117088</v>
      </c>
      <c r="AC113">
        <v>21549721</v>
      </c>
      <c r="AD113">
        <v>18310559</v>
      </c>
      <c r="AE113">
        <v>14926263</v>
      </c>
      <c r="AF113">
        <v>3384296</v>
      </c>
      <c r="AG113">
        <v>4571425</v>
      </c>
      <c r="AI113" t="b">
        <v>1</v>
      </c>
      <c r="AK113">
        <v>6.9000000000000006E-2</v>
      </c>
      <c r="AL113">
        <v>6.9000000000000006E-2</v>
      </c>
      <c r="AM113">
        <v>6.9000000000000006E-2</v>
      </c>
      <c r="AN113">
        <v>6.9000000000000006E-2</v>
      </c>
      <c r="AS113">
        <v>23371864</v>
      </c>
      <c r="AT113">
        <v>14107584</v>
      </c>
      <c r="AU113" t="s">
        <v>260</v>
      </c>
      <c r="AV113" t="s">
        <v>262</v>
      </c>
      <c r="BB113">
        <f t="shared" si="183"/>
        <v>0.54063145065714546</v>
      </c>
      <c r="BD113">
        <f t="shared" si="184"/>
        <v>5061305</v>
      </c>
      <c r="BE113">
        <f t="shared" si="185"/>
        <v>-4202975</v>
      </c>
      <c r="BF113">
        <f t="shared" si="186"/>
        <v>12.697615270138593</v>
      </c>
      <c r="BG113">
        <f t="shared" si="187"/>
        <v>-10.544268630325728</v>
      </c>
      <c r="BH113">
        <f t="shared" si="188"/>
        <v>11.620941950232162</v>
      </c>
      <c r="BI113">
        <f t="shared" si="189"/>
        <v>107.66733199064331</v>
      </c>
      <c r="BJ113">
        <f t="shared" si="190"/>
        <v>12</v>
      </c>
      <c r="BK113">
        <f>IF($BJ113&lt;=30,IF($B113=2015,VLOOKUP($BJ113,'Treasury Yields'!$C$5:$N$34,$E113,FALSE)/100,IF($B113=2016,VLOOKUP($BJ113,'Treasury Yields'!$C$40:$N$69,$E113,FALSE)/100,IF($B113=2017,VLOOKUP($BJ113,'Treasury Yields'!$C$75:$N$104,$E113,FALSE)/100,IF($B113=2018,VLOOKUP($BJ113,'Treasury Yields'!$C$110:$N$139,$E113,FALSE)/100,IF($B113=2019,VLOOKUP($BJ113,'Treasury Yields'!$C$145:$N$174,$E113,FALSE)/100,IF($B113=2020,VLOOKUP($BJ113,'Treasury Yields'!$C$180:$N$209,$E113,FALSE)/100,IF($B113=2021,VLOOKUP($BJ113,'Treasury Yields'!$C$215:$N$244,$E113,FALSE)/100,IF($B113=2022,VLOOKUP($BJ113,'Treasury Yields'!$C$250:$N$279,$E113,FALSE)/100)))))))),0)</f>
        <v>2.1085818181818185E-2</v>
      </c>
      <c r="BL113">
        <f t="shared" si="191"/>
        <v>1.5591036943212659</v>
      </c>
      <c r="BM113">
        <f t="shared" si="192"/>
        <v>59313529.088460624</v>
      </c>
      <c r="BN113">
        <f t="shared" si="193"/>
        <v>36196441.088460624</v>
      </c>
      <c r="BP113">
        <f>IF($BJ113&lt;=30,IF($B113=2015,VLOOKUP($BJ113,'Treasury Yields'!$C$40:$N$69,$E113,FALSE)/100,IF($B113=2016,VLOOKUP($BJ113,'Treasury Yields'!$C$75:$N$104,$E113,FALSE)/100,IF($B113=2017,VLOOKUP($BJ113,'Treasury Yields'!$C$110:$N$139,$E113,FALSE)/100,IF($B113=2018,VLOOKUP($BJ113,'Treasury Yields'!$C$145:$N$174,$E113,FALSE)/100,IF($B113=2019,VLOOKUP($BJ113,'Treasury Yields'!$C$180:$N$209,$E113,FALSE)/100,IF($B113=2020,VLOOKUP($BJ113,'Treasury Yields'!$C$215:$N$244,$E113,FALSE)/100,IF($B113=2021,VLOOKUP($BJ113,'Treasury Yields'!$C$250:$N$279,$E113,FALSE)/100,IF($B113=2022,VLOOKUP($BJ113,'Treasury Yields'!$C$285:$N$314,$E113,FALSE)/100)))))))),0)</f>
        <v>3.2402272727272724E-2</v>
      </c>
      <c r="BQ113">
        <f t="shared" si="194"/>
        <v>1.426639457788321</v>
      </c>
      <c r="BR113">
        <f t="shared" si="195"/>
        <v>56866248.246490657</v>
      </c>
      <c r="BS113">
        <f t="shared" si="196"/>
        <v>35316527.246490657</v>
      </c>
      <c r="BU113">
        <f t="shared" si="90"/>
        <v>15</v>
      </c>
      <c r="BV113">
        <f t="shared" si="197"/>
        <v>2.522699956416651</v>
      </c>
      <c r="BW113">
        <f t="shared" si="198"/>
        <v>1557686.4966886768</v>
      </c>
      <c r="BX113" s="5">
        <f t="shared" si="199"/>
        <v>1236559.6014641703</v>
      </c>
      <c r="BY113" s="5">
        <f t="shared" si="200"/>
        <v>749116.88700307917</v>
      </c>
      <c r="BZ113" s="5">
        <f t="shared" si="201"/>
        <v>3165625</v>
      </c>
      <c r="CA113" s="5">
        <f t="shared" si="202"/>
        <v>2306803.3836917561</v>
      </c>
      <c r="CC113" s="5">
        <f t="shared" si="203"/>
        <v>56866248.246490657</v>
      </c>
      <c r="CD113" s="5" t="str">
        <f t="shared" si="204"/>
        <v>Connecticut</v>
      </c>
      <c r="CE113" s="5">
        <f t="shared" si="88"/>
        <v>0.54063145065714546</v>
      </c>
      <c r="CF113" s="10">
        <f t="shared" si="205"/>
        <v>0.37895450578331202</v>
      </c>
    </row>
    <row r="114" spans="1:84" x14ac:dyDescent="0.2">
      <c r="A114">
        <v>9200100110100</v>
      </c>
      <c r="B114">
        <v>2015</v>
      </c>
      <c r="C114">
        <v>637</v>
      </c>
      <c r="D114" t="s">
        <v>263</v>
      </c>
      <c r="E114">
        <v>9</v>
      </c>
      <c r="F114" t="s">
        <v>264</v>
      </c>
      <c r="G114" t="s">
        <v>265</v>
      </c>
      <c r="I114" t="b">
        <v>1</v>
      </c>
      <c r="J114">
        <v>53297</v>
      </c>
      <c r="K114">
        <v>118378</v>
      </c>
      <c r="L114">
        <v>0</v>
      </c>
      <c r="M114">
        <v>-7246</v>
      </c>
      <c r="N114">
        <v>0</v>
      </c>
      <c r="O114">
        <v>64076</v>
      </c>
      <c r="P114">
        <v>5576</v>
      </c>
      <c r="Q114">
        <v>94777</v>
      </c>
      <c r="R114">
        <v>1856034</v>
      </c>
      <c r="S114">
        <v>1950811</v>
      </c>
      <c r="T114">
        <v>39513</v>
      </c>
      <c r="V114">
        <v>31621</v>
      </c>
      <c r="W114">
        <v>-72647</v>
      </c>
      <c r="Y114">
        <v>4543</v>
      </c>
      <c r="Z114">
        <v>385</v>
      </c>
      <c r="AA114">
        <v>-75323</v>
      </c>
      <c r="AB114">
        <v>1745961</v>
      </c>
      <c r="AC114">
        <v>1670638</v>
      </c>
      <c r="AD114">
        <v>280173</v>
      </c>
      <c r="AE114">
        <v>110073</v>
      </c>
      <c r="AF114">
        <v>170100</v>
      </c>
      <c r="AG114">
        <v>417090</v>
      </c>
      <c r="AH114">
        <v>9.4734949291519821E-2</v>
      </c>
      <c r="AI114" t="b">
        <v>1</v>
      </c>
      <c r="AK114">
        <v>6.5000000000000002E-2</v>
      </c>
      <c r="AL114">
        <v>6.5000000000000002E-2</v>
      </c>
      <c r="AM114">
        <v>6.5000000000000002E-2</v>
      </c>
      <c r="AN114">
        <v>6.5000000000000002E-2</v>
      </c>
      <c r="AO114">
        <v>0</v>
      </c>
      <c r="AP114">
        <v>0</v>
      </c>
      <c r="AS114">
        <v>598302</v>
      </c>
      <c r="AT114">
        <v>23315</v>
      </c>
      <c r="AU114" t="s">
        <v>266</v>
      </c>
      <c r="AV114" t="s">
        <v>267</v>
      </c>
      <c r="BB114">
        <f t="shared" ref="BB114:BB121" si="206">AC114/S114</f>
        <v>0.85638126912345691</v>
      </c>
      <c r="BD114">
        <f t="shared" ref="BD114:BD121" si="207">AS114-AD114</f>
        <v>318129</v>
      </c>
      <c r="BE114">
        <f t="shared" ref="BE114:BE121" si="208">AT114-AD114</f>
        <v>-256858</v>
      </c>
      <c r="BF114">
        <f t="shared" ref="BF114:BF121" si="209">BD114/S114*100</f>
        <v>16.307525434293737</v>
      </c>
      <c r="BG114">
        <f t="shared" ref="BG114:BG121" si="210">BE114/S114*100</f>
        <v>-13.166729119325243</v>
      </c>
      <c r="BH114">
        <f t="shared" ref="BH114:BH121" si="211">(BD114-BE114)/(2*S114)*100</f>
        <v>14.737127276809492</v>
      </c>
      <c r="BI114">
        <f t="shared" ref="BI114:BI121" si="212">(BD114+BE114)/(2*S114*(0.01^2))</f>
        <v>157.03981574842462</v>
      </c>
      <c r="BJ114">
        <f t="shared" ref="BJ114:BJ121" si="213">ROUND(BH114,0)</f>
        <v>15</v>
      </c>
      <c r="BK114">
        <f>IF($BJ114&lt;=30,IF($B114=2015,VLOOKUP($BJ114,'Treasury Yields'!$C$5:$N$34,$E114,FALSE)/100,IF($B114=2016,VLOOKUP($BJ114,'Treasury Yields'!$C$40:$N$69,$E114,FALSE)/100,IF($B114=2017,VLOOKUP($BJ114,'Treasury Yields'!$C$75:$N$104,$E114,FALSE)/100,IF($B114=2018,VLOOKUP($BJ114,'Treasury Yields'!$C$110:$N$139,$E114,FALSE)/100,IF($B114=2019,VLOOKUP($BJ114,'Treasury Yields'!$C$145:$N$174,$E114,FALSE)/100,IF($B114=2020,VLOOKUP($BJ114,'Treasury Yields'!$C$180:$N$209,$E114,FALSE)/100,IF($B114=2021,VLOOKUP($BJ114,'Treasury Yields'!$C$215:$N$244,$E114,FALSE)/100,IF($B114=2022,VLOOKUP($BJ114,'Treasury Yields'!$C$250:$N$279,$E114,FALSE)/100)))))))),0)</f>
        <v>3.0859999999999999E-2</v>
      </c>
      <c r="BL114">
        <f t="shared" ref="BL114:BL121" si="214">1+BH114*(AL114-BK114)+(AL114-BK114)^2</f>
        <v>1.5042910648302761</v>
      </c>
      <c r="BM114">
        <f t="shared" ref="BM114:BM121" si="215">BL114*R114</f>
        <v>2792015.3622211968</v>
      </c>
      <c r="BN114">
        <f t="shared" ref="BN114:BN121" si="216">BM114-AB114</f>
        <v>1046054.3622211968</v>
      </c>
      <c r="BP114">
        <f>IF($BJ114&lt;=30,IF($B114=2015,VLOOKUP($BJ114,'Treasury Yields'!$C$40:$N$69,$E114,FALSE)/100,IF($B114=2016,VLOOKUP($BJ114,'Treasury Yields'!$C$75:$N$104,$E114,FALSE)/100,IF($B114=2017,VLOOKUP($BJ114,'Treasury Yields'!$C$110:$N$139,$E114,FALSE)/100,IF($B114=2018,VLOOKUP($BJ114,'Treasury Yields'!$C$145:$N$174,$E114,FALSE)/100,IF($B114=2019,VLOOKUP($BJ114,'Treasury Yields'!$C$180:$N$209,$E114,FALSE)/100,IF($B114=2020,VLOOKUP($BJ114,'Treasury Yields'!$C$215:$N$244,$E114,FALSE)/100,IF($B114=2021,VLOOKUP($BJ114,'Treasury Yields'!$C$250:$N$279,$E114,FALSE)/100,IF($B114=2022,VLOOKUP($BJ114,'Treasury Yields'!$C$285:$N$314,$E114,FALSE)/100)))))))),0)</f>
        <v>2.5680000000000001E-2</v>
      </c>
      <c r="BQ114">
        <f t="shared" ref="BQ114:BQ121" si="217">1+BH114*(AN114-BP114)+(AN114-BP114)^2</f>
        <v>1.5810099069241494</v>
      </c>
      <c r="BR114">
        <f t="shared" ref="BR114:BR121" si="218">BQ114*S114</f>
        <v>3084251.5175366071</v>
      </c>
      <c r="BS114">
        <f t="shared" ref="BS114:BS121" si="219">BR114-AC114</f>
        <v>1413613.5175366071</v>
      </c>
      <c r="BU114">
        <f t="shared" si="90"/>
        <v>18</v>
      </c>
      <c r="BV114">
        <f t="shared" ref="BV114:BV121" si="220">1+(BH114+BU114)*(AN114-BK114)+(AN114-BK114)^2*BI114</f>
        <v>2.3006816492617688</v>
      </c>
      <c r="BW114">
        <f t="shared" ref="BW114:BW121" si="221">BV114*J114</f>
        <v>122619.42986070449</v>
      </c>
      <c r="BX114" s="5">
        <f t="shared" ref="BX114:BX121" si="222">(BM114+BW114-O114)*BK114</f>
        <v>87968.244323647465</v>
      </c>
      <c r="BY114" s="5">
        <f t="shared" ref="BY114:BY121" si="223">BK114*(BN114+BW114-O114)</f>
        <v>34087.887863647476</v>
      </c>
      <c r="BZ114" s="5">
        <f t="shared" ref="BZ114:BZ121" si="224">SUM(J114:K114)</f>
        <v>171675</v>
      </c>
      <c r="CA114" s="5">
        <f t="shared" ref="CA114:CA121" si="225">SUM(BW114+BY114)</f>
        <v>156707.31772435197</v>
      </c>
      <c r="CC114" s="5">
        <f t="shared" ref="CC114:CC121" si="226">BR114</f>
        <v>3084251.5175366071</v>
      </c>
      <c r="CD114" s="5" t="str">
        <f t="shared" ref="CD114:CD121" si="227">F114</f>
        <v>DC</v>
      </c>
      <c r="CE114" s="5">
        <f t="shared" si="88"/>
        <v>0.85638126912345691</v>
      </c>
      <c r="CF114" s="10">
        <f t="shared" ref="CF114:CF121" si="228">AC114/CC114</f>
        <v>0.541667237740176</v>
      </c>
    </row>
    <row r="115" spans="1:84" x14ac:dyDescent="0.2">
      <c r="A115">
        <v>9200100110100</v>
      </c>
      <c r="B115">
        <v>2016</v>
      </c>
      <c r="C115">
        <v>637</v>
      </c>
      <c r="D115" t="s">
        <v>263</v>
      </c>
      <c r="E115">
        <v>9</v>
      </c>
      <c r="F115" t="s">
        <v>264</v>
      </c>
      <c r="G115" t="s">
        <v>265</v>
      </c>
      <c r="I115" t="b">
        <v>1</v>
      </c>
      <c r="J115">
        <v>61599</v>
      </c>
      <c r="K115">
        <v>124370</v>
      </c>
      <c r="M115">
        <v>2656</v>
      </c>
      <c r="N115">
        <v>0</v>
      </c>
      <c r="O115">
        <v>69093</v>
      </c>
      <c r="P115">
        <v>6205</v>
      </c>
      <c r="Q115">
        <v>113327</v>
      </c>
      <c r="R115">
        <v>1950811</v>
      </c>
      <c r="S115">
        <v>2064138</v>
      </c>
      <c r="T115">
        <v>44469</v>
      </c>
      <c r="V115">
        <v>33591</v>
      </c>
      <c r="W115">
        <v>152262</v>
      </c>
      <c r="Y115">
        <v>4746</v>
      </c>
      <c r="Z115">
        <v>1033</v>
      </c>
      <c r="AA115">
        <v>151311</v>
      </c>
      <c r="AB115">
        <v>1670638</v>
      </c>
      <c r="AC115">
        <v>1821949</v>
      </c>
      <c r="AD115">
        <v>242189</v>
      </c>
      <c r="AE115">
        <v>280173</v>
      </c>
      <c r="AF115">
        <v>-37984</v>
      </c>
      <c r="AG115">
        <v>438079</v>
      </c>
      <c r="AH115">
        <v>0.10150908854339058</v>
      </c>
      <c r="AI115" t="b">
        <v>1</v>
      </c>
      <c r="AK115">
        <v>6.5000000000000002E-2</v>
      </c>
      <c r="AL115">
        <v>6.5000000000000002E-2</v>
      </c>
      <c r="AM115">
        <v>6.5000000000000002E-2</v>
      </c>
      <c r="AN115">
        <v>6.5000000000000002E-2</v>
      </c>
      <c r="AO115">
        <v>0</v>
      </c>
      <c r="AP115">
        <v>0</v>
      </c>
      <c r="AS115">
        <v>571400</v>
      </c>
      <c r="AT115">
        <v>-36976</v>
      </c>
      <c r="AU115" t="s">
        <v>113</v>
      </c>
      <c r="AV115" t="s">
        <v>268</v>
      </c>
      <c r="BB115">
        <f t="shared" si="206"/>
        <v>0.88266821307490095</v>
      </c>
      <c r="BD115">
        <f t="shared" si="207"/>
        <v>329211</v>
      </c>
      <c r="BE115">
        <f t="shared" si="208"/>
        <v>-279165</v>
      </c>
      <c r="BF115">
        <f t="shared" si="209"/>
        <v>15.94907898599803</v>
      </c>
      <c r="BG115">
        <f t="shared" si="210"/>
        <v>-13.524531790025668</v>
      </c>
      <c r="BH115">
        <f t="shared" si="211"/>
        <v>14.736805388011847</v>
      </c>
      <c r="BI115">
        <f t="shared" si="212"/>
        <v>121.22735979861811</v>
      </c>
      <c r="BJ115">
        <f t="shared" si="213"/>
        <v>15</v>
      </c>
      <c r="BK115">
        <f>IF($BJ115&lt;=30,IF($B115=2015,VLOOKUP($BJ115,'Treasury Yields'!$C$5:$N$34,$E115,FALSE)/100,IF($B115=2016,VLOOKUP($BJ115,'Treasury Yields'!$C$40:$N$69,$E115,FALSE)/100,IF($B115=2017,VLOOKUP($BJ115,'Treasury Yields'!$C$75:$N$104,$E115,FALSE)/100,IF($B115=2018,VLOOKUP($BJ115,'Treasury Yields'!$C$110:$N$139,$E115,FALSE)/100,IF($B115=2019,VLOOKUP($BJ115,'Treasury Yields'!$C$145:$N$174,$E115,FALSE)/100,IF($B115=2020,VLOOKUP($BJ115,'Treasury Yields'!$C$180:$N$209,$E115,FALSE)/100,IF($B115=2021,VLOOKUP($BJ115,'Treasury Yields'!$C$215:$N$244,$E115,FALSE)/100,IF($B115=2022,VLOOKUP($BJ115,'Treasury Yields'!$C$250:$N$279,$E115,FALSE)/100)))))))),0)</f>
        <v>2.5680000000000001E-2</v>
      </c>
      <c r="BL115">
        <f t="shared" si="214"/>
        <v>1.5809972502566261</v>
      </c>
      <c r="BM115">
        <f t="shared" si="215"/>
        <v>3084226.8267703787</v>
      </c>
      <c r="BN115">
        <f t="shared" si="216"/>
        <v>1413588.8267703787</v>
      </c>
      <c r="BP115">
        <f>IF($BJ115&lt;=30,IF($B115=2015,VLOOKUP($BJ115,'Treasury Yields'!$C$40:$N$69,$E115,FALSE)/100,IF($B115=2016,VLOOKUP($BJ115,'Treasury Yields'!$C$75:$N$104,$E115,FALSE)/100,IF($B115=2017,VLOOKUP($BJ115,'Treasury Yields'!$C$110:$N$139,$E115,FALSE)/100,IF($B115=2018,VLOOKUP($BJ115,'Treasury Yields'!$C$145:$N$174,$E115,FALSE)/100,IF($B115=2019,VLOOKUP($BJ115,'Treasury Yields'!$C$180:$N$209,$E115,FALSE)/100,IF($B115=2020,VLOOKUP($BJ115,'Treasury Yields'!$C$215:$N$244,$E115,FALSE)/100,IF($B115=2021,VLOOKUP($BJ115,'Treasury Yields'!$C$250:$N$279,$E115,FALSE)/100,IF($B115=2022,VLOOKUP($BJ115,'Treasury Yields'!$C$285:$N$314,$E115,FALSE)/100)))))))),0)</f>
        <v>2.0299999999999999E-2</v>
      </c>
      <c r="BQ115">
        <f t="shared" si="217"/>
        <v>1.6607332908441297</v>
      </c>
      <c r="BR115">
        <f t="shared" si="218"/>
        <v>3427982.69349642</v>
      </c>
      <c r="BS115">
        <f t="shared" si="219"/>
        <v>1606033.69349642</v>
      </c>
      <c r="BU115">
        <f t="shared" si="90"/>
        <v>18</v>
      </c>
      <c r="BV115">
        <f t="shared" si="220"/>
        <v>2.4746362506925403</v>
      </c>
      <c r="BW115">
        <f t="shared" si="221"/>
        <v>152435.11840640981</v>
      </c>
      <c r="BX115" s="5">
        <f t="shared" si="222"/>
        <v>81343.170512139943</v>
      </c>
      <c r="BY115" s="5">
        <f t="shared" si="223"/>
        <v>38441.186672139935</v>
      </c>
      <c r="BZ115" s="5">
        <f t="shared" si="224"/>
        <v>185969</v>
      </c>
      <c r="CA115" s="5">
        <f t="shared" si="225"/>
        <v>190876.30507854975</v>
      </c>
      <c r="CC115" s="5">
        <f t="shared" si="226"/>
        <v>3427982.69349642</v>
      </c>
      <c r="CD115" s="5" t="str">
        <f t="shared" si="227"/>
        <v>DC</v>
      </c>
      <c r="CE115" s="5">
        <f t="shared" si="88"/>
        <v>0.88266821307490095</v>
      </c>
      <c r="CF115" s="10">
        <f t="shared" si="228"/>
        <v>0.53149305667633839</v>
      </c>
    </row>
    <row r="116" spans="1:84" x14ac:dyDescent="0.2">
      <c r="A116">
        <v>9200100110100</v>
      </c>
      <c r="B116">
        <v>2017</v>
      </c>
      <c r="C116">
        <v>637</v>
      </c>
      <c r="D116" t="s">
        <v>263</v>
      </c>
      <c r="E116">
        <v>9</v>
      </c>
      <c r="F116" t="s">
        <v>264</v>
      </c>
      <c r="G116" t="s">
        <v>265</v>
      </c>
      <c r="I116" t="b">
        <v>1</v>
      </c>
      <c r="J116">
        <v>65911</v>
      </c>
      <c r="K116">
        <v>131657</v>
      </c>
      <c r="M116">
        <v>-37230</v>
      </c>
      <c r="N116">
        <v>14106</v>
      </c>
      <c r="O116">
        <v>72069</v>
      </c>
      <c r="P116">
        <v>6166</v>
      </c>
      <c r="Q116">
        <v>96209</v>
      </c>
      <c r="R116">
        <v>2064138</v>
      </c>
      <c r="S116">
        <v>2160347</v>
      </c>
      <c r="T116">
        <v>56781</v>
      </c>
      <c r="V116">
        <v>34364</v>
      </c>
      <c r="W116">
        <v>239554</v>
      </c>
      <c r="Y116">
        <v>4721</v>
      </c>
      <c r="Z116">
        <v>907</v>
      </c>
      <c r="AA116">
        <v>248650</v>
      </c>
      <c r="AB116">
        <v>1821949</v>
      </c>
      <c r="AC116">
        <v>2070599</v>
      </c>
      <c r="AD116">
        <v>89748</v>
      </c>
      <c r="AE116">
        <v>242189</v>
      </c>
      <c r="AF116">
        <v>-152441</v>
      </c>
      <c r="AG116">
        <v>447762</v>
      </c>
      <c r="AH116">
        <v>0.12681067174079086</v>
      </c>
      <c r="AI116" t="b">
        <v>1</v>
      </c>
      <c r="AK116">
        <v>6.5000000000000002E-2</v>
      </c>
      <c r="AL116">
        <v>6.5000000000000002E-2</v>
      </c>
      <c r="AM116">
        <v>6.5000000000000002E-2</v>
      </c>
      <c r="AN116">
        <v>6.5000000000000002E-2</v>
      </c>
      <c r="AO116">
        <v>0</v>
      </c>
      <c r="AP116">
        <v>0</v>
      </c>
      <c r="AS116">
        <v>442350</v>
      </c>
      <c r="AT116">
        <v>-190869</v>
      </c>
      <c r="AU116" t="s">
        <v>269</v>
      </c>
      <c r="AV116" t="s">
        <v>270</v>
      </c>
      <c r="BB116">
        <f t="shared" si="206"/>
        <v>0.9584566738584126</v>
      </c>
      <c r="BD116">
        <f t="shared" si="207"/>
        <v>352602</v>
      </c>
      <c r="BE116">
        <f t="shared" si="208"/>
        <v>-280617</v>
      </c>
      <c r="BF116">
        <f t="shared" si="209"/>
        <v>16.321544640745213</v>
      </c>
      <c r="BG116">
        <f t="shared" si="210"/>
        <v>-12.989441048127917</v>
      </c>
      <c r="BH116">
        <f t="shared" si="211"/>
        <v>14.655492844436566</v>
      </c>
      <c r="BI116">
        <f t="shared" si="212"/>
        <v>166.60517963086485</v>
      </c>
      <c r="BJ116">
        <f t="shared" si="213"/>
        <v>15</v>
      </c>
      <c r="BK116">
        <f>IF($BJ116&lt;=30,IF($B116=2015,VLOOKUP($BJ116,'Treasury Yields'!$C$5:$N$34,$E116,FALSE)/100,IF($B116=2016,VLOOKUP($BJ116,'Treasury Yields'!$C$40:$N$69,$E116,FALSE)/100,IF($B116=2017,VLOOKUP($BJ116,'Treasury Yields'!$C$75:$N$104,$E116,FALSE)/100,IF($B116=2018,VLOOKUP($BJ116,'Treasury Yields'!$C$110:$N$139,$E116,FALSE)/100,IF($B116=2019,VLOOKUP($BJ116,'Treasury Yields'!$C$145:$N$174,$E116,FALSE)/100,IF($B116=2020,VLOOKUP($BJ116,'Treasury Yields'!$C$180:$N$209,$E116,FALSE)/100,IF($B116=2021,VLOOKUP($BJ116,'Treasury Yields'!$C$215:$N$244,$E116,FALSE)/100,IF($B116=2022,VLOOKUP($BJ116,'Treasury Yields'!$C$250:$N$279,$E116,FALSE)/100)))))))),0)</f>
        <v>2.0299999999999999E-2</v>
      </c>
      <c r="BL116">
        <f t="shared" si="214"/>
        <v>1.6570986201463145</v>
      </c>
      <c r="BM116">
        <f t="shared" si="215"/>
        <v>3420480.2315915735</v>
      </c>
      <c r="BN116">
        <f t="shared" si="216"/>
        <v>1598531.2315915735</v>
      </c>
      <c r="BP116">
        <f>IF($BJ116&lt;=30,IF($B116=2015,VLOOKUP($BJ116,'Treasury Yields'!$C$40:$N$69,$E116,FALSE)/100,IF($B116=2016,VLOOKUP($BJ116,'Treasury Yields'!$C$75:$N$104,$E116,FALSE)/100,IF($B116=2017,VLOOKUP($BJ116,'Treasury Yields'!$C$110:$N$139,$E116,FALSE)/100,IF($B116=2018,VLOOKUP($BJ116,'Treasury Yields'!$C$145:$N$174,$E116,FALSE)/100,IF($B116=2019,VLOOKUP($BJ116,'Treasury Yields'!$C$180:$N$209,$E116,FALSE)/100,IF($B116=2020,VLOOKUP($BJ116,'Treasury Yields'!$C$215:$N$244,$E116,FALSE)/100,IF($B116=2021,VLOOKUP($BJ116,'Treasury Yields'!$C$250:$N$279,$E116,FALSE)/100,IF($B116=2022,VLOOKUP($BJ116,'Treasury Yields'!$C$285:$N$314,$E116,FALSE)/100)))))))),0)</f>
        <v>2.7000000000000003E-2</v>
      </c>
      <c r="BQ116">
        <f t="shared" si="217"/>
        <v>1.5583527280885894</v>
      </c>
      <c r="BR116">
        <f t="shared" si="218"/>
        <v>3366582.6410679999</v>
      </c>
      <c r="BS116">
        <f t="shared" si="219"/>
        <v>1295983.6410679999</v>
      </c>
      <c r="BU116">
        <f t="shared" si="90"/>
        <v>18</v>
      </c>
      <c r="BV116">
        <f t="shared" si="220"/>
        <v>2.7925926735149496</v>
      </c>
      <c r="BW116">
        <f t="shared" si="221"/>
        <v>184062.57570404385</v>
      </c>
      <c r="BX116" s="5">
        <f t="shared" si="222"/>
        <v>71709.218288101023</v>
      </c>
      <c r="BY116" s="5">
        <f t="shared" si="223"/>
        <v>34723.653588101028</v>
      </c>
      <c r="BZ116" s="5">
        <f t="shared" si="224"/>
        <v>197568</v>
      </c>
      <c r="CA116" s="5">
        <f t="shared" si="225"/>
        <v>218786.22929214488</v>
      </c>
      <c r="CC116" s="5">
        <f t="shared" si="226"/>
        <v>3366582.6410679999</v>
      </c>
      <c r="CD116" s="5" t="str">
        <f t="shared" si="227"/>
        <v>DC</v>
      </c>
      <c r="CE116" s="5">
        <f t="shared" si="88"/>
        <v>0.9584566738584126</v>
      </c>
      <c r="CF116" s="10">
        <f t="shared" si="228"/>
        <v>0.61504475628827349</v>
      </c>
    </row>
    <row r="117" spans="1:84" x14ac:dyDescent="0.2">
      <c r="A117">
        <v>9200100110100</v>
      </c>
      <c r="B117">
        <v>2018</v>
      </c>
      <c r="C117">
        <v>637</v>
      </c>
      <c r="D117" t="s">
        <v>263</v>
      </c>
      <c r="E117">
        <v>9</v>
      </c>
      <c r="F117" t="s">
        <v>264</v>
      </c>
      <c r="G117" t="s">
        <v>265</v>
      </c>
      <c r="I117" t="b">
        <v>1</v>
      </c>
      <c r="J117">
        <v>67877</v>
      </c>
      <c r="K117">
        <v>137704</v>
      </c>
      <c r="M117">
        <v>-19505</v>
      </c>
      <c r="N117">
        <v>0</v>
      </c>
      <c r="O117">
        <v>78430</v>
      </c>
      <c r="P117">
        <v>6126</v>
      </c>
      <c r="Q117">
        <v>101520</v>
      </c>
      <c r="R117">
        <v>2160347</v>
      </c>
      <c r="S117">
        <v>2261867</v>
      </c>
      <c r="T117">
        <v>59046</v>
      </c>
      <c r="V117">
        <v>40324</v>
      </c>
      <c r="W117">
        <v>94129</v>
      </c>
      <c r="Y117">
        <v>4474</v>
      </c>
      <c r="Z117">
        <v>1038</v>
      </c>
      <c r="AA117">
        <v>105507</v>
      </c>
      <c r="AB117">
        <v>2070599</v>
      </c>
      <c r="AC117">
        <v>2176106</v>
      </c>
      <c r="AD117">
        <v>85761</v>
      </c>
      <c r="AE117">
        <v>89748</v>
      </c>
      <c r="AF117">
        <v>-3987</v>
      </c>
      <c r="AG117">
        <v>470749</v>
      </c>
      <c r="AH117">
        <v>0.12542990001040893</v>
      </c>
      <c r="AI117" t="b">
        <v>1</v>
      </c>
      <c r="AK117">
        <v>6.5000000000000002E-2</v>
      </c>
      <c r="AL117">
        <v>6.5000000000000002E-2</v>
      </c>
      <c r="AM117">
        <v>6.5000000000000002E-2</v>
      </c>
      <c r="AN117">
        <v>6.5000000000000002E-2</v>
      </c>
      <c r="AO117">
        <v>0</v>
      </c>
      <c r="AP117">
        <v>0</v>
      </c>
      <c r="AS117">
        <v>477094</v>
      </c>
      <c r="AT117">
        <v>-244803</v>
      </c>
      <c r="AU117" t="s">
        <v>216</v>
      </c>
      <c r="AV117" t="s">
        <v>271</v>
      </c>
      <c r="BB117">
        <f t="shared" si="206"/>
        <v>0.96208397752829855</v>
      </c>
      <c r="BD117">
        <f t="shared" si="207"/>
        <v>391333</v>
      </c>
      <c r="BE117">
        <f t="shared" si="208"/>
        <v>-330564</v>
      </c>
      <c r="BF117">
        <f t="shared" si="209"/>
        <v>17.301326735833715</v>
      </c>
      <c r="BG117">
        <f t="shared" si="210"/>
        <v>-14.614652408828634</v>
      </c>
      <c r="BH117">
        <f t="shared" si="211"/>
        <v>15.957989572331178</v>
      </c>
      <c r="BI117">
        <f t="shared" si="212"/>
        <v>134.33371635025401</v>
      </c>
      <c r="BJ117">
        <f t="shared" si="213"/>
        <v>16</v>
      </c>
      <c r="BK117">
        <f>IF($BJ117&lt;=30,IF($B117=2015,VLOOKUP($BJ117,'Treasury Yields'!$C$5:$N$34,$E117,FALSE)/100,IF($B117=2016,VLOOKUP($BJ117,'Treasury Yields'!$C$40:$N$69,$E117,FALSE)/100,IF($B117=2017,VLOOKUP($BJ117,'Treasury Yields'!$C$75:$N$104,$E117,FALSE)/100,IF($B117=2018,VLOOKUP($BJ117,'Treasury Yields'!$C$110:$N$139,$E117,FALSE)/100,IF($B117=2019,VLOOKUP($BJ117,'Treasury Yields'!$C$145:$N$174,$E117,FALSE)/100,IF($B117=2020,VLOOKUP($BJ117,'Treasury Yields'!$C$180:$N$209,$E117,FALSE)/100,IF($B117=2021,VLOOKUP($BJ117,'Treasury Yields'!$C$215:$N$244,$E117,FALSE)/100,IF($B117=2022,VLOOKUP($BJ117,'Treasury Yields'!$C$250:$N$279,$E117,FALSE)/100)))))))),0)</f>
        <v>2.7202400000000002E-2</v>
      </c>
      <c r="BL117">
        <f t="shared" si="214"/>
        <v>1.6046023652249048</v>
      </c>
      <c r="BM117">
        <f t="shared" si="215"/>
        <v>3466497.9059065273</v>
      </c>
      <c r="BN117">
        <f t="shared" si="216"/>
        <v>1395898.9059065273</v>
      </c>
      <c r="BP117">
        <f>IF($BJ117&lt;=30,IF($B117=2015,VLOOKUP($BJ117,'Treasury Yields'!$C$40:$N$69,$E117,FALSE)/100,IF($B117=2016,VLOOKUP($BJ117,'Treasury Yields'!$C$75:$N$104,$E117,FALSE)/100,IF($B117=2017,VLOOKUP($BJ117,'Treasury Yields'!$C$110:$N$139,$E117,FALSE)/100,IF($B117=2018,VLOOKUP($BJ117,'Treasury Yields'!$C$145:$N$174,$E117,FALSE)/100,IF($B117=2019,VLOOKUP($BJ117,'Treasury Yields'!$C$180:$N$209,$E117,FALSE)/100,IF($B117=2020,VLOOKUP($BJ117,'Treasury Yields'!$C$215:$N$244,$E117,FALSE)/100,IF($B117=2021,VLOOKUP($BJ117,'Treasury Yields'!$C$250:$N$279,$E117,FALSE)/100,IF($B117=2022,VLOOKUP($BJ117,'Treasury Yields'!$C$285:$N$314,$E117,FALSE)/100)))))))),0)</f>
        <v>3.2629418181818179E-2</v>
      </c>
      <c r="BQ117">
        <f t="shared" si="217"/>
        <v>1.5176172616720864</v>
      </c>
      <c r="BR117">
        <f t="shared" si="218"/>
        <v>3432648.4028064571</v>
      </c>
      <c r="BS117">
        <f t="shared" si="219"/>
        <v>1256542.4028064571</v>
      </c>
      <c r="BU117">
        <f t="shared" si="90"/>
        <v>19</v>
      </c>
      <c r="BV117">
        <f t="shared" si="220"/>
        <v>2.5132451211933096</v>
      </c>
      <c r="BW117">
        <f t="shared" si="221"/>
        <v>170591.53909123829</v>
      </c>
      <c r="BX117" s="5">
        <f t="shared" si="222"/>
        <v>96804.077686607226</v>
      </c>
      <c r="BY117" s="5">
        <f t="shared" si="223"/>
        <v>40478.815449007219</v>
      </c>
      <c r="BZ117" s="5">
        <f t="shared" si="224"/>
        <v>205581</v>
      </c>
      <c r="CA117" s="5">
        <f t="shared" si="225"/>
        <v>211070.35454024549</v>
      </c>
      <c r="CC117" s="5">
        <f t="shared" si="226"/>
        <v>3432648.4028064571</v>
      </c>
      <c r="CD117" s="5" t="str">
        <f t="shared" si="227"/>
        <v>DC</v>
      </c>
      <c r="CE117" s="5">
        <f t="shared" si="88"/>
        <v>0.96208397752829855</v>
      </c>
      <c r="CF117" s="10">
        <f t="shared" si="228"/>
        <v>0.63394374973587864</v>
      </c>
    </row>
    <row r="118" spans="1:84" x14ac:dyDescent="0.2">
      <c r="A118">
        <v>9200100110100</v>
      </c>
      <c r="B118">
        <v>2019</v>
      </c>
      <c r="C118">
        <v>637</v>
      </c>
      <c r="D118" t="s">
        <v>263</v>
      </c>
      <c r="E118">
        <v>9</v>
      </c>
      <c r="F118" t="s">
        <v>264</v>
      </c>
      <c r="G118" t="s">
        <v>265</v>
      </c>
      <c r="I118" t="b">
        <v>1</v>
      </c>
      <c r="J118">
        <v>72429</v>
      </c>
      <c r="K118">
        <v>144165</v>
      </c>
      <c r="M118">
        <v>103719</v>
      </c>
      <c r="N118">
        <v>0</v>
      </c>
      <c r="O118">
        <v>81471</v>
      </c>
      <c r="P118">
        <v>6418</v>
      </c>
      <c r="Q118">
        <v>232424</v>
      </c>
      <c r="R118">
        <v>2261867</v>
      </c>
      <c r="S118">
        <v>2494291</v>
      </c>
      <c r="T118">
        <v>53343</v>
      </c>
      <c r="V118">
        <v>40432</v>
      </c>
      <c r="W118">
        <v>85047</v>
      </c>
      <c r="Y118">
        <v>3440</v>
      </c>
      <c r="Z118">
        <v>883</v>
      </c>
      <c r="AA118">
        <v>88376</v>
      </c>
      <c r="AB118">
        <v>2176106</v>
      </c>
      <c r="AC118">
        <v>2264482</v>
      </c>
      <c r="AD118">
        <v>229809</v>
      </c>
      <c r="AE118">
        <v>85761</v>
      </c>
      <c r="AF118">
        <v>144048</v>
      </c>
      <c r="AG118">
        <v>466792</v>
      </c>
      <c r="AH118">
        <v>0.11427573737339114</v>
      </c>
      <c r="AI118" t="b">
        <v>1</v>
      </c>
      <c r="AK118">
        <v>6.5000000000000002E-2</v>
      </c>
      <c r="AL118">
        <v>6.5000000000000002E-2</v>
      </c>
      <c r="AM118">
        <v>6.5000000000000002E-2</v>
      </c>
      <c r="AN118">
        <v>6.5000000000000002E-2</v>
      </c>
      <c r="AS118">
        <v>669520</v>
      </c>
      <c r="AT118">
        <v>-117925</v>
      </c>
      <c r="BB118">
        <f t="shared" si="206"/>
        <v>0.9078660028040032</v>
      </c>
      <c r="BD118">
        <f t="shared" si="207"/>
        <v>439711</v>
      </c>
      <c r="BE118">
        <f t="shared" si="208"/>
        <v>-347734</v>
      </c>
      <c r="BF118">
        <f t="shared" si="209"/>
        <v>17.628696892223079</v>
      </c>
      <c r="BG118">
        <f t="shared" si="210"/>
        <v>-13.941196115449239</v>
      </c>
      <c r="BH118">
        <f t="shared" si="211"/>
        <v>15.784946503836162</v>
      </c>
      <c r="BI118">
        <f t="shared" si="212"/>
        <v>184.37503883869203</v>
      </c>
      <c r="BJ118">
        <f t="shared" si="213"/>
        <v>16</v>
      </c>
      <c r="BK118">
        <f>IF($BJ118&lt;=30,IF($B118=2015,VLOOKUP($BJ118,'Treasury Yields'!$C$5:$N$34,$E118,FALSE)/100,IF($B118=2016,VLOOKUP($BJ118,'Treasury Yields'!$C$40:$N$69,$E118,FALSE)/100,IF($B118=2017,VLOOKUP($BJ118,'Treasury Yields'!$C$75:$N$104,$E118,FALSE)/100,IF($B118=2018,VLOOKUP($BJ118,'Treasury Yields'!$C$110:$N$139,$E118,FALSE)/100,IF($B118=2019,VLOOKUP($BJ118,'Treasury Yields'!$C$145:$N$174,$E118,FALSE)/100,IF($B118=2020,VLOOKUP($BJ118,'Treasury Yields'!$C$180:$N$209,$E118,FALSE)/100,IF($B118=2021,VLOOKUP($BJ118,'Treasury Yields'!$C$215:$N$244,$E118,FALSE)/100,IF($B118=2022,VLOOKUP($BJ118,'Treasury Yields'!$C$250:$N$279,$E118,FALSE)/100)))))))),0)</f>
        <v>3.2629418181818179E-2</v>
      </c>
      <c r="BL118">
        <f t="shared" si="214"/>
        <v>1.5120157568652992</v>
      </c>
      <c r="BM118">
        <f t="shared" si="215"/>
        <v>3419978.543933644</v>
      </c>
      <c r="BN118">
        <f t="shared" si="216"/>
        <v>1243872.543933644</v>
      </c>
      <c r="BP118">
        <f>IF($BJ118&lt;=30,IF($B118=2015,VLOOKUP($BJ118,'Treasury Yields'!$C$40:$N$69,$E118,FALSE)/100,IF($B118=2016,VLOOKUP($BJ118,'Treasury Yields'!$C$75:$N$104,$E118,FALSE)/100,IF($B118=2017,VLOOKUP($BJ118,'Treasury Yields'!$C$110:$N$139,$E118,FALSE)/100,IF($B118=2018,VLOOKUP($BJ118,'Treasury Yields'!$C$145:$N$174,$E118,FALSE)/100,IF($B118=2019,VLOOKUP($BJ118,'Treasury Yields'!$C$180:$N$209,$E118,FALSE)/100,IF($B118=2020,VLOOKUP($BJ118,'Treasury Yields'!$C$215:$N$244,$E118,FALSE)/100,IF($B118=2021,VLOOKUP($BJ118,'Treasury Yields'!$C$250:$N$279,$E118,FALSE)/100,IF($B118=2022,VLOOKUP($BJ118,'Treasury Yields'!$C$285:$N$314,$E118,FALSE)/100)))))))),0)</f>
        <v>1.9976000000000001E-2</v>
      </c>
      <c r="BQ118">
        <f t="shared" si="217"/>
        <v>1.7127285919647193</v>
      </c>
      <c r="BR118">
        <f t="shared" si="218"/>
        <v>4272043.5123802712</v>
      </c>
      <c r="BS118">
        <f t="shared" si="219"/>
        <v>2007561.5123802712</v>
      </c>
      <c r="BU118">
        <f t="shared" si="90"/>
        <v>19</v>
      </c>
      <c r="BV118">
        <f t="shared" si="220"/>
        <v>2.3192071833770842</v>
      </c>
      <c r="BW118">
        <f t="shared" si="221"/>
        <v>167977.85708481882</v>
      </c>
      <c r="BX118" s="5">
        <f t="shared" si="222"/>
        <v>114414.57849827183</v>
      </c>
      <c r="BY118" s="5">
        <f t="shared" si="223"/>
        <v>43409.505816308207</v>
      </c>
      <c r="BZ118" s="5">
        <f t="shared" si="224"/>
        <v>216594</v>
      </c>
      <c r="CA118" s="5">
        <f t="shared" si="225"/>
        <v>211387.36290112702</v>
      </c>
      <c r="CC118" s="5">
        <f t="shared" si="226"/>
        <v>4272043.5123802712</v>
      </c>
      <c r="CD118" s="5" t="str">
        <f t="shared" si="227"/>
        <v>DC</v>
      </c>
      <c r="CE118" s="5">
        <f t="shared" si="88"/>
        <v>0.9078660028040032</v>
      </c>
      <c r="CF118" s="10">
        <f t="shared" si="228"/>
        <v>0.53006997551349599</v>
      </c>
    </row>
    <row r="119" spans="1:84" x14ac:dyDescent="0.2">
      <c r="A119">
        <v>9200100110100</v>
      </c>
      <c r="B119">
        <v>2020</v>
      </c>
      <c r="C119">
        <v>637</v>
      </c>
      <c r="D119" t="s">
        <v>263</v>
      </c>
      <c r="E119">
        <v>9</v>
      </c>
      <c r="F119" t="s">
        <v>264</v>
      </c>
      <c r="G119" t="s">
        <v>265</v>
      </c>
      <c r="I119" t="b">
        <v>1</v>
      </c>
      <c r="J119">
        <v>80242</v>
      </c>
      <c r="K119">
        <v>159186</v>
      </c>
      <c r="M119">
        <v>-2364</v>
      </c>
      <c r="N119">
        <v>0</v>
      </c>
      <c r="O119">
        <v>85679</v>
      </c>
      <c r="P119">
        <v>4873</v>
      </c>
      <c r="Q119">
        <v>146512</v>
      </c>
      <c r="R119">
        <v>2494291</v>
      </c>
      <c r="S119">
        <v>2640803</v>
      </c>
      <c r="T119">
        <v>58888</v>
      </c>
      <c r="V119">
        <v>42356</v>
      </c>
      <c r="W119">
        <v>138924</v>
      </c>
      <c r="Y119">
        <v>3511</v>
      </c>
      <c r="Z119">
        <v>803</v>
      </c>
      <c r="AA119">
        <v>146908</v>
      </c>
      <c r="AB119">
        <v>2264482</v>
      </c>
      <c r="AC119">
        <v>2411390</v>
      </c>
      <c r="AD119">
        <v>229413</v>
      </c>
      <c r="AE119">
        <v>229809</v>
      </c>
      <c r="AF119">
        <v>-396</v>
      </c>
      <c r="AG119">
        <v>490756</v>
      </c>
      <c r="AH119">
        <v>0.11999445753082999</v>
      </c>
      <c r="AI119" t="b">
        <v>1</v>
      </c>
      <c r="AK119">
        <v>6.5000000000000002E-2</v>
      </c>
      <c r="AL119">
        <v>6.5000000000000002E-2</v>
      </c>
      <c r="AM119">
        <v>6.5000000000000002E-2</v>
      </c>
      <c r="AN119">
        <v>6.5000000000000002E-2</v>
      </c>
      <c r="AS119">
        <v>697957</v>
      </c>
      <c r="AT119">
        <v>-140586</v>
      </c>
      <c r="BB119">
        <f t="shared" si="206"/>
        <v>0.91312756006411688</v>
      </c>
      <c r="BD119">
        <f t="shared" si="207"/>
        <v>468544</v>
      </c>
      <c r="BE119">
        <f t="shared" si="208"/>
        <v>-369999</v>
      </c>
      <c r="BF119">
        <f t="shared" si="209"/>
        <v>17.742482116235099</v>
      </c>
      <c r="BG119">
        <f t="shared" si="210"/>
        <v>-14.010852002212964</v>
      </c>
      <c r="BH119">
        <f t="shared" si="211"/>
        <v>15.876667059224031</v>
      </c>
      <c r="BI119">
        <f t="shared" si="212"/>
        <v>186.58150570110681</v>
      </c>
      <c r="BJ119">
        <f t="shared" si="213"/>
        <v>16</v>
      </c>
      <c r="BK119">
        <f>IF($BJ119&lt;=30,IF($B119=2015,VLOOKUP($BJ119,'Treasury Yields'!$C$5:$N$34,$E119,FALSE)/100,IF($B119=2016,VLOOKUP($BJ119,'Treasury Yields'!$C$40:$N$69,$E119,FALSE)/100,IF($B119=2017,VLOOKUP($BJ119,'Treasury Yields'!$C$75:$N$104,$E119,FALSE)/100,IF($B119=2018,VLOOKUP($BJ119,'Treasury Yields'!$C$110:$N$139,$E119,FALSE)/100,IF($B119=2019,VLOOKUP($BJ119,'Treasury Yields'!$C$145:$N$174,$E119,FALSE)/100,IF($B119=2020,VLOOKUP($BJ119,'Treasury Yields'!$C$180:$N$209,$E119,FALSE)/100,IF($B119=2021,VLOOKUP($BJ119,'Treasury Yields'!$C$215:$N$244,$E119,FALSE)/100,IF($B119=2022,VLOOKUP($BJ119,'Treasury Yields'!$C$250:$N$279,$E119,FALSE)/100)))))))),0)</f>
        <v>1.9976000000000001E-2</v>
      </c>
      <c r="BL119">
        <f t="shared" si="214"/>
        <v>1.7168582182505028</v>
      </c>
      <c r="BM119">
        <f t="shared" si="215"/>
        <v>4282344.0020582648</v>
      </c>
      <c r="BN119">
        <f t="shared" si="216"/>
        <v>2017862.0020582648</v>
      </c>
      <c r="BP119">
        <f>IF($BJ119&lt;=30,IF($B119=2015,VLOOKUP($BJ119,'Treasury Yields'!$C$40:$N$69,$E119,FALSE)/100,IF($B119=2016,VLOOKUP($BJ119,'Treasury Yields'!$C$75:$N$104,$E119,FALSE)/100,IF($B119=2017,VLOOKUP($BJ119,'Treasury Yields'!$C$110:$N$139,$E119,FALSE)/100,IF($B119=2018,VLOOKUP($BJ119,'Treasury Yields'!$C$145:$N$174,$E119,FALSE)/100,IF($B119=2019,VLOOKUP($BJ119,'Treasury Yields'!$C$180:$N$209,$E119,FALSE)/100,IF($B119=2020,VLOOKUP($BJ119,'Treasury Yields'!$C$215:$N$244,$E119,FALSE)/100,IF($B119=2021,VLOOKUP($BJ119,'Treasury Yields'!$C$250:$N$279,$E119,FALSE)/100,IF($B119=2022,VLOOKUP($BJ119,'Treasury Yields'!$C$285:$N$314,$E119,FALSE)/100)))))))),0)</f>
        <v>1.0956363636363637E-2</v>
      </c>
      <c r="BQ119">
        <f t="shared" si="217"/>
        <v>1.8609535358466325</v>
      </c>
      <c r="BR119">
        <f t="shared" si="218"/>
        <v>4914411.6803243943</v>
      </c>
      <c r="BS119">
        <f t="shared" si="219"/>
        <v>2503021.6803243943</v>
      </c>
      <c r="BU119">
        <f t="shared" si="90"/>
        <v>19</v>
      </c>
      <c r="BV119">
        <f t="shared" si="220"/>
        <v>2.9485177302425059</v>
      </c>
      <c r="BW119">
        <f t="shared" si="221"/>
        <v>236594.95971011915</v>
      </c>
      <c r="BX119" s="5">
        <f t="shared" si="222"/>
        <v>88558.800996285237</v>
      </c>
      <c r="BY119" s="5">
        <f t="shared" si="223"/>
        <v>43323.508564285243</v>
      </c>
      <c r="BZ119" s="5">
        <f t="shared" si="224"/>
        <v>239428</v>
      </c>
      <c r="CA119" s="5">
        <f t="shared" si="225"/>
        <v>279918.46827440441</v>
      </c>
      <c r="CC119" s="5">
        <f t="shared" si="226"/>
        <v>4914411.6803243943</v>
      </c>
      <c r="CD119" s="5" t="str">
        <f t="shared" si="227"/>
        <v>DC</v>
      </c>
      <c r="CE119" s="5">
        <f t="shared" si="88"/>
        <v>0.91312756006411688</v>
      </c>
      <c r="CF119" s="10">
        <f t="shared" si="228"/>
        <v>0.49067724823591236</v>
      </c>
    </row>
    <row r="120" spans="1:84" x14ac:dyDescent="0.2">
      <c r="A120">
        <v>9200100110100</v>
      </c>
      <c r="B120">
        <v>2021</v>
      </c>
      <c r="C120">
        <v>637</v>
      </c>
      <c r="D120" t="s">
        <v>263</v>
      </c>
      <c r="E120">
        <v>9</v>
      </c>
      <c r="F120" t="s">
        <v>264</v>
      </c>
      <c r="G120" t="s">
        <v>265</v>
      </c>
      <c r="I120" t="b">
        <v>1</v>
      </c>
      <c r="J120">
        <v>87984</v>
      </c>
      <c r="K120">
        <v>168636</v>
      </c>
      <c r="M120">
        <v>-16580</v>
      </c>
      <c r="N120">
        <v>-89404</v>
      </c>
      <c r="O120">
        <v>89404</v>
      </c>
      <c r="P120">
        <v>3417</v>
      </c>
      <c r="Q120">
        <v>57815</v>
      </c>
      <c r="R120">
        <v>2640803</v>
      </c>
      <c r="S120">
        <v>2698618</v>
      </c>
      <c r="T120">
        <v>70478</v>
      </c>
      <c r="V120">
        <v>45689</v>
      </c>
      <c r="W120">
        <v>513322</v>
      </c>
      <c r="Y120">
        <v>4127</v>
      </c>
      <c r="Z120">
        <v>953</v>
      </c>
      <c r="AA120">
        <v>533494</v>
      </c>
      <c r="AB120">
        <v>2411390</v>
      </c>
      <c r="AC120">
        <v>2944884</v>
      </c>
      <c r="AD120">
        <v>-246266</v>
      </c>
      <c r="AE120">
        <v>229413</v>
      </c>
      <c r="AF120">
        <v>-475679</v>
      </c>
      <c r="AG120">
        <v>538565</v>
      </c>
      <c r="AI120" t="b">
        <v>1</v>
      </c>
      <c r="AK120">
        <v>6.5000000000000002E-2</v>
      </c>
      <c r="AL120">
        <v>6.25E-2</v>
      </c>
      <c r="AM120">
        <v>6.25E-2</v>
      </c>
      <c r="AN120">
        <v>6.5000000000000002E-2</v>
      </c>
      <c r="AS120">
        <v>242924</v>
      </c>
      <c r="AT120">
        <v>-632285</v>
      </c>
      <c r="BB120">
        <f t="shared" si="206"/>
        <v>1.0912563393559223</v>
      </c>
      <c r="BD120">
        <f t="shared" si="207"/>
        <v>489190</v>
      </c>
      <c r="BE120">
        <f t="shared" si="208"/>
        <v>-386019</v>
      </c>
      <c r="BF120">
        <f t="shared" si="209"/>
        <v>18.127426705076449</v>
      </c>
      <c r="BG120">
        <f t="shared" si="210"/>
        <v>-14.304321693548328</v>
      </c>
      <c r="BH120">
        <f t="shared" si="211"/>
        <v>16.215874199312388</v>
      </c>
      <c r="BI120">
        <f t="shared" si="212"/>
        <v>191.15525057640613</v>
      </c>
      <c r="BJ120">
        <f t="shared" si="213"/>
        <v>16</v>
      </c>
      <c r="BK120">
        <f>IF($BJ120&lt;=30,IF($B120=2015,VLOOKUP($BJ120,'Treasury Yields'!$C$5:$N$34,$E120,FALSE)/100,IF($B120=2016,VLOOKUP($BJ120,'Treasury Yields'!$C$40:$N$69,$E120,FALSE)/100,IF($B120=2017,VLOOKUP($BJ120,'Treasury Yields'!$C$75:$N$104,$E120,FALSE)/100,IF($B120=2018,VLOOKUP($BJ120,'Treasury Yields'!$C$110:$N$139,$E120,FALSE)/100,IF($B120=2019,VLOOKUP($BJ120,'Treasury Yields'!$C$145:$N$174,$E120,FALSE)/100,IF($B120=2020,VLOOKUP($BJ120,'Treasury Yields'!$C$180:$N$209,$E120,FALSE)/100,IF($B120=2021,VLOOKUP($BJ120,'Treasury Yields'!$C$215:$N$244,$E120,FALSE)/100,IF($B120=2022,VLOOKUP($BJ120,'Treasury Yields'!$C$250:$N$279,$E120,FALSE)/100)))))))),0)</f>
        <v>1.0956363636363637E-2</v>
      </c>
      <c r="BL120">
        <f t="shared" si="214"/>
        <v>1.8384818694974174</v>
      </c>
      <c r="BM120">
        <f t="shared" si="215"/>
        <v>4855068.436414388</v>
      </c>
      <c r="BN120">
        <f t="shared" si="216"/>
        <v>2443678.436414388</v>
      </c>
      <c r="BP120">
        <f>IF($BJ120&lt;=30,IF($B120=2015,VLOOKUP($BJ120,'Treasury Yields'!$C$40:$N$69,$E120,FALSE)/100,IF($B120=2016,VLOOKUP($BJ120,'Treasury Yields'!$C$75:$N$104,$E120,FALSE)/100,IF($B120=2017,VLOOKUP($BJ120,'Treasury Yields'!$C$110:$N$139,$E120,FALSE)/100,IF($B120=2018,VLOOKUP($BJ120,'Treasury Yields'!$C$145:$N$174,$E120,FALSE)/100,IF($B120=2019,VLOOKUP($BJ120,'Treasury Yields'!$C$180:$N$209,$E120,FALSE)/100,IF($B120=2020,VLOOKUP($BJ120,'Treasury Yields'!$C$215:$N$244,$E120,FALSE)/100,IF($B120=2021,VLOOKUP($BJ120,'Treasury Yields'!$C$250:$N$279,$E120,FALSE)/100,IF($B120=2022,VLOOKUP($BJ120,'Treasury Yields'!$C$285:$N$314,$E120,FALSE)/100)))))))),0)</f>
        <v>1.7834181818181822E-2</v>
      </c>
      <c r="BQ120">
        <f t="shared" si="217"/>
        <v>1.767059588548765</v>
      </c>
      <c r="BR120">
        <f t="shared" si="218"/>
        <v>4768618.8127302909</v>
      </c>
      <c r="BS120">
        <f t="shared" si="219"/>
        <v>1823734.8127302909</v>
      </c>
      <c r="BU120">
        <f t="shared" si="90"/>
        <v>19</v>
      </c>
      <c r="BV120">
        <f t="shared" si="220"/>
        <v>3.4615038366835931</v>
      </c>
      <c r="BW120">
        <f t="shared" si="221"/>
        <v>304556.95356676925</v>
      </c>
      <c r="BX120" s="5">
        <f t="shared" si="222"/>
        <v>55551.189265502646</v>
      </c>
      <c r="BY120" s="5">
        <f t="shared" si="223"/>
        <v>29131.123556411734</v>
      </c>
      <c r="BZ120" s="5">
        <f t="shared" si="224"/>
        <v>256620</v>
      </c>
      <c r="CA120" s="5">
        <f t="shared" si="225"/>
        <v>333688.07712318096</v>
      </c>
      <c r="CC120" s="5">
        <f t="shared" si="226"/>
        <v>4768618.8127302909</v>
      </c>
      <c r="CD120" s="5" t="str">
        <f t="shared" si="227"/>
        <v>DC</v>
      </c>
      <c r="CE120" s="5">
        <f t="shared" si="88"/>
        <v>1.0912563393559223</v>
      </c>
      <c r="CF120" s="10">
        <f t="shared" si="228"/>
        <v>0.61755491802748963</v>
      </c>
    </row>
    <row r="121" spans="1:84" x14ac:dyDescent="0.2">
      <c r="A121">
        <v>9200100110100</v>
      </c>
      <c r="B121">
        <v>2022</v>
      </c>
      <c r="C121">
        <v>637</v>
      </c>
      <c r="D121" t="s">
        <v>263</v>
      </c>
      <c r="E121">
        <v>9</v>
      </c>
      <c r="F121" t="s">
        <v>264</v>
      </c>
      <c r="G121" t="s">
        <v>265</v>
      </c>
      <c r="I121" t="b">
        <v>1</v>
      </c>
      <c r="J121">
        <v>88666</v>
      </c>
      <c r="K121">
        <v>165520</v>
      </c>
      <c r="M121">
        <v>19354</v>
      </c>
      <c r="N121">
        <v>0</v>
      </c>
      <c r="O121">
        <v>95352</v>
      </c>
      <c r="P121">
        <v>5236</v>
      </c>
      <c r="Q121">
        <v>172952</v>
      </c>
      <c r="R121">
        <v>2698618</v>
      </c>
      <c r="S121">
        <v>2871570</v>
      </c>
      <c r="T121">
        <v>75060</v>
      </c>
      <c r="V121">
        <v>46914</v>
      </c>
      <c r="W121">
        <v>-389391</v>
      </c>
      <c r="Y121">
        <v>4488</v>
      </c>
      <c r="Z121">
        <v>871</v>
      </c>
      <c r="AA121">
        <v>-371622</v>
      </c>
      <c r="AB121">
        <v>2944884</v>
      </c>
      <c r="AC121">
        <v>2573262</v>
      </c>
      <c r="AD121">
        <v>298308</v>
      </c>
      <c r="AE121">
        <v>-246266</v>
      </c>
      <c r="AF121">
        <v>544574</v>
      </c>
      <c r="AG121">
        <v>575288</v>
      </c>
      <c r="AI121" t="b">
        <v>1</v>
      </c>
      <c r="AK121">
        <v>6.25E-2</v>
      </c>
      <c r="AL121">
        <v>6.25E-2</v>
      </c>
      <c r="AM121">
        <v>6.25E-2</v>
      </c>
      <c r="AN121">
        <v>6.25E-2</v>
      </c>
      <c r="AS121">
        <v>808893</v>
      </c>
      <c r="AT121">
        <v>-105854</v>
      </c>
      <c r="AU121" t="s">
        <v>201</v>
      </c>
      <c r="AV121" t="s">
        <v>272</v>
      </c>
      <c r="BB121">
        <f t="shared" si="206"/>
        <v>0.89611675842831617</v>
      </c>
      <c r="BD121">
        <f t="shared" si="207"/>
        <v>510585</v>
      </c>
      <c r="BE121">
        <f t="shared" si="208"/>
        <v>-404162</v>
      </c>
      <c r="BF121">
        <f t="shared" si="209"/>
        <v>17.780691398781851</v>
      </c>
      <c r="BG121">
        <f t="shared" si="210"/>
        <v>-14.074600305756086</v>
      </c>
      <c r="BH121">
        <f t="shared" si="211"/>
        <v>15.927645852268968</v>
      </c>
      <c r="BI121">
        <f t="shared" si="212"/>
        <v>185.3045546512883</v>
      </c>
      <c r="BJ121">
        <f t="shared" si="213"/>
        <v>16</v>
      </c>
      <c r="BK121">
        <f>IF($BJ121&lt;=30,IF($B121=2015,VLOOKUP($BJ121,'Treasury Yields'!$C$5:$N$34,$E121,FALSE)/100,IF($B121=2016,VLOOKUP($BJ121,'Treasury Yields'!$C$40:$N$69,$E121,FALSE)/100,IF($B121=2017,VLOOKUP($BJ121,'Treasury Yields'!$C$75:$N$104,$E121,FALSE)/100,IF($B121=2018,VLOOKUP($BJ121,'Treasury Yields'!$C$110:$N$139,$E121,FALSE)/100,IF($B121=2019,VLOOKUP($BJ121,'Treasury Yields'!$C$145:$N$174,$E121,FALSE)/100,IF($B121=2020,VLOOKUP($BJ121,'Treasury Yields'!$C$180:$N$209,$E121,FALSE)/100,IF($B121=2021,VLOOKUP($BJ121,'Treasury Yields'!$C$215:$N$244,$E121,FALSE)/100,IF($B121=2022,VLOOKUP($BJ121,'Treasury Yields'!$C$250:$N$279,$E121,FALSE)/100)))))))),0)</f>
        <v>1.7834181818181822E-2</v>
      </c>
      <c r="BL121">
        <f t="shared" si="214"/>
        <v>1.7134163690156874</v>
      </c>
      <c r="BM121">
        <f t="shared" si="215"/>
        <v>4623856.2549203765</v>
      </c>
      <c r="BN121">
        <f t="shared" si="216"/>
        <v>1678972.2549203765</v>
      </c>
      <c r="BP121">
        <f>IF($BJ121&lt;=30,IF($B121=2015,VLOOKUP($BJ121,'Treasury Yields'!$C$40:$N$69,$E121,FALSE)/100,IF($B121=2016,VLOOKUP($BJ121,'Treasury Yields'!$C$75:$N$104,$E121,FALSE)/100,IF($B121=2017,VLOOKUP($BJ121,'Treasury Yields'!$C$110:$N$139,$E121,FALSE)/100,IF($B121=2018,VLOOKUP($BJ121,'Treasury Yields'!$C$145:$N$174,$E121,FALSE)/100,IF($B121=2019,VLOOKUP($BJ121,'Treasury Yields'!$C$180:$N$209,$E121,FALSE)/100,IF($B121=2020,VLOOKUP($BJ121,'Treasury Yields'!$C$215:$N$244,$E121,FALSE)/100,IF($B121=2021,VLOOKUP($BJ121,'Treasury Yields'!$C$250:$N$279,$E121,FALSE)/100,IF($B121=2022,VLOOKUP($BJ121,'Treasury Yields'!$C$285:$N$314,$E121,FALSE)/100)))))))),0)</f>
        <v>3.7246000000000001E-2</v>
      </c>
      <c r="BQ121">
        <f t="shared" si="217"/>
        <v>1.4028745328692005</v>
      </c>
      <c r="BR121">
        <f t="shared" si="218"/>
        <v>4028452.4223512099</v>
      </c>
      <c r="BS121">
        <f t="shared" si="219"/>
        <v>1455190.4223512099</v>
      </c>
      <c r="BU121">
        <f t="shared" si="90"/>
        <v>19</v>
      </c>
      <c r="BV121">
        <f t="shared" si="220"/>
        <v>2.9297610095031787</v>
      </c>
      <c r="BW121">
        <f t="shared" si="221"/>
        <v>259770.18966860886</v>
      </c>
      <c r="BX121" s="5">
        <f t="shared" si="222"/>
        <v>85394.957040153546</v>
      </c>
      <c r="BY121" s="5">
        <f t="shared" si="223"/>
        <v>32875.360350698989</v>
      </c>
      <c r="BZ121" s="5">
        <f t="shared" si="224"/>
        <v>254186</v>
      </c>
      <c r="CA121" s="5">
        <f t="shared" si="225"/>
        <v>292645.55001930788</v>
      </c>
      <c r="CC121" s="5">
        <f t="shared" si="226"/>
        <v>4028452.4223512099</v>
      </c>
      <c r="CD121" s="5" t="str">
        <f t="shared" si="227"/>
        <v>DC</v>
      </c>
      <c r="CE121" s="5">
        <f t="shared" si="88"/>
        <v>0.89611675842831617</v>
      </c>
      <c r="CF121" s="10">
        <f t="shared" si="228"/>
        <v>0.63877184839584455</v>
      </c>
    </row>
    <row r="122" spans="1:84" x14ac:dyDescent="0.2">
      <c r="A122">
        <v>8000000090001</v>
      </c>
      <c r="B122">
        <v>2015</v>
      </c>
      <c r="C122">
        <v>185</v>
      </c>
      <c r="D122" t="s">
        <v>273</v>
      </c>
      <c r="E122">
        <v>6</v>
      </c>
      <c r="F122" t="s">
        <v>274</v>
      </c>
      <c r="G122" t="s">
        <v>275</v>
      </c>
      <c r="H122" t="s">
        <v>276</v>
      </c>
      <c r="I122" t="b">
        <v>1</v>
      </c>
      <c r="J122">
        <v>192046</v>
      </c>
      <c r="K122">
        <v>627925</v>
      </c>
      <c r="L122">
        <v>54191</v>
      </c>
      <c r="M122">
        <v>-17907</v>
      </c>
      <c r="N122">
        <v>0</v>
      </c>
      <c r="O122">
        <v>539630</v>
      </c>
      <c r="Q122">
        <v>316625</v>
      </c>
      <c r="R122">
        <v>8757979</v>
      </c>
      <c r="S122">
        <v>9074604</v>
      </c>
      <c r="T122">
        <v>178293</v>
      </c>
      <c r="U122">
        <v>32654</v>
      </c>
      <c r="V122">
        <v>55782</v>
      </c>
      <c r="W122">
        <v>299825</v>
      </c>
      <c r="Y122">
        <v>7353</v>
      </c>
      <c r="AA122">
        <v>19571</v>
      </c>
      <c r="AB122">
        <v>8389765</v>
      </c>
      <c r="AC122">
        <v>8409336</v>
      </c>
      <c r="AD122">
        <v>665268</v>
      </c>
      <c r="AE122">
        <v>368214</v>
      </c>
      <c r="AF122">
        <v>297054</v>
      </c>
      <c r="AG122">
        <v>1864991</v>
      </c>
      <c r="AH122">
        <v>9.5599925147091869E-2</v>
      </c>
      <c r="AI122" t="b">
        <v>1</v>
      </c>
      <c r="AK122">
        <v>7.1999999999999995E-2</v>
      </c>
      <c r="AL122">
        <v>7.1999999999999995E-2</v>
      </c>
      <c r="AM122">
        <v>7.1999999999999995E-2</v>
      </c>
      <c r="AN122">
        <v>7.1999999999999995E-2</v>
      </c>
      <c r="AO122">
        <v>1</v>
      </c>
      <c r="AP122">
        <v>0</v>
      </c>
      <c r="AS122">
        <v>1503060</v>
      </c>
      <c r="AT122">
        <v>-316685</v>
      </c>
      <c r="BB122">
        <f t="shared" ref="BB122:BB129" si="229">AC122/S122</f>
        <v>0.92668903238091715</v>
      </c>
      <c r="BD122">
        <f t="shared" ref="BD122:BD129" si="230">AS122-AD122</f>
        <v>837792</v>
      </c>
      <c r="BE122">
        <f t="shared" ref="BE122:BE129" si="231">AT122-AD122</f>
        <v>-981953</v>
      </c>
      <c r="BF122">
        <f t="shared" ref="BF122:BF129" si="232">BD122/S122*100</f>
        <v>9.2322706313134972</v>
      </c>
      <c r="BG122">
        <f t="shared" ref="BG122:BG129" si="233">BE122/S122*100</f>
        <v>-10.820890917113298</v>
      </c>
      <c r="BH122">
        <f t="shared" ref="BH122:BH129" si="234">(BD122-BE122)/(2*S122)*100</f>
        <v>10.026580774213398</v>
      </c>
      <c r="BI122">
        <f t="shared" ref="BI122:BI129" si="235">(BD122+BE122)/(2*S122*(0.01^2))</f>
        <v>-79.431014289989946</v>
      </c>
      <c r="BJ122">
        <f t="shared" ref="BJ122:BJ129" si="236">ROUND(BH122,0)</f>
        <v>10</v>
      </c>
      <c r="BK122">
        <f>IF($BJ122&lt;=30,IF($B122=2015,VLOOKUP($BJ122,'Treasury Yields'!$C$5:$N$34,$E122,FALSE)/100,IF($B122=2016,VLOOKUP($BJ122,'Treasury Yields'!$C$40:$N$69,$E122,FALSE)/100,IF($B122=2017,VLOOKUP($BJ122,'Treasury Yields'!$C$75:$N$104,$E122,FALSE)/100,IF($B122=2018,VLOOKUP($BJ122,'Treasury Yields'!$C$110:$N$139,$E122,FALSE)/100,IF($B122=2019,VLOOKUP($BJ122,'Treasury Yields'!$C$145:$N$174,$E122,FALSE)/100,IF($B122=2020,VLOOKUP($BJ122,'Treasury Yields'!$C$180:$N$209,$E122,FALSE)/100,IF($B122=2021,VLOOKUP($BJ122,'Treasury Yields'!$C$215:$N$244,$E122,FALSE)/100,IF($B122=2022,VLOOKUP($BJ122,'Treasury Yields'!$C$250:$N$279,$E122,FALSE)/100)))))))),0)</f>
        <v>2.7109999999999999E-2</v>
      </c>
      <c r="BL122">
        <f t="shared" ref="BL122:BL129" si="237">1+BH122*(AL122-BK122)+(AL122-BK122)^2</f>
        <v>1.4521083230544396</v>
      </c>
      <c r="BM122">
        <f t="shared" ref="BM122:BM129" si="238">BL122*R122</f>
        <v>12717534.199035998</v>
      </c>
      <c r="BN122">
        <f t="shared" ref="BN122:BN129" si="239">BM122-AB122</f>
        <v>4327769.1990359984</v>
      </c>
      <c r="BP122">
        <f>IF($BJ122&lt;=30,IF($B122=2015,VLOOKUP($BJ122,'Treasury Yields'!$C$40:$N$69,$E122,FALSE)/100,IF($B122=2016,VLOOKUP($BJ122,'Treasury Yields'!$C$75:$N$104,$E122,FALSE)/100,IF($B122=2017,VLOOKUP($BJ122,'Treasury Yields'!$C$110:$N$139,$E122,FALSE)/100,IF($B122=2018,VLOOKUP($BJ122,'Treasury Yields'!$C$145:$N$174,$E122,FALSE)/100,IF($B122=2019,VLOOKUP($BJ122,'Treasury Yields'!$C$180:$N$209,$E122,FALSE)/100,IF($B122=2020,VLOOKUP($BJ122,'Treasury Yields'!$C$215:$N$244,$E122,FALSE)/100,IF($B122=2021,VLOOKUP($BJ122,'Treasury Yields'!$C$250:$N$279,$E122,FALSE)/100,IF($B122=2022,VLOOKUP($BJ122,'Treasury Yields'!$C$285:$N$314,$E122,FALSE)/100)))))))),0)</f>
        <v>2.5470000000000003E-2</v>
      </c>
      <c r="BQ122">
        <f t="shared" ref="BQ122:BQ129" si="240">1+BH122*(AN122-BP122)+(AN122-BP122)^2</f>
        <v>1.4687018443241493</v>
      </c>
      <c r="BR122">
        <f t="shared" ref="BR122:BR129" si="241">BQ122*S122</f>
        <v>13327887.631311303</v>
      </c>
      <c r="BS122">
        <f t="shared" ref="BS122:BS129" si="242">BR122-AC122</f>
        <v>4918551.631311303</v>
      </c>
      <c r="BU122">
        <f t="shared" si="90"/>
        <v>13</v>
      </c>
      <c r="BV122">
        <f t="shared" ref="BV122:BV129" si="243">1+(BH122+BU122)*(AN122-BK122)+(AN122-BK122)^2*BI122</f>
        <v>1.8736008129434079</v>
      </c>
      <c r="BW122">
        <f t="shared" ref="BW122:BW129" si="244">BV122*J122</f>
        <v>359817.54172252968</v>
      </c>
      <c r="BX122" s="5">
        <f t="shared" ref="BX122:BX129" si="245">(BM122+BW122-O122)*BK122</f>
        <v>339897.63639196369</v>
      </c>
      <c r="BY122" s="5">
        <f t="shared" ref="BY122:BY129" si="246">BK122*(BN122+BW122-O122)</f>
        <v>112451.10724196369</v>
      </c>
      <c r="BZ122" s="5">
        <f t="shared" ref="BZ122:BZ129" si="247">SUM(J122:K122)</f>
        <v>819971</v>
      </c>
      <c r="CA122" s="5">
        <f t="shared" ref="CA122:CA129" si="248">SUM(BW122+BY122)</f>
        <v>472268.64896449336</v>
      </c>
      <c r="CC122" s="5">
        <f t="shared" ref="CC122:CC129" si="249">BR122</f>
        <v>13327887.631311303</v>
      </c>
      <c r="CD122" s="5" t="str">
        <f t="shared" ref="CD122:CD129" si="250">F122</f>
        <v>Delaware</v>
      </c>
      <c r="CE122" s="5">
        <f t="shared" si="88"/>
        <v>0.92668903238091715</v>
      </c>
      <c r="CF122" s="10">
        <f t="shared" ref="CF122:CF129" si="251">AC122/CC122</f>
        <v>0.63095790065365542</v>
      </c>
    </row>
    <row r="123" spans="1:84" x14ac:dyDescent="0.2">
      <c r="A123">
        <v>8000000090001</v>
      </c>
      <c r="B123">
        <v>2016</v>
      </c>
      <c r="C123">
        <v>185</v>
      </c>
      <c r="D123" t="s">
        <v>273</v>
      </c>
      <c r="E123">
        <v>6</v>
      </c>
      <c r="F123" t="s">
        <v>274</v>
      </c>
      <c r="G123" t="s">
        <v>275</v>
      </c>
      <c r="H123" t="s">
        <v>276</v>
      </c>
      <c r="I123" t="b">
        <v>1</v>
      </c>
      <c r="J123">
        <v>180782</v>
      </c>
      <c r="K123">
        <v>656475</v>
      </c>
      <c r="M123">
        <v>-25340</v>
      </c>
      <c r="N123">
        <v>167454</v>
      </c>
      <c r="O123">
        <v>569492</v>
      </c>
      <c r="Q123">
        <v>409879</v>
      </c>
      <c r="R123">
        <v>9074604</v>
      </c>
      <c r="S123">
        <v>9484483</v>
      </c>
      <c r="T123">
        <v>182707</v>
      </c>
      <c r="U123">
        <v>38778</v>
      </c>
      <c r="V123">
        <v>59145</v>
      </c>
      <c r="W123">
        <v>-137038</v>
      </c>
      <c r="Y123">
        <v>5895</v>
      </c>
      <c r="AA123">
        <v>-431795</v>
      </c>
      <c r="AB123">
        <v>8409336</v>
      </c>
      <c r="AC123">
        <v>7977541</v>
      </c>
      <c r="AD123">
        <v>1506942</v>
      </c>
      <c r="AE123">
        <v>665268</v>
      </c>
      <c r="AF123">
        <v>841674</v>
      </c>
      <c r="AG123">
        <v>1907169</v>
      </c>
      <c r="AH123">
        <v>9.5800110005982694E-2</v>
      </c>
      <c r="AI123" t="b">
        <v>1</v>
      </c>
      <c r="AK123">
        <v>7.1999999999999995E-2</v>
      </c>
      <c r="AL123">
        <v>7.1999999999999995E-2</v>
      </c>
      <c r="AM123">
        <v>7.1999999999999995E-2</v>
      </c>
      <c r="AN123">
        <v>7.1999999999999995E-2</v>
      </c>
      <c r="AO123">
        <v>1</v>
      </c>
      <c r="AP123">
        <v>0</v>
      </c>
      <c r="AS123">
        <v>2619253</v>
      </c>
      <c r="AT123">
        <v>571787</v>
      </c>
      <c r="AU123" t="s">
        <v>277</v>
      </c>
      <c r="AV123" t="s">
        <v>278</v>
      </c>
      <c r="BB123">
        <f t="shared" si="229"/>
        <v>0.84111500858823829</v>
      </c>
      <c r="BD123">
        <f t="shared" si="230"/>
        <v>1112311</v>
      </c>
      <c r="BE123">
        <f t="shared" si="231"/>
        <v>-935155</v>
      </c>
      <c r="BF123">
        <f t="shared" si="232"/>
        <v>11.727692484661526</v>
      </c>
      <c r="BG123">
        <f t="shared" si="233"/>
        <v>-9.8598415960047596</v>
      </c>
      <c r="BH123">
        <f t="shared" si="234"/>
        <v>10.793767040333142</v>
      </c>
      <c r="BI123">
        <f t="shared" si="235"/>
        <v>93.392544432838349</v>
      </c>
      <c r="BJ123">
        <f t="shared" si="236"/>
        <v>11</v>
      </c>
      <c r="BK123">
        <f>IF($BJ123&lt;=30,IF($B123=2015,VLOOKUP($BJ123,'Treasury Yields'!$C$5:$N$34,$E123,FALSE)/100,IF($B123=2016,VLOOKUP($BJ123,'Treasury Yields'!$C$40:$N$69,$E123,FALSE)/100,IF($B123=2017,VLOOKUP($BJ123,'Treasury Yields'!$C$75:$N$104,$E123,FALSE)/100,IF($B123=2018,VLOOKUP($BJ123,'Treasury Yields'!$C$110:$N$139,$E123,FALSE)/100,IF($B123=2019,VLOOKUP($BJ123,'Treasury Yields'!$C$145:$N$174,$E123,FALSE)/100,IF($B123=2020,VLOOKUP($BJ123,'Treasury Yields'!$C$180:$N$209,$E123,FALSE)/100,IF($B123=2021,VLOOKUP($BJ123,'Treasury Yields'!$C$215:$N$244,$E123,FALSE)/100,IF($B123=2022,VLOOKUP($BJ123,'Treasury Yields'!$C$250:$N$279,$E123,FALSE)/100)))))))),0)</f>
        <v>2.6258E-2</v>
      </c>
      <c r="BL123">
        <f t="shared" si="237"/>
        <v>1.4958208225229184</v>
      </c>
      <c r="BM123">
        <f t="shared" si="238"/>
        <v>13573981.619349765</v>
      </c>
      <c r="BN123">
        <f t="shared" si="239"/>
        <v>5164645.6193497647</v>
      </c>
      <c r="BP123">
        <f>IF($BJ123&lt;=30,IF($B123=2015,VLOOKUP($BJ123,'Treasury Yields'!$C$40:$N$69,$E123,FALSE)/100,IF($B123=2016,VLOOKUP($BJ123,'Treasury Yields'!$C$75:$N$104,$E123,FALSE)/100,IF($B123=2017,VLOOKUP($BJ123,'Treasury Yields'!$C$110:$N$139,$E123,FALSE)/100,IF($B123=2018,VLOOKUP($BJ123,'Treasury Yields'!$C$145:$N$174,$E123,FALSE)/100,IF($B123=2019,VLOOKUP($BJ123,'Treasury Yields'!$C$180:$N$209,$E123,FALSE)/100,IF($B123=2020,VLOOKUP($BJ123,'Treasury Yields'!$C$215:$N$244,$E123,FALSE)/100,IF($B123=2021,VLOOKUP($BJ123,'Treasury Yields'!$C$250:$N$279,$E123,FALSE)/100,IF($B123=2022,VLOOKUP($BJ123,'Treasury Yields'!$C$285:$N$314,$E123,FALSE)/100)))))))),0)</f>
        <v>1.6948000000000001E-2</v>
      </c>
      <c r="BQ123">
        <f t="shared" si="240"/>
        <v>1.5972491858084201</v>
      </c>
      <c r="BR123">
        <f t="shared" si="241"/>
        <v>15149082.749563802</v>
      </c>
      <c r="BS123">
        <f t="shared" si="242"/>
        <v>7171541.749563802</v>
      </c>
      <c r="BU123">
        <f t="shared" si="90"/>
        <v>14</v>
      </c>
      <c r="BV123">
        <f t="shared" si="243"/>
        <v>2.3295245671254743</v>
      </c>
      <c r="BW123">
        <f t="shared" si="244"/>
        <v>421136.11029407749</v>
      </c>
      <c r="BX123" s="5">
        <f t="shared" si="245"/>
        <v>352530.080408988</v>
      </c>
      <c r="BY123" s="5">
        <f t="shared" si="246"/>
        <v>131717.73572098801</v>
      </c>
      <c r="BZ123" s="5">
        <f t="shared" si="247"/>
        <v>837257</v>
      </c>
      <c r="CA123" s="5">
        <f t="shared" si="248"/>
        <v>552853.84601506544</v>
      </c>
      <c r="CC123" s="5">
        <f t="shared" si="249"/>
        <v>15149082.749563802</v>
      </c>
      <c r="CD123" s="5" t="str">
        <f t="shared" si="250"/>
        <v>Delaware</v>
      </c>
      <c r="CE123" s="5">
        <f t="shared" si="88"/>
        <v>0.84111500858823829</v>
      </c>
      <c r="CF123" s="10">
        <f t="shared" si="251"/>
        <v>0.52660224594982186</v>
      </c>
    </row>
    <row r="124" spans="1:84" x14ac:dyDescent="0.2">
      <c r="A124">
        <v>8000000090001</v>
      </c>
      <c r="B124">
        <v>2017</v>
      </c>
      <c r="C124">
        <v>185</v>
      </c>
      <c r="D124" t="s">
        <v>273</v>
      </c>
      <c r="E124">
        <v>6</v>
      </c>
      <c r="F124" t="s">
        <v>274</v>
      </c>
      <c r="G124" t="s">
        <v>275</v>
      </c>
      <c r="H124" t="s">
        <v>276</v>
      </c>
      <c r="I124" t="b">
        <v>1</v>
      </c>
      <c r="J124">
        <v>180697</v>
      </c>
      <c r="K124">
        <v>676524</v>
      </c>
      <c r="L124">
        <v>4814</v>
      </c>
      <c r="M124">
        <v>20308</v>
      </c>
      <c r="N124">
        <v>211698</v>
      </c>
      <c r="O124">
        <v>598686</v>
      </c>
      <c r="Q124">
        <v>495354</v>
      </c>
      <c r="R124">
        <v>9484483</v>
      </c>
      <c r="S124">
        <v>9979837</v>
      </c>
      <c r="T124">
        <v>186625</v>
      </c>
      <c r="U124">
        <v>30302</v>
      </c>
      <c r="V124">
        <v>61686</v>
      </c>
      <c r="W124">
        <v>861997</v>
      </c>
      <c r="Y124">
        <v>5636</v>
      </c>
      <c r="AA124">
        <v>536288</v>
      </c>
      <c r="AB124">
        <v>7977541</v>
      </c>
      <c r="AC124">
        <v>8513829</v>
      </c>
      <c r="AD124">
        <v>1466008</v>
      </c>
      <c r="AE124">
        <v>1506942</v>
      </c>
      <c r="AF124">
        <v>-40934</v>
      </c>
      <c r="AG124">
        <v>1948072</v>
      </c>
      <c r="AH124">
        <v>9.5799847233572474E-2</v>
      </c>
      <c r="AI124" t="b">
        <v>1</v>
      </c>
      <c r="AK124">
        <v>7.1999999999999995E-2</v>
      </c>
      <c r="AL124">
        <v>7.0000000000000007E-2</v>
      </c>
      <c r="AM124">
        <v>7.0000000000000007E-2</v>
      </c>
      <c r="AN124">
        <v>7.1999999999999995E-2</v>
      </c>
      <c r="AO124">
        <v>1</v>
      </c>
      <c r="AP124">
        <v>0</v>
      </c>
      <c r="AS124">
        <v>2639177</v>
      </c>
      <c r="AT124">
        <v>471457</v>
      </c>
      <c r="AU124" t="s">
        <v>277</v>
      </c>
      <c r="AV124" t="s">
        <v>279</v>
      </c>
      <c r="BB124">
        <f t="shared" si="229"/>
        <v>0.85310301160229374</v>
      </c>
      <c r="BD124">
        <f t="shared" si="230"/>
        <v>1173169</v>
      </c>
      <c r="BE124">
        <f t="shared" si="231"/>
        <v>-994551</v>
      </c>
      <c r="BF124">
        <f t="shared" si="232"/>
        <v>11.755392397691464</v>
      </c>
      <c r="BG124">
        <f t="shared" si="233"/>
        <v>-9.9656036466327045</v>
      </c>
      <c r="BH124">
        <f t="shared" si="234"/>
        <v>10.860498022162085</v>
      </c>
      <c r="BI124">
        <f t="shared" si="235"/>
        <v>89.489437552937986</v>
      </c>
      <c r="BJ124">
        <f t="shared" si="236"/>
        <v>11</v>
      </c>
      <c r="BK124">
        <f>IF($BJ124&lt;=30,IF($B124=2015,VLOOKUP($BJ124,'Treasury Yields'!$C$5:$N$34,$E124,FALSE)/100,IF($B124=2016,VLOOKUP($BJ124,'Treasury Yields'!$C$40:$N$69,$E124,FALSE)/100,IF($B124=2017,VLOOKUP($BJ124,'Treasury Yields'!$C$75:$N$104,$E124,FALSE)/100,IF($B124=2018,VLOOKUP($BJ124,'Treasury Yields'!$C$110:$N$139,$E124,FALSE)/100,IF($B124=2019,VLOOKUP($BJ124,'Treasury Yields'!$C$145:$N$174,$E124,FALSE)/100,IF($B124=2020,VLOOKUP($BJ124,'Treasury Yields'!$C$180:$N$209,$E124,FALSE)/100,IF($B124=2021,VLOOKUP($BJ124,'Treasury Yields'!$C$215:$N$244,$E124,FALSE)/100,IF($B124=2022,VLOOKUP($BJ124,'Treasury Yields'!$C$250:$N$279,$E124,FALSE)/100)))))))),0)</f>
        <v>1.6948000000000001E-2</v>
      </c>
      <c r="BL124">
        <f t="shared" si="237"/>
        <v>1.5789856557757429</v>
      </c>
      <c r="BM124">
        <f t="shared" si="238"/>
        <v>14975862.609448886</v>
      </c>
      <c r="BN124">
        <f t="shared" si="239"/>
        <v>6998321.6094488855</v>
      </c>
      <c r="BP124">
        <f>IF($BJ124&lt;=30,IF($B124=2015,VLOOKUP($BJ124,'Treasury Yields'!$C$40:$N$69,$E124,FALSE)/100,IF($B124=2016,VLOOKUP($BJ124,'Treasury Yields'!$C$75:$N$104,$E124,FALSE)/100,IF($B124=2017,VLOOKUP($BJ124,'Treasury Yields'!$C$110:$N$139,$E124,FALSE)/100,IF($B124=2018,VLOOKUP($BJ124,'Treasury Yields'!$C$145:$N$174,$E124,FALSE)/100,IF($B124=2019,VLOOKUP($BJ124,'Treasury Yields'!$C$180:$N$209,$E124,FALSE)/100,IF($B124=2020,VLOOKUP($BJ124,'Treasury Yields'!$C$215:$N$244,$E124,FALSE)/100,IF($B124=2021,VLOOKUP($BJ124,'Treasury Yields'!$C$250:$N$279,$E124,FALSE)/100,IF($B124=2022,VLOOKUP($BJ124,'Treasury Yields'!$C$285:$N$314,$E124,FALSE)/100)))))))),0)</f>
        <v>2.5068799999999999E-2</v>
      </c>
      <c r="BQ124">
        <f t="shared" si="240"/>
        <v>1.5118987423111332</v>
      </c>
      <c r="BR124">
        <f t="shared" si="241"/>
        <v>15088503.008770112</v>
      </c>
      <c r="BS124">
        <f t="shared" si="242"/>
        <v>6574674.0087701119</v>
      </c>
      <c r="BU124">
        <f t="shared" si="90"/>
        <v>14</v>
      </c>
      <c r="BV124">
        <f t="shared" si="243"/>
        <v>2.6398378072759461</v>
      </c>
      <c r="BW124">
        <f t="shared" si="244"/>
        <v>477010.77226134163</v>
      </c>
      <c r="BX124" s="5">
        <f t="shared" si="245"/>
        <v>251748.76774522496</v>
      </c>
      <c r="BY124" s="5">
        <f t="shared" si="246"/>
        <v>116545.40287722494</v>
      </c>
      <c r="BZ124" s="5">
        <f t="shared" si="247"/>
        <v>857221</v>
      </c>
      <c r="CA124" s="5">
        <f t="shared" si="248"/>
        <v>593556.17513856653</v>
      </c>
      <c r="CC124" s="5">
        <f t="shared" si="249"/>
        <v>15088503.008770112</v>
      </c>
      <c r="CD124" s="5" t="str">
        <f t="shared" si="250"/>
        <v>Delaware</v>
      </c>
      <c r="CE124" s="5">
        <f t="shared" si="88"/>
        <v>0.85310301160229374</v>
      </c>
      <c r="CF124" s="10">
        <f t="shared" si="251"/>
        <v>0.56425935661419702</v>
      </c>
    </row>
    <row r="125" spans="1:84" x14ac:dyDescent="0.2">
      <c r="A125">
        <v>8000000090001</v>
      </c>
      <c r="B125">
        <v>2018</v>
      </c>
      <c r="C125">
        <v>185</v>
      </c>
      <c r="D125" t="s">
        <v>273</v>
      </c>
      <c r="E125">
        <v>6</v>
      </c>
      <c r="F125" t="s">
        <v>274</v>
      </c>
      <c r="G125" t="s">
        <v>275</v>
      </c>
      <c r="H125" t="s">
        <v>276</v>
      </c>
      <c r="I125" t="b">
        <v>1</v>
      </c>
      <c r="J125">
        <v>197184</v>
      </c>
      <c r="K125">
        <v>696055</v>
      </c>
      <c r="L125">
        <v>11028</v>
      </c>
      <c r="M125">
        <v>64746</v>
      </c>
      <c r="N125">
        <v>0</v>
      </c>
      <c r="O125">
        <v>628938</v>
      </c>
      <c r="Q125">
        <v>340075</v>
      </c>
      <c r="R125">
        <v>9979837</v>
      </c>
      <c r="S125">
        <v>10319912</v>
      </c>
      <c r="T125">
        <v>206883</v>
      </c>
      <c r="U125">
        <v>10615</v>
      </c>
      <c r="V125">
        <v>64312</v>
      </c>
      <c r="W125">
        <v>867527</v>
      </c>
      <c r="Y125">
        <v>5781</v>
      </c>
      <c r="AA125">
        <v>514618</v>
      </c>
      <c r="AB125">
        <v>8513829</v>
      </c>
      <c r="AC125">
        <v>9028447</v>
      </c>
      <c r="AD125">
        <v>1291465</v>
      </c>
      <c r="AE125">
        <v>1466008</v>
      </c>
      <c r="AF125">
        <v>-174543</v>
      </c>
      <c r="AG125">
        <v>1985446</v>
      </c>
      <c r="AH125">
        <v>0.10419976166564086</v>
      </c>
      <c r="AI125" t="b">
        <v>1</v>
      </c>
      <c r="AK125">
        <v>7.0000000000000007E-2</v>
      </c>
      <c r="AL125">
        <v>7.0000000000000007E-2</v>
      </c>
      <c r="AM125">
        <v>7.0000000000000007E-2</v>
      </c>
      <c r="AN125">
        <v>7.0000000000000007E-2</v>
      </c>
      <c r="AO125">
        <v>1</v>
      </c>
      <c r="AP125">
        <v>0</v>
      </c>
      <c r="AS125">
        <v>2506229</v>
      </c>
      <c r="AT125">
        <v>271487</v>
      </c>
      <c r="AU125" t="s">
        <v>277</v>
      </c>
      <c r="AV125" t="s">
        <v>280</v>
      </c>
      <c r="BB125">
        <f t="shared" si="229"/>
        <v>0.87485697552459751</v>
      </c>
      <c r="BD125">
        <f t="shared" si="230"/>
        <v>1214764</v>
      </c>
      <c r="BE125">
        <f t="shared" si="231"/>
        <v>-1019978</v>
      </c>
      <c r="BF125">
        <f t="shared" si="232"/>
        <v>11.771069365707771</v>
      </c>
      <c r="BG125">
        <f t="shared" si="233"/>
        <v>-9.8835920306297194</v>
      </c>
      <c r="BH125">
        <f t="shared" si="234"/>
        <v>10.827330698168744</v>
      </c>
      <c r="BI125">
        <f t="shared" si="235"/>
        <v>94.373866753902533</v>
      </c>
      <c r="BJ125">
        <f t="shared" si="236"/>
        <v>11</v>
      </c>
      <c r="BK125">
        <f>IF($BJ125&lt;=30,IF($B125=2015,VLOOKUP($BJ125,'Treasury Yields'!$C$5:$N$34,$E125,FALSE)/100,IF($B125=2016,VLOOKUP($BJ125,'Treasury Yields'!$C$40:$N$69,$E125,FALSE)/100,IF($B125=2017,VLOOKUP($BJ125,'Treasury Yields'!$C$75:$N$104,$E125,FALSE)/100,IF($B125=2018,VLOOKUP($BJ125,'Treasury Yields'!$C$110:$N$139,$E125,FALSE)/100,IF($B125=2019,VLOOKUP($BJ125,'Treasury Yields'!$C$145:$N$174,$E125,FALSE)/100,IF($B125=2020,VLOOKUP($BJ125,'Treasury Yields'!$C$180:$N$209,$E125,FALSE)/100,IF($B125=2021,VLOOKUP($BJ125,'Treasury Yields'!$C$215:$N$244,$E125,FALSE)/100,IF($B125=2022,VLOOKUP($BJ125,'Treasury Yields'!$C$250:$N$279,$E125,FALSE)/100)))))))),0)</f>
        <v>2.5068799999999999E-2</v>
      </c>
      <c r="BL125">
        <f t="shared" si="237"/>
        <v>1.4885037737989995</v>
      </c>
      <c r="BM125">
        <f t="shared" si="238"/>
        <v>14855025.036398886</v>
      </c>
      <c r="BN125">
        <f t="shared" si="239"/>
        <v>6341196.0363988858</v>
      </c>
      <c r="BP125">
        <f>IF($BJ125&lt;=30,IF($B125=2015,VLOOKUP($BJ125,'Treasury Yields'!$C$40:$N$69,$E125,FALSE)/100,IF($B125=2016,VLOOKUP($BJ125,'Treasury Yields'!$C$75:$N$104,$E125,FALSE)/100,IF($B125=2017,VLOOKUP($BJ125,'Treasury Yields'!$C$110:$N$139,$E125,FALSE)/100,IF($B125=2018,VLOOKUP($BJ125,'Treasury Yields'!$C$145:$N$174,$E125,FALSE)/100,IF($B125=2019,VLOOKUP($BJ125,'Treasury Yields'!$C$180:$N$209,$E125,FALSE)/100,IF($B125=2020,VLOOKUP($BJ125,'Treasury Yields'!$C$215:$N$244,$E125,FALSE)/100,IF($B125=2021,VLOOKUP($BJ125,'Treasury Yields'!$C$250:$N$279,$E125,FALSE)/100,IF($B125=2022,VLOOKUP($BJ125,'Treasury Yields'!$C$285:$N$314,$E125,FALSE)/100)))))))),0)</f>
        <v>2.9273236363636365E-2</v>
      </c>
      <c r="BQ125">
        <f t="shared" si="240"/>
        <v>1.4426208074333549</v>
      </c>
      <c r="BR125">
        <f t="shared" si="241"/>
        <v>14887719.782081168</v>
      </c>
      <c r="BS125">
        <f t="shared" si="242"/>
        <v>5859272.7820811681</v>
      </c>
      <c r="BU125">
        <f t="shared" si="90"/>
        <v>14</v>
      </c>
      <c r="BV125">
        <f t="shared" si="243"/>
        <v>2.3060449249723081</v>
      </c>
      <c r="BW125">
        <f t="shared" si="244"/>
        <v>454715.16248573957</v>
      </c>
      <c r="BX125" s="5">
        <f t="shared" si="245"/>
        <v>368030.09416339884</v>
      </c>
      <c r="BY125" s="5">
        <f t="shared" si="246"/>
        <v>154598.61772819888</v>
      </c>
      <c r="BZ125" s="5">
        <f t="shared" si="247"/>
        <v>893239</v>
      </c>
      <c r="CA125" s="5">
        <f t="shared" si="248"/>
        <v>609313.78021393844</v>
      </c>
      <c r="CC125" s="5">
        <f t="shared" si="249"/>
        <v>14887719.782081168</v>
      </c>
      <c r="CD125" s="5" t="str">
        <f t="shared" si="250"/>
        <v>Delaware</v>
      </c>
      <c r="CE125" s="5">
        <f t="shared" si="88"/>
        <v>0.87485697552459751</v>
      </c>
      <c r="CF125" s="10">
        <f t="shared" si="251"/>
        <v>0.60643584995914701</v>
      </c>
    </row>
    <row r="126" spans="1:84" x14ac:dyDescent="0.2">
      <c r="A126">
        <v>8000000090001</v>
      </c>
      <c r="B126">
        <v>2019</v>
      </c>
      <c r="C126">
        <v>185</v>
      </c>
      <c r="D126" t="s">
        <v>273</v>
      </c>
      <c r="E126">
        <v>6</v>
      </c>
      <c r="F126" t="s">
        <v>274</v>
      </c>
      <c r="G126" t="s">
        <v>275</v>
      </c>
      <c r="H126" t="s">
        <v>276</v>
      </c>
      <c r="I126" t="b">
        <v>1</v>
      </c>
      <c r="J126">
        <v>201655</v>
      </c>
      <c r="K126">
        <v>720314</v>
      </c>
      <c r="L126">
        <v>874</v>
      </c>
      <c r="M126">
        <v>93205</v>
      </c>
      <c r="N126">
        <v>0</v>
      </c>
      <c r="O126">
        <v>662079</v>
      </c>
      <c r="Q126">
        <v>353969</v>
      </c>
      <c r="R126">
        <v>10319912</v>
      </c>
      <c r="S126">
        <v>10673881</v>
      </c>
      <c r="T126">
        <v>256367</v>
      </c>
      <c r="U126">
        <v>10945</v>
      </c>
      <c r="V126">
        <v>69624</v>
      </c>
      <c r="W126">
        <v>419180</v>
      </c>
      <c r="Y126">
        <v>5967</v>
      </c>
      <c r="AA126">
        <v>88070</v>
      </c>
      <c r="AB126">
        <v>9028447</v>
      </c>
      <c r="AC126">
        <v>9116517</v>
      </c>
      <c r="AD126">
        <v>1557364</v>
      </c>
      <c r="AE126">
        <v>1291465</v>
      </c>
      <c r="AF126">
        <v>265899</v>
      </c>
      <c r="AG126">
        <v>2075676</v>
      </c>
      <c r="AH126">
        <v>0.1235101239307098</v>
      </c>
      <c r="AI126" t="b">
        <v>1</v>
      </c>
      <c r="AK126">
        <v>7.0000000000000007E-2</v>
      </c>
      <c r="AL126">
        <v>7.0000000000000007E-2</v>
      </c>
      <c r="AM126">
        <v>7.0000000000000007E-2</v>
      </c>
      <c r="AN126">
        <v>7.0000000000000007E-2</v>
      </c>
      <c r="AO126">
        <v>1</v>
      </c>
      <c r="AP126">
        <v>0</v>
      </c>
      <c r="AS126">
        <v>2813184</v>
      </c>
      <c r="AT126">
        <v>502860</v>
      </c>
      <c r="AU126" t="s">
        <v>277</v>
      </c>
      <c r="AV126" t="s">
        <v>281</v>
      </c>
      <c r="BB126">
        <f t="shared" si="229"/>
        <v>0.85409580638944727</v>
      </c>
      <c r="BD126">
        <f t="shared" si="230"/>
        <v>1255820</v>
      </c>
      <c r="BE126">
        <f t="shared" si="231"/>
        <v>-1054504</v>
      </c>
      <c r="BF126">
        <f t="shared" si="232"/>
        <v>11.765355075628069</v>
      </c>
      <c r="BG126">
        <f t="shared" si="233"/>
        <v>-9.8792932017885526</v>
      </c>
      <c r="BH126">
        <f t="shared" si="234"/>
        <v>10.822324138708311</v>
      </c>
      <c r="BI126">
        <f t="shared" si="235"/>
        <v>94.303093691975761</v>
      </c>
      <c r="BJ126">
        <f t="shared" si="236"/>
        <v>11</v>
      </c>
      <c r="BK126">
        <f>IF($BJ126&lt;=30,IF($B126=2015,VLOOKUP($BJ126,'Treasury Yields'!$C$5:$N$34,$E126,FALSE)/100,IF($B126=2016,VLOOKUP($BJ126,'Treasury Yields'!$C$40:$N$69,$E126,FALSE)/100,IF($B126=2017,VLOOKUP($BJ126,'Treasury Yields'!$C$75:$N$104,$E126,FALSE)/100,IF($B126=2018,VLOOKUP($BJ126,'Treasury Yields'!$C$110:$N$139,$E126,FALSE)/100,IF($B126=2019,VLOOKUP($BJ126,'Treasury Yields'!$C$145:$N$174,$E126,FALSE)/100,IF($B126=2020,VLOOKUP($BJ126,'Treasury Yields'!$C$180:$N$209,$E126,FALSE)/100,IF($B126=2021,VLOOKUP($BJ126,'Treasury Yields'!$C$215:$N$244,$E126,FALSE)/100,IF($B126=2022,VLOOKUP($BJ126,'Treasury Yields'!$C$250:$N$279,$E126,FALSE)/100)))))))),0)</f>
        <v>2.9273236363636365E-2</v>
      </c>
      <c r="BL126">
        <f t="shared" si="237"/>
        <v>1.4424169064695784</v>
      </c>
      <c r="BM126">
        <f t="shared" si="238"/>
        <v>14885615.542078281</v>
      </c>
      <c r="BN126">
        <f t="shared" si="239"/>
        <v>5857168.5420782808</v>
      </c>
      <c r="BP126">
        <f>IF($BJ126&lt;=30,IF($B126=2015,VLOOKUP($BJ126,'Treasury Yields'!$C$40:$N$69,$E126,FALSE)/100,IF($B126=2016,VLOOKUP($BJ126,'Treasury Yields'!$C$75:$N$104,$E126,FALSE)/100,IF($B126=2017,VLOOKUP($BJ126,'Treasury Yields'!$C$110:$N$139,$E126,FALSE)/100,IF($B126=2018,VLOOKUP($BJ126,'Treasury Yields'!$C$145:$N$174,$E126,FALSE)/100,IF($B126=2019,VLOOKUP($BJ126,'Treasury Yields'!$C$180:$N$209,$E126,FALSE)/100,IF($B126=2020,VLOOKUP($BJ126,'Treasury Yields'!$C$215:$N$244,$E126,FALSE)/100,IF($B126=2021,VLOOKUP($BJ126,'Treasury Yields'!$C$250:$N$279,$E126,FALSE)/100,IF($B126=2022,VLOOKUP($BJ126,'Treasury Yields'!$C$285:$N$314,$E126,FALSE)/100)))))))),0)</f>
        <v>2.1722000000000002E-2</v>
      </c>
      <c r="BQ126">
        <f t="shared" si="240"/>
        <v>1.5248109300525599</v>
      </c>
      <c r="BR126">
        <f t="shared" si="241"/>
        <v>16275650.414880348</v>
      </c>
      <c r="BS126">
        <f t="shared" si="242"/>
        <v>7159133.4148803484</v>
      </c>
      <c r="BU126">
        <f t="shared" si="90"/>
        <v>14</v>
      </c>
      <c r="BV126">
        <f t="shared" si="243"/>
        <v>2.1673505722685649</v>
      </c>
      <c r="BW126">
        <f t="shared" si="244"/>
        <v>437057.07965081744</v>
      </c>
      <c r="BX126" s="5">
        <f t="shared" si="245"/>
        <v>429163.02232009562</v>
      </c>
      <c r="BY126" s="5">
        <f t="shared" si="246"/>
        <v>164871.15929253196</v>
      </c>
      <c r="BZ126" s="5">
        <f t="shared" si="247"/>
        <v>921969</v>
      </c>
      <c r="CA126" s="5">
        <f t="shared" si="248"/>
        <v>601928.23894334934</v>
      </c>
      <c r="CC126" s="5">
        <f t="shared" si="249"/>
        <v>16275650.414880348</v>
      </c>
      <c r="CD126" s="5" t="str">
        <f t="shared" si="250"/>
        <v>Delaware</v>
      </c>
      <c r="CE126" s="5">
        <f t="shared" si="88"/>
        <v>0.85409580638944727</v>
      </c>
      <c r="CF126" s="10">
        <f t="shared" si="251"/>
        <v>0.5601322692250158</v>
      </c>
    </row>
    <row r="127" spans="1:84" x14ac:dyDescent="0.2">
      <c r="A127">
        <v>8000000090001</v>
      </c>
      <c r="B127">
        <v>2020</v>
      </c>
      <c r="C127">
        <v>185</v>
      </c>
      <c r="D127" t="s">
        <v>273</v>
      </c>
      <c r="E127">
        <v>6</v>
      </c>
      <c r="F127" t="s">
        <v>274</v>
      </c>
      <c r="G127" t="s">
        <v>275</v>
      </c>
      <c r="H127" t="s">
        <v>276</v>
      </c>
      <c r="I127" t="b">
        <v>1</v>
      </c>
      <c r="J127">
        <v>202689</v>
      </c>
      <c r="K127">
        <v>745008</v>
      </c>
      <c r="L127">
        <v>0</v>
      </c>
      <c r="M127">
        <v>98375</v>
      </c>
      <c r="N127">
        <v>0</v>
      </c>
      <c r="O127">
        <v>675380</v>
      </c>
      <c r="Q127">
        <v>370693</v>
      </c>
      <c r="R127">
        <v>10673881</v>
      </c>
      <c r="S127">
        <v>11044574</v>
      </c>
      <c r="T127">
        <v>257838</v>
      </c>
      <c r="U127">
        <v>5650</v>
      </c>
      <c r="V127">
        <v>74167</v>
      </c>
      <c r="W127">
        <v>866091</v>
      </c>
      <c r="Y127">
        <v>6055</v>
      </c>
      <c r="AA127">
        <v>522311</v>
      </c>
      <c r="AB127">
        <v>9116517</v>
      </c>
      <c r="AC127">
        <v>9638828</v>
      </c>
      <c r="AD127">
        <v>1405746</v>
      </c>
      <c r="AE127">
        <v>1557364</v>
      </c>
      <c r="AF127">
        <v>-151618</v>
      </c>
      <c r="AG127">
        <v>2155837</v>
      </c>
      <c r="AH127">
        <v>0.11959995120224766</v>
      </c>
      <c r="AI127" t="b">
        <v>1</v>
      </c>
      <c r="AK127">
        <v>7.0000000000000007E-2</v>
      </c>
      <c r="AL127">
        <v>7.0000000000000007E-2</v>
      </c>
      <c r="AM127">
        <v>7.0000000000000007E-2</v>
      </c>
      <c r="AN127">
        <v>7.0000000000000007E-2</v>
      </c>
      <c r="AO127">
        <v>1</v>
      </c>
      <c r="AP127">
        <v>0</v>
      </c>
      <c r="AS127">
        <v>2699064</v>
      </c>
      <c r="AT127">
        <v>315893</v>
      </c>
      <c r="AU127" t="s">
        <v>277</v>
      </c>
      <c r="AV127" t="s">
        <v>282</v>
      </c>
      <c r="BB127">
        <f t="shared" si="229"/>
        <v>0.87272066808552329</v>
      </c>
      <c r="BD127">
        <f t="shared" si="230"/>
        <v>1293318</v>
      </c>
      <c r="BE127">
        <f t="shared" si="231"/>
        <v>-1089853</v>
      </c>
      <c r="BF127">
        <f t="shared" si="232"/>
        <v>11.709985373813423</v>
      </c>
      <c r="BG127">
        <f t="shared" si="233"/>
        <v>-9.8677685531374966</v>
      </c>
      <c r="BH127">
        <f t="shared" si="234"/>
        <v>10.78887696347546</v>
      </c>
      <c r="BI127">
        <f t="shared" si="235"/>
        <v>92.110841033796319</v>
      </c>
      <c r="BJ127">
        <f t="shared" si="236"/>
        <v>11</v>
      </c>
      <c r="BK127">
        <f>IF($BJ127&lt;=30,IF($B127=2015,VLOOKUP($BJ127,'Treasury Yields'!$C$5:$N$34,$E127,FALSE)/100,IF($B127=2016,VLOOKUP($BJ127,'Treasury Yields'!$C$40:$N$69,$E127,FALSE)/100,IF($B127=2017,VLOOKUP($BJ127,'Treasury Yields'!$C$75:$N$104,$E127,FALSE)/100,IF($B127=2018,VLOOKUP($BJ127,'Treasury Yields'!$C$110:$N$139,$E127,FALSE)/100,IF($B127=2019,VLOOKUP($BJ127,'Treasury Yields'!$C$145:$N$174,$E127,FALSE)/100,IF($B127=2020,VLOOKUP($BJ127,'Treasury Yields'!$C$180:$N$209,$E127,FALSE)/100,IF($B127=2021,VLOOKUP($BJ127,'Treasury Yields'!$C$215:$N$244,$E127,FALSE)/100,IF($B127=2022,VLOOKUP($BJ127,'Treasury Yields'!$C$250:$N$279,$E127,FALSE)/100)))))))),0)</f>
        <v>2.1722000000000002E-2</v>
      </c>
      <c r="BL127">
        <f t="shared" si="237"/>
        <v>1.5231961673266681</v>
      </c>
      <c r="BM127">
        <f t="shared" si="238"/>
        <v>16258414.629700944</v>
      </c>
      <c r="BN127">
        <f t="shared" si="239"/>
        <v>7141897.6297009438</v>
      </c>
      <c r="BP127">
        <f>IF($BJ127&lt;=30,IF($B127=2015,VLOOKUP($BJ127,'Treasury Yields'!$C$40:$N$69,$E127,FALSE)/100,IF($B127=2016,VLOOKUP($BJ127,'Treasury Yields'!$C$75:$N$104,$E127,FALSE)/100,IF($B127=2017,VLOOKUP($BJ127,'Treasury Yields'!$C$110:$N$139,$E127,FALSE)/100,IF($B127=2018,VLOOKUP($BJ127,'Treasury Yields'!$C$145:$N$174,$E127,FALSE)/100,IF($B127=2019,VLOOKUP($BJ127,'Treasury Yields'!$C$180:$N$209,$E127,FALSE)/100,IF($B127=2020,VLOOKUP($BJ127,'Treasury Yields'!$C$215:$N$244,$E127,FALSE)/100,IF($B127=2021,VLOOKUP($BJ127,'Treasury Yields'!$C$250:$N$279,$E127,FALSE)/100,IF($B127=2022,VLOOKUP($BJ127,'Treasury Yields'!$C$285:$N$314,$E127,FALSE)/100)))))))),0)</f>
        <v>1.4551090909090908E-2</v>
      </c>
      <c r="BQ127">
        <f t="shared" si="240"/>
        <v>1.6013060394601262</v>
      </c>
      <c r="BR127">
        <f t="shared" si="241"/>
        <v>17685743.049464285</v>
      </c>
      <c r="BS127">
        <f t="shared" si="242"/>
        <v>8046915.0494642854</v>
      </c>
      <c r="BU127">
        <f t="shared" si="90"/>
        <v>14</v>
      </c>
      <c r="BV127">
        <f t="shared" si="243"/>
        <v>2.4114461526042836</v>
      </c>
      <c r="BW127">
        <f t="shared" si="244"/>
        <v>488773.60922520963</v>
      </c>
      <c r="BX127" s="5">
        <f t="shared" si="245"/>
        <v>349111.81856595393</v>
      </c>
      <c r="BY127" s="5">
        <f t="shared" si="246"/>
        <v>151082.83629195392</v>
      </c>
      <c r="BZ127" s="5">
        <f t="shared" si="247"/>
        <v>947697</v>
      </c>
      <c r="CA127" s="5">
        <f t="shared" si="248"/>
        <v>639856.44551716349</v>
      </c>
      <c r="CC127" s="5">
        <f t="shared" si="249"/>
        <v>17685743.049464285</v>
      </c>
      <c r="CD127" s="5" t="str">
        <f t="shared" si="250"/>
        <v>Delaware</v>
      </c>
      <c r="CE127" s="5">
        <f t="shared" si="88"/>
        <v>0.87272066808552329</v>
      </c>
      <c r="CF127" s="10">
        <f t="shared" si="251"/>
        <v>0.54500554333746054</v>
      </c>
    </row>
    <row r="128" spans="1:84" x14ac:dyDescent="0.2">
      <c r="A128">
        <v>8000000090001</v>
      </c>
      <c r="B128">
        <v>2021</v>
      </c>
      <c r="C128">
        <v>185</v>
      </c>
      <c r="D128" t="s">
        <v>273</v>
      </c>
      <c r="E128">
        <v>6</v>
      </c>
      <c r="F128" t="s">
        <v>274</v>
      </c>
      <c r="G128" t="s">
        <v>275</v>
      </c>
      <c r="H128" t="s">
        <v>276</v>
      </c>
      <c r="I128" t="b">
        <v>1</v>
      </c>
      <c r="J128">
        <v>225312</v>
      </c>
      <c r="K128">
        <v>784309</v>
      </c>
      <c r="L128">
        <v>0</v>
      </c>
      <c r="M128">
        <v>57065</v>
      </c>
      <c r="N128">
        <v>221865</v>
      </c>
      <c r="O128">
        <v>700649</v>
      </c>
      <c r="Q128">
        <v>587902</v>
      </c>
      <c r="R128">
        <v>11044574</v>
      </c>
      <c r="S128">
        <v>11632476</v>
      </c>
      <c r="T128">
        <v>269467</v>
      </c>
      <c r="U128">
        <v>0</v>
      </c>
      <c r="V128">
        <v>77008</v>
      </c>
      <c r="W128">
        <v>3572073</v>
      </c>
      <c r="Y128">
        <v>5654</v>
      </c>
      <c r="AA128">
        <v>3212245</v>
      </c>
      <c r="AB128">
        <v>9638828</v>
      </c>
      <c r="AC128">
        <v>12851073</v>
      </c>
      <c r="AD128">
        <v>-1218597</v>
      </c>
      <c r="AE128">
        <v>1405746</v>
      </c>
      <c r="AF128">
        <v>-2624343</v>
      </c>
      <c r="AG128">
        <v>2185455</v>
      </c>
      <c r="AI128" t="b">
        <v>1</v>
      </c>
      <c r="AK128">
        <v>7.0000000000000007E-2</v>
      </c>
      <c r="AL128">
        <v>7.0000000000000007E-2</v>
      </c>
      <c r="AM128">
        <v>7.0000000000000007E-2</v>
      </c>
      <c r="AN128">
        <v>7.0000000000000007E-2</v>
      </c>
      <c r="AS128">
        <v>148939</v>
      </c>
      <c r="AT128">
        <v>-2366373</v>
      </c>
      <c r="BB128">
        <f t="shared" si="229"/>
        <v>1.1047581787402785</v>
      </c>
      <c r="BD128">
        <f t="shared" si="230"/>
        <v>1367536</v>
      </c>
      <c r="BE128">
        <f t="shared" si="231"/>
        <v>-1147776</v>
      </c>
      <c r="BF128">
        <f t="shared" si="232"/>
        <v>11.756190169659494</v>
      </c>
      <c r="BG128">
        <f t="shared" si="233"/>
        <v>-9.8669965018625447</v>
      </c>
      <c r="BH128">
        <f t="shared" si="234"/>
        <v>10.811593335761019</v>
      </c>
      <c r="BI128">
        <f t="shared" si="235"/>
        <v>94.459683389847513</v>
      </c>
      <c r="BJ128">
        <f t="shared" si="236"/>
        <v>11</v>
      </c>
      <c r="BK128">
        <f>IF($BJ128&lt;=30,IF($B128=2015,VLOOKUP($BJ128,'Treasury Yields'!$C$5:$N$34,$E128,FALSE)/100,IF($B128=2016,VLOOKUP($BJ128,'Treasury Yields'!$C$40:$N$69,$E128,FALSE)/100,IF($B128=2017,VLOOKUP($BJ128,'Treasury Yields'!$C$75:$N$104,$E128,FALSE)/100,IF($B128=2018,VLOOKUP($BJ128,'Treasury Yields'!$C$110:$N$139,$E128,FALSE)/100,IF($B128=2019,VLOOKUP($BJ128,'Treasury Yields'!$C$145:$N$174,$E128,FALSE)/100,IF($B128=2020,VLOOKUP($BJ128,'Treasury Yields'!$C$180:$N$209,$E128,FALSE)/100,IF($B128=2021,VLOOKUP($BJ128,'Treasury Yields'!$C$215:$N$244,$E128,FALSE)/100,IF($B128=2022,VLOOKUP($BJ128,'Treasury Yields'!$C$250:$N$279,$E128,FALSE)/100)))))))),0)</f>
        <v>1.4551090909090908E-2</v>
      </c>
      <c r="BL128">
        <f t="shared" si="237"/>
        <v>1.6025656375218635</v>
      </c>
      <c r="BM128">
        <f t="shared" si="238"/>
        <v>17699654.773467399</v>
      </c>
      <c r="BN128">
        <f t="shared" si="239"/>
        <v>8060826.7734673992</v>
      </c>
      <c r="BP128">
        <f>IF($BJ128&lt;=30,IF($B128=2015,VLOOKUP($BJ128,'Treasury Yields'!$C$40:$N$69,$E128,FALSE)/100,IF($B128=2016,VLOOKUP($BJ128,'Treasury Yields'!$C$75:$N$104,$E128,FALSE)/100,IF($B128=2017,VLOOKUP($BJ128,'Treasury Yields'!$C$110:$N$139,$E128,FALSE)/100,IF($B128=2018,VLOOKUP($BJ128,'Treasury Yields'!$C$145:$N$174,$E128,FALSE)/100,IF($B128=2019,VLOOKUP($BJ128,'Treasury Yields'!$C$180:$N$209,$E128,FALSE)/100,IF($B128=2020,VLOOKUP($BJ128,'Treasury Yields'!$C$215:$N$244,$E128,FALSE)/100,IF($B128=2021,VLOOKUP($BJ128,'Treasury Yields'!$C$250:$N$279,$E128,FALSE)/100,IF($B128=2022,VLOOKUP($BJ128,'Treasury Yields'!$C$285:$N$314,$E128,FALSE)/100)))))))),0)</f>
        <v>2.1554272727272727E-2</v>
      </c>
      <c r="BQ128">
        <f t="shared" si="240"/>
        <v>1.5261224906188975</v>
      </c>
      <c r="BR128">
        <f t="shared" si="241"/>
        <v>17752583.245184552</v>
      </c>
      <c r="BS128">
        <f t="shared" si="242"/>
        <v>4901510.2451845519</v>
      </c>
      <c r="BU128">
        <f t="shared" si="90"/>
        <v>14</v>
      </c>
      <c r="BV128">
        <f t="shared" si="243"/>
        <v>2.6661997801513651</v>
      </c>
      <c r="BW128">
        <f t="shared" si="244"/>
        <v>600726.80486546434</v>
      </c>
      <c r="BX128" s="5">
        <f t="shared" si="245"/>
        <v>256095.30872301041</v>
      </c>
      <c r="BY128" s="5">
        <f t="shared" si="246"/>
        <v>115839.84623791953</v>
      </c>
      <c r="BZ128" s="5">
        <f t="shared" si="247"/>
        <v>1009621</v>
      </c>
      <c r="CA128" s="5">
        <f t="shared" si="248"/>
        <v>716566.65110338386</v>
      </c>
      <c r="CC128" s="5">
        <f t="shared" si="249"/>
        <v>17752583.245184552</v>
      </c>
      <c r="CD128" s="5" t="str">
        <f t="shared" si="250"/>
        <v>Delaware</v>
      </c>
      <c r="CE128" s="5">
        <f t="shared" si="88"/>
        <v>1.1047581787402785</v>
      </c>
      <c r="CF128" s="10">
        <f t="shared" si="251"/>
        <v>0.72389876011345544</v>
      </c>
    </row>
    <row r="129" spans="1:84" x14ac:dyDescent="0.2">
      <c r="A129">
        <v>8000000090001</v>
      </c>
      <c r="B129">
        <v>2022</v>
      </c>
      <c r="C129">
        <v>185</v>
      </c>
      <c r="D129" t="s">
        <v>273</v>
      </c>
      <c r="E129">
        <v>6</v>
      </c>
      <c r="F129" t="s">
        <v>274</v>
      </c>
      <c r="G129" t="s">
        <v>275</v>
      </c>
      <c r="H129" t="s">
        <v>276</v>
      </c>
      <c r="I129" t="b">
        <v>1</v>
      </c>
      <c r="J129">
        <v>227452</v>
      </c>
      <c r="K129">
        <v>814116</v>
      </c>
      <c r="L129">
        <v>230875</v>
      </c>
      <c r="M129">
        <v>14600</v>
      </c>
      <c r="N129">
        <v>0</v>
      </c>
      <c r="O129">
        <v>748400</v>
      </c>
      <c r="Q129">
        <v>538643</v>
      </c>
      <c r="R129">
        <v>11632476</v>
      </c>
      <c r="S129">
        <v>12171119</v>
      </c>
      <c r="T129">
        <v>301726</v>
      </c>
      <c r="U129">
        <v>12052</v>
      </c>
      <c r="V129">
        <v>85416</v>
      </c>
      <c r="W129">
        <v>-1692613</v>
      </c>
      <c r="Y129">
        <v>6059</v>
      </c>
      <c r="AA129">
        <v>-2047878</v>
      </c>
      <c r="AB129">
        <v>12851073</v>
      </c>
      <c r="AC129">
        <v>10803195</v>
      </c>
      <c r="AD129">
        <v>1367924</v>
      </c>
      <c r="AE129">
        <v>-1218597</v>
      </c>
      <c r="AF129">
        <v>2586521</v>
      </c>
      <c r="AG129">
        <v>2306220</v>
      </c>
      <c r="AI129" t="b">
        <v>1</v>
      </c>
      <c r="AK129">
        <v>7.0000000000000007E-2</v>
      </c>
      <c r="AL129">
        <v>7.0000000000000007E-2</v>
      </c>
      <c r="AM129">
        <v>7.0000000000000007E-2</v>
      </c>
      <c r="AN129">
        <v>7.0000000000000007E-2</v>
      </c>
      <c r="AS129">
        <v>2856431</v>
      </c>
      <c r="AT129">
        <v>223679</v>
      </c>
      <c r="AU129" t="s">
        <v>283</v>
      </c>
      <c r="AV129" t="s">
        <v>284</v>
      </c>
      <c r="BB129">
        <f t="shared" si="229"/>
        <v>0.88760901935146641</v>
      </c>
      <c r="BD129">
        <f t="shared" si="230"/>
        <v>1488507</v>
      </c>
      <c r="BE129">
        <f t="shared" si="231"/>
        <v>-1144245</v>
      </c>
      <c r="BF129">
        <f t="shared" si="232"/>
        <v>12.229828662426192</v>
      </c>
      <c r="BG129">
        <f t="shared" si="233"/>
        <v>-9.4013130592183032</v>
      </c>
      <c r="BH129">
        <f t="shared" si="234"/>
        <v>10.815570860822247</v>
      </c>
      <c r="BI129">
        <f t="shared" si="235"/>
        <v>141.42578016039445</v>
      </c>
      <c r="BJ129">
        <f t="shared" si="236"/>
        <v>11</v>
      </c>
      <c r="BK129">
        <f>IF($BJ129&lt;=30,IF($B129=2015,VLOOKUP($BJ129,'Treasury Yields'!$C$5:$N$34,$E129,FALSE)/100,IF($B129=2016,VLOOKUP($BJ129,'Treasury Yields'!$C$40:$N$69,$E129,FALSE)/100,IF($B129=2017,VLOOKUP($BJ129,'Treasury Yields'!$C$75:$N$104,$E129,FALSE)/100,IF($B129=2018,VLOOKUP($BJ129,'Treasury Yields'!$C$110:$N$139,$E129,FALSE)/100,IF($B129=2019,VLOOKUP($BJ129,'Treasury Yields'!$C$145:$N$174,$E129,FALSE)/100,IF($B129=2020,VLOOKUP($BJ129,'Treasury Yields'!$C$180:$N$209,$E129,FALSE)/100,IF($B129=2021,VLOOKUP($BJ129,'Treasury Yields'!$C$215:$N$244,$E129,FALSE)/100,IF($B129=2022,VLOOKUP($BJ129,'Treasury Yields'!$C$250:$N$279,$E129,FALSE)/100)))))))),0)</f>
        <v>2.1554272727272727E-2</v>
      </c>
      <c r="BL129">
        <f t="shared" si="237"/>
        <v>1.5263151847132344</v>
      </c>
      <c r="BM129">
        <f t="shared" si="238"/>
        <v>17754824.754612267</v>
      </c>
      <c r="BN129">
        <f t="shared" si="239"/>
        <v>4903751.754612267</v>
      </c>
      <c r="BP129">
        <f>IF($BJ129&lt;=30,IF($B129=2015,VLOOKUP($BJ129,'Treasury Yields'!$C$40:$N$69,$E129,FALSE)/100,IF($B129=2016,VLOOKUP($BJ129,'Treasury Yields'!$C$75:$N$104,$E129,FALSE)/100,IF($B129=2017,VLOOKUP($BJ129,'Treasury Yields'!$C$110:$N$139,$E129,FALSE)/100,IF($B129=2018,VLOOKUP($BJ129,'Treasury Yields'!$C$145:$N$174,$E129,FALSE)/100,IF($B129=2019,VLOOKUP($BJ129,'Treasury Yields'!$C$180:$N$209,$E129,FALSE)/100,IF($B129=2020,VLOOKUP($BJ129,'Treasury Yields'!$C$215:$N$244,$E129,FALSE)/100,IF($B129=2021,VLOOKUP($BJ129,'Treasury Yields'!$C$250:$N$279,$E129,FALSE)/100,IF($B129=2022,VLOOKUP($BJ129,'Treasury Yields'!$C$285:$N$314,$E129,FALSE)/100)))))))),0)</f>
        <v>3.1935909090909091E-2</v>
      </c>
      <c r="BQ129">
        <f t="shared" si="240"/>
        <v>1.4131337474967884</v>
      </c>
      <c r="BR129">
        <f t="shared" si="241"/>
        <v>17199419.003699366</v>
      </c>
      <c r="BS129">
        <f t="shared" si="242"/>
        <v>6396224.003699366</v>
      </c>
      <c r="BU129">
        <f t="shared" si="90"/>
        <v>14</v>
      </c>
      <c r="BV129">
        <f t="shared" si="243"/>
        <v>2.5341330564052367</v>
      </c>
      <c r="BW129">
        <f t="shared" si="244"/>
        <v>576393.63194548385</v>
      </c>
      <c r="BX129" s="5">
        <f t="shared" si="245"/>
        <v>378984.86281797115</v>
      </c>
      <c r="BY129" s="5">
        <f t="shared" si="246"/>
        <v>101989.33053788028</v>
      </c>
      <c r="BZ129" s="5">
        <f t="shared" si="247"/>
        <v>1041568</v>
      </c>
      <c r="CA129" s="5">
        <f t="shared" si="248"/>
        <v>678382.96248336416</v>
      </c>
      <c r="CC129" s="5">
        <f t="shared" si="249"/>
        <v>17199419.003699366</v>
      </c>
      <c r="CD129" s="5" t="str">
        <f t="shared" si="250"/>
        <v>Delaware</v>
      </c>
      <c r="CE129" s="5">
        <f t="shared" si="88"/>
        <v>0.88760901935146641</v>
      </c>
      <c r="CF129" s="10">
        <f t="shared" si="251"/>
        <v>0.62811394952796817</v>
      </c>
    </row>
    <row r="130" spans="1:84" x14ac:dyDescent="0.2">
      <c r="A130">
        <v>12000000000401</v>
      </c>
      <c r="B130">
        <v>2015</v>
      </c>
      <c r="C130">
        <v>209</v>
      </c>
      <c r="D130" t="s">
        <v>285</v>
      </c>
      <c r="E130">
        <v>6</v>
      </c>
      <c r="F130" t="s">
        <v>286</v>
      </c>
      <c r="G130" t="s">
        <v>287</v>
      </c>
      <c r="H130" t="s">
        <v>288</v>
      </c>
      <c r="I130" t="b">
        <v>1</v>
      </c>
      <c r="J130">
        <v>437901.02899999998</v>
      </c>
      <c r="K130">
        <v>1693252.6839999999</v>
      </c>
      <c r="M130">
        <v>-192816.75700000001</v>
      </c>
      <c r="N130">
        <v>261213.541</v>
      </c>
      <c r="O130">
        <v>1170744.77</v>
      </c>
      <c r="P130">
        <v>10507.888000000001</v>
      </c>
      <c r="Q130">
        <v>1018297.839</v>
      </c>
      <c r="R130">
        <v>22220097.546999998</v>
      </c>
      <c r="S130">
        <v>23238395.386</v>
      </c>
      <c r="T130">
        <v>717792.98100000003</v>
      </c>
      <c r="U130">
        <v>221909.859</v>
      </c>
      <c r="V130">
        <v>1595.56</v>
      </c>
      <c r="W130">
        <v>556436.47499999998</v>
      </c>
      <c r="Y130">
        <v>14032.964</v>
      </c>
      <c r="Z130">
        <v>0</v>
      </c>
      <c r="AA130">
        <v>302449.25300000003</v>
      </c>
      <c r="AB130">
        <v>14203015.302999999</v>
      </c>
      <c r="AC130">
        <v>14505464.556</v>
      </c>
      <c r="AD130">
        <v>8732930.8300000001</v>
      </c>
      <c r="AE130">
        <v>8017082.243999999</v>
      </c>
      <c r="AF130">
        <v>715848.58600000106</v>
      </c>
      <c r="AG130">
        <v>3995447</v>
      </c>
      <c r="AH130">
        <v>0.17965273497558598</v>
      </c>
      <c r="AI130" t="b">
        <v>1</v>
      </c>
      <c r="AK130">
        <v>7.7499999999999999E-2</v>
      </c>
      <c r="AL130">
        <v>7.6499999999999999E-2</v>
      </c>
      <c r="AM130">
        <v>7.6499999999999999E-2</v>
      </c>
      <c r="AN130">
        <v>7.7499999999999999E-2</v>
      </c>
      <c r="AO130">
        <v>1</v>
      </c>
      <c r="AP130">
        <v>0</v>
      </c>
      <c r="AS130">
        <v>11056770</v>
      </c>
      <c r="AT130">
        <v>6409091</v>
      </c>
      <c r="AU130" t="s">
        <v>289</v>
      </c>
      <c r="AV130" t="s">
        <v>290</v>
      </c>
      <c r="BB130">
        <f t="shared" ref="BB130:BB137" si="252">AC130/S130</f>
        <v>0.62420250258496057</v>
      </c>
      <c r="BD130">
        <f t="shared" ref="BD130:BD137" si="253">AS130-AD130</f>
        <v>2323839.17</v>
      </c>
      <c r="BE130">
        <f t="shared" ref="BE130:BE137" si="254">AT130-AD130</f>
        <v>-2323839.83</v>
      </c>
      <c r="BF130">
        <f t="shared" ref="BF130:BF137" si="255">BD130/S130*100</f>
        <v>9.9999984138319622</v>
      </c>
      <c r="BG130">
        <f t="shared" ref="BG130:BG137" si="256">BE130/S130*100</f>
        <v>-10.000001253959214</v>
      </c>
      <c r="BH130">
        <f t="shared" ref="BH130:BH137" si="257">(BD130-BE130)/(2*S130)*100</f>
        <v>9.999999833895588</v>
      </c>
      <c r="BI130">
        <f t="shared" ref="BI130:BI137" si="258">(BD130+BE130)/(2*S130*(0.01^2))</f>
        <v>-1.4200636257067676E-4</v>
      </c>
      <c r="BJ130">
        <f t="shared" ref="BJ130:BJ137" si="259">ROUND(BH130,0)</f>
        <v>10</v>
      </c>
      <c r="BK130">
        <f>IF($BJ130&lt;=30,IF($B130=2015,VLOOKUP($BJ130,'Treasury Yields'!$C$5:$N$34,$E130,FALSE)/100,IF($B130=2016,VLOOKUP($BJ130,'Treasury Yields'!$C$40:$N$69,$E130,FALSE)/100,IF($B130=2017,VLOOKUP($BJ130,'Treasury Yields'!$C$75:$N$104,$E130,FALSE)/100,IF($B130=2018,VLOOKUP($BJ130,'Treasury Yields'!$C$110:$N$139,$E130,FALSE)/100,IF($B130=2019,VLOOKUP($BJ130,'Treasury Yields'!$C$145:$N$174,$E130,FALSE)/100,IF($B130=2020,VLOOKUP($BJ130,'Treasury Yields'!$C$180:$N$209,$E130,FALSE)/100,IF($B130=2021,VLOOKUP($BJ130,'Treasury Yields'!$C$215:$N$244,$E130,FALSE)/100,IF($B130=2022,VLOOKUP($BJ130,'Treasury Yields'!$C$250:$N$279,$E130,FALSE)/100)))))))),0)</f>
        <v>2.7109999999999999E-2</v>
      </c>
      <c r="BL130">
        <f t="shared" ref="BL130:BL137" si="260">1+BH130*(AL130-BK130)+(AL130-BK130)^2</f>
        <v>1.4963393638961031</v>
      </c>
      <c r="BM130">
        <f t="shared" ref="BM130:BM137" si="261">BL130*R130</f>
        <v>33248806.629187338</v>
      </c>
      <c r="BN130">
        <f t="shared" ref="BN130:BN137" si="262">BM130-AB130</f>
        <v>19045791.326187339</v>
      </c>
      <c r="BP130">
        <f>IF($BJ130&lt;=30,IF($B130=2015,VLOOKUP($BJ130,'Treasury Yields'!$C$40:$N$69,$E130,FALSE)/100,IF($B130=2016,VLOOKUP($BJ130,'Treasury Yields'!$C$75:$N$104,$E130,FALSE)/100,IF($B130=2017,VLOOKUP($BJ130,'Treasury Yields'!$C$110:$N$139,$E130,FALSE)/100,IF($B130=2018,VLOOKUP($BJ130,'Treasury Yields'!$C$145:$N$174,$E130,FALSE)/100,IF($B130=2019,VLOOKUP($BJ130,'Treasury Yields'!$C$180:$N$209,$E130,FALSE)/100,IF($B130=2020,VLOOKUP($BJ130,'Treasury Yields'!$C$215:$N$244,$E130,FALSE)/100,IF($B130=2021,VLOOKUP($BJ130,'Treasury Yields'!$C$250:$N$279,$E130,FALSE)/100,IF($B130=2022,VLOOKUP($BJ130,'Treasury Yields'!$C$285:$N$314,$E130,FALSE)/100)))))))),0)</f>
        <v>2.5470000000000003E-2</v>
      </c>
      <c r="BQ130">
        <f t="shared" ref="BQ130:BQ137" si="263">1+BH130*(AN130-BP130)+(AN130-BP130)^2</f>
        <v>1.5230071122575874</v>
      </c>
      <c r="BR130">
        <f t="shared" ref="BR130:BR137" si="264">BQ130*S130</f>
        <v>35392241.450331904</v>
      </c>
      <c r="BS130">
        <f t="shared" ref="BS130:BS137" si="265">BR130-AC130</f>
        <v>20886776.894331902</v>
      </c>
      <c r="BU130">
        <f t="shared" si="90"/>
        <v>13</v>
      </c>
      <c r="BV130">
        <f t="shared" ref="BV130:BV137" si="266">1+(BH130+BU130)*(AN130-BK130)+(AN130-BK130)^2*BI130</f>
        <v>2.1589696310542448</v>
      </c>
      <c r="BW130">
        <f t="shared" ref="BW130:BW137" si="267">BV130*J130</f>
        <v>945415.02301840414</v>
      </c>
      <c r="BX130" s="5">
        <f t="shared" ref="BX130:BX137" si="268">(BM130+BW130-O130)*BK130</f>
        <v>895266.45827659767</v>
      </c>
      <c r="BY130" s="5">
        <f t="shared" ref="BY130:BY137" si="269">BK130*(BN130+BW130-O130)</f>
        <v>510222.71341226768</v>
      </c>
      <c r="BZ130" s="5">
        <f t="shared" ref="BZ130:BZ137" si="270">SUM(J130:K130)</f>
        <v>2131153.713</v>
      </c>
      <c r="CA130" s="5">
        <f t="shared" ref="CA130:CA137" si="271">SUM(BW130+BY130)</f>
        <v>1455637.7364306718</v>
      </c>
      <c r="CC130" s="5">
        <f t="shared" ref="CC130:CC137" si="272">BR130</f>
        <v>35392241.450331904</v>
      </c>
      <c r="CD130" s="5" t="str">
        <f t="shared" ref="CD130:CD137" si="273">F130</f>
        <v xml:space="preserve">Hawaii </v>
      </c>
      <c r="CE130" s="5">
        <f t="shared" ref="CE130:CE193" si="274">BB130</f>
        <v>0.62420250258496057</v>
      </c>
      <c r="CF130" s="10">
        <f t="shared" ref="CF130:CF137" si="275">AC130/CC130</f>
        <v>0.40984871151369162</v>
      </c>
    </row>
    <row r="131" spans="1:84" x14ac:dyDescent="0.2">
      <c r="A131">
        <v>12000000000401</v>
      </c>
      <c r="B131">
        <v>2016</v>
      </c>
      <c r="C131">
        <v>209</v>
      </c>
      <c r="D131" t="s">
        <v>285</v>
      </c>
      <c r="E131">
        <v>6</v>
      </c>
      <c r="F131" t="s">
        <v>286</v>
      </c>
      <c r="G131" t="s">
        <v>287</v>
      </c>
      <c r="H131" t="s">
        <v>288</v>
      </c>
      <c r="I131" t="b">
        <v>1</v>
      </c>
      <c r="J131">
        <v>484278</v>
      </c>
      <c r="K131">
        <v>1748620</v>
      </c>
      <c r="M131">
        <v>297534</v>
      </c>
      <c r="N131">
        <v>2915923</v>
      </c>
      <c r="O131">
        <v>1245517</v>
      </c>
      <c r="Q131">
        <v>4200838</v>
      </c>
      <c r="R131">
        <v>23238395</v>
      </c>
      <c r="S131">
        <v>27439234</v>
      </c>
      <c r="T131">
        <v>756558</v>
      </c>
      <c r="U131">
        <v>235080</v>
      </c>
      <c r="V131">
        <v>1722</v>
      </c>
      <c r="W131">
        <v>-169368</v>
      </c>
      <c r="Y131">
        <v>13961</v>
      </c>
      <c r="AA131">
        <v>-435486</v>
      </c>
      <c r="AB131">
        <v>14505465</v>
      </c>
      <c r="AC131">
        <v>14069979</v>
      </c>
      <c r="AD131">
        <v>13369255</v>
      </c>
      <c r="AE131">
        <v>8732930</v>
      </c>
      <c r="AF131">
        <v>4636325</v>
      </c>
      <c r="AG131">
        <v>4112227</v>
      </c>
      <c r="AH131">
        <v>0.18397768411130999</v>
      </c>
      <c r="AI131" t="b">
        <v>1</v>
      </c>
      <c r="AK131">
        <v>7.6499999999999999E-2</v>
      </c>
      <c r="AL131">
        <v>7.0000000000000007E-2</v>
      </c>
      <c r="AM131">
        <v>7.0000000000000007E-2</v>
      </c>
      <c r="AN131">
        <v>7.6499999999999999E-2</v>
      </c>
      <c r="AO131">
        <v>1</v>
      </c>
      <c r="AP131">
        <v>0</v>
      </c>
      <c r="AQ131">
        <v>2.8500000000000001E-2</v>
      </c>
      <c r="AR131">
        <v>2115</v>
      </c>
      <c r="AS131">
        <v>17153326</v>
      </c>
      <c r="AT131">
        <v>10238061</v>
      </c>
      <c r="AU131" t="s">
        <v>291</v>
      </c>
      <c r="AV131" t="s">
        <v>292</v>
      </c>
      <c r="BB131">
        <f t="shared" si="252"/>
        <v>0.51276865090330148</v>
      </c>
      <c r="BD131">
        <f t="shared" si="253"/>
        <v>3784071</v>
      </c>
      <c r="BE131">
        <f t="shared" si="254"/>
        <v>-3131194</v>
      </c>
      <c r="BF131">
        <f t="shared" si="255"/>
        <v>13.79073118440551</v>
      </c>
      <c r="BG131">
        <f t="shared" si="256"/>
        <v>-11.411375405013128</v>
      </c>
      <c r="BH131">
        <f t="shared" si="257"/>
        <v>12.601053294709319</v>
      </c>
      <c r="BI131">
        <f t="shared" si="258"/>
        <v>118.96778896961919</v>
      </c>
      <c r="BJ131">
        <f t="shared" si="259"/>
        <v>13</v>
      </c>
      <c r="BK131">
        <f>IF($BJ131&lt;=30,IF($B131=2015,VLOOKUP($BJ131,'Treasury Yields'!$C$5:$N$34,$E131,FALSE)/100,IF($B131=2016,VLOOKUP($BJ131,'Treasury Yields'!$C$40:$N$69,$E131,FALSE)/100,IF($B131=2017,VLOOKUP($BJ131,'Treasury Yields'!$C$75:$N$104,$E131,FALSE)/100,IF($B131=2018,VLOOKUP($BJ131,'Treasury Yields'!$C$110:$N$139,$E131,FALSE)/100,IF($B131=2019,VLOOKUP($BJ131,'Treasury Yields'!$C$145:$N$174,$E131,FALSE)/100,IF($B131=2020,VLOOKUP($BJ131,'Treasury Yields'!$C$180:$N$209,$E131,FALSE)/100,IF($B131=2021,VLOOKUP($BJ131,'Treasury Yields'!$C$215:$N$244,$E131,FALSE)/100,IF($B131=2022,VLOOKUP($BJ131,'Treasury Yields'!$C$250:$N$279,$E131,FALSE)/100)))))))),0)</f>
        <v>2.7833999999999994E-2</v>
      </c>
      <c r="BL131">
        <f t="shared" si="260"/>
        <v>1.5331139847807134</v>
      </c>
      <c r="BM131">
        <f t="shared" si="261"/>
        <v>35627108.358358204</v>
      </c>
      <c r="BN131">
        <f t="shared" si="262"/>
        <v>21121643.358358204</v>
      </c>
      <c r="BP131">
        <f>IF($BJ131&lt;=30,IF($B131=2015,VLOOKUP($BJ131,'Treasury Yields'!$C$40:$N$69,$E131,FALSE)/100,IF($B131=2016,VLOOKUP($BJ131,'Treasury Yields'!$C$75:$N$104,$E131,FALSE)/100,IF($B131=2017,VLOOKUP($BJ131,'Treasury Yields'!$C$110:$N$139,$E131,FALSE)/100,IF($B131=2018,VLOOKUP($BJ131,'Treasury Yields'!$C$145:$N$174,$E131,FALSE)/100,IF($B131=2019,VLOOKUP($BJ131,'Treasury Yields'!$C$180:$N$209,$E131,FALSE)/100,IF($B131=2020,VLOOKUP($BJ131,'Treasury Yields'!$C$215:$N$244,$E131,FALSE)/100,IF($B131=2021,VLOOKUP($BJ131,'Treasury Yields'!$C$250:$N$279,$E131,FALSE)/100,IF($B131=2022,VLOOKUP($BJ131,'Treasury Yields'!$C$285:$N$314,$E131,FALSE)/100)))))))),0)</f>
        <v>1.8144000000000004E-2</v>
      </c>
      <c r="BQ131">
        <f t="shared" si="263"/>
        <v>1.7387524888020571</v>
      </c>
      <c r="BR131">
        <f t="shared" si="264"/>
        <v>47710036.408322029</v>
      </c>
      <c r="BS131">
        <f t="shared" si="265"/>
        <v>33640057.408322029</v>
      </c>
      <c r="BU131">
        <f t="shared" ref="BU131:BU194" si="276">IF(BJ131="","",ROUND(BJ131+$BT$2,0))</f>
        <v>16</v>
      </c>
      <c r="BV131">
        <f t="shared" si="266"/>
        <v>2.673659738858492</v>
      </c>
      <c r="BW131">
        <f t="shared" si="267"/>
        <v>1294794.5910149128</v>
      </c>
      <c r="BX131" s="5">
        <f t="shared" si="268"/>
        <v>993016.52651485114</v>
      </c>
      <c r="BY131" s="5">
        <f t="shared" si="269"/>
        <v>589271.41370485129</v>
      </c>
      <c r="BZ131" s="5">
        <f t="shared" si="270"/>
        <v>2232898</v>
      </c>
      <c r="CA131" s="5">
        <f t="shared" si="271"/>
        <v>1884066.004719764</v>
      </c>
      <c r="CC131" s="5">
        <f t="shared" si="272"/>
        <v>47710036.408322029</v>
      </c>
      <c r="CD131" s="5" t="str">
        <f t="shared" si="273"/>
        <v xml:space="preserve">Hawaii </v>
      </c>
      <c r="CE131" s="5">
        <f t="shared" si="274"/>
        <v>0.51276865090330148</v>
      </c>
      <c r="CF131" s="10">
        <f t="shared" si="275"/>
        <v>0.29490606294204763</v>
      </c>
    </row>
    <row r="132" spans="1:84" x14ac:dyDescent="0.2">
      <c r="A132">
        <v>12000000000401</v>
      </c>
      <c r="B132">
        <v>2017</v>
      </c>
      <c r="C132">
        <v>209</v>
      </c>
      <c r="D132" t="s">
        <v>285</v>
      </c>
      <c r="E132">
        <v>6</v>
      </c>
      <c r="F132" t="s">
        <v>286</v>
      </c>
      <c r="G132" t="s">
        <v>287</v>
      </c>
      <c r="I132" t="b">
        <v>1</v>
      </c>
      <c r="J132">
        <v>576725</v>
      </c>
      <c r="K132">
        <v>1894622</v>
      </c>
      <c r="M132">
        <v>61179</v>
      </c>
      <c r="N132">
        <v>0</v>
      </c>
      <c r="O132">
        <v>1323129</v>
      </c>
      <c r="Q132">
        <v>1209397</v>
      </c>
      <c r="R132">
        <v>27439234</v>
      </c>
      <c r="S132">
        <v>28648631</v>
      </c>
      <c r="T132">
        <v>781244</v>
      </c>
      <c r="U132">
        <v>249212</v>
      </c>
      <c r="V132">
        <v>1492</v>
      </c>
      <c r="W132">
        <v>1934513</v>
      </c>
      <c r="Y132">
        <v>14986</v>
      </c>
      <c r="AA132">
        <v>1628345</v>
      </c>
      <c r="AB132">
        <v>14069979</v>
      </c>
      <c r="AC132">
        <v>15698324</v>
      </c>
      <c r="AD132">
        <v>12950306</v>
      </c>
      <c r="AE132">
        <v>13369255</v>
      </c>
      <c r="AF132">
        <v>-418949</v>
      </c>
      <c r="AG132">
        <v>4243522</v>
      </c>
      <c r="AH132">
        <v>0.1841027335312507</v>
      </c>
      <c r="AI132" t="b">
        <v>1</v>
      </c>
      <c r="AK132">
        <v>7.0000000000000007E-2</v>
      </c>
      <c r="AL132">
        <v>7.0000000000000007E-2</v>
      </c>
      <c r="AM132">
        <v>7.0000000000000007E-2</v>
      </c>
      <c r="AN132">
        <v>7.0000000000000007E-2</v>
      </c>
      <c r="AO132">
        <v>1</v>
      </c>
      <c r="AP132">
        <v>0</v>
      </c>
      <c r="AS132">
        <v>16846998</v>
      </c>
      <c r="AT132">
        <v>9737285</v>
      </c>
      <c r="AU132" t="s">
        <v>52</v>
      </c>
      <c r="AV132" t="s">
        <v>293</v>
      </c>
      <c r="BB132">
        <f t="shared" si="252"/>
        <v>0.54796070360220706</v>
      </c>
      <c r="BD132">
        <f t="shared" si="253"/>
        <v>3896692</v>
      </c>
      <c r="BE132">
        <f t="shared" si="254"/>
        <v>-3213021</v>
      </c>
      <c r="BF132">
        <f t="shared" si="255"/>
        <v>13.601669133858438</v>
      </c>
      <c r="BG132">
        <f t="shared" si="256"/>
        <v>-11.21526889016093</v>
      </c>
      <c r="BH132">
        <f t="shared" si="257"/>
        <v>12.408469012009684</v>
      </c>
      <c r="BI132">
        <f t="shared" si="258"/>
        <v>119.32001218487542</v>
      </c>
      <c r="BJ132">
        <f t="shared" si="259"/>
        <v>12</v>
      </c>
      <c r="BK132">
        <f>IF($BJ132&lt;=30,IF($B132=2015,VLOOKUP($BJ132,'Treasury Yields'!$C$5:$N$34,$E132,FALSE)/100,IF($B132=2016,VLOOKUP($BJ132,'Treasury Yields'!$C$40:$N$69,$E132,FALSE)/100,IF($B132=2017,VLOOKUP($BJ132,'Treasury Yields'!$C$75:$N$104,$E132,FALSE)/100,IF($B132=2018,VLOOKUP($BJ132,'Treasury Yields'!$C$110:$N$139,$E132,FALSE)/100,IF($B132=2019,VLOOKUP($BJ132,'Treasury Yields'!$C$145:$N$174,$E132,FALSE)/100,IF($B132=2020,VLOOKUP($BJ132,'Treasury Yields'!$C$180:$N$209,$E132,FALSE)/100,IF($B132=2021,VLOOKUP($BJ132,'Treasury Yields'!$C$215:$N$244,$E132,FALSE)/100,IF($B132=2022,VLOOKUP($BJ132,'Treasury Yields'!$C$250:$N$279,$E132,FALSE)/100)))))))),0)</f>
        <v>1.7546000000000003E-2</v>
      </c>
      <c r="BL132">
        <f t="shared" si="260"/>
        <v>1.6536252556719562</v>
      </c>
      <c r="BM132">
        <f t="shared" si="261"/>
        <v>45374210.338692635</v>
      </c>
      <c r="BN132">
        <f t="shared" si="262"/>
        <v>31304231.338692635</v>
      </c>
      <c r="BP132">
        <f>IF($BJ132&lt;=30,IF($B132=2015,VLOOKUP($BJ132,'Treasury Yields'!$C$40:$N$69,$E132,FALSE)/100,IF($B132=2016,VLOOKUP($BJ132,'Treasury Yields'!$C$75:$N$104,$E132,FALSE)/100,IF($B132=2017,VLOOKUP($BJ132,'Treasury Yields'!$C$110:$N$139,$E132,FALSE)/100,IF($B132=2018,VLOOKUP($BJ132,'Treasury Yields'!$C$145:$N$174,$E132,FALSE)/100,IF($B132=2019,VLOOKUP($BJ132,'Treasury Yields'!$C$180:$N$209,$E132,FALSE)/100,IF($B132=2020,VLOOKUP($BJ132,'Treasury Yields'!$C$215:$N$244,$E132,FALSE)/100,IF($B132=2021,VLOOKUP($BJ132,'Treasury Yields'!$C$250:$N$279,$E132,FALSE)/100,IF($B132=2022,VLOOKUP($BJ132,'Treasury Yields'!$C$285:$N$314,$E132,FALSE)/100)))))))),0)</f>
        <v>2.5467599999999993E-2</v>
      </c>
      <c r="BQ132">
        <f t="shared" si="263"/>
        <v>1.5545620400801803</v>
      </c>
      <c r="BR132">
        <f t="shared" si="264"/>
        <v>44536074.252864294</v>
      </c>
      <c r="BS132">
        <f t="shared" si="265"/>
        <v>28837750.252864294</v>
      </c>
      <c r="BU132">
        <f t="shared" si="276"/>
        <v>15</v>
      </c>
      <c r="BV132">
        <f t="shared" si="266"/>
        <v>2.7659835539628115</v>
      </c>
      <c r="BW132">
        <f t="shared" si="267"/>
        <v>1595211.8651592024</v>
      </c>
      <c r="BX132" s="5">
        <f t="shared" si="268"/>
        <v>800909.86055478442</v>
      </c>
      <c r="BY132" s="5">
        <f t="shared" si="269"/>
        <v>554038.0090207844</v>
      </c>
      <c r="BZ132" s="5">
        <f t="shared" si="270"/>
        <v>2471347</v>
      </c>
      <c r="CA132" s="5">
        <f t="shared" si="271"/>
        <v>2149249.8741799868</v>
      </c>
      <c r="CC132" s="5">
        <f t="shared" si="272"/>
        <v>44536074.252864294</v>
      </c>
      <c r="CD132" s="5" t="str">
        <f t="shared" si="273"/>
        <v xml:space="preserve">Hawaii </v>
      </c>
      <c r="CE132" s="5">
        <f t="shared" si="274"/>
        <v>0.54796070360220706</v>
      </c>
      <c r="CF132" s="10">
        <f t="shared" si="275"/>
        <v>0.3524855808095923</v>
      </c>
    </row>
    <row r="133" spans="1:84" x14ac:dyDescent="0.2">
      <c r="A133">
        <v>12000000000401</v>
      </c>
      <c r="B133">
        <v>2018</v>
      </c>
      <c r="C133">
        <v>209</v>
      </c>
      <c r="D133" t="s">
        <v>285</v>
      </c>
      <c r="E133">
        <v>6</v>
      </c>
      <c r="F133" t="s">
        <v>286</v>
      </c>
      <c r="G133" t="s">
        <v>287</v>
      </c>
      <c r="I133" t="b">
        <v>1</v>
      </c>
      <c r="J133">
        <v>584470</v>
      </c>
      <c r="K133">
        <v>1976275</v>
      </c>
      <c r="M133">
        <v>124753</v>
      </c>
      <c r="N133">
        <v>0</v>
      </c>
      <c r="O133">
        <v>1416728</v>
      </c>
      <c r="Q133">
        <v>1268771</v>
      </c>
      <c r="R133">
        <v>28648631</v>
      </c>
      <c r="S133">
        <v>29917401</v>
      </c>
      <c r="T133">
        <v>847595</v>
      </c>
      <c r="U133">
        <v>257294</v>
      </c>
      <c r="V133">
        <v>2134</v>
      </c>
      <c r="W133">
        <v>1225573</v>
      </c>
      <c r="Y133">
        <v>15784</v>
      </c>
      <c r="AA133">
        <v>900084</v>
      </c>
      <c r="AB133">
        <v>15698324</v>
      </c>
      <c r="AC133">
        <v>16598408</v>
      </c>
      <c r="AD133">
        <v>13318993</v>
      </c>
      <c r="AE133">
        <v>12950306</v>
      </c>
      <c r="AF133">
        <v>368687</v>
      </c>
      <c r="AG133">
        <v>4256053</v>
      </c>
      <c r="AH133">
        <v>0.1991504805038847</v>
      </c>
      <c r="AI133" t="b">
        <v>1</v>
      </c>
      <c r="AK133">
        <v>7.0000000000000007E-2</v>
      </c>
      <c r="AL133">
        <v>7.0000000000000007E-2</v>
      </c>
      <c r="AM133">
        <v>7.0000000000000007E-2</v>
      </c>
      <c r="AN133">
        <v>7.0000000000000007E-2</v>
      </c>
      <c r="AO133">
        <v>1</v>
      </c>
      <c r="AP133">
        <v>0</v>
      </c>
      <c r="AS133">
        <v>17398642</v>
      </c>
      <c r="AT133">
        <v>9955950</v>
      </c>
      <c r="AU133" t="s">
        <v>52</v>
      </c>
      <c r="AV133" t="s">
        <v>294</v>
      </c>
      <c r="BB133">
        <f t="shared" si="252"/>
        <v>0.55480781903481524</v>
      </c>
      <c r="BD133">
        <f t="shared" si="253"/>
        <v>4079649</v>
      </c>
      <c r="BE133">
        <f t="shared" si="254"/>
        <v>-3363043</v>
      </c>
      <c r="BF133">
        <f t="shared" si="255"/>
        <v>13.636375031373882</v>
      </c>
      <c r="BG133">
        <f t="shared" si="256"/>
        <v>-11.24109343589037</v>
      </c>
      <c r="BH133">
        <f t="shared" si="257"/>
        <v>12.438734233632125</v>
      </c>
      <c r="BI133">
        <f t="shared" si="258"/>
        <v>119.76407977417557</v>
      </c>
      <c r="BJ133">
        <f t="shared" si="259"/>
        <v>12</v>
      </c>
      <c r="BK133">
        <f>IF($BJ133&lt;=30,IF($B133=2015,VLOOKUP($BJ133,'Treasury Yields'!$C$5:$N$34,$E133,FALSE)/100,IF($B133=2016,VLOOKUP($BJ133,'Treasury Yields'!$C$40:$N$69,$E133,FALSE)/100,IF($B133=2017,VLOOKUP($BJ133,'Treasury Yields'!$C$75:$N$104,$E133,FALSE)/100,IF($B133=2018,VLOOKUP($BJ133,'Treasury Yields'!$C$110:$N$139,$E133,FALSE)/100,IF($B133=2019,VLOOKUP($BJ133,'Treasury Yields'!$C$145:$N$174,$E133,FALSE)/100,IF($B133=2020,VLOOKUP($BJ133,'Treasury Yields'!$C$180:$N$209,$E133,FALSE)/100,IF($B133=2021,VLOOKUP($BJ133,'Treasury Yields'!$C$215:$N$244,$E133,FALSE)/100,IF($B133=2022,VLOOKUP($BJ133,'Treasury Yields'!$C$250:$N$279,$E133,FALSE)/100)))))))),0)</f>
        <v>2.5467599999999993E-2</v>
      </c>
      <c r="BL133">
        <f t="shared" si="260"/>
        <v>1.5559098230355595</v>
      </c>
      <c r="BM133">
        <f t="shared" si="261"/>
        <v>44574686.389421046</v>
      </c>
      <c r="BN133">
        <f t="shared" si="262"/>
        <v>28876362.389421046</v>
      </c>
      <c r="BP133">
        <f>IF($BJ133&lt;=30,IF($B133=2015,VLOOKUP($BJ133,'Treasury Yields'!$C$40:$N$69,$E133,FALSE)/100,IF($B133=2016,VLOOKUP($BJ133,'Treasury Yields'!$C$75:$N$104,$E133,FALSE)/100,IF($B133=2017,VLOOKUP($BJ133,'Treasury Yields'!$C$110:$N$139,$E133,FALSE)/100,IF($B133=2018,VLOOKUP($BJ133,'Treasury Yields'!$C$145:$N$174,$E133,FALSE)/100,IF($B133=2019,VLOOKUP($BJ133,'Treasury Yields'!$C$180:$N$209,$E133,FALSE)/100,IF($B133=2020,VLOOKUP($BJ133,'Treasury Yields'!$C$215:$N$244,$E133,FALSE)/100,IF($B133=2021,VLOOKUP($BJ133,'Treasury Yields'!$C$250:$N$279,$E133,FALSE)/100,IF($B133=2022,VLOOKUP($BJ133,'Treasury Yields'!$C$285:$N$314,$E133,FALSE)/100)))))))),0)</f>
        <v>2.8906472727272727E-2</v>
      </c>
      <c r="BQ133">
        <f t="shared" si="263"/>
        <v>1.5128401424516824</v>
      </c>
      <c r="BR133">
        <f t="shared" si="264"/>
        <v>45260245.190624103</v>
      </c>
      <c r="BS133">
        <f t="shared" si="265"/>
        <v>28661837.190624103</v>
      </c>
      <c r="BU133">
        <f t="shared" si="276"/>
        <v>15</v>
      </c>
      <c r="BV133">
        <f t="shared" si="266"/>
        <v>2.4594209847825881</v>
      </c>
      <c r="BW133">
        <f t="shared" si="267"/>
        <v>1437457.7829758793</v>
      </c>
      <c r="BX133" s="5">
        <f t="shared" si="268"/>
        <v>1135738.2209121357</v>
      </c>
      <c r="BY133" s="5">
        <f t="shared" si="269"/>
        <v>735939.58460973576</v>
      </c>
      <c r="BZ133" s="5">
        <f t="shared" si="270"/>
        <v>2560745</v>
      </c>
      <c r="CA133" s="5">
        <f t="shared" si="271"/>
        <v>2173397.3675856153</v>
      </c>
      <c r="CC133" s="5">
        <f t="shared" si="272"/>
        <v>45260245.190624103</v>
      </c>
      <c r="CD133" s="5" t="str">
        <f t="shared" si="273"/>
        <v xml:space="preserve">Hawaii </v>
      </c>
      <c r="CE133" s="5">
        <f t="shared" si="274"/>
        <v>0.55480781903481524</v>
      </c>
      <c r="CF133" s="10">
        <f t="shared" si="275"/>
        <v>0.36673261335841034</v>
      </c>
    </row>
    <row r="134" spans="1:84" x14ac:dyDescent="0.2">
      <c r="A134">
        <v>12000000000401</v>
      </c>
      <c r="B134">
        <v>2019</v>
      </c>
      <c r="C134">
        <v>209</v>
      </c>
      <c r="D134" t="s">
        <v>285</v>
      </c>
      <c r="E134">
        <v>6</v>
      </c>
      <c r="F134" t="s">
        <v>286</v>
      </c>
      <c r="G134" t="s">
        <v>287</v>
      </c>
      <c r="I134" t="b">
        <v>1</v>
      </c>
      <c r="J134">
        <v>619504</v>
      </c>
      <c r="K134">
        <v>2063886</v>
      </c>
      <c r="M134">
        <v>221473</v>
      </c>
      <c r="N134">
        <v>60320</v>
      </c>
      <c r="O134">
        <v>1486137</v>
      </c>
      <c r="Q134">
        <v>1479046</v>
      </c>
      <c r="R134">
        <v>29917401</v>
      </c>
      <c r="S134">
        <v>31396448</v>
      </c>
      <c r="T134">
        <v>922635</v>
      </c>
      <c r="U134">
        <v>270765</v>
      </c>
      <c r="V134">
        <v>2459</v>
      </c>
      <c r="W134">
        <v>932696</v>
      </c>
      <c r="Y134">
        <v>13799</v>
      </c>
      <c r="AA134">
        <v>628619</v>
      </c>
      <c r="AB134">
        <v>16598408</v>
      </c>
      <c r="AC134">
        <v>17227027</v>
      </c>
      <c r="AD134">
        <v>14169421</v>
      </c>
      <c r="AE134">
        <v>13318993</v>
      </c>
      <c r="AF134">
        <v>850428</v>
      </c>
      <c r="AG134">
        <v>4376217</v>
      </c>
      <c r="AH134">
        <v>0.21082935329760841</v>
      </c>
      <c r="AI134" t="b">
        <v>1</v>
      </c>
      <c r="AK134">
        <v>7.0000000000000007E-2</v>
      </c>
      <c r="AL134">
        <v>7.0000000000000007E-2</v>
      </c>
      <c r="AM134">
        <v>7.0000000000000007E-2</v>
      </c>
      <c r="AN134">
        <v>7.0000000000000007E-2</v>
      </c>
      <c r="AO134">
        <v>1</v>
      </c>
      <c r="AP134">
        <v>0</v>
      </c>
      <c r="AS134">
        <v>18460974</v>
      </c>
      <c r="AT134">
        <v>11079582</v>
      </c>
      <c r="AU134" t="s">
        <v>52</v>
      </c>
      <c r="AV134" t="s">
        <v>295</v>
      </c>
      <c r="BB134">
        <f t="shared" si="252"/>
        <v>0.54869350188913091</v>
      </c>
      <c r="BD134">
        <f t="shared" si="253"/>
        <v>4291553</v>
      </c>
      <c r="BE134">
        <f t="shared" si="254"/>
        <v>-3089839</v>
      </c>
      <c r="BF134">
        <f t="shared" si="255"/>
        <v>13.668912483348436</v>
      </c>
      <c r="BG134">
        <f t="shared" si="256"/>
        <v>-9.8413648575787942</v>
      </c>
      <c r="BH134">
        <f t="shared" si="257"/>
        <v>11.755138670463614</v>
      </c>
      <c r="BI134">
        <f t="shared" si="258"/>
        <v>191.37738128848207</v>
      </c>
      <c r="BJ134">
        <f t="shared" si="259"/>
        <v>12</v>
      </c>
      <c r="BK134">
        <f>IF($BJ134&lt;=30,IF($B134=2015,VLOOKUP($BJ134,'Treasury Yields'!$C$5:$N$34,$E134,FALSE)/100,IF($B134=2016,VLOOKUP($BJ134,'Treasury Yields'!$C$40:$N$69,$E134,FALSE)/100,IF($B134=2017,VLOOKUP($BJ134,'Treasury Yields'!$C$75:$N$104,$E134,FALSE)/100,IF($B134=2018,VLOOKUP($BJ134,'Treasury Yields'!$C$110:$N$139,$E134,FALSE)/100,IF($B134=2019,VLOOKUP($BJ134,'Treasury Yields'!$C$145:$N$174,$E134,FALSE)/100,IF($B134=2020,VLOOKUP($BJ134,'Treasury Yields'!$C$180:$N$209,$E134,FALSE)/100,IF($B134=2021,VLOOKUP($BJ134,'Treasury Yields'!$C$215:$N$244,$E134,FALSE)/100,IF($B134=2022,VLOOKUP($BJ134,'Treasury Yields'!$C$250:$N$279,$E134,FALSE)/100)))))))),0)</f>
        <v>2.8906472727272727E-2</v>
      </c>
      <c r="BL134">
        <f t="shared" si="260"/>
        <v>1.484748789533102</v>
      </c>
      <c r="BM134">
        <f t="shared" si="261"/>
        <v>44419824.920726411</v>
      </c>
      <c r="BN134">
        <f t="shared" si="262"/>
        <v>27821416.920726411</v>
      </c>
      <c r="BP134">
        <f>IF($BJ134&lt;=30,IF($B134=2015,VLOOKUP($BJ134,'Treasury Yields'!$C$40:$N$69,$E134,FALSE)/100,IF($B134=2016,VLOOKUP($BJ134,'Treasury Yields'!$C$75:$N$104,$E134,FALSE)/100,IF($B134=2017,VLOOKUP($BJ134,'Treasury Yields'!$C$110:$N$139,$E134,FALSE)/100,IF($B134=2018,VLOOKUP($BJ134,'Treasury Yields'!$C$145:$N$174,$E134,FALSE)/100,IF($B134=2019,VLOOKUP($BJ134,'Treasury Yields'!$C$180:$N$209,$E134,FALSE)/100,IF($B134=2020,VLOOKUP($BJ134,'Treasury Yields'!$C$215:$N$244,$E134,FALSE)/100,IF($B134=2021,VLOOKUP($BJ134,'Treasury Yields'!$C$250:$N$279,$E134,FALSE)/100,IF($B134=2022,VLOOKUP($BJ134,'Treasury Yields'!$C$285:$N$314,$E134,FALSE)/100)))))))),0)</f>
        <v>2.2184000000000002E-2</v>
      </c>
      <c r="BQ134">
        <f t="shared" si="263"/>
        <v>1.5643700805228884</v>
      </c>
      <c r="BR134">
        <f t="shared" si="264"/>
        <v>49115663.885892682</v>
      </c>
      <c r="BS134">
        <f t="shared" si="265"/>
        <v>31888636.885892682</v>
      </c>
      <c r="BU134">
        <f t="shared" si="276"/>
        <v>15</v>
      </c>
      <c r="BV134">
        <f t="shared" si="266"/>
        <v>2.4226377910030688</v>
      </c>
      <c r="BW134">
        <f t="shared" si="267"/>
        <v>1500833.8020775651</v>
      </c>
      <c r="BX134" s="5">
        <f t="shared" si="268"/>
        <v>1284445.2903296405</v>
      </c>
      <c r="BY134" s="5">
        <f t="shared" si="269"/>
        <v>804643.86216149526</v>
      </c>
      <c r="BZ134" s="5">
        <f t="shared" si="270"/>
        <v>2683390</v>
      </c>
      <c r="CA134" s="5">
        <f t="shared" si="271"/>
        <v>2305477.6642390601</v>
      </c>
      <c r="CC134" s="5">
        <f t="shared" si="272"/>
        <v>49115663.885892682</v>
      </c>
      <c r="CD134" s="5" t="str">
        <f t="shared" si="273"/>
        <v xml:space="preserve">Hawaii </v>
      </c>
      <c r="CE134" s="5">
        <f t="shared" si="274"/>
        <v>0.54869350188913091</v>
      </c>
      <c r="CF134" s="10">
        <f t="shared" si="275"/>
        <v>0.35074405265135911</v>
      </c>
    </row>
    <row r="135" spans="1:84" x14ac:dyDescent="0.2">
      <c r="A135">
        <v>12000000000401</v>
      </c>
      <c r="B135">
        <v>2020</v>
      </c>
      <c r="C135">
        <v>209</v>
      </c>
      <c r="D135" t="s">
        <v>285</v>
      </c>
      <c r="E135">
        <v>6</v>
      </c>
      <c r="F135" t="s">
        <v>286</v>
      </c>
      <c r="G135" t="s">
        <v>287</v>
      </c>
      <c r="I135" t="b">
        <v>1</v>
      </c>
      <c r="J135">
        <v>626699</v>
      </c>
      <c r="K135">
        <v>2164804</v>
      </c>
      <c r="M135">
        <v>71837</v>
      </c>
      <c r="N135">
        <v>0</v>
      </c>
      <c r="O135">
        <v>1568033</v>
      </c>
      <c r="Q135">
        <v>1295308</v>
      </c>
      <c r="R135">
        <v>31396447</v>
      </c>
      <c r="S135">
        <v>32691755</v>
      </c>
      <c r="T135">
        <v>1098589</v>
      </c>
      <c r="U135">
        <v>284142</v>
      </c>
      <c r="V135">
        <v>3255</v>
      </c>
      <c r="W135">
        <v>358282</v>
      </c>
      <c r="Y135">
        <v>17782</v>
      </c>
      <c r="AA135">
        <v>158453</v>
      </c>
      <c r="AB135">
        <v>17227026</v>
      </c>
      <c r="AC135">
        <v>17385480</v>
      </c>
      <c r="AD135">
        <v>15306275</v>
      </c>
      <c r="AE135">
        <v>14169421</v>
      </c>
      <c r="AF135">
        <v>1136854</v>
      </c>
      <c r="AG135">
        <v>4481443</v>
      </c>
      <c r="AH135">
        <v>0.24514179919280463</v>
      </c>
      <c r="AI135" t="b">
        <v>1</v>
      </c>
      <c r="AK135">
        <v>7.0000000000000007E-2</v>
      </c>
      <c r="AL135">
        <v>7.0000000000000007E-2</v>
      </c>
      <c r="AM135">
        <v>7.0000000000000007E-2</v>
      </c>
      <c r="AN135">
        <v>7.0000000000000007E-2</v>
      </c>
      <c r="AO135">
        <v>1</v>
      </c>
      <c r="AP135">
        <v>0</v>
      </c>
      <c r="AS135">
        <v>19732216</v>
      </c>
      <c r="AT135">
        <v>11657505</v>
      </c>
      <c r="AU135" t="s">
        <v>296</v>
      </c>
      <c r="AV135" t="s">
        <v>297</v>
      </c>
      <c r="BB135">
        <f t="shared" si="252"/>
        <v>0.53180014349183757</v>
      </c>
      <c r="BD135">
        <f t="shared" si="253"/>
        <v>4425941</v>
      </c>
      <c r="BE135">
        <f t="shared" si="254"/>
        <v>-3648770</v>
      </c>
      <c r="BF135">
        <f t="shared" si="255"/>
        <v>13.538401349208693</v>
      </c>
      <c r="BG135">
        <f t="shared" si="256"/>
        <v>-11.16113221819997</v>
      </c>
      <c r="BH135">
        <f t="shared" si="257"/>
        <v>12.349766783704332</v>
      </c>
      <c r="BI135">
        <f t="shared" si="258"/>
        <v>118.86345655043603</v>
      </c>
      <c r="BJ135">
        <f t="shared" si="259"/>
        <v>12</v>
      </c>
      <c r="BK135">
        <f>IF($BJ135&lt;=30,IF($B135=2015,VLOOKUP($BJ135,'Treasury Yields'!$C$5:$N$34,$E135,FALSE)/100,IF($B135=2016,VLOOKUP($BJ135,'Treasury Yields'!$C$40:$N$69,$E135,FALSE)/100,IF($B135=2017,VLOOKUP($BJ135,'Treasury Yields'!$C$75:$N$104,$E135,FALSE)/100,IF($B135=2018,VLOOKUP($BJ135,'Treasury Yields'!$C$110:$N$139,$E135,FALSE)/100,IF($B135=2019,VLOOKUP($BJ135,'Treasury Yields'!$C$145:$N$174,$E135,FALSE)/100,IF($B135=2020,VLOOKUP($BJ135,'Treasury Yields'!$C$180:$N$209,$E135,FALSE)/100,IF($B135=2021,VLOOKUP($BJ135,'Treasury Yields'!$C$215:$N$244,$E135,FALSE)/100,IF($B135=2022,VLOOKUP($BJ135,'Treasury Yields'!$C$250:$N$279,$E135,FALSE)/100)))))))),0)</f>
        <v>2.2184000000000002E-2</v>
      </c>
      <c r="BL135">
        <f t="shared" si="260"/>
        <v>1.5928028183856064</v>
      </c>
      <c r="BM135">
        <f t="shared" si="261"/>
        <v>50008349.268894315</v>
      </c>
      <c r="BN135">
        <f t="shared" si="262"/>
        <v>32781323.268894315</v>
      </c>
      <c r="BP135">
        <f>IF($BJ135&lt;=30,IF($B135=2015,VLOOKUP($BJ135,'Treasury Yields'!$C$40:$N$69,$E135,FALSE)/100,IF($B135=2016,VLOOKUP($BJ135,'Treasury Yields'!$C$75:$N$104,$E135,FALSE)/100,IF($B135=2017,VLOOKUP($BJ135,'Treasury Yields'!$C$110:$N$139,$E135,FALSE)/100,IF($B135=2018,VLOOKUP($BJ135,'Treasury Yields'!$C$145:$N$174,$E135,FALSE)/100,IF($B135=2019,VLOOKUP($BJ135,'Treasury Yields'!$C$180:$N$209,$E135,FALSE)/100,IF($B135=2020,VLOOKUP($BJ135,'Treasury Yields'!$C$215:$N$244,$E135,FALSE)/100,IF($B135=2021,VLOOKUP($BJ135,'Treasury Yields'!$C$250:$N$279,$E135,FALSE)/100,IF($B135=2022,VLOOKUP($BJ135,'Treasury Yields'!$C$285:$N$314,$E135,FALSE)/100)))))))),0)</f>
        <v>1.3689454545454545E-2</v>
      </c>
      <c r="BQ135">
        <f t="shared" si="263"/>
        <v>1.6985929813562068</v>
      </c>
      <c r="BR135">
        <f t="shared" si="264"/>
        <v>55529985.591216683</v>
      </c>
      <c r="BS135">
        <f t="shared" si="265"/>
        <v>38144505.591216683</v>
      </c>
      <c r="BU135">
        <f t="shared" si="276"/>
        <v>15</v>
      </c>
      <c r="BV135">
        <f t="shared" si="266"/>
        <v>2.5795222725664892</v>
      </c>
      <c r="BW135">
        <f t="shared" si="267"/>
        <v>1616584.0286951463</v>
      </c>
      <c r="BX135" s="5">
        <f t="shared" si="268"/>
        <v>1110462.2762017248</v>
      </c>
      <c r="BY135" s="5">
        <f t="shared" si="269"/>
        <v>728297.93141772458</v>
      </c>
      <c r="BZ135" s="5">
        <f t="shared" si="270"/>
        <v>2791503</v>
      </c>
      <c r="CA135" s="5">
        <f t="shared" si="271"/>
        <v>2344881.9601128707</v>
      </c>
      <c r="CC135" s="5">
        <f t="shared" si="272"/>
        <v>55529985.591216683</v>
      </c>
      <c r="CD135" s="5" t="str">
        <f t="shared" si="273"/>
        <v xml:space="preserve">Hawaii </v>
      </c>
      <c r="CE135" s="5">
        <f t="shared" si="274"/>
        <v>0.53180014349183757</v>
      </c>
      <c r="CF135" s="10">
        <f t="shared" si="275"/>
        <v>0.3130827392606042</v>
      </c>
    </row>
    <row r="136" spans="1:84" x14ac:dyDescent="0.2">
      <c r="A136">
        <v>12000000000401</v>
      </c>
      <c r="B136">
        <v>2021</v>
      </c>
      <c r="C136">
        <v>209</v>
      </c>
      <c r="D136" t="s">
        <v>285</v>
      </c>
      <c r="E136">
        <v>6</v>
      </c>
      <c r="F136" t="s">
        <v>286</v>
      </c>
      <c r="G136" t="s">
        <v>287</v>
      </c>
      <c r="I136" t="b">
        <v>1</v>
      </c>
      <c r="J136">
        <v>642140</v>
      </c>
      <c r="K136">
        <v>2252271</v>
      </c>
      <c r="M136">
        <v>228048</v>
      </c>
      <c r="N136">
        <v>0</v>
      </c>
      <c r="O136">
        <v>1675050</v>
      </c>
      <c r="Q136">
        <v>1447410</v>
      </c>
      <c r="R136">
        <v>32691755</v>
      </c>
      <c r="S136">
        <v>34139165</v>
      </c>
      <c r="T136">
        <v>1281559</v>
      </c>
      <c r="U136">
        <v>299473</v>
      </c>
      <c r="V136">
        <v>1153</v>
      </c>
      <c r="W136">
        <v>4662226</v>
      </c>
      <c r="Y136">
        <v>19050</v>
      </c>
      <c r="AA136">
        <v>4550311</v>
      </c>
      <c r="AB136">
        <v>17385480</v>
      </c>
      <c r="AC136">
        <v>21935792</v>
      </c>
      <c r="AD136">
        <v>12203374</v>
      </c>
      <c r="AE136">
        <v>15306275</v>
      </c>
      <c r="AF136">
        <v>-3102901</v>
      </c>
      <c r="AG136">
        <v>4667346</v>
      </c>
      <c r="AH136">
        <v>0.27457981473839738</v>
      </c>
      <c r="AI136" t="b">
        <v>1</v>
      </c>
      <c r="AK136">
        <v>7.0000000000000007E-2</v>
      </c>
      <c r="AL136">
        <v>7.0000000000000007E-2</v>
      </c>
      <c r="AM136">
        <v>7.0000000000000007E-2</v>
      </c>
      <c r="AN136">
        <v>7.0000000000000007E-2</v>
      </c>
      <c r="AS136">
        <v>16810511</v>
      </c>
      <c r="AT136">
        <v>8405055</v>
      </c>
      <c r="AU136" t="s">
        <v>52</v>
      </c>
      <c r="AV136" t="s">
        <v>298</v>
      </c>
      <c r="BB136">
        <f t="shared" si="252"/>
        <v>0.64254037847732948</v>
      </c>
      <c r="BD136">
        <f t="shared" si="253"/>
        <v>4607137</v>
      </c>
      <c r="BE136">
        <f t="shared" si="254"/>
        <v>-3798319</v>
      </c>
      <c r="BF136">
        <f t="shared" si="255"/>
        <v>13.495166035841827</v>
      </c>
      <c r="BG136">
        <f t="shared" si="256"/>
        <v>-11.125986824809569</v>
      </c>
      <c r="BH136">
        <f t="shared" si="257"/>
        <v>12.310576430325698</v>
      </c>
      <c r="BI136">
        <f t="shared" si="258"/>
        <v>118.45896055161278</v>
      </c>
      <c r="BJ136">
        <f t="shared" si="259"/>
        <v>12</v>
      </c>
      <c r="BK136">
        <f>IF($BJ136&lt;=30,IF($B136=2015,VLOOKUP($BJ136,'Treasury Yields'!$C$5:$N$34,$E136,FALSE)/100,IF($B136=2016,VLOOKUP($BJ136,'Treasury Yields'!$C$40:$N$69,$E136,FALSE)/100,IF($B136=2017,VLOOKUP($BJ136,'Treasury Yields'!$C$75:$N$104,$E136,FALSE)/100,IF($B136=2018,VLOOKUP($BJ136,'Treasury Yields'!$C$110:$N$139,$E136,FALSE)/100,IF($B136=2019,VLOOKUP($BJ136,'Treasury Yields'!$C$145:$N$174,$E136,FALSE)/100,IF($B136=2020,VLOOKUP($BJ136,'Treasury Yields'!$C$180:$N$209,$E136,FALSE)/100,IF($B136=2021,VLOOKUP($BJ136,'Treasury Yields'!$C$215:$N$244,$E136,FALSE)/100,IF($B136=2022,VLOOKUP($BJ136,'Treasury Yields'!$C$250:$N$279,$E136,FALSE)/100)))))))),0)</f>
        <v>1.3689454545454545E-2</v>
      </c>
      <c r="BL136">
        <f t="shared" si="260"/>
        <v>1.6963861511808995</v>
      </c>
      <c r="BM136">
        <f t="shared" si="261"/>
        <v>55457840.439798929</v>
      </c>
      <c r="BN136">
        <f t="shared" si="262"/>
        <v>38072360.439798929</v>
      </c>
      <c r="BP136">
        <f>IF($BJ136&lt;=30,IF($B136=2015,VLOOKUP($BJ136,'Treasury Yields'!$C$40:$N$69,$E136,FALSE)/100,IF($B136=2016,VLOOKUP($BJ136,'Treasury Yields'!$C$75:$N$104,$E136,FALSE)/100,IF($B136=2017,VLOOKUP($BJ136,'Treasury Yields'!$C$110:$N$139,$E136,FALSE)/100,IF($B136=2018,VLOOKUP($BJ136,'Treasury Yields'!$C$145:$N$174,$E136,FALSE)/100,IF($B136=2019,VLOOKUP($BJ136,'Treasury Yields'!$C$180:$N$209,$E136,FALSE)/100,IF($B136=2020,VLOOKUP($BJ136,'Treasury Yields'!$C$215:$N$244,$E136,FALSE)/100,IF($B136=2021,VLOOKUP($BJ136,'Treasury Yields'!$C$250:$N$279,$E136,FALSE)/100,IF($B136=2022,VLOOKUP($BJ136,'Treasury Yields'!$C$285:$N$314,$E136,FALSE)/100)))))))),0)</f>
        <v>2.1085818181818185E-2</v>
      </c>
      <c r="BQ136">
        <f t="shared" si="263"/>
        <v>1.604554370982517</v>
      </c>
      <c r="BR136">
        <f t="shared" si="264"/>
        <v>54778146.42244336</v>
      </c>
      <c r="BS136">
        <f t="shared" si="265"/>
        <v>32842354.42244336</v>
      </c>
      <c r="BU136">
        <f t="shared" si="276"/>
        <v>15</v>
      </c>
      <c r="BV136">
        <f t="shared" si="266"/>
        <v>2.9134923116375129</v>
      </c>
      <c r="BW136">
        <f t="shared" si="267"/>
        <v>1870869.9529949126</v>
      </c>
      <c r="BX136" s="5">
        <f t="shared" si="268"/>
        <v>761868.25423531525</v>
      </c>
      <c r="BY136" s="5">
        <f t="shared" si="269"/>
        <v>523870.51602440613</v>
      </c>
      <c r="BZ136" s="5">
        <f t="shared" si="270"/>
        <v>2894411</v>
      </c>
      <c r="CA136" s="5">
        <f t="shared" si="271"/>
        <v>2394740.4690193189</v>
      </c>
      <c r="CC136" s="5">
        <f t="shared" si="272"/>
        <v>54778146.42244336</v>
      </c>
      <c r="CD136" s="5" t="str">
        <f t="shared" si="273"/>
        <v xml:space="preserve">Hawaii </v>
      </c>
      <c r="CE136" s="5">
        <f t="shared" si="274"/>
        <v>0.64254037847732948</v>
      </c>
      <c r="CF136" s="10">
        <f t="shared" si="275"/>
        <v>0.40044786895185275</v>
      </c>
    </row>
    <row r="137" spans="1:84" x14ac:dyDescent="0.2">
      <c r="A137">
        <v>12000000000401</v>
      </c>
      <c r="B137">
        <v>2022</v>
      </c>
      <c r="C137">
        <v>209</v>
      </c>
      <c r="D137" t="s">
        <v>285</v>
      </c>
      <c r="E137">
        <v>6</v>
      </c>
      <c r="F137" t="s">
        <v>286</v>
      </c>
      <c r="G137" t="s">
        <v>287</v>
      </c>
      <c r="I137" t="b">
        <v>1</v>
      </c>
      <c r="J137">
        <v>613550</v>
      </c>
      <c r="K137">
        <v>2349504</v>
      </c>
      <c r="M137">
        <v>-361275</v>
      </c>
      <c r="N137">
        <v>154960</v>
      </c>
      <c r="O137">
        <v>1738751</v>
      </c>
      <c r="Q137">
        <v>683613</v>
      </c>
      <c r="R137">
        <v>34139165</v>
      </c>
      <c r="S137">
        <v>34822779</v>
      </c>
      <c r="T137">
        <v>1242139</v>
      </c>
      <c r="U137">
        <v>292422</v>
      </c>
      <c r="V137">
        <v>605</v>
      </c>
      <c r="W137">
        <v>164559</v>
      </c>
      <c r="Y137">
        <v>17498</v>
      </c>
      <c r="AA137">
        <v>-80978</v>
      </c>
      <c r="AB137">
        <v>21935792</v>
      </c>
      <c r="AC137">
        <v>21854814</v>
      </c>
      <c r="AD137">
        <v>12967965</v>
      </c>
      <c r="AE137">
        <v>12203374</v>
      </c>
      <c r="AF137">
        <v>764591</v>
      </c>
      <c r="AG137">
        <v>4483687</v>
      </c>
      <c r="AH137">
        <v>0.27703517216968981</v>
      </c>
      <c r="AI137" t="b">
        <v>1</v>
      </c>
      <c r="AK137">
        <v>7.0000000000000007E-2</v>
      </c>
      <c r="AL137">
        <v>7.0000000000000007E-2</v>
      </c>
      <c r="AM137">
        <v>7.0000000000000007E-2</v>
      </c>
      <c r="AN137">
        <v>7.0000000000000007E-2</v>
      </c>
      <c r="AS137">
        <v>17561686</v>
      </c>
      <c r="AT137">
        <v>9165240</v>
      </c>
      <c r="AV137" t="s">
        <v>299</v>
      </c>
      <c r="BB137">
        <f t="shared" si="252"/>
        <v>0.62760108835656114</v>
      </c>
      <c r="BD137">
        <f t="shared" si="253"/>
        <v>4593721</v>
      </c>
      <c r="BE137">
        <f t="shared" si="254"/>
        <v>-3802725</v>
      </c>
      <c r="BF137">
        <f t="shared" si="255"/>
        <v>13.191712815338489</v>
      </c>
      <c r="BG137">
        <f t="shared" si="256"/>
        <v>-10.920222650811413</v>
      </c>
      <c r="BH137">
        <f t="shared" si="257"/>
        <v>12.055967733074951</v>
      </c>
      <c r="BI137">
        <f t="shared" si="258"/>
        <v>113.57450822635379</v>
      </c>
      <c r="BJ137">
        <f t="shared" si="259"/>
        <v>12</v>
      </c>
      <c r="BK137">
        <f>IF($BJ137&lt;=30,IF($B137=2015,VLOOKUP($BJ137,'Treasury Yields'!$C$5:$N$34,$E137,FALSE)/100,IF($B137=2016,VLOOKUP($BJ137,'Treasury Yields'!$C$40:$N$69,$E137,FALSE)/100,IF($B137=2017,VLOOKUP($BJ137,'Treasury Yields'!$C$75:$N$104,$E137,FALSE)/100,IF($B137=2018,VLOOKUP($BJ137,'Treasury Yields'!$C$110:$N$139,$E137,FALSE)/100,IF($B137=2019,VLOOKUP($BJ137,'Treasury Yields'!$C$145:$N$174,$E137,FALSE)/100,IF($B137=2020,VLOOKUP($BJ137,'Treasury Yields'!$C$180:$N$209,$E137,FALSE)/100,IF($B137=2021,VLOOKUP($BJ137,'Treasury Yields'!$C$215:$N$244,$E137,FALSE)/100,IF($B137=2022,VLOOKUP($BJ137,'Treasury Yields'!$C$250:$N$279,$E137,FALSE)/100)))))))),0)</f>
        <v>2.1085818181818185E-2</v>
      </c>
      <c r="BL137">
        <f t="shared" si="260"/>
        <v>1.5921003948727037</v>
      </c>
      <c r="BM137">
        <f t="shared" si="261"/>
        <v>54352978.077124387</v>
      </c>
      <c r="BN137">
        <f t="shared" si="262"/>
        <v>32417186.077124387</v>
      </c>
      <c r="BP137">
        <f>IF($BJ137&lt;=30,IF($B137=2015,VLOOKUP($BJ137,'Treasury Yields'!$C$40:$N$69,$E137,FALSE)/100,IF($B137=2016,VLOOKUP($BJ137,'Treasury Yields'!$C$75:$N$104,$E137,FALSE)/100,IF($B137=2017,VLOOKUP($BJ137,'Treasury Yields'!$C$110:$N$139,$E137,FALSE)/100,IF($B137=2018,VLOOKUP($BJ137,'Treasury Yields'!$C$145:$N$174,$E137,FALSE)/100,IF($B137=2019,VLOOKUP($BJ137,'Treasury Yields'!$C$180:$N$209,$E137,FALSE)/100,IF($B137=2020,VLOOKUP($BJ137,'Treasury Yields'!$C$215:$N$244,$E137,FALSE)/100,IF($B137=2021,VLOOKUP($BJ137,'Treasury Yields'!$C$250:$N$279,$E137,FALSE)/100,IF($B137=2022,VLOOKUP($BJ137,'Treasury Yields'!$C$285:$N$314,$E137,FALSE)/100)))))))),0)</f>
        <v>3.2402272727272724E-2</v>
      </c>
      <c r="BQ137">
        <f t="shared" si="263"/>
        <v>1.4546905759330266</v>
      </c>
      <c r="BR137">
        <f t="shared" si="264"/>
        <v>50656368.439098507</v>
      </c>
      <c r="BS137">
        <f t="shared" si="265"/>
        <v>28801554.439098507</v>
      </c>
      <c r="BU137">
        <f t="shared" si="276"/>
        <v>15</v>
      </c>
      <c r="BV137">
        <f t="shared" si="266"/>
        <v>2.5951585733989031</v>
      </c>
      <c r="BW137">
        <f t="shared" si="267"/>
        <v>1592259.542708897</v>
      </c>
      <c r="BX137" s="5">
        <f t="shared" si="268"/>
        <v>1142988.1211409648</v>
      </c>
      <c r="BY137" s="5">
        <f t="shared" si="269"/>
        <v>680453.99935478286</v>
      </c>
      <c r="BZ137" s="5">
        <f t="shared" si="270"/>
        <v>2963054</v>
      </c>
      <c r="CA137" s="5">
        <f t="shared" si="271"/>
        <v>2272713.54206368</v>
      </c>
      <c r="CC137" s="5">
        <f t="shared" si="272"/>
        <v>50656368.439098507</v>
      </c>
      <c r="CD137" s="5" t="str">
        <f t="shared" si="273"/>
        <v xml:space="preserve">Hawaii </v>
      </c>
      <c r="CE137" s="5">
        <f t="shared" si="274"/>
        <v>0.62760108835656114</v>
      </c>
      <c r="CF137" s="10">
        <f t="shared" si="275"/>
        <v>0.43143270379271059</v>
      </c>
    </row>
    <row r="138" spans="1:84" x14ac:dyDescent="0.2">
      <c r="A138">
        <v>13000000004607</v>
      </c>
      <c r="B138">
        <v>2015</v>
      </c>
      <c r="C138">
        <v>460</v>
      </c>
      <c r="D138" t="s">
        <v>300</v>
      </c>
      <c r="E138">
        <v>6</v>
      </c>
      <c r="F138" t="s">
        <v>301</v>
      </c>
      <c r="G138" t="s">
        <v>302</v>
      </c>
      <c r="H138" t="s">
        <v>303</v>
      </c>
      <c r="I138" t="b">
        <v>1</v>
      </c>
      <c r="J138">
        <v>384419.25199999998</v>
      </c>
      <c r="K138">
        <v>1045505.4620000001</v>
      </c>
      <c r="L138">
        <v>150400</v>
      </c>
      <c r="M138">
        <v>-105531.304</v>
      </c>
      <c r="N138">
        <v>0</v>
      </c>
      <c r="O138">
        <v>770593.41</v>
      </c>
      <c r="Q138">
        <v>704200</v>
      </c>
      <c r="R138">
        <v>14569300</v>
      </c>
      <c r="S138">
        <v>15273500</v>
      </c>
      <c r="T138">
        <v>321240.62800000003</v>
      </c>
      <c r="V138">
        <v>211468.78</v>
      </c>
      <c r="W138">
        <v>367820.87699999998</v>
      </c>
      <c r="Y138">
        <v>6434.4620000000004</v>
      </c>
      <c r="Z138">
        <v>16767</v>
      </c>
      <c r="AA138">
        <v>123519.18</v>
      </c>
      <c r="AB138">
        <v>13833143.495999999</v>
      </c>
      <c r="AC138">
        <v>13956662.675000001</v>
      </c>
      <c r="AD138">
        <v>1316837.325</v>
      </c>
      <c r="AE138">
        <v>736156.50400000066</v>
      </c>
      <c r="AF138">
        <v>580680.8209999993</v>
      </c>
      <c r="AG138">
        <v>2791100</v>
      </c>
      <c r="AH138">
        <v>0.11509463222385441</v>
      </c>
      <c r="AI138" t="b">
        <v>1</v>
      </c>
      <c r="AK138">
        <v>7.0000000000000007E-2</v>
      </c>
      <c r="AL138">
        <v>7.0999999999999994E-2</v>
      </c>
      <c r="AM138">
        <v>7.0999999999999994E-2</v>
      </c>
      <c r="AN138">
        <v>7.0000000000000007E-2</v>
      </c>
      <c r="AO138">
        <v>1</v>
      </c>
      <c r="AP138">
        <v>0</v>
      </c>
      <c r="AS138">
        <v>3207337.3250000002</v>
      </c>
      <c r="AT138">
        <v>-254862.67499999999</v>
      </c>
      <c r="BB138">
        <f t="shared" ref="BB138:BB153" si="277">AC138/S138</f>
        <v>0.91378287065832986</v>
      </c>
      <c r="BD138">
        <f t="shared" ref="BD138:BD153" si="278">AS138-AD138</f>
        <v>1890500.0000000002</v>
      </c>
      <c r="BE138">
        <f t="shared" ref="BE138:BE153" si="279">AT138-AD138</f>
        <v>-1571700</v>
      </c>
      <c r="BF138">
        <f t="shared" ref="BF138:BF153" si="280">BD138/S138*100</f>
        <v>12.377647559498479</v>
      </c>
      <c r="BG138">
        <f t="shared" ref="BG138:BG153" si="281">BE138/S138*100</f>
        <v>-10.290372213310636</v>
      </c>
      <c r="BH138">
        <f t="shared" ref="BH138:BH153" si="282">(BD138-BE138)/(2*S138)*100</f>
        <v>11.334009886404557</v>
      </c>
      <c r="BI138">
        <f t="shared" ref="BI138:BI153" si="283">(BD138+BE138)/(2*S138*(0.01^2))</f>
        <v>104.36376730939214</v>
      </c>
      <c r="BJ138">
        <f t="shared" ref="BJ138:BJ153" si="284">ROUND(BH138,0)</f>
        <v>11</v>
      </c>
      <c r="BK138">
        <f>IF($BJ138&lt;=30,IF($B138=2015,VLOOKUP($BJ138,'Treasury Yields'!$C$5:$N$34,$E138,FALSE)/100,IF($B138=2016,VLOOKUP($BJ138,'Treasury Yields'!$C$40:$N$69,$E138,FALSE)/100,IF($B138=2017,VLOOKUP($BJ138,'Treasury Yields'!$C$75:$N$104,$E138,FALSE)/100,IF($B138=2018,VLOOKUP($BJ138,'Treasury Yields'!$C$110:$N$139,$E138,FALSE)/100,IF($B138=2019,VLOOKUP($BJ138,'Treasury Yields'!$C$145:$N$174,$E138,FALSE)/100,IF($B138=2020,VLOOKUP($BJ138,'Treasury Yields'!$C$180:$N$209,$E138,FALSE)/100,IF($B138=2021,VLOOKUP($BJ138,'Treasury Yields'!$C$215:$N$244,$E138,FALSE)/100,IF($B138=2022,VLOOKUP($BJ138,'Treasury Yields'!$C$250:$N$279,$E138,FALSE)/100)))))))),0)</f>
        <v>2.8147999999999999E-2</v>
      </c>
      <c r="BL138">
        <f t="shared" ref="BL138:BL153" si="285">1+BH138*(AL138-BK138)+(AL138-BK138)^2</f>
        <v>1.4875212855562079</v>
      </c>
      <c r="BM138">
        <f t="shared" ref="BM138:BM153" si="286">BL138*R138</f>
        <v>21672143.865654059</v>
      </c>
      <c r="BN138">
        <f t="shared" ref="BN138:BN153" si="287">BM138-AB138</f>
        <v>7839000.3696540594</v>
      </c>
      <c r="BP138">
        <f>IF($BJ138&lt;=30,IF($B138=2015,VLOOKUP($BJ138,'Treasury Yields'!$C$40:$N$69,$E138,FALSE)/100,IF($B138=2016,VLOOKUP($BJ138,'Treasury Yields'!$C$75:$N$104,$E138,FALSE)/100,IF($B138=2017,VLOOKUP($BJ138,'Treasury Yields'!$C$110:$N$139,$E138,FALSE)/100,IF($B138=2018,VLOOKUP($BJ138,'Treasury Yields'!$C$145:$N$174,$E138,FALSE)/100,IF($B138=2019,VLOOKUP($BJ138,'Treasury Yields'!$C$180:$N$209,$E138,FALSE)/100,IF($B138=2020,VLOOKUP($BJ138,'Treasury Yields'!$C$215:$N$244,$E138,FALSE)/100,IF($B138=2021,VLOOKUP($BJ138,'Treasury Yields'!$C$250:$N$279,$E138,FALSE)/100,IF($B138=2022,VLOOKUP($BJ138,'Treasury Yields'!$C$285:$N$314,$E138,FALSE)/100)))))))),0)</f>
        <v>2.6258E-2</v>
      </c>
      <c r="BQ138">
        <f t="shared" ref="BQ138:BQ153" si="288">1+BH138*(AN138-BP138)+(AN138-BP138)^2</f>
        <v>1.4976856230151081</v>
      </c>
      <c r="BR138">
        <f t="shared" ref="BR138:BR153" si="289">BQ138*S138</f>
        <v>22874901.363121253</v>
      </c>
      <c r="BS138">
        <f t="shared" ref="BS138:BS153" si="290">BR138-AC138</f>
        <v>8918238.6881212518</v>
      </c>
      <c r="BU138">
        <f t="shared" si="276"/>
        <v>14</v>
      </c>
      <c r="BV138">
        <f t="shared" ref="BV138:BV153" si="291">1+(BH138+BU138)*(AN138-BK138)+(AN138-BK138)^2*BI138</f>
        <v>2.2430815029283409</v>
      </c>
      <c r="BW138">
        <f t="shared" ref="BW138:BW153" si="292">BV138*J138</f>
        <v>862283.7135307485</v>
      </c>
      <c r="BX138" s="5">
        <f t="shared" ref="BX138:BX153" si="293">(BM138+BW138-O138)*BK138</f>
        <v>612608.40419421392</v>
      </c>
      <c r="BY138" s="5">
        <f t="shared" ref="BY138:BY153" si="294">BK138*(BN138+BW138-O138)</f>
        <v>223233.08106880597</v>
      </c>
      <c r="BZ138" s="5">
        <f t="shared" ref="BZ138:BZ153" si="295">SUM(J138:K138)</f>
        <v>1429924.7140000002</v>
      </c>
      <c r="CA138" s="5">
        <f t="shared" ref="CA138:CA153" si="296">SUM(BW138+BY138)</f>
        <v>1085516.7945995545</v>
      </c>
      <c r="CC138" s="5">
        <f t="shared" ref="CC138:CC153" si="297">BR138</f>
        <v>22874901.363121253</v>
      </c>
      <c r="CD138" s="5" t="str">
        <f t="shared" ref="CD138:CD153" si="298">F138</f>
        <v>Idaho</v>
      </c>
      <c r="CE138" s="5">
        <f t="shared" si="274"/>
        <v>0.91378287065832986</v>
      </c>
      <c r="CF138" s="10">
        <f t="shared" ref="CF138:CF153" si="299">AC138/CC138</f>
        <v>0.61012996093180227</v>
      </c>
    </row>
    <row r="139" spans="1:84" x14ac:dyDescent="0.2">
      <c r="A139">
        <v>13000000004607</v>
      </c>
      <c r="B139">
        <v>2016</v>
      </c>
      <c r="C139">
        <v>460</v>
      </c>
      <c r="D139" t="s">
        <v>300</v>
      </c>
      <c r="E139">
        <v>6</v>
      </c>
      <c r="F139" t="s">
        <v>301</v>
      </c>
      <c r="G139" t="s">
        <v>302</v>
      </c>
      <c r="H139" t="s">
        <v>303</v>
      </c>
      <c r="I139" t="b">
        <v>1</v>
      </c>
      <c r="J139">
        <v>397284</v>
      </c>
      <c r="K139">
        <v>1088671</v>
      </c>
      <c r="L139">
        <v>67800</v>
      </c>
      <c r="M139">
        <v>-104513</v>
      </c>
      <c r="N139">
        <v>13100</v>
      </c>
      <c r="O139">
        <v>824525</v>
      </c>
      <c r="Q139">
        <v>637817</v>
      </c>
      <c r="R139">
        <v>15273500</v>
      </c>
      <c r="S139">
        <v>15911317</v>
      </c>
      <c r="T139">
        <v>335610</v>
      </c>
      <c r="V139">
        <v>220867</v>
      </c>
      <c r="W139">
        <v>202330</v>
      </c>
      <c r="Y139">
        <v>6807</v>
      </c>
      <c r="Z139">
        <v>25283</v>
      </c>
      <c r="AA139">
        <v>-72499</v>
      </c>
      <c r="AB139">
        <v>13956663</v>
      </c>
      <c r="AC139">
        <v>13884164</v>
      </c>
      <c r="AD139">
        <v>2027154</v>
      </c>
      <c r="AE139">
        <v>1316837</v>
      </c>
      <c r="AF139">
        <v>710317</v>
      </c>
      <c r="AG139">
        <v>2909300</v>
      </c>
      <c r="AH139">
        <v>0.11535764616918159</v>
      </c>
      <c r="AI139" t="b">
        <v>1</v>
      </c>
      <c r="AK139">
        <v>7.0999999999999994E-2</v>
      </c>
      <c r="AL139">
        <v>7.0999999999999994E-2</v>
      </c>
      <c r="AM139">
        <v>7.0999999999999994E-2</v>
      </c>
      <c r="AN139">
        <v>7.0999999999999994E-2</v>
      </c>
      <c r="AO139">
        <v>1</v>
      </c>
      <c r="AP139">
        <v>0</v>
      </c>
      <c r="AS139">
        <v>3976556</v>
      </c>
      <c r="AT139">
        <v>406010</v>
      </c>
      <c r="AU139" t="s">
        <v>304</v>
      </c>
      <c r="AV139" t="s">
        <v>305</v>
      </c>
      <c r="BB139">
        <f t="shared" si="277"/>
        <v>0.87259678127209706</v>
      </c>
      <c r="BD139">
        <f t="shared" si="278"/>
        <v>1949402</v>
      </c>
      <c r="BE139">
        <f t="shared" si="279"/>
        <v>-1621144</v>
      </c>
      <c r="BF139">
        <f t="shared" si="280"/>
        <v>12.251669676369341</v>
      </c>
      <c r="BG139">
        <f t="shared" si="281"/>
        <v>-10.188622349740125</v>
      </c>
      <c r="BH139">
        <f t="shared" si="282"/>
        <v>11.220146013054734</v>
      </c>
      <c r="BI139">
        <f t="shared" si="283"/>
        <v>103.1523663314608</v>
      </c>
      <c r="BJ139">
        <f t="shared" si="284"/>
        <v>11</v>
      </c>
      <c r="BK139">
        <f>IF($BJ139&lt;=30,IF($B139=2015,VLOOKUP($BJ139,'Treasury Yields'!$C$5:$N$34,$E139,FALSE)/100,IF($B139=2016,VLOOKUP($BJ139,'Treasury Yields'!$C$40:$N$69,$E139,FALSE)/100,IF($B139=2017,VLOOKUP($BJ139,'Treasury Yields'!$C$75:$N$104,$E139,FALSE)/100,IF($B139=2018,VLOOKUP($BJ139,'Treasury Yields'!$C$110:$N$139,$E139,FALSE)/100,IF($B139=2019,VLOOKUP($BJ139,'Treasury Yields'!$C$145:$N$174,$E139,FALSE)/100,IF($B139=2020,VLOOKUP($BJ139,'Treasury Yields'!$C$180:$N$209,$E139,FALSE)/100,IF($B139=2021,VLOOKUP($BJ139,'Treasury Yields'!$C$215:$N$244,$E139,FALSE)/100,IF($B139=2022,VLOOKUP($BJ139,'Treasury Yields'!$C$250:$N$279,$E139,FALSE)/100)))))))),0)</f>
        <v>2.6258E-2</v>
      </c>
      <c r="BL139">
        <f t="shared" si="285"/>
        <v>1.5040136194800946</v>
      </c>
      <c r="BM139">
        <f t="shared" si="286"/>
        <v>22971552.017129224</v>
      </c>
      <c r="BN139">
        <f t="shared" si="287"/>
        <v>9014889.0171292238</v>
      </c>
      <c r="BP139">
        <f>IF($BJ139&lt;=30,IF($B139=2015,VLOOKUP($BJ139,'Treasury Yields'!$C$40:$N$69,$E139,FALSE)/100,IF($B139=2016,VLOOKUP($BJ139,'Treasury Yields'!$C$75:$N$104,$E139,FALSE)/100,IF($B139=2017,VLOOKUP($BJ139,'Treasury Yields'!$C$110:$N$139,$E139,FALSE)/100,IF($B139=2018,VLOOKUP($BJ139,'Treasury Yields'!$C$145:$N$174,$E139,FALSE)/100,IF($B139=2019,VLOOKUP($BJ139,'Treasury Yields'!$C$180:$N$209,$E139,FALSE)/100,IF($B139=2020,VLOOKUP($BJ139,'Treasury Yields'!$C$215:$N$244,$E139,FALSE)/100,IF($B139=2021,VLOOKUP($BJ139,'Treasury Yields'!$C$250:$N$279,$E139,FALSE)/100,IF($B139=2022,VLOOKUP($BJ139,'Treasury Yields'!$C$285:$N$314,$E139,FALSE)/100)))))))),0)</f>
        <v>1.6948000000000001E-2</v>
      </c>
      <c r="BQ139">
        <f t="shared" si="288"/>
        <v>1.6093929510016343</v>
      </c>
      <c r="BR139">
        <f t="shared" si="289"/>
        <v>25607561.420952469</v>
      </c>
      <c r="BS139">
        <f t="shared" si="290"/>
        <v>11723397.420952469</v>
      </c>
      <c r="BU139">
        <f t="shared" si="276"/>
        <v>14</v>
      </c>
      <c r="BV139">
        <f t="shared" si="291"/>
        <v>2.3348949830251988</v>
      </c>
      <c r="BW139">
        <f t="shared" si="292"/>
        <v>927616.41843618313</v>
      </c>
      <c r="BX139" s="5">
        <f t="shared" si="293"/>
        <v>605893.98733107653</v>
      </c>
      <c r="BY139" s="5">
        <f t="shared" si="294"/>
        <v>239419.93027707643</v>
      </c>
      <c r="BZ139" s="5">
        <f t="shared" si="295"/>
        <v>1485955</v>
      </c>
      <c r="CA139" s="5">
        <f t="shared" si="296"/>
        <v>1167036.3487132597</v>
      </c>
      <c r="CC139" s="5">
        <f t="shared" si="297"/>
        <v>25607561.420952469</v>
      </c>
      <c r="CD139" s="5" t="str">
        <f t="shared" si="298"/>
        <v>Idaho</v>
      </c>
      <c r="CE139" s="5">
        <f t="shared" si="274"/>
        <v>0.87259678127209706</v>
      </c>
      <c r="CF139" s="10">
        <f t="shared" si="299"/>
        <v>0.5421900106676999</v>
      </c>
    </row>
    <row r="140" spans="1:84" x14ac:dyDescent="0.2">
      <c r="A140">
        <v>13000000004607</v>
      </c>
      <c r="B140">
        <v>2017</v>
      </c>
      <c r="C140">
        <v>460</v>
      </c>
      <c r="D140" t="s">
        <v>300</v>
      </c>
      <c r="E140">
        <v>6</v>
      </c>
      <c r="F140" t="s">
        <v>301</v>
      </c>
      <c r="G140" t="s">
        <v>302</v>
      </c>
      <c r="H140" t="s">
        <v>303</v>
      </c>
      <c r="I140" t="b">
        <v>1</v>
      </c>
      <c r="J140">
        <v>406911</v>
      </c>
      <c r="K140">
        <v>1129287</v>
      </c>
      <c r="L140">
        <v>12200</v>
      </c>
      <c r="M140">
        <v>273581</v>
      </c>
      <c r="N140">
        <v>0</v>
      </c>
      <c r="O140">
        <v>864785</v>
      </c>
      <c r="Q140">
        <v>957193</v>
      </c>
      <c r="R140">
        <v>15911317</v>
      </c>
      <c r="S140">
        <v>16868511</v>
      </c>
      <c r="T140">
        <v>356367</v>
      </c>
      <c r="V140">
        <v>237033</v>
      </c>
      <c r="W140">
        <v>1692714</v>
      </c>
      <c r="Y140">
        <v>8810</v>
      </c>
      <c r="Z140">
        <v>0</v>
      </c>
      <c r="AA140">
        <v>1412519</v>
      </c>
      <c r="AB140">
        <v>13884164</v>
      </c>
      <c r="AC140">
        <v>15296682</v>
      </c>
      <c r="AD140">
        <v>1571828</v>
      </c>
      <c r="AE140">
        <v>2027154</v>
      </c>
      <c r="AF140">
        <v>-455326</v>
      </c>
      <c r="AG140">
        <v>3089555</v>
      </c>
      <c r="AH140">
        <v>0.11534573749293991</v>
      </c>
      <c r="AI140" t="b">
        <v>1</v>
      </c>
      <c r="AK140">
        <v>7.0999999999999994E-2</v>
      </c>
      <c r="AL140">
        <v>7.0999999999999994E-2</v>
      </c>
      <c r="AM140">
        <v>7.4999999999999997E-2</v>
      </c>
      <c r="AN140">
        <v>7.0999999999999994E-2</v>
      </c>
      <c r="AO140">
        <v>1</v>
      </c>
      <c r="AP140">
        <v>4.0000000000000036E-3</v>
      </c>
      <c r="AS140">
        <v>3653252</v>
      </c>
      <c r="AT140">
        <v>-157890</v>
      </c>
      <c r="AU140" t="s">
        <v>306</v>
      </c>
      <c r="AV140" t="s">
        <v>307</v>
      </c>
      <c r="BB140">
        <f t="shared" si="277"/>
        <v>0.90681874647975746</v>
      </c>
      <c r="BD140">
        <f t="shared" si="278"/>
        <v>2081424</v>
      </c>
      <c r="BE140">
        <f t="shared" si="279"/>
        <v>-1729718</v>
      </c>
      <c r="BF140">
        <f t="shared" si="280"/>
        <v>12.339109243252116</v>
      </c>
      <c r="BG140">
        <f t="shared" si="281"/>
        <v>-10.25412379314333</v>
      </c>
      <c r="BH140">
        <f t="shared" si="282"/>
        <v>11.296616518197723</v>
      </c>
      <c r="BI140">
        <f t="shared" si="283"/>
        <v>104.24927250543927</v>
      </c>
      <c r="BJ140">
        <f t="shared" si="284"/>
        <v>11</v>
      </c>
      <c r="BK140">
        <f>IF($BJ140&lt;=30,IF($B140=2015,VLOOKUP($BJ140,'Treasury Yields'!$C$5:$N$34,$E140,FALSE)/100,IF($B140=2016,VLOOKUP($BJ140,'Treasury Yields'!$C$40:$N$69,$E140,FALSE)/100,IF($B140=2017,VLOOKUP($BJ140,'Treasury Yields'!$C$75:$N$104,$E140,FALSE)/100,IF($B140=2018,VLOOKUP($BJ140,'Treasury Yields'!$C$110:$N$139,$E140,FALSE)/100,IF($B140=2019,VLOOKUP($BJ140,'Treasury Yields'!$C$145:$N$174,$E140,FALSE)/100,IF($B140=2020,VLOOKUP($BJ140,'Treasury Yields'!$C$180:$N$209,$E140,FALSE)/100,IF($B140=2021,VLOOKUP($BJ140,'Treasury Yields'!$C$215:$N$244,$E140,FALSE)/100,IF($B140=2022,VLOOKUP($BJ140,'Treasury Yields'!$C$250:$N$279,$E140,FALSE)/100)))))))),0)</f>
        <v>1.6948000000000001E-2</v>
      </c>
      <c r="BL140">
        <f t="shared" si="285"/>
        <v>1.6135263347456232</v>
      </c>
      <c r="BM140">
        <f t="shared" si="286"/>
        <v>25673328.999985725</v>
      </c>
      <c r="BN140">
        <f t="shared" si="287"/>
        <v>11789164.999985725</v>
      </c>
      <c r="BP140">
        <f>IF($BJ140&lt;=30,IF($B140=2015,VLOOKUP($BJ140,'Treasury Yields'!$C$40:$N$69,$E140,FALSE)/100,IF($B140=2016,VLOOKUP($BJ140,'Treasury Yields'!$C$75:$N$104,$E140,FALSE)/100,IF($B140=2017,VLOOKUP($BJ140,'Treasury Yields'!$C$110:$N$139,$E140,FALSE)/100,IF($B140=2018,VLOOKUP($BJ140,'Treasury Yields'!$C$145:$N$174,$E140,FALSE)/100,IF($B140=2019,VLOOKUP($BJ140,'Treasury Yields'!$C$180:$N$209,$E140,FALSE)/100,IF($B140=2020,VLOOKUP($BJ140,'Treasury Yields'!$C$215:$N$244,$E140,FALSE)/100,IF($B140=2021,VLOOKUP($BJ140,'Treasury Yields'!$C$250:$N$279,$E140,FALSE)/100,IF($B140=2022,VLOOKUP($BJ140,'Treasury Yields'!$C$285:$N$314,$E140,FALSE)/100)))))))),0)</f>
        <v>2.5068799999999999E-2</v>
      </c>
      <c r="BQ140">
        <f t="shared" si="288"/>
        <v>1.5209768277540832</v>
      </c>
      <c r="BR140">
        <f t="shared" si="289"/>
        <v>25656614.349714857</v>
      </c>
      <c r="BS140">
        <f t="shared" si="290"/>
        <v>10359932.349714857</v>
      </c>
      <c r="BU140">
        <f t="shared" si="276"/>
        <v>14</v>
      </c>
      <c r="BV140">
        <f t="shared" si="291"/>
        <v>2.6719093404719074</v>
      </c>
      <c r="BW140">
        <f t="shared" si="292"/>
        <v>1087229.3016407643</v>
      </c>
      <c r="BX140" s="5">
        <f t="shared" si="293"/>
        <v>438881.56591596577</v>
      </c>
      <c r="BY140" s="5">
        <f t="shared" si="294"/>
        <v>203572.75444396574</v>
      </c>
      <c r="BZ140" s="5">
        <f t="shared" si="295"/>
        <v>1536198</v>
      </c>
      <c r="CA140" s="5">
        <f t="shared" si="296"/>
        <v>1290802.0560847302</v>
      </c>
      <c r="CC140" s="5">
        <f t="shared" si="297"/>
        <v>25656614.349714857</v>
      </c>
      <c r="CD140" s="5" t="str">
        <f t="shared" si="298"/>
        <v>Idaho</v>
      </c>
      <c r="CE140" s="5">
        <f t="shared" si="274"/>
        <v>0.90681874647975746</v>
      </c>
      <c r="CF140" s="10">
        <f t="shared" si="299"/>
        <v>0.59620812752209473</v>
      </c>
    </row>
    <row r="141" spans="1:84" x14ac:dyDescent="0.2">
      <c r="A141">
        <v>13000000004607</v>
      </c>
      <c r="B141">
        <v>2018</v>
      </c>
      <c r="C141">
        <v>460</v>
      </c>
      <c r="D141" t="s">
        <v>300</v>
      </c>
      <c r="E141">
        <v>6</v>
      </c>
      <c r="F141" t="s">
        <v>301</v>
      </c>
      <c r="G141" t="s">
        <v>302</v>
      </c>
      <c r="H141" t="s">
        <v>303</v>
      </c>
      <c r="I141" t="b">
        <v>1</v>
      </c>
      <c r="J141">
        <v>437257</v>
      </c>
      <c r="K141">
        <v>1202948</v>
      </c>
      <c r="L141">
        <v>84200</v>
      </c>
      <c r="M141">
        <v>-38114</v>
      </c>
      <c r="N141">
        <v>104724</v>
      </c>
      <c r="O141">
        <v>909678</v>
      </c>
      <c r="Q141">
        <v>881337</v>
      </c>
      <c r="R141">
        <v>16868511</v>
      </c>
      <c r="S141">
        <v>17749848</v>
      </c>
      <c r="T141">
        <v>369139</v>
      </c>
      <c r="V141">
        <v>243951</v>
      </c>
      <c r="W141">
        <v>1283659</v>
      </c>
      <c r="Y141">
        <v>8922</v>
      </c>
      <c r="Z141">
        <v>0</v>
      </c>
      <c r="AA141">
        <v>978148</v>
      </c>
      <c r="AB141">
        <v>15296682</v>
      </c>
      <c r="AC141">
        <v>16274830</v>
      </c>
      <c r="AD141">
        <v>1475017</v>
      </c>
      <c r="AE141">
        <v>1571828</v>
      </c>
      <c r="AF141">
        <v>-96811</v>
      </c>
      <c r="AG141">
        <v>3200396</v>
      </c>
      <c r="AH141">
        <v>0.11534166396908382</v>
      </c>
      <c r="AI141" t="b">
        <v>1</v>
      </c>
      <c r="AK141">
        <v>7.0999999999999994E-2</v>
      </c>
      <c r="AL141">
        <v>7.0499999999999993E-2</v>
      </c>
      <c r="AM141">
        <v>7.0499999999999993E-2</v>
      </c>
      <c r="AN141">
        <v>7.0999999999999994E-2</v>
      </c>
      <c r="AO141">
        <v>1</v>
      </c>
      <c r="AP141">
        <v>0</v>
      </c>
      <c r="AS141">
        <v>3692302</v>
      </c>
      <c r="AT141">
        <v>-360985</v>
      </c>
      <c r="AU141" t="s">
        <v>180</v>
      </c>
      <c r="AV141" t="s">
        <v>308</v>
      </c>
      <c r="BB141">
        <f t="shared" si="277"/>
        <v>0.91689968274657896</v>
      </c>
      <c r="BD141">
        <f t="shared" si="278"/>
        <v>2217285</v>
      </c>
      <c r="BE141">
        <f t="shared" si="279"/>
        <v>-1836002</v>
      </c>
      <c r="BF141">
        <f t="shared" si="280"/>
        <v>12.491853451364767</v>
      </c>
      <c r="BG141">
        <f t="shared" si="281"/>
        <v>-10.343761817002601</v>
      </c>
      <c r="BH141">
        <f t="shared" si="282"/>
        <v>11.417807634183683</v>
      </c>
      <c r="BI141">
        <f t="shared" si="283"/>
        <v>107.40458171810822</v>
      </c>
      <c r="BJ141">
        <f t="shared" si="284"/>
        <v>11</v>
      </c>
      <c r="BK141">
        <f>IF($BJ141&lt;=30,IF($B141=2015,VLOOKUP($BJ141,'Treasury Yields'!$C$5:$N$34,$E141,FALSE)/100,IF($B141=2016,VLOOKUP($BJ141,'Treasury Yields'!$C$40:$N$69,$E141,FALSE)/100,IF($B141=2017,VLOOKUP($BJ141,'Treasury Yields'!$C$75:$N$104,$E141,FALSE)/100,IF($B141=2018,VLOOKUP($BJ141,'Treasury Yields'!$C$110:$N$139,$E141,FALSE)/100,IF($B141=2019,VLOOKUP($BJ141,'Treasury Yields'!$C$145:$N$174,$E141,FALSE)/100,IF($B141=2020,VLOOKUP($BJ141,'Treasury Yields'!$C$180:$N$209,$E141,FALSE)/100,IF($B141=2021,VLOOKUP($BJ141,'Treasury Yields'!$C$215:$N$244,$E141,FALSE)/100,IF($B141=2022,VLOOKUP($BJ141,'Treasury Yields'!$C$250:$N$279,$E141,FALSE)/100)))))))),0)</f>
        <v>2.5068799999999999E-2</v>
      </c>
      <c r="BL141">
        <f t="shared" si="285"/>
        <v>1.5207886961235657</v>
      </c>
      <c r="BM141">
        <f t="shared" si="286"/>
        <v>25653440.849236026</v>
      </c>
      <c r="BN141">
        <f t="shared" si="287"/>
        <v>10356758.849236026</v>
      </c>
      <c r="BP141">
        <f>IF($BJ141&lt;=30,IF($B141=2015,VLOOKUP($BJ141,'Treasury Yields'!$C$40:$N$69,$E141,FALSE)/100,IF($B141=2016,VLOOKUP($BJ141,'Treasury Yields'!$C$75:$N$104,$E141,FALSE)/100,IF($B141=2017,VLOOKUP($BJ141,'Treasury Yields'!$C$110:$N$139,$E141,FALSE)/100,IF($B141=2018,VLOOKUP($BJ141,'Treasury Yields'!$C$145:$N$174,$E141,FALSE)/100,IF($B141=2019,VLOOKUP($BJ141,'Treasury Yields'!$C$180:$N$209,$E141,FALSE)/100,IF($B141=2020,VLOOKUP($BJ141,'Treasury Yields'!$C$215:$N$244,$E141,FALSE)/100,IF($B141=2021,VLOOKUP($BJ141,'Treasury Yields'!$C$250:$N$279,$E141,FALSE)/100,IF($B141=2022,VLOOKUP($BJ141,'Treasury Yields'!$C$285:$N$314,$E141,FALSE)/100)))))))),0)</f>
        <v>2.9273236363636365E-2</v>
      </c>
      <c r="BQ141">
        <f t="shared" si="288"/>
        <v>1.4781692832006155</v>
      </c>
      <c r="BR141">
        <f t="shared" si="289"/>
        <v>26237280.095079876</v>
      </c>
      <c r="BS141">
        <f t="shared" si="290"/>
        <v>9962450.0950798765</v>
      </c>
      <c r="BU141">
        <f t="shared" si="276"/>
        <v>14</v>
      </c>
      <c r="BV141">
        <f t="shared" si="291"/>
        <v>2.3940591812754342</v>
      </c>
      <c r="BW141">
        <f t="shared" si="292"/>
        <v>1046819.1354269525</v>
      </c>
      <c r="BX141" s="5">
        <f t="shared" si="293"/>
        <v>646538.94165711931</v>
      </c>
      <c r="BY141" s="5">
        <f t="shared" si="294"/>
        <v>263069.47993551928</v>
      </c>
      <c r="BZ141" s="5">
        <f t="shared" si="295"/>
        <v>1640205</v>
      </c>
      <c r="CA141" s="5">
        <f t="shared" si="296"/>
        <v>1309888.6153624719</v>
      </c>
      <c r="CC141" s="5">
        <f t="shared" si="297"/>
        <v>26237280.095079876</v>
      </c>
      <c r="CD141" s="5" t="str">
        <f t="shared" si="298"/>
        <v>Idaho</v>
      </c>
      <c r="CE141" s="5">
        <f t="shared" si="274"/>
        <v>0.91689968274657896</v>
      </c>
      <c r="CF141" s="10">
        <f t="shared" si="299"/>
        <v>0.62029409836013927</v>
      </c>
    </row>
    <row r="142" spans="1:84" x14ac:dyDescent="0.2">
      <c r="A142">
        <v>13000000004607</v>
      </c>
      <c r="B142">
        <v>2019</v>
      </c>
      <c r="C142">
        <v>460</v>
      </c>
      <c r="D142" t="s">
        <v>300</v>
      </c>
      <c r="E142">
        <v>6</v>
      </c>
      <c r="F142" t="s">
        <v>301</v>
      </c>
      <c r="G142" t="s">
        <v>302</v>
      </c>
      <c r="H142" t="s">
        <v>303</v>
      </c>
      <c r="I142" t="b">
        <v>1</v>
      </c>
      <c r="J142">
        <v>461646</v>
      </c>
      <c r="K142">
        <v>1250120</v>
      </c>
      <c r="L142">
        <v>0</v>
      </c>
      <c r="M142">
        <v>-105480</v>
      </c>
      <c r="N142">
        <v>0</v>
      </c>
      <c r="O142">
        <v>975200</v>
      </c>
      <c r="Q142">
        <v>631086</v>
      </c>
      <c r="R142">
        <v>17749848</v>
      </c>
      <c r="S142">
        <v>18380934</v>
      </c>
      <c r="T142">
        <v>390081</v>
      </c>
      <c r="V142">
        <v>257061</v>
      </c>
      <c r="W142">
        <v>1301967</v>
      </c>
      <c r="Y142">
        <v>9277</v>
      </c>
      <c r="Z142">
        <v>0</v>
      </c>
      <c r="AA142">
        <v>964631</v>
      </c>
      <c r="AB142">
        <v>16274830</v>
      </c>
      <c r="AC142">
        <v>17239461</v>
      </c>
      <c r="AD142">
        <v>1141472</v>
      </c>
      <c r="AE142">
        <v>1475017</v>
      </c>
      <c r="AF142">
        <v>-333545</v>
      </c>
      <c r="AG142">
        <v>3382052</v>
      </c>
      <c r="AH142">
        <v>0.11533855777498395</v>
      </c>
      <c r="AI142" t="b">
        <v>1</v>
      </c>
      <c r="AK142">
        <v>7.0499999999999993E-2</v>
      </c>
      <c r="AL142">
        <v>7.0499999999999993E-2</v>
      </c>
      <c r="AM142">
        <v>7.0499999999999993E-2</v>
      </c>
      <c r="AN142">
        <v>7.0499999999999993E-2</v>
      </c>
      <c r="AO142">
        <v>1</v>
      </c>
      <c r="AP142">
        <v>0</v>
      </c>
      <c r="AS142">
        <v>3447686</v>
      </c>
      <c r="AT142">
        <v>-765693</v>
      </c>
      <c r="AU142" t="s">
        <v>219</v>
      </c>
      <c r="AV142" t="s">
        <v>309</v>
      </c>
      <c r="BB142">
        <f t="shared" si="277"/>
        <v>0.93789907520477467</v>
      </c>
      <c r="BD142">
        <f t="shared" si="278"/>
        <v>2306214</v>
      </c>
      <c r="BE142">
        <f t="shared" si="279"/>
        <v>-1907165</v>
      </c>
      <c r="BF142">
        <f t="shared" si="280"/>
        <v>12.546772650399593</v>
      </c>
      <c r="BG142">
        <f t="shared" si="281"/>
        <v>-10.375778510493536</v>
      </c>
      <c r="BH142">
        <f t="shared" si="282"/>
        <v>11.461275580446564</v>
      </c>
      <c r="BI142">
        <f t="shared" si="283"/>
        <v>108.54970699530284</v>
      </c>
      <c r="BJ142">
        <f t="shared" si="284"/>
        <v>11</v>
      </c>
      <c r="BK142">
        <f>IF($BJ142&lt;=30,IF($B142=2015,VLOOKUP($BJ142,'Treasury Yields'!$C$5:$N$34,$E142,FALSE)/100,IF($B142=2016,VLOOKUP($BJ142,'Treasury Yields'!$C$40:$N$69,$E142,FALSE)/100,IF($B142=2017,VLOOKUP($BJ142,'Treasury Yields'!$C$75:$N$104,$E142,FALSE)/100,IF($B142=2018,VLOOKUP($BJ142,'Treasury Yields'!$C$110:$N$139,$E142,FALSE)/100,IF($B142=2019,VLOOKUP($BJ142,'Treasury Yields'!$C$145:$N$174,$E142,FALSE)/100,IF($B142=2020,VLOOKUP($BJ142,'Treasury Yields'!$C$180:$N$209,$E142,FALSE)/100,IF($B142=2021,VLOOKUP($BJ142,'Treasury Yields'!$C$215:$N$244,$E142,FALSE)/100,IF($B142=2022,VLOOKUP($BJ142,'Treasury Yields'!$C$250:$N$279,$E142,FALSE)/100)))))))),0)</f>
        <v>2.9273236363636365E-2</v>
      </c>
      <c r="BL142">
        <f t="shared" si="285"/>
        <v>1.4742109453662255</v>
      </c>
      <c r="BM142">
        <f t="shared" si="286"/>
        <v>26167020.200186808</v>
      </c>
      <c r="BN142">
        <f t="shared" si="287"/>
        <v>9892190.2001868077</v>
      </c>
      <c r="BP142">
        <f>IF($BJ142&lt;=30,IF($B142=2015,VLOOKUP($BJ142,'Treasury Yields'!$C$40:$N$69,$E142,FALSE)/100,IF($B142=2016,VLOOKUP($BJ142,'Treasury Yields'!$C$75:$N$104,$E142,FALSE)/100,IF($B142=2017,VLOOKUP($BJ142,'Treasury Yields'!$C$110:$N$139,$E142,FALSE)/100,IF($B142=2018,VLOOKUP($BJ142,'Treasury Yields'!$C$145:$N$174,$E142,FALSE)/100,IF($B142=2019,VLOOKUP($BJ142,'Treasury Yields'!$C$180:$N$209,$E142,FALSE)/100,IF($B142=2020,VLOOKUP($BJ142,'Treasury Yields'!$C$215:$N$244,$E142,FALSE)/100,IF($B142=2021,VLOOKUP($BJ142,'Treasury Yields'!$C$250:$N$279,$E142,FALSE)/100,IF($B142=2022,VLOOKUP($BJ142,'Treasury Yields'!$C$285:$N$314,$E142,FALSE)/100)))))))),0)</f>
        <v>2.1722000000000002E-2</v>
      </c>
      <c r="BQ142">
        <f t="shared" si="288"/>
        <v>1.5614373935470225</v>
      </c>
      <c r="BR142">
        <f t="shared" si="289"/>
        <v>28700677.675919846</v>
      </c>
      <c r="BS142">
        <f t="shared" si="290"/>
        <v>11461216.675919846</v>
      </c>
      <c r="BU142">
        <f t="shared" si="276"/>
        <v>14</v>
      </c>
      <c r="BV142">
        <f t="shared" si="291"/>
        <v>2.2341820698653634</v>
      </c>
      <c r="BW142">
        <f t="shared" si="292"/>
        <v>1031401.2158250655</v>
      </c>
      <c r="BX142" s="5">
        <f t="shared" si="293"/>
        <v>767638.55872688664</v>
      </c>
      <c r="BY142" s="5">
        <f t="shared" si="294"/>
        <v>291221.61335888662</v>
      </c>
      <c r="BZ142" s="5">
        <f t="shared" si="295"/>
        <v>1711766</v>
      </c>
      <c r="CA142" s="5">
        <f t="shared" si="296"/>
        <v>1322622.8291839522</v>
      </c>
      <c r="CC142" s="5">
        <f t="shared" si="297"/>
        <v>28700677.675919846</v>
      </c>
      <c r="CD142" s="5" t="str">
        <f t="shared" si="298"/>
        <v>Idaho</v>
      </c>
      <c r="CE142" s="5">
        <f t="shared" si="274"/>
        <v>0.93789907520477467</v>
      </c>
      <c r="CF142" s="10">
        <f t="shared" si="299"/>
        <v>0.60066390050657514</v>
      </c>
    </row>
    <row r="143" spans="1:84" x14ac:dyDescent="0.2">
      <c r="A143">
        <v>13000000004607</v>
      </c>
      <c r="B143">
        <v>2020</v>
      </c>
      <c r="C143">
        <v>460</v>
      </c>
      <c r="D143" t="s">
        <v>300</v>
      </c>
      <c r="E143">
        <v>6</v>
      </c>
      <c r="F143" t="s">
        <v>301</v>
      </c>
      <c r="G143" t="s">
        <v>302</v>
      </c>
      <c r="H143" t="s">
        <v>303</v>
      </c>
      <c r="I143" t="b">
        <v>1</v>
      </c>
      <c r="J143">
        <v>484965</v>
      </c>
      <c r="K143">
        <v>1321254</v>
      </c>
      <c r="L143">
        <v>372935</v>
      </c>
      <c r="M143">
        <v>166634</v>
      </c>
      <c r="N143">
        <v>0</v>
      </c>
      <c r="O143">
        <v>1012529</v>
      </c>
      <c r="Q143">
        <v>1333259</v>
      </c>
      <c r="R143">
        <v>18380934</v>
      </c>
      <c r="S143">
        <v>19714193</v>
      </c>
      <c r="T143">
        <v>430638</v>
      </c>
      <c r="V143">
        <v>280791</v>
      </c>
      <c r="W143">
        <v>463880</v>
      </c>
      <c r="Y143">
        <v>10180</v>
      </c>
      <c r="Z143">
        <v>0</v>
      </c>
      <c r="AA143">
        <v>152599</v>
      </c>
      <c r="AB143">
        <v>17239461</v>
      </c>
      <c r="AC143">
        <v>17392061</v>
      </c>
      <c r="AD143">
        <v>2322132</v>
      </c>
      <c r="AE143">
        <v>1141472</v>
      </c>
      <c r="AF143">
        <v>1180660</v>
      </c>
      <c r="AG143">
        <v>3546033</v>
      </c>
      <c r="AH143">
        <v>0.12144218624022958</v>
      </c>
      <c r="AI143" t="b">
        <v>1</v>
      </c>
      <c r="AK143">
        <v>7.0499999999999993E-2</v>
      </c>
      <c r="AL143">
        <v>7.0499999999999993E-2</v>
      </c>
      <c r="AM143">
        <v>7.0499999999999993E-2</v>
      </c>
      <c r="AN143">
        <v>7.0499999999999993E-2</v>
      </c>
      <c r="AO143">
        <v>1</v>
      </c>
      <c r="AP143">
        <v>0</v>
      </c>
      <c r="AS143">
        <v>4762057</v>
      </c>
      <c r="AT143">
        <v>304712</v>
      </c>
      <c r="AU143" t="s">
        <v>306</v>
      </c>
      <c r="AV143" t="s">
        <v>310</v>
      </c>
      <c r="BB143">
        <f t="shared" si="277"/>
        <v>0.88221014169842005</v>
      </c>
      <c r="BD143">
        <f t="shared" si="278"/>
        <v>2439925</v>
      </c>
      <c r="BE143">
        <f t="shared" si="279"/>
        <v>-2017420</v>
      </c>
      <c r="BF143">
        <f t="shared" si="280"/>
        <v>12.376489364794187</v>
      </c>
      <c r="BG143">
        <f t="shared" si="281"/>
        <v>-10.233337981422826</v>
      </c>
      <c r="BH143">
        <f t="shared" si="282"/>
        <v>11.304913673108507</v>
      </c>
      <c r="BI143">
        <f t="shared" si="283"/>
        <v>107.15756916856805</v>
      </c>
      <c r="BJ143">
        <f t="shared" si="284"/>
        <v>11</v>
      </c>
      <c r="BK143">
        <f>IF($BJ143&lt;=30,IF($B143=2015,VLOOKUP($BJ143,'Treasury Yields'!$C$5:$N$34,$E143,FALSE)/100,IF($B143=2016,VLOOKUP($BJ143,'Treasury Yields'!$C$40:$N$69,$E143,FALSE)/100,IF($B143=2017,VLOOKUP($BJ143,'Treasury Yields'!$C$75:$N$104,$E143,FALSE)/100,IF($B143=2018,VLOOKUP($BJ143,'Treasury Yields'!$C$110:$N$139,$E143,FALSE)/100,IF($B143=2019,VLOOKUP($BJ143,'Treasury Yields'!$C$145:$N$174,$E143,FALSE)/100,IF($B143=2020,VLOOKUP($BJ143,'Treasury Yields'!$C$180:$N$209,$E143,FALSE)/100,IF($B143=2021,VLOOKUP($BJ143,'Treasury Yields'!$C$215:$N$244,$E143,FALSE)/100,IF($B143=2022,VLOOKUP($BJ143,'Treasury Yields'!$C$250:$N$279,$E143,FALSE)/100)))))))),0)</f>
        <v>2.1722000000000002E-2</v>
      </c>
      <c r="BL143">
        <f t="shared" si="285"/>
        <v>1.5538103724308867</v>
      </c>
      <c r="BM143">
        <f t="shared" si="286"/>
        <v>28560485.904167548</v>
      </c>
      <c r="BN143">
        <f t="shared" si="287"/>
        <v>11321024.904167548</v>
      </c>
      <c r="BP143">
        <f>IF($BJ143&lt;=30,IF($B143=2015,VLOOKUP($BJ143,'Treasury Yields'!$C$40:$N$69,$E143,FALSE)/100,IF($B143=2016,VLOOKUP($BJ143,'Treasury Yields'!$C$75:$N$104,$E143,FALSE)/100,IF($B143=2017,VLOOKUP($BJ143,'Treasury Yields'!$C$110:$N$139,$E143,FALSE)/100,IF($B143=2018,VLOOKUP($BJ143,'Treasury Yields'!$C$145:$N$174,$E143,FALSE)/100,IF($B143=2019,VLOOKUP($BJ143,'Treasury Yields'!$C$180:$N$209,$E143,FALSE)/100,IF($B143=2020,VLOOKUP($BJ143,'Treasury Yields'!$C$215:$N$244,$E143,FALSE)/100,IF($B143=2021,VLOOKUP($BJ143,'Treasury Yields'!$C$250:$N$279,$E143,FALSE)/100,IF($B143=2022,VLOOKUP($BJ143,'Treasury Yields'!$C$285:$N$314,$E143,FALSE)/100)))))))),0)</f>
        <v>1.4551090909090908E-2</v>
      </c>
      <c r="BQ143">
        <f t="shared" si="288"/>
        <v>1.6356278678057858</v>
      </c>
      <c r="BR143">
        <f t="shared" si="289"/>
        <v>32245083.46210175</v>
      </c>
      <c r="BS143">
        <f t="shared" si="290"/>
        <v>14853022.46210175</v>
      </c>
      <c r="BU143">
        <f t="shared" si="276"/>
        <v>14</v>
      </c>
      <c r="BV143">
        <f t="shared" si="291"/>
        <v>2.4892823637994255</v>
      </c>
      <c r="BW143">
        <f t="shared" si="292"/>
        <v>1207214.8215599884</v>
      </c>
      <c r="BX143" s="5">
        <f t="shared" si="293"/>
        <v>624619.84022625361</v>
      </c>
      <c r="BY143" s="5">
        <f t="shared" si="294"/>
        <v>250144.26838425355</v>
      </c>
      <c r="BZ143" s="5">
        <f t="shared" si="295"/>
        <v>1806219</v>
      </c>
      <c r="CA143" s="5">
        <f t="shared" si="296"/>
        <v>1457359.089944242</v>
      </c>
      <c r="CC143" s="5">
        <f t="shared" si="297"/>
        <v>32245083.46210175</v>
      </c>
      <c r="CD143" s="5" t="str">
        <f t="shared" si="298"/>
        <v>Idaho</v>
      </c>
      <c r="CE143" s="5">
        <f t="shared" si="274"/>
        <v>0.88221014169842005</v>
      </c>
      <c r="CF143" s="10">
        <f t="shared" si="299"/>
        <v>0.5393709407029823</v>
      </c>
    </row>
    <row r="144" spans="1:84" x14ac:dyDescent="0.2">
      <c r="A144">
        <v>13000000004607</v>
      </c>
      <c r="B144">
        <v>2021</v>
      </c>
      <c r="C144">
        <v>460</v>
      </c>
      <c r="D144" t="s">
        <v>300</v>
      </c>
      <c r="E144">
        <v>6</v>
      </c>
      <c r="F144" t="s">
        <v>301</v>
      </c>
      <c r="G144" t="s">
        <v>302</v>
      </c>
      <c r="H144" t="s">
        <v>303</v>
      </c>
      <c r="I144" t="b">
        <v>1</v>
      </c>
      <c r="J144">
        <v>513205</v>
      </c>
      <c r="K144">
        <v>1388578</v>
      </c>
      <c r="L144">
        <v>5638</v>
      </c>
      <c r="M144">
        <v>26369</v>
      </c>
      <c r="N144">
        <v>1136086</v>
      </c>
      <c r="O144">
        <v>1092389</v>
      </c>
      <c r="Q144">
        <v>1977488</v>
      </c>
      <c r="R144">
        <v>19714193</v>
      </c>
      <c r="S144">
        <v>21691681</v>
      </c>
      <c r="T144">
        <v>450952</v>
      </c>
      <c r="V144">
        <v>294085</v>
      </c>
      <c r="W144">
        <v>4734923</v>
      </c>
      <c r="Y144">
        <v>8972</v>
      </c>
      <c r="Z144">
        <v>0</v>
      </c>
      <c r="AA144">
        <v>4378598</v>
      </c>
      <c r="AB144">
        <v>17392061</v>
      </c>
      <c r="AC144">
        <v>21770659</v>
      </c>
      <c r="AD144">
        <v>-78978</v>
      </c>
      <c r="AE144">
        <v>2322132</v>
      </c>
      <c r="AF144">
        <v>-2401110</v>
      </c>
      <c r="AG144">
        <v>3716726</v>
      </c>
      <c r="AI144" t="b">
        <v>1</v>
      </c>
      <c r="AK144">
        <v>7.0499999999999993E-2</v>
      </c>
      <c r="AL144">
        <v>6.7500000000000004E-2</v>
      </c>
      <c r="AM144">
        <v>6.7500000000000004E-2</v>
      </c>
      <c r="AN144">
        <v>7.0499999999999993E-2</v>
      </c>
      <c r="AS144">
        <v>2745441</v>
      </c>
      <c r="AT144">
        <v>-2394211</v>
      </c>
      <c r="BB144">
        <f t="shared" si="277"/>
        <v>1.0036409349741036</v>
      </c>
      <c r="BD144">
        <f t="shared" si="278"/>
        <v>2824419</v>
      </c>
      <c r="BE144">
        <f t="shared" si="279"/>
        <v>-2315233</v>
      </c>
      <c r="BF144">
        <f t="shared" si="280"/>
        <v>13.020747446912942</v>
      </c>
      <c r="BG144">
        <f t="shared" si="281"/>
        <v>-10.673368283444699</v>
      </c>
      <c r="BH144">
        <f t="shared" si="282"/>
        <v>11.847057865178821</v>
      </c>
      <c r="BI144">
        <f t="shared" si="283"/>
        <v>117.36895817341218</v>
      </c>
      <c r="BJ144">
        <f t="shared" si="284"/>
        <v>12</v>
      </c>
      <c r="BK144">
        <f>IF($BJ144&lt;=30,IF($B144=2015,VLOOKUP($BJ144,'Treasury Yields'!$C$5:$N$34,$E144,FALSE)/100,IF($B144=2016,VLOOKUP($BJ144,'Treasury Yields'!$C$40:$N$69,$E144,FALSE)/100,IF($B144=2017,VLOOKUP($BJ144,'Treasury Yields'!$C$75:$N$104,$E144,FALSE)/100,IF($B144=2018,VLOOKUP($BJ144,'Treasury Yields'!$C$110:$N$139,$E144,FALSE)/100,IF($B144=2019,VLOOKUP($BJ144,'Treasury Yields'!$C$145:$N$174,$E144,FALSE)/100,IF($B144=2020,VLOOKUP($BJ144,'Treasury Yields'!$C$180:$N$209,$E144,FALSE)/100,IF($B144=2021,VLOOKUP($BJ144,'Treasury Yields'!$C$215:$N$244,$E144,FALSE)/100,IF($B144=2022,VLOOKUP($BJ144,'Treasury Yields'!$C$250:$N$279,$E144,FALSE)/100)))))))),0)</f>
        <v>1.3689454545454545E-2</v>
      </c>
      <c r="BL144">
        <f t="shared" si="285"/>
        <v>1.640392220558951</v>
      </c>
      <c r="BM144">
        <f t="shared" si="286"/>
        <v>32339008.831797726</v>
      </c>
      <c r="BN144">
        <f t="shared" si="287"/>
        <v>14946947.831797726</v>
      </c>
      <c r="BP144">
        <f>IF($BJ144&lt;=30,IF($B144=2015,VLOOKUP($BJ144,'Treasury Yields'!$C$40:$N$69,$E144,FALSE)/100,IF($B144=2016,VLOOKUP($BJ144,'Treasury Yields'!$C$75:$N$104,$E144,FALSE)/100,IF($B144=2017,VLOOKUP($BJ144,'Treasury Yields'!$C$110:$N$139,$E144,FALSE)/100,IF($B144=2018,VLOOKUP($BJ144,'Treasury Yields'!$C$145:$N$174,$E144,FALSE)/100,IF($B144=2019,VLOOKUP($BJ144,'Treasury Yields'!$C$180:$N$209,$E144,FALSE)/100,IF($B144=2020,VLOOKUP($BJ144,'Treasury Yields'!$C$215:$N$244,$E144,FALSE)/100,IF($B144=2021,VLOOKUP($BJ144,'Treasury Yields'!$C$250:$N$279,$E144,FALSE)/100,IF($B144=2022,VLOOKUP($BJ144,'Treasury Yields'!$C$285:$N$314,$E144,FALSE)/100)))))))),0)</f>
        <v>2.1085818181818185E-2</v>
      </c>
      <c r="BQ144">
        <f t="shared" si="288"/>
        <v>1.5878544327252273</v>
      </c>
      <c r="BR144">
        <f t="shared" si="289"/>
        <v>34443231.829111591</v>
      </c>
      <c r="BS144">
        <f t="shared" si="290"/>
        <v>12672572.829111591</v>
      </c>
      <c r="BU144">
        <f t="shared" si="276"/>
        <v>15</v>
      </c>
      <c r="BV144">
        <f t="shared" si="291"/>
        <v>2.903997045584076</v>
      </c>
      <c r="BW144">
        <f t="shared" si="292"/>
        <v>1490345.8037789757</v>
      </c>
      <c r="BX144" s="5">
        <f t="shared" si="293"/>
        <v>448151.20302433474</v>
      </c>
      <c r="BY144" s="5">
        <f t="shared" si="294"/>
        <v>210063.37451306201</v>
      </c>
      <c r="BZ144" s="5">
        <f t="shared" si="295"/>
        <v>1901783</v>
      </c>
      <c r="CA144" s="5">
        <f t="shared" si="296"/>
        <v>1700409.1782920377</v>
      </c>
      <c r="CC144" s="5">
        <f t="shared" si="297"/>
        <v>34443231.829111591</v>
      </c>
      <c r="CD144" s="5" t="str">
        <f t="shared" si="298"/>
        <v>Idaho</v>
      </c>
      <c r="CE144" s="5">
        <f t="shared" si="274"/>
        <v>1.0036409349741036</v>
      </c>
      <c r="CF144" s="10">
        <f t="shared" si="299"/>
        <v>0.63207364245068698</v>
      </c>
    </row>
    <row r="145" spans="1:84" x14ac:dyDescent="0.2">
      <c r="A145">
        <v>13000000004607</v>
      </c>
      <c r="B145">
        <v>2022</v>
      </c>
      <c r="C145">
        <v>460</v>
      </c>
      <c r="D145" t="s">
        <v>300</v>
      </c>
      <c r="E145">
        <v>6</v>
      </c>
      <c r="F145" t="s">
        <v>301</v>
      </c>
      <c r="G145" t="s">
        <v>302</v>
      </c>
      <c r="H145" t="s">
        <v>303</v>
      </c>
      <c r="I145" t="b">
        <v>1</v>
      </c>
      <c r="J145">
        <v>596928</v>
      </c>
      <c r="K145">
        <v>1397435</v>
      </c>
      <c r="L145">
        <v>274272</v>
      </c>
      <c r="M145">
        <v>457372</v>
      </c>
      <c r="N145">
        <v>0</v>
      </c>
      <c r="O145">
        <v>1129444</v>
      </c>
      <c r="Q145">
        <v>1596562</v>
      </c>
      <c r="R145">
        <v>21691681</v>
      </c>
      <c r="S145">
        <v>23288243</v>
      </c>
      <c r="T145">
        <v>476417</v>
      </c>
      <c r="V145">
        <v>315161</v>
      </c>
      <c r="W145">
        <v>-2073323</v>
      </c>
      <c r="Y145">
        <v>9984</v>
      </c>
      <c r="AA145">
        <v>-2421174</v>
      </c>
      <c r="AB145">
        <v>21770659</v>
      </c>
      <c r="AC145">
        <v>19349485</v>
      </c>
      <c r="AD145">
        <v>3938758</v>
      </c>
      <c r="AE145">
        <v>-78978</v>
      </c>
      <c r="AF145">
        <v>4017736</v>
      </c>
      <c r="AG145">
        <v>3926540</v>
      </c>
      <c r="AI145" t="b">
        <v>1</v>
      </c>
      <c r="AK145">
        <v>6.7500000000000004E-2</v>
      </c>
      <c r="AL145">
        <v>6.3500000000000001E-2</v>
      </c>
      <c r="AM145">
        <v>6.3500000000000001E-2</v>
      </c>
      <c r="AN145">
        <v>6.7500000000000004E-2</v>
      </c>
      <c r="AS145">
        <v>6951522</v>
      </c>
      <c r="AT145">
        <v>1472889</v>
      </c>
      <c r="AV145" t="s">
        <v>311</v>
      </c>
      <c r="BB145">
        <f t="shared" si="277"/>
        <v>0.83086925020492097</v>
      </c>
      <c r="BD145">
        <f t="shared" si="278"/>
        <v>3012764</v>
      </c>
      <c r="BE145">
        <f t="shared" si="279"/>
        <v>-2465869</v>
      </c>
      <c r="BF145">
        <f t="shared" si="280"/>
        <v>12.936845428828617</v>
      </c>
      <c r="BG145">
        <f t="shared" si="281"/>
        <v>-10.588471616343062</v>
      </c>
      <c r="BH145">
        <f t="shared" si="282"/>
        <v>11.76265852258584</v>
      </c>
      <c r="BI145">
        <f t="shared" si="283"/>
        <v>117.41869062427766</v>
      </c>
      <c r="BJ145">
        <f t="shared" si="284"/>
        <v>12</v>
      </c>
      <c r="BK145">
        <f>IF($BJ145&lt;=30,IF($B145=2015,VLOOKUP($BJ145,'Treasury Yields'!$C$5:$N$34,$E145,FALSE)/100,IF($B145=2016,VLOOKUP($BJ145,'Treasury Yields'!$C$40:$N$69,$E145,FALSE)/100,IF($B145=2017,VLOOKUP($BJ145,'Treasury Yields'!$C$75:$N$104,$E145,FALSE)/100,IF($B145=2018,VLOOKUP($BJ145,'Treasury Yields'!$C$110:$N$139,$E145,FALSE)/100,IF($B145=2019,VLOOKUP($BJ145,'Treasury Yields'!$C$145:$N$174,$E145,FALSE)/100,IF($B145=2020,VLOOKUP($BJ145,'Treasury Yields'!$C$180:$N$209,$E145,FALSE)/100,IF($B145=2021,VLOOKUP($BJ145,'Treasury Yields'!$C$215:$N$244,$E145,FALSE)/100,IF($B145=2022,VLOOKUP($BJ145,'Treasury Yields'!$C$250:$N$279,$E145,FALSE)/100)))))))),0)</f>
        <v>2.1085818181818185E-2</v>
      </c>
      <c r="BL145">
        <f t="shared" si="285"/>
        <v>1.5007025000614476</v>
      </c>
      <c r="BM145">
        <f t="shared" si="286"/>
        <v>32552759.907235403</v>
      </c>
      <c r="BN145">
        <f t="shared" si="287"/>
        <v>10782100.907235403</v>
      </c>
      <c r="BP145">
        <f>IF($BJ145&lt;=30,IF($B145=2015,VLOOKUP($BJ145,'Treasury Yields'!$C$40:$N$69,$E145,FALSE)/100,IF($B145=2016,VLOOKUP($BJ145,'Treasury Yields'!$C$75:$N$104,$E145,FALSE)/100,IF($B145=2017,VLOOKUP($BJ145,'Treasury Yields'!$C$110:$N$139,$E145,FALSE)/100,IF($B145=2018,VLOOKUP($BJ145,'Treasury Yields'!$C$145:$N$174,$E145,FALSE)/100,IF($B145=2019,VLOOKUP($BJ145,'Treasury Yields'!$C$180:$N$209,$E145,FALSE)/100,IF($B145=2020,VLOOKUP($BJ145,'Treasury Yields'!$C$215:$N$244,$E145,FALSE)/100,IF($B145=2021,VLOOKUP($BJ145,'Treasury Yields'!$C$250:$N$279,$E145,FALSE)/100,IF($B145=2022,VLOOKUP($BJ145,'Treasury Yields'!$C$285:$N$314,$E145,FALSE)/100)))))))),0)</f>
        <v>3.2402272727272724E-2</v>
      </c>
      <c r="BQ145">
        <f t="shared" si="288"/>
        <v>1.4140744312876496</v>
      </c>
      <c r="BR145">
        <f t="shared" si="289"/>
        <v>32931308.975913588</v>
      </c>
      <c r="BS145">
        <f t="shared" si="290"/>
        <v>13581823.975913588</v>
      </c>
      <c r="BU145">
        <f t="shared" si="276"/>
        <v>15</v>
      </c>
      <c r="BV145">
        <f t="shared" si="291"/>
        <v>2.4951191979237728</v>
      </c>
      <c r="BW145">
        <f t="shared" si="292"/>
        <v>1489406.5125782418</v>
      </c>
      <c r="BX145" s="5">
        <f t="shared" si="293"/>
        <v>693991.68081284163</v>
      </c>
      <c r="BY145" s="5">
        <f t="shared" si="294"/>
        <v>234939.52344047785</v>
      </c>
      <c r="BZ145" s="5">
        <f t="shared" si="295"/>
        <v>1994363</v>
      </c>
      <c r="CA145" s="5">
        <f t="shared" si="296"/>
        <v>1724346.0360187197</v>
      </c>
      <c r="CC145" s="5">
        <f t="shared" si="297"/>
        <v>32931308.975913588</v>
      </c>
      <c r="CD145" s="5" t="str">
        <f t="shared" si="298"/>
        <v>Idaho</v>
      </c>
      <c r="CE145" s="5">
        <f t="shared" si="274"/>
        <v>0.83086925020492097</v>
      </c>
      <c r="CF145" s="10">
        <f t="shared" si="299"/>
        <v>0.58757108665654556</v>
      </c>
    </row>
    <row r="146" spans="1:84" x14ac:dyDescent="0.2">
      <c r="A146">
        <v>14000000009804</v>
      </c>
      <c r="B146">
        <v>2015</v>
      </c>
      <c r="C146">
        <v>260</v>
      </c>
      <c r="D146" t="s">
        <v>312</v>
      </c>
      <c r="E146">
        <v>6</v>
      </c>
      <c r="F146" t="s">
        <v>313</v>
      </c>
      <c r="G146" t="s">
        <v>314</v>
      </c>
      <c r="H146" t="s">
        <v>69</v>
      </c>
      <c r="I146" t="b">
        <v>1</v>
      </c>
      <c r="J146">
        <v>1948080</v>
      </c>
      <c r="K146">
        <v>7864916</v>
      </c>
      <c r="M146">
        <v>-90079</v>
      </c>
      <c r="N146">
        <v>1136455</v>
      </c>
      <c r="O146">
        <v>5625037</v>
      </c>
      <c r="Q146">
        <v>5234334</v>
      </c>
      <c r="R146">
        <v>106682655</v>
      </c>
      <c r="S146">
        <v>111916989</v>
      </c>
      <c r="T146">
        <v>145592</v>
      </c>
      <c r="U146">
        <v>3377665</v>
      </c>
      <c r="V146">
        <v>935451</v>
      </c>
      <c r="W146">
        <v>1770550</v>
      </c>
      <c r="Y146">
        <v>21687</v>
      </c>
      <c r="AA146">
        <v>582533</v>
      </c>
      <c r="AB146">
        <v>45824383</v>
      </c>
      <c r="AC146">
        <v>46406916</v>
      </c>
      <c r="AD146">
        <v>65510074</v>
      </c>
      <c r="AE146">
        <v>60858272</v>
      </c>
      <c r="AF146">
        <v>4651802</v>
      </c>
      <c r="AG146">
        <v>9641171</v>
      </c>
      <c r="AH146">
        <v>1.5101070191577351E-2</v>
      </c>
      <c r="AI146" t="b">
        <v>1</v>
      </c>
      <c r="AK146">
        <v>7.4999999999999997E-2</v>
      </c>
      <c r="AL146">
        <v>7.4700000000000003E-2</v>
      </c>
      <c r="AM146">
        <v>7.4999999999999997E-2</v>
      </c>
      <c r="AN146">
        <v>7.4999999999999997E-2</v>
      </c>
      <c r="AO146">
        <v>1</v>
      </c>
      <c r="AP146">
        <v>2.9999999999999472E-4</v>
      </c>
      <c r="AQ146">
        <v>3.73E-2</v>
      </c>
      <c r="AR146">
        <v>2081</v>
      </c>
      <c r="AS146">
        <v>80954389</v>
      </c>
      <c r="AT146">
        <v>52845317</v>
      </c>
      <c r="AU146" t="s">
        <v>315</v>
      </c>
      <c r="AV146" t="s">
        <v>316</v>
      </c>
      <c r="BB146">
        <f t="shared" si="277"/>
        <v>0.41465479383116716</v>
      </c>
      <c r="BD146">
        <f t="shared" si="278"/>
        <v>15444315</v>
      </c>
      <c r="BE146">
        <f t="shared" si="279"/>
        <v>-12664757</v>
      </c>
      <c r="BF146">
        <f t="shared" si="280"/>
        <v>13.799794953382815</v>
      </c>
      <c r="BG146">
        <f t="shared" si="281"/>
        <v>-11.316205978343467</v>
      </c>
      <c r="BH146">
        <f t="shared" si="282"/>
        <v>12.55800046586314</v>
      </c>
      <c r="BI146">
        <f t="shared" si="283"/>
        <v>124.1794487519674</v>
      </c>
      <c r="BJ146">
        <f t="shared" si="284"/>
        <v>13</v>
      </c>
      <c r="BK146">
        <f>IF($BJ146&lt;=30,IF($B146=2015,VLOOKUP($BJ146,'Treasury Yields'!$C$5:$N$34,$E146,FALSE)/100,IF($B146=2016,VLOOKUP($BJ146,'Treasury Yields'!$C$40:$N$69,$E146,FALSE)/100,IF($B146=2017,VLOOKUP($BJ146,'Treasury Yields'!$C$75:$N$104,$E146,FALSE)/100,IF($B146=2018,VLOOKUP($BJ146,'Treasury Yields'!$C$110:$N$139,$E146,FALSE)/100,IF($B146=2019,VLOOKUP($BJ146,'Treasury Yields'!$C$145:$N$174,$E146,FALSE)/100,IF($B146=2020,VLOOKUP($BJ146,'Treasury Yields'!$C$180:$N$209,$E146,FALSE)/100,IF($B146=2021,VLOOKUP($BJ146,'Treasury Yields'!$C$215:$N$244,$E146,FALSE)/100,IF($B146=2022,VLOOKUP($BJ146,'Treasury Yields'!$C$250:$N$279,$E146,FALSE)/100)))))))),0)</f>
        <v>3.0224000000000001E-2</v>
      </c>
      <c r="BL146">
        <f t="shared" si="285"/>
        <v>1.5605077432957291</v>
      </c>
      <c r="BM146">
        <f t="shared" si="286"/>
        <v>166479109.20284683</v>
      </c>
      <c r="BN146">
        <f t="shared" si="287"/>
        <v>120654726.20284683</v>
      </c>
      <c r="BP146">
        <f>IF($BJ146&lt;=30,IF($B146=2015,VLOOKUP($BJ146,'Treasury Yields'!$C$40:$N$69,$E146,FALSE)/100,IF($B146=2016,VLOOKUP($BJ146,'Treasury Yields'!$C$75:$N$104,$E146,FALSE)/100,IF($B146=2017,VLOOKUP($BJ146,'Treasury Yields'!$C$110:$N$139,$E146,FALSE)/100,IF($B146=2018,VLOOKUP($BJ146,'Treasury Yields'!$C$145:$N$174,$E146,FALSE)/100,IF($B146=2019,VLOOKUP($BJ146,'Treasury Yields'!$C$180:$N$209,$E146,FALSE)/100,IF($B146=2020,VLOOKUP($BJ146,'Treasury Yields'!$C$215:$N$244,$E146,FALSE)/100,IF($B146=2021,VLOOKUP($BJ146,'Treasury Yields'!$C$250:$N$279,$E146,FALSE)/100,IF($B146=2022,VLOOKUP($BJ146,'Treasury Yields'!$C$285:$N$314,$E146,FALSE)/100)))))))),0)</f>
        <v>2.7833999999999994E-2</v>
      </c>
      <c r="BQ146">
        <f t="shared" si="288"/>
        <v>1.5945352815289007</v>
      </c>
      <c r="BR146">
        <f t="shared" si="289"/>
        <v>178455587.56298187</v>
      </c>
      <c r="BS146">
        <f t="shared" si="290"/>
        <v>132048671.56298187</v>
      </c>
      <c r="BU146">
        <f t="shared" si="276"/>
        <v>16</v>
      </c>
      <c r="BV146">
        <f t="shared" si="291"/>
        <v>2.5276791857234029</v>
      </c>
      <c r="BW146">
        <f t="shared" si="292"/>
        <v>4924121.2681240467</v>
      </c>
      <c r="BX146" s="5">
        <f t="shared" si="293"/>
        <v>5010480.1194666233</v>
      </c>
      <c r="BY146" s="5">
        <f t="shared" si="294"/>
        <v>3625483.9676746237</v>
      </c>
      <c r="BZ146" s="5">
        <f t="shared" si="295"/>
        <v>9812996</v>
      </c>
      <c r="CA146" s="5">
        <f t="shared" si="296"/>
        <v>8549605.23579867</v>
      </c>
      <c r="CC146" s="5">
        <f t="shared" si="297"/>
        <v>178455587.56298187</v>
      </c>
      <c r="CD146" s="5" t="str">
        <f t="shared" si="298"/>
        <v>Illinois</v>
      </c>
      <c r="CE146" s="5">
        <f t="shared" si="274"/>
        <v>0.41465479383116716</v>
      </c>
      <c r="CF146" s="10">
        <f t="shared" si="299"/>
        <v>0.2600474248732712</v>
      </c>
    </row>
    <row r="147" spans="1:84" x14ac:dyDescent="0.2">
      <c r="A147">
        <v>14000000009804</v>
      </c>
      <c r="B147">
        <v>2016</v>
      </c>
      <c r="C147">
        <v>260</v>
      </c>
      <c r="D147" t="s">
        <v>312</v>
      </c>
      <c r="E147">
        <v>6</v>
      </c>
      <c r="F147" t="s">
        <v>313</v>
      </c>
      <c r="G147" t="s">
        <v>314</v>
      </c>
      <c r="H147" t="s">
        <v>69</v>
      </c>
      <c r="I147" t="b">
        <v>1</v>
      </c>
      <c r="J147">
        <v>1681242</v>
      </c>
      <c r="K147">
        <v>8264257</v>
      </c>
      <c r="M147">
        <v>701827</v>
      </c>
      <c r="N147">
        <v>7553895</v>
      </c>
      <c r="O147">
        <v>5931207</v>
      </c>
      <c r="Q147">
        <v>12270014</v>
      </c>
      <c r="R147">
        <v>111916989</v>
      </c>
      <c r="S147">
        <v>124187003</v>
      </c>
      <c r="T147">
        <v>148041</v>
      </c>
      <c r="U147">
        <v>3742469</v>
      </c>
      <c r="V147">
        <v>951809</v>
      </c>
      <c r="W147">
        <v>-44103</v>
      </c>
      <c r="Y147">
        <v>22968</v>
      </c>
      <c r="AA147">
        <v>-1155959</v>
      </c>
      <c r="AB147">
        <v>46406916</v>
      </c>
      <c r="AC147">
        <v>45250957</v>
      </c>
      <c r="AD147">
        <v>78936047</v>
      </c>
      <c r="AE147">
        <v>65510074</v>
      </c>
      <c r="AF147">
        <v>13425973</v>
      </c>
      <c r="AG147">
        <v>9811614</v>
      </c>
      <c r="AH147">
        <v>1.5088343263401924E-2</v>
      </c>
      <c r="AI147" t="b">
        <v>1</v>
      </c>
      <c r="AK147">
        <v>7.4700000000000003E-2</v>
      </c>
      <c r="AL147">
        <v>6.83E-2</v>
      </c>
      <c r="AM147">
        <v>7.0000000000000007E-2</v>
      </c>
      <c r="AN147">
        <v>7.4999999999999997E-2</v>
      </c>
      <c r="AO147">
        <v>1</v>
      </c>
      <c r="AP147">
        <v>1.7000000000000071E-3</v>
      </c>
      <c r="AQ147">
        <v>2.8500000000000001E-2</v>
      </c>
      <c r="AR147">
        <v>2080</v>
      </c>
      <c r="AS147">
        <v>96541990</v>
      </c>
      <c r="AT147">
        <v>64556661</v>
      </c>
      <c r="AU147" t="s">
        <v>317</v>
      </c>
      <c r="AV147" t="s">
        <v>318</v>
      </c>
      <c r="BB147">
        <f t="shared" si="277"/>
        <v>0.36437755889801127</v>
      </c>
      <c r="BD147">
        <f t="shared" si="278"/>
        <v>17605943</v>
      </c>
      <c r="BE147">
        <f t="shared" si="279"/>
        <v>-14379386</v>
      </c>
      <c r="BF147">
        <f t="shared" si="280"/>
        <v>14.176961014189221</v>
      </c>
      <c r="BG147">
        <f t="shared" si="281"/>
        <v>-11.578817148844472</v>
      </c>
      <c r="BH147">
        <f t="shared" si="282"/>
        <v>12.877889081516846</v>
      </c>
      <c r="BI147">
        <f t="shared" si="283"/>
        <v>129.90719326723746</v>
      </c>
      <c r="BJ147">
        <f t="shared" si="284"/>
        <v>13</v>
      </c>
      <c r="BK147">
        <f>IF($BJ147&lt;=30,IF($B147=2015,VLOOKUP($BJ147,'Treasury Yields'!$C$5:$N$34,$E147,FALSE)/100,IF($B147=2016,VLOOKUP($BJ147,'Treasury Yields'!$C$40:$N$69,$E147,FALSE)/100,IF($B147=2017,VLOOKUP($BJ147,'Treasury Yields'!$C$75:$N$104,$E147,FALSE)/100,IF($B147=2018,VLOOKUP($BJ147,'Treasury Yields'!$C$110:$N$139,$E147,FALSE)/100,IF($B147=2019,VLOOKUP($BJ147,'Treasury Yields'!$C$145:$N$174,$E147,FALSE)/100,IF($B147=2020,VLOOKUP($BJ147,'Treasury Yields'!$C$180:$N$209,$E147,FALSE)/100,IF($B147=2021,VLOOKUP($BJ147,'Treasury Yields'!$C$215:$N$244,$E147,FALSE)/100,IF($B147=2022,VLOOKUP($BJ147,'Treasury Yields'!$C$250:$N$279,$E147,FALSE)/100)))))))),0)</f>
        <v>2.7833999999999994E-2</v>
      </c>
      <c r="BL147">
        <f t="shared" si="285"/>
        <v>1.5227541567286607</v>
      </c>
      <c r="BM147">
        <f t="shared" si="286"/>
        <v>170422060.20830578</v>
      </c>
      <c r="BN147">
        <f t="shared" si="287"/>
        <v>124015144.20830578</v>
      </c>
      <c r="BP147">
        <f>IF($BJ147&lt;=30,IF($B147=2015,VLOOKUP($BJ147,'Treasury Yields'!$C$40:$N$69,$E147,FALSE)/100,IF($B147=2016,VLOOKUP($BJ147,'Treasury Yields'!$C$75:$N$104,$E147,FALSE)/100,IF($B147=2017,VLOOKUP($BJ147,'Treasury Yields'!$C$110:$N$139,$E147,FALSE)/100,IF($B147=2018,VLOOKUP($BJ147,'Treasury Yields'!$C$145:$N$174,$E147,FALSE)/100,IF($B147=2019,VLOOKUP($BJ147,'Treasury Yields'!$C$180:$N$209,$E147,FALSE)/100,IF($B147=2020,VLOOKUP($BJ147,'Treasury Yields'!$C$215:$N$244,$E147,FALSE)/100,IF($B147=2021,VLOOKUP($BJ147,'Treasury Yields'!$C$250:$N$279,$E147,FALSE)/100,IF($B147=2022,VLOOKUP($BJ147,'Treasury Yields'!$C$285:$N$314,$E147,FALSE)/100)))))))),0)</f>
        <v>1.8144000000000004E-2</v>
      </c>
      <c r="BQ147">
        <f t="shared" si="288"/>
        <v>1.7354178663547217</v>
      </c>
      <c r="BR147">
        <f t="shared" si="289"/>
        <v>215516343.77524742</v>
      </c>
      <c r="BS147">
        <f t="shared" si="290"/>
        <v>170265386.77524742</v>
      </c>
      <c r="BU147">
        <f t="shared" si="276"/>
        <v>16</v>
      </c>
      <c r="BV147">
        <f t="shared" si="291"/>
        <v>2.6510501579125112</v>
      </c>
      <c r="BW147">
        <f t="shared" si="292"/>
        <v>4457056.8695891462</v>
      </c>
      <c r="BX147" s="5">
        <f t="shared" si="293"/>
        <v>4702496.1291081263</v>
      </c>
      <c r="BY147" s="5">
        <f t="shared" si="294"/>
        <v>3410806.0291641266</v>
      </c>
      <c r="BZ147" s="5">
        <f t="shared" si="295"/>
        <v>9945499</v>
      </c>
      <c r="CA147" s="5">
        <f t="shared" si="296"/>
        <v>7867862.8987532724</v>
      </c>
      <c r="CC147" s="5">
        <f t="shared" si="297"/>
        <v>215516343.77524742</v>
      </c>
      <c r="CD147" s="5" t="str">
        <f t="shared" si="298"/>
        <v>Illinois</v>
      </c>
      <c r="CE147" s="5">
        <f t="shared" si="274"/>
        <v>0.36437755889801127</v>
      </c>
      <c r="CF147" s="10">
        <f t="shared" si="299"/>
        <v>0.20996531496093979</v>
      </c>
    </row>
    <row r="148" spans="1:84" x14ac:dyDescent="0.2">
      <c r="A148">
        <v>14000000009804</v>
      </c>
      <c r="B148">
        <v>2017</v>
      </c>
      <c r="C148">
        <v>260</v>
      </c>
      <c r="D148" t="s">
        <v>312</v>
      </c>
      <c r="E148">
        <v>6</v>
      </c>
      <c r="F148" t="s">
        <v>313</v>
      </c>
      <c r="G148" t="s">
        <v>314</v>
      </c>
      <c r="H148" t="s">
        <v>69</v>
      </c>
      <c r="I148" t="b">
        <v>1</v>
      </c>
      <c r="J148">
        <v>1877570</v>
      </c>
      <c r="K148">
        <v>8390352</v>
      </c>
      <c r="M148">
        <v>482486</v>
      </c>
      <c r="N148">
        <v>-2725600</v>
      </c>
      <c r="O148">
        <v>6438006</v>
      </c>
      <c r="Q148">
        <v>1586803</v>
      </c>
      <c r="R148">
        <v>124187003</v>
      </c>
      <c r="S148">
        <v>125773806</v>
      </c>
      <c r="T148">
        <v>149496</v>
      </c>
      <c r="U148">
        <v>3986364</v>
      </c>
      <c r="V148">
        <v>929130</v>
      </c>
      <c r="W148">
        <v>5520453</v>
      </c>
      <c r="Y148">
        <v>22729</v>
      </c>
      <c r="AA148">
        <v>4124708</v>
      </c>
      <c r="AB148">
        <v>45250957</v>
      </c>
      <c r="AC148">
        <v>49375665</v>
      </c>
      <c r="AD148">
        <v>76398142</v>
      </c>
      <c r="AE148">
        <v>78936047</v>
      </c>
      <c r="AF148">
        <v>-2537905</v>
      </c>
      <c r="AG148">
        <v>9965570</v>
      </c>
      <c r="AH148">
        <v>1.5001249301344529E-2</v>
      </c>
      <c r="AI148" t="b">
        <v>1</v>
      </c>
      <c r="AK148">
        <v>6.83E-2</v>
      </c>
      <c r="AL148">
        <v>7.0000000000000007E-2</v>
      </c>
      <c r="AM148">
        <v>7.0000000000000007E-2</v>
      </c>
      <c r="AN148">
        <v>7.0000000000000007E-2</v>
      </c>
      <c r="AO148">
        <v>1</v>
      </c>
      <c r="AP148">
        <v>0</v>
      </c>
      <c r="AS148">
        <v>93865095</v>
      </c>
      <c r="AT148">
        <v>62091251</v>
      </c>
      <c r="AU148" t="s">
        <v>317</v>
      </c>
      <c r="AV148" t="s">
        <v>319</v>
      </c>
      <c r="BB148">
        <f t="shared" si="277"/>
        <v>0.39257510423116243</v>
      </c>
      <c r="BD148">
        <f t="shared" si="278"/>
        <v>17466953</v>
      </c>
      <c r="BE148">
        <f t="shared" si="279"/>
        <v>-14306891</v>
      </c>
      <c r="BF148">
        <f t="shared" si="280"/>
        <v>13.887591983977968</v>
      </c>
      <c r="BG148">
        <f t="shared" si="281"/>
        <v>-11.375095860580064</v>
      </c>
      <c r="BH148">
        <f t="shared" si="282"/>
        <v>12.631343922279015</v>
      </c>
      <c r="BI148">
        <f t="shared" si="283"/>
        <v>125.62480616989518</v>
      </c>
      <c r="BJ148">
        <f t="shared" si="284"/>
        <v>13</v>
      </c>
      <c r="BK148">
        <f>IF($BJ148&lt;=30,IF($B148=2015,VLOOKUP($BJ148,'Treasury Yields'!$C$5:$N$34,$E148,FALSE)/100,IF($B148=2016,VLOOKUP($BJ148,'Treasury Yields'!$C$40:$N$69,$E148,FALSE)/100,IF($B148=2017,VLOOKUP($BJ148,'Treasury Yields'!$C$75:$N$104,$E148,FALSE)/100,IF($B148=2018,VLOOKUP($BJ148,'Treasury Yields'!$C$110:$N$139,$E148,FALSE)/100,IF($B148=2019,VLOOKUP($BJ148,'Treasury Yields'!$C$145:$N$174,$E148,FALSE)/100,IF($B148=2020,VLOOKUP($BJ148,'Treasury Yields'!$C$180:$N$209,$E148,FALSE)/100,IF($B148=2021,VLOOKUP($BJ148,'Treasury Yields'!$C$215:$N$244,$E148,FALSE)/100,IF($B148=2022,VLOOKUP($BJ148,'Treasury Yields'!$C$250:$N$279,$E148,FALSE)/100)))))))),0)</f>
        <v>1.8144000000000004E-2</v>
      </c>
      <c r="BL148">
        <f t="shared" si="285"/>
        <v>1.6577000151697006</v>
      </c>
      <c r="BM148">
        <f t="shared" si="286"/>
        <v>205864796.75697964</v>
      </c>
      <c r="BN148">
        <f t="shared" si="287"/>
        <v>160613839.75697964</v>
      </c>
      <c r="BP148">
        <f>IF($BJ148&lt;=30,IF($B148=2015,VLOOKUP($BJ148,'Treasury Yields'!$C$40:$N$69,$E148,FALSE)/100,IF($B148=2016,VLOOKUP($BJ148,'Treasury Yields'!$C$75:$N$104,$E148,FALSE)/100,IF($B148=2017,VLOOKUP($BJ148,'Treasury Yields'!$C$110:$N$139,$E148,FALSE)/100,IF($B148=2018,VLOOKUP($BJ148,'Treasury Yields'!$C$145:$N$174,$E148,FALSE)/100,IF($B148=2019,VLOOKUP($BJ148,'Treasury Yields'!$C$180:$N$209,$E148,FALSE)/100,IF($B148=2020,VLOOKUP($BJ148,'Treasury Yields'!$C$215:$N$244,$E148,FALSE)/100,IF($B148=2021,VLOOKUP($BJ148,'Treasury Yields'!$C$250:$N$279,$E148,FALSE)/100,IF($B148=2022,VLOOKUP($BJ148,'Treasury Yields'!$C$285:$N$314,$E148,FALSE)/100)))))))),0)</f>
        <v>2.5866399999999991E-2</v>
      </c>
      <c r="BQ148">
        <f t="shared" si="288"/>
        <v>1.5594144547772535</v>
      </c>
      <c r="BR148">
        <f t="shared" si="289"/>
        <v>196133491.10875005</v>
      </c>
      <c r="BS148">
        <f t="shared" si="290"/>
        <v>146757826.10875005</v>
      </c>
      <c r="BU148">
        <f t="shared" si="276"/>
        <v>16</v>
      </c>
      <c r="BV148">
        <f t="shared" si="291"/>
        <v>2.8225176941758776</v>
      </c>
      <c r="BW148">
        <f t="shared" si="292"/>
        <v>5299474.5470538028</v>
      </c>
      <c r="BX148" s="5">
        <f t="shared" si="293"/>
        <v>3714553.357676384</v>
      </c>
      <c r="BY148" s="5">
        <f t="shared" si="294"/>
        <v>2893519.9938683836</v>
      </c>
      <c r="BZ148" s="5">
        <f t="shared" si="295"/>
        <v>10267922</v>
      </c>
      <c r="CA148" s="5">
        <f t="shared" si="296"/>
        <v>8192994.5409221863</v>
      </c>
      <c r="CC148" s="5">
        <f t="shared" si="297"/>
        <v>196133491.10875005</v>
      </c>
      <c r="CD148" s="5" t="str">
        <f t="shared" si="298"/>
        <v>Illinois</v>
      </c>
      <c r="CE148" s="5">
        <f t="shared" si="274"/>
        <v>0.39257510423116243</v>
      </c>
      <c r="CF148" s="10">
        <f t="shared" si="299"/>
        <v>0.25174520027598296</v>
      </c>
    </row>
    <row r="149" spans="1:84" x14ac:dyDescent="0.2">
      <c r="A149">
        <v>14000000009804</v>
      </c>
      <c r="B149">
        <v>2018</v>
      </c>
      <c r="C149">
        <v>260</v>
      </c>
      <c r="D149" t="s">
        <v>312</v>
      </c>
      <c r="E149">
        <v>6</v>
      </c>
      <c r="F149" t="s">
        <v>313</v>
      </c>
      <c r="G149" t="s">
        <v>314</v>
      </c>
      <c r="H149" t="s">
        <v>69</v>
      </c>
      <c r="I149" t="b">
        <v>1</v>
      </c>
      <c r="J149">
        <v>1838003</v>
      </c>
      <c r="K149">
        <v>8703519</v>
      </c>
      <c r="L149">
        <v>-374603</v>
      </c>
      <c r="M149">
        <v>1191347</v>
      </c>
      <c r="N149">
        <v>-666055</v>
      </c>
      <c r="O149">
        <v>6551634</v>
      </c>
      <c r="Q149">
        <v>4140577</v>
      </c>
      <c r="R149">
        <v>125773806</v>
      </c>
      <c r="S149">
        <v>129914383</v>
      </c>
      <c r="T149">
        <v>84633</v>
      </c>
      <c r="U149">
        <v>4095125</v>
      </c>
      <c r="V149">
        <v>938037</v>
      </c>
      <c r="W149">
        <v>4049272</v>
      </c>
      <c r="Y149">
        <v>21551</v>
      </c>
      <c r="AA149">
        <v>2593882</v>
      </c>
      <c r="AB149">
        <v>49375665</v>
      </c>
      <c r="AC149">
        <v>51969547</v>
      </c>
      <c r="AD149">
        <v>77944837</v>
      </c>
      <c r="AE149">
        <v>76398142</v>
      </c>
      <c r="AF149">
        <v>1546695</v>
      </c>
      <c r="AG149">
        <v>10163980</v>
      </c>
      <c r="AH149">
        <v>8.3267578251826554E-3</v>
      </c>
      <c r="AI149" t="b">
        <v>1</v>
      </c>
      <c r="AK149">
        <v>7.0000000000000007E-2</v>
      </c>
      <c r="AL149">
        <v>7.0000000000000007E-2</v>
      </c>
      <c r="AM149">
        <v>7.0000000000000007E-2</v>
      </c>
      <c r="AN149">
        <v>7.0000000000000007E-2</v>
      </c>
      <c r="AO149">
        <v>1</v>
      </c>
      <c r="AP149">
        <v>0</v>
      </c>
      <c r="AS149">
        <v>95591974</v>
      </c>
      <c r="AT149">
        <v>63733577</v>
      </c>
      <c r="AU149" t="s">
        <v>304</v>
      </c>
      <c r="AV149" t="s">
        <v>320</v>
      </c>
      <c r="BB149">
        <f t="shared" si="277"/>
        <v>0.40002920230933936</v>
      </c>
      <c r="BD149">
        <f t="shared" si="278"/>
        <v>17647137</v>
      </c>
      <c r="BE149">
        <f t="shared" si="279"/>
        <v>-14211260</v>
      </c>
      <c r="BF149">
        <f t="shared" si="280"/>
        <v>13.583666867740119</v>
      </c>
      <c r="BG149">
        <f t="shared" si="281"/>
        <v>-10.93894276509784</v>
      </c>
      <c r="BH149">
        <f t="shared" si="282"/>
        <v>12.26130481641898</v>
      </c>
      <c r="BI149">
        <f t="shared" si="283"/>
        <v>132.23620513211381</v>
      </c>
      <c r="BJ149">
        <f t="shared" si="284"/>
        <v>12</v>
      </c>
      <c r="BK149">
        <f>IF($BJ149&lt;=30,IF($B149=2015,VLOOKUP($BJ149,'Treasury Yields'!$C$5:$N$34,$E149,FALSE)/100,IF($B149=2016,VLOOKUP($BJ149,'Treasury Yields'!$C$40:$N$69,$E149,FALSE)/100,IF($B149=2017,VLOOKUP($BJ149,'Treasury Yields'!$C$75:$N$104,$E149,FALSE)/100,IF($B149=2018,VLOOKUP($BJ149,'Treasury Yields'!$C$110:$N$139,$E149,FALSE)/100,IF($B149=2019,VLOOKUP($BJ149,'Treasury Yields'!$C$145:$N$174,$E149,FALSE)/100,IF($B149=2020,VLOOKUP($BJ149,'Treasury Yields'!$C$180:$N$209,$E149,FALSE)/100,IF($B149=2021,VLOOKUP($BJ149,'Treasury Yields'!$C$215:$N$244,$E149,FALSE)/100,IF($B149=2022,VLOOKUP($BJ149,'Treasury Yields'!$C$250:$N$279,$E149,FALSE)/100)))))))),0)</f>
        <v>2.5467599999999993E-2</v>
      </c>
      <c r="BL149">
        <f t="shared" si="285"/>
        <v>1.548008465256457</v>
      </c>
      <c r="BM149">
        <f t="shared" si="286"/>
        <v>194698916.39552337</v>
      </c>
      <c r="BN149">
        <f t="shared" si="287"/>
        <v>145323251.39552337</v>
      </c>
      <c r="BP149">
        <f>IF($BJ149&lt;=30,IF($B149=2015,VLOOKUP($BJ149,'Treasury Yields'!$C$40:$N$69,$E149,FALSE)/100,IF($B149=2016,VLOOKUP($BJ149,'Treasury Yields'!$C$75:$N$104,$E149,FALSE)/100,IF($B149=2017,VLOOKUP($BJ149,'Treasury Yields'!$C$110:$N$139,$E149,FALSE)/100,IF($B149=2018,VLOOKUP($BJ149,'Treasury Yields'!$C$145:$N$174,$E149,FALSE)/100,IF($B149=2019,VLOOKUP($BJ149,'Treasury Yields'!$C$180:$N$209,$E149,FALSE)/100,IF($B149=2020,VLOOKUP($BJ149,'Treasury Yields'!$C$215:$N$244,$E149,FALSE)/100,IF($B149=2021,VLOOKUP($BJ149,'Treasury Yields'!$C$250:$N$279,$E149,FALSE)/100,IF($B149=2022,VLOOKUP($BJ149,'Treasury Yields'!$C$285:$N$314,$E149,FALSE)/100)))))))),0)</f>
        <v>2.8906472727272727E-2</v>
      </c>
      <c r="BQ149">
        <f t="shared" si="288"/>
        <v>1.5055489418564501</v>
      </c>
      <c r="BR149">
        <f t="shared" si="289"/>
        <v>195592461.85758358</v>
      </c>
      <c r="BS149">
        <f t="shared" si="290"/>
        <v>143622914.85758358</v>
      </c>
      <c r="BU149">
        <f t="shared" si="276"/>
        <v>15</v>
      </c>
      <c r="BV149">
        <f t="shared" si="291"/>
        <v>2.4762535309569631</v>
      </c>
      <c r="BW149">
        <f t="shared" si="292"/>
        <v>4551361.4186594915</v>
      </c>
      <c r="BX149" s="5">
        <f t="shared" si="293"/>
        <v>4907571.9812020818</v>
      </c>
      <c r="BY149" s="5">
        <f t="shared" si="294"/>
        <v>3650092.2952480819</v>
      </c>
      <c r="BZ149" s="5">
        <f t="shared" si="295"/>
        <v>10541522</v>
      </c>
      <c r="CA149" s="5">
        <f t="shared" si="296"/>
        <v>8201453.7139075734</v>
      </c>
      <c r="CC149" s="5">
        <f t="shared" si="297"/>
        <v>195592461.85758358</v>
      </c>
      <c r="CD149" s="5" t="str">
        <f t="shared" si="298"/>
        <v>Illinois</v>
      </c>
      <c r="CE149" s="5">
        <f t="shared" si="274"/>
        <v>0.40002920230933936</v>
      </c>
      <c r="CF149" s="10">
        <f t="shared" si="299"/>
        <v>0.26570322039220767</v>
      </c>
    </row>
    <row r="150" spans="1:84" x14ac:dyDescent="0.2">
      <c r="A150">
        <v>14000000009804</v>
      </c>
      <c r="B150">
        <v>2019</v>
      </c>
      <c r="C150">
        <v>260</v>
      </c>
      <c r="D150" t="s">
        <v>312</v>
      </c>
      <c r="E150">
        <v>6</v>
      </c>
      <c r="F150" t="s">
        <v>313</v>
      </c>
      <c r="G150" t="s">
        <v>314</v>
      </c>
      <c r="H150" t="s">
        <v>69</v>
      </c>
      <c r="I150" t="b">
        <v>1</v>
      </c>
      <c r="J150">
        <v>1947627</v>
      </c>
      <c r="K150">
        <v>8991684</v>
      </c>
      <c r="L150">
        <v>0</v>
      </c>
      <c r="M150">
        <v>258779</v>
      </c>
      <c r="N150">
        <v>77242</v>
      </c>
      <c r="O150">
        <v>6818761</v>
      </c>
      <c r="Q150">
        <v>4456571</v>
      </c>
      <c r="R150">
        <v>129914383</v>
      </c>
      <c r="S150">
        <v>134370955</v>
      </c>
      <c r="T150">
        <v>88515</v>
      </c>
      <c r="U150">
        <v>4466021</v>
      </c>
      <c r="V150">
        <v>963972</v>
      </c>
      <c r="W150">
        <v>2617831</v>
      </c>
      <c r="Y150">
        <v>24336</v>
      </c>
      <c r="AA150">
        <v>1293243</v>
      </c>
      <c r="AB150">
        <v>51969547</v>
      </c>
      <c r="AC150">
        <v>53262789</v>
      </c>
      <c r="AD150">
        <v>81108165</v>
      </c>
      <c r="AE150">
        <v>77944837</v>
      </c>
      <c r="AF150">
        <v>3163328</v>
      </c>
      <c r="AG150">
        <v>10450452</v>
      </c>
      <c r="AH150">
        <v>8.4699685716943147E-3</v>
      </c>
      <c r="AI150" t="b">
        <v>1</v>
      </c>
      <c r="AK150">
        <v>7.0000000000000007E-2</v>
      </c>
      <c r="AL150">
        <v>7.0000000000000007E-2</v>
      </c>
      <c r="AM150">
        <v>7.0000000000000007E-2</v>
      </c>
      <c r="AN150">
        <v>7.0000000000000007E-2</v>
      </c>
      <c r="AO150">
        <v>1</v>
      </c>
      <c r="AP150">
        <v>0</v>
      </c>
      <c r="AS150">
        <v>99066519</v>
      </c>
      <c r="AT150">
        <v>63228761</v>
      </c>
      <c r="AU150" t="s">
        <v>317</v>
      </c>
      <c r="AV150" t="s">
        <v>321</v>
      </c>
      <c r="BB150">
        <f t="shared" si="277"/>
        <v>0.39638617586665215</v>
      </c>
      <c r="BD150">
        <f t="shared" si="278"/>
        <v>17958354</v>
      </c>
      <c r="BE150">
        <f t="shared" si="279"/>
        <v>-17879404</v>
      </c>
      <c r="BF150">
        <f t="shared" si="280"/>
        <v>13.364758775436252</v>
      </c>
      <c r="BG150">
        <f t="shared" si="281"/>
        <v>-13.306003518394283</v>
      </c>
      <c r="BH150">
        <f t="shared" si="282"/>
        <v>13.335381146915267</v>
      </c>
      <c r="BI150">
        <f t="shared" si="283"/>
        <v>2.9377628520985057</v>
      </c>
      <c r="BJ150">
        <f t="shared" si="284"/>
        <v>13</v>
      </c>
      <c r="BK150">
        <f>IF($BJ150&lt;=30,IF($B150=2015,VLOOKUP($BJ150,'Treasury Yields'!$C$5:$N$34,$E150,FALSE)/100,IF($B150=2016,VLOOKUP($BJ150,'Treasury Yields'!$C$40:$N$69,$E150,FALSE)/100,IF($B150=2017,VLOOKUP($BJ150,'Treasury Yields'!$C$75:$N$104,$E150,FALSE)/100,IF($B150=2018,VLOOKUP($BJ150,'Treasury Yields'!$C$110:$N$139,$E150,FALSE)/100,IF($B150=2019,VLOOKUP($BJ150,'Treasury Yields'!$C$145:$N$174,$E150,FALSE)/100,IF($B150=2020,VLOOKUP($BJ150,'Treasury Yields'!$C$180:$N$209,$E150,FALSE)/100,IF($B150=2021,VLOOKUP($BJ150,'Treasury Yields'!$C$215:$N$244,$E150,FALSE)/100,IF($B150=2022,VLOOKUP($BJ150,'Treasury Yields'!$C$250:$N$279,$E150,FALSE)/100)))))))),0)</f>
        <v>2.8539709090909093E-2</v>
      </c>
      <c r="BL150">
        <f t="shared" si="285"/>
        <v>1.5546077374569798</v>
      </c>
      <c r="BM150">
        <f t="shared" si="286"/>
        <v>201965905.01874951</v>
      </c>
      <c r="BN150">
        <f t="shared" si="287"/>
        <v>149996358.01874951</v>
      </c>
      <c r="BP150">
        <f>IF($BJ150&lt;=30,IF($B150=2015,VLOOKUP($BJ150,'Treasury Yields'!$C$40:$N$69,$E150,FALSE)/100,IF($B150=2016,VLOOKUP($BJ150,'Treasury Yields'!$C$75:$N$104,$E150,FALSE)/100,IF($B150=2017,VLOOKUP($BJ150,'Treasury Yields'!$C$110:$N$139,$E150,FALSE)/100,IF($B150=2018,VLOOKUP($BJ150,'Treasury Yields'!$C$145:$N$174,$E150,FALSE)/100,IF($B150=2019,VLOOKUP($BJ150,'Treasury Yields'!$C$180:$N$209,$E150,FALSE)/100,IF($B150=2020,VLOOKUP($BJ150,'Treasury Yields'!$C$215:$N$244,$E150,FALSE)/100,IF($B150=2021,VLOOKUP($BJ150,'Treasury Yields'!$C$250:$N$279,$E150,FALSE)/100,IF($B150=2022,VLOOKUP($BJ150,'Treasury Yields'!$C$285:$N$314,$E150,FALSE)/100)))))))),0)</f>
        <v>2.2646000000000006E-2</v>
      </c>
      <c r="BQ150">
        <f t="shared" si="288"/>
        <v>1.6337260401470257</v>
      </c>
      <c r="BR150">
        <f t="shared" si="289"/>
        <v>219525328.22292417</v>
      </c>
      <c r="BS150">
        <f t="shared" si="290"/>
        <v>166262539.22292417</v>
      </c>
      <c r="BU150">
        <f t="shared" si="276"/>
        <v>16</v>
      </c>
      <c r="BV150">
        <f t="shared" si="291"/>
        <v>2.2213033205454447</v>
      </c>
      <c r="BW150">
        <f t="shared" si="292"/>
        <v>4326270.3222839627</v>
      </c>
      <c r="BX150" s="5">
        <f t="shared" si="293"/>
        <v>5692913.2166634686</v>
      </c>
      <c r="BY150" s="5">
        <f t="shared" si="294"/>
        <v>4209717.463697141</v>
      </c>
      <c r="BZ150" s="5">
        <f t="shared" si="295"/>
        <v>10939311</v>
      </c>
      <c r="CA150" s="5">
        <f t="shared" si="296"/>
        <v>8535987.7859811038</v>
      </c>
      <c r="CC150" s="5">
        <f t="shared" si="297"/>
        <v>219525328.22292417</v>
      </c>
      <c r="CD150" s="5" t="str">
        <f t="shared" si="298"/>
        <v>Illinois</v>
      </c>
      <c r="CE150" s="5">
        <f t="shared" si="274"/>
        <v>0.39638617586665215</v>
      </c>
      <c r="CF150" s="10">
        <f t="shared" si="299"/>
        <v>0.24262707830192859</v>
      </c>
    </row>
    <row r="151" spans="1:84" x14ac:dyDescent="0.2">
      <c r="A151">
        <v>14000000009804</v>
      </c>
      <c r="B151">
        <v>2020</v>
      </c>
      <c r="C151">
        <v>260</v>
      </c>
      <c r="D151" t="s">
        <v>312</v>
      </c>
      <c r="E151">
        <v>6</v>
      </c>
      <c r="F151" t="s">
        <v>313</v>
      </c>
      <c r="G151" t="s">
        <v>314</v>
      </c>
      <c r="H151" t="s">
        <v>69</v>
      </c>
      <c r="I151" t="b">
        <v>1</v>
      </c>
      <c r="J151">
        <v>1991623</v>
      </c>
      <c r="K151">
        <v>9296897</v>
      </c>
      <c r="L151">
        <v>0</v>
      </c>
      <c r="M151">
        <v>-28216</v>
      </c>
      <c r="N151">
        <v>0</v>
      </c>
      <c r="O151">
        <v>7099525</v>
      </c>
      <c r="Q151">
        <v>4160779</v>
      </c>
      <c r="R151">
        <v>134370955</v>
      </c>
      <c r="S151">
        <v>138531734</v>
      </c>
      <c r="T151">
        <v>92658</v>
      </c>
      <c r="U151">
        <v>4813452</v>
      </c>
      <c r="V151">
        <v>994400</v>
      </c>
      <c r="W151">
        <v>275669</v>
      </c>
      <c r="Y151">
        <v>22966</v>
      </c>
      <c r="AA151">
        <v>-946312</v>
      </c>
      <c r="AB151">
        <v>53262789</v>
      </c>
      <c r="AC151">
        <v>52316478</v>
      </c>
      <c r="AD151">
        <v>86215256</v>
      </c>
      <c r="AE151">
        <v>81108165</v>
      </c>
      <c r="AF151">
        <v>5107091</v>
      </c>
      <c r="AG151">
        <v>10827439</v>
      </c>
      <c r="AH151">
        <v>8.5577023338575271E-3</v>
      </c>
      <c r="AI151" t="b">
        <v>1</v>
      </c>
      <c r="AK151">
        <v>7.0000000000000007E-2</v>
      </c>
      <c r="AL151">
        <v>7.0000000000000007E-2</v>
      </c>
      <c r="AM151">
        <v>7.0000000000000007E-2</v>
      </c>
      <c r="AN151">
        <v>7.0000000000000007E-2</v>
      </c>
      <c r="AO151">
        <v>1</v>
      </c>
      <c r="AP151">
        <v>0</v>
      </c>
      <c r="AS151">
        <v>104649618</v>
      </c>
      <c r="AT151">
        <v>71038444</v>
      </c>
      <c r="AU151" t="s">
        <v>322</v>
      </c>
      <c r="AV151" t="s">
        <v>323</v>
      </c>
      <c r="BB151">
        <f t="shared" si="277"/>
        <v>0.37764977373343206</v>
      </c>
      <c r="BD151">
        <f t="shared" si="278"/>
        <v>18434362</v>
      </c>
      <c r="BE151">
        <f t="shared" si="279"/>
        <v>-15176812</v>
      </c>
      <c r="BF151">
        <f t="shared" si="280"/>
        <v>13.306959689106323</v>
      </c>
      <c r="BG151">
        <f t="shared" si="281"/>
        <v>-10.955476815153414</v>
      </c>
      <c r="BH151">
        <f t="shared" si="282"/>
        <v>12.131218252129869</v>
      </c>
      <c r="BI151">
        <f t="shared" si="283"/>
        <v>117.57414369764547</v>
      </c>
      <c r="BJ151">
        <f t="shared" si="284"/>
        <v>12</v>
      </c>
      <c r="BK151">
        <f>IF($BJ151&lt;=30,IF($B151=2015,VLOOKUP($BJ151,'Treasury Yields'!$C$5:$N$34,$E151,FALSE)/100,IF($B151=2016,VLOOKUP($BJ151,'Treasury Yields'!$C$40:$N$69,$E151,FALSE)/100,IF($B151=2017,VLOOKUP($BJ151,'Treasury Yields'!$C$75:$N$104,$E151,FALSE)/100,IF($B151=2018,VLOOKUP($BJ151,'Treasury Yields'!$C$110:$N$139,$E151,FALSE)/100,IF($B151=2019,VLOOKUP($BJ151,'Treasury Yields'!$C$145:$N$174,$E151,FALSE)/100,IF($B151=2020,VLOOKUP($BJ151,'Treasury Yields'!$C$180:$N$209,$E151,FALSE)/100,IF($B151=2021,VLOOKUP($BJ151,'Treasury Yields'!$C$215:$N$244,$E151,FALSE)/100,IF($B151=2022,VLOOKUP($BJ151,'Treasury Yields'!$C$250:$N$279,$E151,FALSE)/100)))))))),0)</f>
        <v>2.2184000000000002E-2</v>
      </c>
      <c r="BL151">
        <f t="shared" si="285"/>
        <v>1.582352701799842</v>
      </c>
      <c r="BM151">
        <f t="shared" si="286"/>
        <v>212622243.687675</v>
      </c>
      <c r="BN151">
        <f t="shared" si="287"/>
        <v>159359454.687675</v>
      </c>
      <c r="BP151">
        <f>IF($BJ151&lt;=30,IF($B151=2015,VLOOKUP($BJ151,'Treasury Yields'!$C$40:$N$69,$E151,FALSE)/100,IF($B151=2016,VLOOKUP($BJ151,'Treasury Yields'!$C$75:$N$104,$E151,FALSE)/100,IF($B151=2017,VLOOKUP($BJ151,'Treasury Yields'!$C$110:$N$139,$E151,FALSE)/100,IF($B151=2018,VLOOKUP($BJ151,'Treasury Yields'!$C$145:$N$174,$E151,FALSE)/100,IF($B151=2019,VLOOKUP($BJ151,'Treasury Yields'!$C$180:$N$209,$E151,FALSE)/100,IF($B151=2020,VLOOKUP($BJ151,'Treasury Yields'!$C$215:$N$244,$E151,FALSE)/100,IF($B151=2021,VLOOKUP($BJ151,'Treasury Yields'!$C$250:$N$279,$E151,FALSE)/100,IF($B151=2022,VLOOKUP($BJ151,'Treasury Yields'!$C$285:$N$314,$E151,FALSE)/100)))))))),0)</f>
        <v>1.3689454545454545E-2</v>
      </c>
      <c r="BQ151">
        <f t="shared" si="288"/>
        <v>1.6862863943349591</v>
      </c>
      <c r="BR151">
        <f t="shared" si="289"/>
        <v>233604178.22782966</v>
      </c>
      <c r="BS151">
        <f t="shared" si="290"/>
        <v>181287700.22782966</v>
      </c>
      <c r="BU151">
        <f t="shared" si="276"/>
        <v>15</v>
      </c>
      <c r="BV151">
        <f t="shared" si="291"/>
        <v>2.5661243099391511</v>
      </c>
      <c r="BW151">
        <f t="shared" si="292"/>
        <v>5110752.1965339417</v>
      </c>
      <c r="BX151" s="5">
        <f t="shared" si="293"/>
        <v>4672692.9180952916</v>
      </c>
      <c r="BY151" s="5">
        <f t="shared" si="294"/>
        <v>3491111.2069192915</v>
      </c>
      <c r="BZ151" s="5">
        <f t="shared" si="295"/>
        <v>11288520</v>
      </c>
      <c r="CA151" s="5">
        <f t="shared" si="296"/>
        <v>8601863.4034532327</v>
      </c>
      <c r="CC151" s="5">
        <f t="shared" si="297"/>
        <v>233604178.22782966</v>
      </c>
      <c r="CD151" s="5" t="str">
        <f t="shared" si="298"/>
        <v>Illinois</v>
      </c>
      <c r="CE151" s="5">
        <f t="shared" si="274"/>
        <v>0.37764977373343206</v>
      </c>
      <c r="CF151" s="10">
        <f t="shared" si="299"/>
        <v>0.22395351999644778</v>
      </c>
    </row>
    <row r="152" spans="1:84" x14ac:dyDescent="0.2">
      <c r="A152">
        <v>14000000009804</v>
      </c>
      <c r="B152">
        <v>2021</v>
      </c>
      <c r="C152">
        <v>260</v>
      </c>
      <c r="D152" t="s">
        <v>312</v>
      </c>
      <c r="E152">
        <v>6</v>
      </c>
      <c r="F152" t="s">
        <v>313</v>
      </c>
      <c r="G152" t="s">
        <v>314</v>
      </c>
      <c r="H152" t="s">
        <v>69</v>
      </c>
      <c r="I152" t="b">
        <v>1</v>
      </c>
      <c r="J152">
        <v>2032149</v>
      </c>
      <c r="K152">
        <v>9580887</v>
      </c>
      <c r="L152">
        <v>0</v>
      </c>
      <c r="M152">
        <v>-370470</v>
      </c>
      <c r="N152">
        <v>-162359</v>
      </c>
      <c r="O152">
        <v>7388143</v>
      </c>
      <c r="Q152">
        <v>3692065</v>
      </c>
      <c r="R152">
        <v>138531734</v>
      </c>
      <c r="S152">
        <v>142223799</v>
      </c>
      <c r="T152">
        <v>97594</v>
      </c>
      <c r="U152">
        <v>5140648</v>
      </c>
      <c r="V152">
        <v>1023532</v>
      </c>
      <c r="W152">
        <v>13046154</v>
      </c>
      <c r="Y152">
        <v>23758</v>
      </c>
      <c r="AA152">
        <v>11896027</v>
      </c>
      <c r="AB152">
        <v>52316478</v>
      </c>
      <c r="AC152">
        <v>64212505</v>
      </c>
      <c r="AD152">
        <v>78011294</v>
      </c>
      <c r="AE152">
        <v>86215256</v>
      </c>
      <c r="AF152">
        <v>-8203962</v>
      </c>
      <c r="AG152">
        <v>11120776</v>
      </c>
      <c r="AI152" t="b">
        <v>1</v>
      </c>
      <c r="AK152">
        <v>7.0000000000000007E-2</v>
      </c>
      <c r="AL152">
        <v>7.0000000000000007E-2</v>
      </c>
      <c r="AM152">
        <v>7.0000000000000007E-2</v>
      </c>
      <c r="AN152">
        <v>7.0000000000000007E-2</v>
      </c>
      <c r="AS152">
        <v>96615374</v>
      </c>
      <c r="AT152">
        <v>62558129</v>
      </c>
      <c r="BB152">
        <f t="shared" si="277"/>
        <v>0.45148917024780078</v>
      </c>
      <c r="BD152">
        <f t="shared" si="278"/>
        <v>18604080</v>
      </c>
      <c r="BE152">
        <f t="shared" si="279"/>
        <v>-15453165</v>
      </c>
      <c r="BF152">
        <f t="shared" si="280"/>
        <v>13.08084872630916</v>
      </c>
      <c r="BG152">
        <f t="shared" si="281"/>
        <v>-10.865386179144322</v>
      </c>
      <c r="BH152">
        <f t="shared" si="282"/>
        <v>11.97311745272674</v>
      </c>
      <c r="BI152">
        <f t="shared" si="283"/>
        <v>110.77312735824192</v>
      </c>
      <c r="BJ152">
        <f t="shared" si="284"/>
        <v>12</v>
      </c>
      <c r="BK152">
        <f>IF($BJ152&lt;=30,IF($B152=2015,VLOOKUP($BJ152,'Treasury Yields'!$C$5:$N$34,$E152,FALSE)/100,IF($B152=2016,VLOOKUP($BJ152,'Treasury Yields'!$C$40:$N$69,$E152,FALSE)/100,IF($B152=2017,VLOOKUP($BJ152,'Treasury Yields'!$C$75:$N$104,$E152,FALSE)/100,IF($B152=2018,VLOOKUP($BJ152,'Treasury Yields'!$C$110:$N$139,$E152,FALSE)/100,IF($B152=2019,VLOOKUP($BJ152,'Treasury Yields'!$C$145:$N$174,$E152,FALSE)/100,IF($B152=2020,VLOOKUP($BJ152,'Treasury Yields'!$C$180:$N$209,$E152,FALSE)/100,IF($B152=2021,VLOOKUP($BJ152,'Treasury Yields'!$C$215:$N$244,$E152,FALSE)/100,IF($B152=2022,VLOOKUP($BJ152,'Treasury Yields'!$C$250:$N$279,$E152,FALSE)/100)))))))),0)</f>
        <v>1.3689454545454545E-2</v>
      </c>
      <c r="BL152">
        <f t="shared" si="285"/>
        <v>1.6773836520837691</v>
      </c>
      <c r="BM152">
        <f t="shared" si="286"/>
        <v>232370865.90641725</v>
      </c>
      <c r="BN152">
        <f t="shared" si="287"/>
        <v>180054387.90641725</v>
      </c>
      <c r="BP152">
        <f>IF($BJ152&lt;=30,IF($B152=2015,VLOOKUP($BJ152,'Treasury Yields'!$C$40:$N$69,$E152,FALSE)/100,IF($B152=2016,VLOOKUP($BJ152,'Treasury Yields'!$C$75:$N$104,$E152,FALSE)/100,IF($B152=2017,VLOOKUP($BJ152,'Treasury Yields'!$C$110:$N$139,$E152,FALSE)/100,IF($B152=2018,VLOOKUP($BJ152,'Treasury Yields'!$C$145:$N$174,$E152,FALSE)/100,IF($B152=2019,VLOOKUP($BJ152,'Treasury Yields'!$C$180:$N$209,$E152,FALSE)/100,IF($B152=2020,VLOOKUP($BJ152,'Treasury Yields'!$C$215:$N$244,$E152,FALSE)/100,IF($B152=2021,VLOOKUP($BJ152,'Treasury Yields'!$C$250:$N$279,$E152,FALSE)/100,IF($B152=2022,VLOOKUP($BJ152,'Treasury Yields'!$C$285:$N$314,$E152,FALSE)/100)))))))),0)</f>
        <v>2.1085818181818185E-2</v>
      </c>
      <c r="BQ152">
        <f t="shared" si="288"/>
        <v>1.5880478411960639</v>
      </c>
      <c r="BR152">
        <f t="shared" si="289"/>
        <v>225858196.9686529</v>
      </c>
      <c r="BS152">
        <f t="shared" si="290"/>
        <v>161645691.9686529</v>
      </c>
      <c r="BU152">
        <f t="shared" si="276"/>
        <v>15</v>
      </c>
      <c r="BV152">
        <f t="shared" si="291"/>
        <v>2.8701189767728947</v>
      </c>
      <c r="BW152">
        <f t="shared" si="292"/>
        <v>5832509.4085300611</v>
      </c>
      <c r="BX152" s="5">
        <f t="shared" si="293"/>
        <v>3159734.6311740023</v>
      </c>
      <c r="BY152" s="5">
        <f t="shared" si="294"/>
        <v>2443550.5836147293</v>
      </c>
      <c r="BZ152" s="5">
        <f t="shared" si="295"/>
        <v>11613036</v>
      </c>
      <c r="CA152" s="5">
        <f t="shared" si="296"/>
        <v>8276059.9921447905</v>
      </c>
      <c r="CC152" s="5">
        <f t="shared" si="297"/>
        <v>225858196.9686529</v>
      </c>
      <c r="CD152" s="5" t="str">
        <f t="shared" si="298"/>
        <v>Illinois</v>
      </c>
      <c r="CE152" s="5">
        <f t="shared" si="274"/>
        <v>0.45148917024780078</v>
      </c>
      <c r="CF152" s="10">
        <f t="shared" si="299"/>
        <v>0.2843045143449548</v>
      </c>
    </row>
    <row r="153" spans="1:84" x14ac:dyDescent="0.2">
      <c r="A153">
        <v>14000000009804</v>
      </c>
      <c r="B153">
        <v>2022</v>
      </c>
      <c r="C153">
        <v>260</v>
      </c>
      <c r="D153" t="s">
        <v>312</v>
      </c>
      <c r="E153">
        <v>6</v>
      </c>
      <c r="F153" t="s">
        <v>313</v>
      </c>
      <c r="G153" t="s">
        <v>314</v>
      </c>
      <c r="H153" t="s">
        <v>69</v>
      </c>
      <c r="I153" t="b">
        <v>1</v>
      </c>
      <c r="J153">
        <v>2097274</v>
      </c>
      <c r="K153">
        <v>9834040</v>
      </c>
      <c r="L153">
        <v>0</v>
      </c>
      <c r="M153">
        <v>-260305</v>
      </c>
      <c r="N153">
        <v>448728</v>
      </c>
      <c r="O153">
        <v>7669576</v>
      </c>
      <c r="Q153">
        <v>4450161</v>
      </c>
      <c r="R153">
        <v>142223799</v>
      </c>
      <c r="S153">
        <v>146673960</v>
      </c>
      <c r="T153">
        <v>120877</v>
      </c>
      <c r="U153">
        <v>5866800</v>
      </c>
      <c r="V153">
        <v>1072639</v>
      </c>
      <c r="W153">
        <v>-743042</v>
      </c>
      <c r="Y153">
        <v>26576</v>
      </c>
      <c r="AA153">
        <v>-1378879</v>
      </c>
      <c r="AB153">
        <v>64212505</v>
      </c>
      <c r="AC153">
        <v>62833626</v>
      </c>
      <c r="AD153">
        <v>83840334</v>
      </c>
      <c r="AE153">
        <v>78011294</v>
      </c>
      <c r="AF153">
        <v>5829040</v>
      </c>
      <c r="AG153">
        <v>11647248</v>
      </c>
      <c r="AI153" t="b">
        <v>1</v>
      </c>
      <c r="AK153">
        <v>7.0000000000000007E-2</v>
      </c>
      <c r="AL153">
        <v>7.0000000000000007E-2</v>
      </c>
      <c r="AM153">
        <v>7.0000000000000007E-2</v>
      </c>
      <c r="AN153">
        <v>7.0000000000000007E-2</v>
      </c>
      <c r="AS153">
        <v>102537472</v>
      </c>
      <c r="AT153">
        <v>68336031</v>
      </c>
      <c r="AV153" t="s">
        <v>324</v>
      </c>
      <c r="BB153">
        <f t="shared" si="277"/>
        <v>0.42838978370802833</v>
      </c>
      <c r="BD153">
        <f t="shared" si="278"/>
        <v>18697138</v>
      </c>
      <c r="BE153">
        <f t="shared" si="279"/>
        <v>-15504303</v>
      </c>
      <c r="BF153">
        <f t="shared" si="280"/>
        <v>12.747414742194183</v>
      </c>
      <c r="BG153">
        <f t="shared" si="281"/>
        <v>-10.570590035204614</v>
      </c>
      <c r="BH153">
        <f t="shared" si="282"/>
        <v>11.659002388699397</v>
      </c>
      <c r="BI153">
        <f t="shared" si="283"/>
        <v>108.84123534947852</v>
      </c>
      <c r="BJ153">
        <f t="shared" si="284"/>
        <v>12</v>
      </c>
      <c r="BK153">
        <f>IF($BJ153&lt;=30,IF($B153=2015,VLOOKUP($BJ153,'Treasury Yields'!$C$5:$N$34,$E153,FALSE)/100,IF($B153=2016,VLOOKUP($BJ153,'Treasury Yields'!$C$40:$N$69,$E153,FALSE)/100,IF($B153=2017,VLOOKUP($BJ153,'Treasury Yields'!$C$75:$N$104,$E153,FALSE)/100,IF($B153=2018,VLOOKUP($BJ153,'Treasury Yields'!$C$110:$N$139,$E153,FALSE)/100,IF($B153=2019,VLOOKUP($BJ153,'Treasury Yields'!$C$145:$N$174,$E153,FALSE)/100,IF($B153=2020,VLOOKUP($BJ153,'Treasury Yields'!$C$180:$N$209,$E153,FALSE)/100,IF($B153=2021,VLOOKUP($BJ153,'Treasury Yields'!$C$215:$N$244,$E153,FALSE)/100,IF($B153=2022,VLOOKUP($BJ153,'Treasury Yields'!$C$250:$N$279,$E153,FALSE)/100)))))))),0)</f>
        <v>2.1085818181818185E-2</v>
      </c>
      <c r="BL153">
        <f t="shared" si="285"/>
        <v>1.5726831598424007</v>
      </c>
      <c r="BM153">
        <f t="shared" si="286"/>
        <v>223672973.61611047</v>
      </c>
      <c r="BN153">
        <f t="shared" si="287"/>
        <v>159460468.61611047</v>
      </c>
      <c r="BP153">
        <f>IF($BJ153&lt;=30,IF($B153=2015,VLOOKUP($BJ153,'Treasury Yields'!$C$40:$N$69,$E153,FALSE)/100,IF($B153=2016,VLOOKUP($BJ153,'Treasury Yields'!$C$75:$N$104,$E153,FALSE)/100,IF($B153=2017,VLOOKUP($BJ153,'Treasury Yields'!$C$110:$N$139,$E153,FALSE)/100,IF($B153=2018,VLOOKUP($BJ153,'Treasury Yields'!$C$145:$N$174,$E153,FALSE)/100,IF($B153=2019,VLOOKUP($BJ153,'Treasury Yields'!$C$180:$N$209,$E153,FALSE)/100,IF($B153=2020,VLOOKUP($BJ153,'Treasury Yields'!$C$215:$N$244,$E153,FALSE)/100,IF($B153=2021,VLOOKUP($BJ153,'Treasury Yields'!$C$250:$N$279,$E153,FALSE)/100,IF($B153=2022,VLOOKUP($BJ153,'Treasury Yields'!$C$285:$N$314,$E153,FALSE)/100)))))))),0)</f>
        <v>3.2402272727272724E-2</v>
      </c>
      <c r="BQ153">
        <f t="shared" si="288"/>
        <v>1.4397655811784702</v>
      </c>
      <c r="BR153">
        <f t="shared" si="289"/>
        <v>211176119.26314768</v>
      </c>
      <c r="BS153">
        <f t="shared" si="290"/>
        <v>148342493.26314768</v>
      </c>
      <c r="BU153">
        <f t="shared" si="276"/>
        <v>15</v>
      </c>
      <c r="BV153">
        <f t="shared" si="291"/>
        <v>2.5644165230172913</v>
      </c>
      <c r="BW153">
        <f t="shared" si="292"/>
        <v>5378284.0988945663</v>
      </c>
      <c r="BX153" s="5">
        <f t="shared" si="293"/>
        <v>4668013.8894277392</v>
      </c>
      <c r="BY153" s="5">
        <f t="shared" si="294"/>
        <v>3314040.6839986485</v>
      </c>
      <c r="BZ153" s="5">
        <f t="shared" si="295"/>
        <v>11931314</v>
      </c>
      <c r="CA153" s="5">
        <f t="shared" si="296"/>
        <v>8692324.7828932144</v>
      </c>
      <c r="CC153" s="5">
        <f t="shared" si="297"/>
        <v>211176119.26314768</v>
      </c>
      <c r="CD153" s="5" t="str">
        <f t="shared" si="298"/>
        <v>Illinois</v>
      </c>
      <c r="CE153" s="5">
        <f t="shared" si="274"/>
        <v>0.42838978370802833</v>
      </c>
      <c r="CF153" s="10">
        <f t="shared" si="299"/>
        <v>0.29754134236032004</v>
      </c>
    </row>
    <row r="154" spans="1:84" x14ac:dyDescent="0.2">
      <c r="A154">
        <v>14501615810000</v>
      </c>
      <c r="B154">
        <v>2015</v>
      </c>
      <c r="C154">
        <v>489</v>
      </c>
      <c r="D154" t="s">
        <v>325</v>
      </c>
      <c r="E154">
        <v>6</v>
      </c>
      <c r="F154" t="s">
        <v>313</v>
      </c>
      <c r="G154" t="s">
        <v>326</v>
      </c>
      <c r="I154" t="b">
        <v>1</v>
      </c>
      <c r="J154">
        <v>318734.27399999998</v>
      </c>
      <c r="K154">
        <v>1547663.416</v>
      </c>
      <c r="M154">
        <v>-138512.94</v>
      </c>
      <c r="N154">
        <v>0</v>
      </c>
      <c r="O154">
        <v>1331567.406</v>
      </c>
      <c r="Q154">
        <v>396317.34399999998</v>
      </c>
      <c r="R154">
        <v>20316899.952</v>
      </c>
      <c r="S154">
        <v>20713217.296</v>
      </c>
      <c r="T154">
        <v>643667</v>
      </c>
      <c r="V154">
        <v>191233.29800000001</v>
      </c>
      <c r="W154">
        <v>381688.43</v>
      </c>
      <c r="Y154">
        <v>11705.562</v>
      </c>
      <c r="Z154">
        <v>943.94600000000003</v>
      </c>
      <c r="AA154">
        <v>-125740.29399999999</v>
      </c>
      <c r="AB154">
        <v>10815694.614</v>
      </c>
      <c r="AC154">
        <v>10689954.32</v>
      </c>
      <c r="AD154">
        <v>10023262.976</v>
      </c>
      <c r="AE154">
        <v>9501205.3379999995</v>
      </c>
      <c r="AF154">
        <v>522057.63800000027</v>
      </c>
      <c r="AG154">
        <v>2273551</v>
      </c>
      <c r="AH154">
        <v>0.28311086929653217</v>
      </c>
      <c r="AI154" t="b">
        <v>1</v>
      </c>
      <c r="AK154">
        <v>7.7499999999999999E-2</v>
      </c>
      <c r="AL154">
        <v>7.7499999999999999E-2</v>
      </c>
      <c r="AM154">
        <v>7.7499999999999999E-2</v>
      </c>
      <c r="AN154">
        <v>7.7499999999999999E-2</v>
      </c>
      <c r="AO154">
        <v>0</v>
      </c>
      <c r="AP154">
        <v>0</v>
      </c>
      <c r="AS154">
        <v>12677155.748</v>
      </c>
      <c r="AT154">
        <v>7826251.6189999999</v>
      </c>
      <c r="AU154" t="s">
        <v>322</v>
      </c>
      <c r="AV154" t="s">
        <v>327</v>
      </c>
      <c r="BB154">
        <f t="shared" ref="BB154:BB161" si="300">AC154/S154</f>
        <v>0.51609337976019654</v>
      </c>
      <c r="BD154">
        <f t="shared" ref="BD154:BD161" si="301">AS154-AD154</f>
        <v>2653892.7719999999</v>
      </c>
      <c r="BE154">
        <f t="shared" ref="BE154:BE161" si="302">AT154-AD154</f>
        <v>-2197011.3569999998</v>
      </c>
      <c r="BF154">
        <f t="shared" ref="BF154:BF161" si="303">BD154/S154*100</f>
        <v>12.812556997181227</v>
      </c>
      <c r="BG154">
        <f t="shared" ref="BG154:BG161" si="304">BE154/S154*100</f>
        <v>-10.606808810064829</v>
      </c>
      <c r="BH154">
        <f t="shared" ref="BH154:BH161" si="305">(BD154-BE154)/(2*S154)*100</f>
        <v>11.709682903623026</v>
      </c>
      <c r="BI154">
        <f t="shared" ref="BI154:BI161" si="306">(BD154+BE154)/(2*S154*(0.01^2))</f>
        <v>110.28740935581985</v>
      </c>
      <c r="BJ154">
        <f t="shared" ref="BJ154:BJ161" si="307">ROUND(BH154,0)</f>
        <v>12</v>
      </c>
      <c r="BK154">
        <f>IF($BJ154&lt;=30,IF($B154=2015,VLOOKUP($BJ154,'Treasury Yields'!$C$5:$N$34,$E154,FALSE)/100,IF($B154=2016,VLOOKUP($BJ154,'Treasury Yields'!$C$40:$N$69,$E154,FALSE)/100,IF($B154=2017,VLOOKUP($BJ154,'Treasury Yields'!$C$75:$N$104,$E154,FALSE)/100,IF($B154=2018,VLOOKUP($BJ154,'Treasury Yields'!$C$110:$N$139,$E154,FALSE)/100,IF($B154=2019,VLOOKUP($BJ154,'Treasury Yields'!$C$145:$N$174,$E154,FALSE)/100,IF($B154=2020,VLOOKUP($BJ154,'Treasury Yields'!$C$180:$N$209,$E154,FALSE)/100,IF($B154=2021,VLOOKUP($BJ154,'Treasury Yields'!$C$215:$N$244,$E154,FALSE)/100,IF($B154=2022,VLOOKUP($BJ154,'Treasury Yields'!$C$250:$N$279,$E154,FALSE)/100)))))))),0)</f>
        <v>2.9186E-2</v>
      </c>
      <c r="BL154">
        <f t="shared" ref="BL154:BL161" si="308">1+BH154*(AL154-BK154)+(AL154-BK154)^2</f>
        <v>1.5680758624016429</v>
      </c>
      <c r="BM154">
        <f t="shared" ref="BM154:BM161" si="309">BL154*R154</f>
        <v>31858440.413560297</v>
      </c>
      <c r="BN154">
        <f t="shared" ref="BN154:BN161" si="310">BM154-AB154</f>
        <v>21042745.799560297</v>
      </c>
      <c r="BP154">
        <f>IF($BJ154&lt;=30,IF($B154=2015,VLOOKUP($BJ154,'Treasury Yields'!$C$40:$N$69,$E154,FALSE)/100,IF($B154=2016,VLOOKUP($BJ154,'Treasury Yields'!$C$75:$N$104,$E154,FALSE)/100,IF($B154=2017,VLOOKUP($BJ154,'Treasury Yields'!$C$110:$N$139,$E154,FALSE)/100,IF($B154=2018,VLOOKUP($BJ154,'Treasury Yields'!$C$145:$N$174,$E154,FALSE)/100,IF($B154=2019,VLOOKUP($BJ154,'Treasury Yields'!$C$180:$N$209,$E154,FALSE)/100,IF($B154=2020,VLOOKUP($BJ154,'Treasury Yields'!$C$215:$N$244,$E154,FALSE)/100,IF($B154=2021,VLOOKUP($BJ154,'Treasury Yields'!$C$250:$N$279,$E154,FALSE)/100,IF($B154=2022,VLOOKUP($BJ154,'Treasury Yields'!$C$285:$N$314,$E154,FALSE)/100)))))))),0)</f>
        <v>2.7045999999999997E-2</v>
      </c>
      <c r="BQ154">
        <f t="shared" ref="BQ154:BQ161" si="311">1+BH154*(AN154-BP154)+(AN154-BP154)^2</f>
        <v>1.5933459473353961</v>
      </c>
      <c r="BR154">
        <f t="shared" ref="BR154:BR161" si="312">BQ154*S154</f>
        <v>33003320.834859032</v>
      </c>
      <c r="BS154">
        <f t="shared" ref="BS154:BS161" si="313">BR154-AC154</f>
        <v>22313366.514859032</v>
      </c>
      <c r="BU154">
        <f t="shared" si="276"/>
        <v>15</v>
      </c>
      <c r="BV154">
        <f t="shared" ref="BV154:BV161" si="314">1+(BH154+BU154)*(AN154-BK154)+(AN154-BK154)^2*BI154</f>
        <v>2.5478891885264865</v>
      </c>
      <c r="BW154">
        <f t="shared" ref="BW154:BW161" si="315">BV154*J154</f>
        <v>812099.61073743878</v>
      </c>
      <c r="BX154" s="5">
        <f t="shared" ref="BX154:BX161" si="316">(BM154+BW154-O154)*BK154</f>
        <v>914659.25483763777</v>
      </c>
      <c r="BY154" s="5">
        <f t="shared" ref="BY154:BY161" si="317">BK154*(BN154+BW154-O154)</f>
        <v>598992.39183343376</v>
      </c>
      <c r="BZ154" s="5">
        <f t="shared" ref="BZ154:BZ161" si="318">SUM(J154:K154)</f>
        <v>1866397.69</v>
      </c>
      <c r="CA154" s="5">
        <f t="shared" ref="CA154:CA161" si="319">SUM(BW154+BY154)</f>
        <v>1411092.0025708727</v>
      </c>
      <c r="CC154" s="5">
        <f t="shared" ref="CC154:CC161" si="320">BR154</f>
        <v>33003320.834859032</v>
      </c>
      <c r="CD154" s="5" t="str">
        <f t="shared" ref="CD154:CD161" si="321">F154</f>
        <v>Illinois</v>
      </c>
      <c r="CE154" s="5">
        <f t="shared" si="274"/>
        <v>0.51609337976019654</v>
      </c>
      <c r="CF154" s="10">
        <f t="shared" ref="CF154:CF161" si="322">AC154/CC154</f>
        <v>0.32390541465478745</v>
      </c>
    </row>
    <row r="155" spans="1:84" x14ac:dyDescent="0.2">
      <c r="A155">
        <v>14501615810000</v>
      </c>
      <c r="B155">
        <v>2016</v>
      </c>
      <c r="C155">
        <v>489</v>
      </c>
      <c r="D155" t="s">
        <v>325</v>
      </c>
      <c r="E155">
        <v>6</v>
      </c>
      <c r="F155" t="s">
        <v>313</v>
      </c>
      <c r="G155" t="s">
        <v>326</v>
      </c>
      <c r="I155" t="b">
        <v>1</v>
      </c>
      <c r="J155">
        <v>325993</v>
      </c>
      <c r="K155">
        <v>1576877</v>
      </c>
      <c r="M155">
        <v>-106564</v>
      </c>
      <c r="N155">
        <v>0</v>
      </c>
      <c r="O155">
        <v>1384826</v>
      </c>
      <c r="Q155">
        <v>411480</v>
      </c>
      <c r="R155">
        <v>20713217</v>
      </c>
      <c r="S155">
        <v>21124697</v>
      </c>
      <c r="T155">
        <v>700070</v>
      </c>
      <c r="V155">
        <v>191882</v>
      </c>
      <c r="W155">
        <v>-27987</v>
      </c>
      <c r="Y155">
        <v>12867</v>
      </c>
      <c r="Z155">
        <v>1463</v>
      </c>
      <c r="AA155">
        <v>-598370</v>
      </c>
      <c r="AB155">
        <v>10689954</v>
      </c>
      <c r="AC155">
        <v>10113297</v>
      </c>
      <c r="AD155">
        <v>11011400</v>
      </c>
      <c r="AE155">
        <v>10023262.976</v>
      </c>
      <c r="AF155">
        <v>988137.02400000021</v>
      </c>
      <c r="AG155">
        <v>2281269</v>
      </c>
      <c r="AH155">
        <v>0.30687744408923279</v>
      </c>
      <c r="AI155" t="b">
        <v>1</v>
      </c>
      <c r="AK155">
        <v>7.7499999999999999E-2</v>
      </c>
      <c r="AL155">
        <v>7.7499999999999999E-2</v>
      </c>
      <c r="AM155">
        <v>7.7499999999999999E-2</v>
      </c>
      <c r="AN155">
        <v>7.7499999999999999E-2</v>
      </c>
      <c r="AO155">
        <v>0</v>
      </c>
      <c r="AP155">
        <v>0</v>
      </c>
      <c r="AS155">
        <v>13703876</v>
      </c>
      <c r="AT155">
        <v>8784802</v>
      </c>
      <c r="AU155" t="s">
        <v>328</v>
      </c>
      <c r="AV155" t="s">
        <v>329</v>
      </c>
      <c r="BB155">
        <f t="shared" si="300"/>
        <v>0.47874281936446239</v>
      </c>
      <c r="BD155">
        <f t="shared" si="301"/>
        <v>2692476</v>
      </c>
      <c r="BE155">
        <f t="shared" si="302"/>
        <v>-2226598</v>
      </c>
      <c r="BF155">
        <f t="shared" si="303"/>
        <v>12.745631333789071</v>
      </c>
      <c r="BG155">
        <f t="shared" si="304"/>
        <v>-10.540260056747798</v>
      </c>
      <c r="BH155">
        <f t="shared" si="305"/>
        <v>11.642945695268434</v>
      </c>
      <c r="BI155">
        <f t="shared" si="306"/>
        <v>110.26856385206376</v>
      </c>
      <c r="BJ155">
        <f t="shared" si="307"/>
        <v>12</v>
      </c>
      <c r="BK155">
        <f>IF($BJ155&lt;=30,IF($B155=2015,VLOOKUP($BJ155,'Treasury Yields'!$C$5:$N$34,$E155,FALSE)/100,IF($B155=2016,VLOOKUP($BJ155,'Treasury Yields'!$C$40:$N$69,$E155,FALSE)/100,IF($B155=2017,VLOOKUP($BJ155,'Treasury Yields'!$C$75:$N$104,$E155,FALSE)/100,IF($B155=2018,VLOOKUP($BJ155,'Treasury Yields'!$C$110:$N$139,$E155,FALSE)/100,IF($B155=2019,VLOOKUP($BJ155,'Treasury Yields'!$C$145:$N$174,$E155,FALSE)/100,IF($B155=2020,VLOOKUP($BJ155,'Treasury Yields'!$C$180:$N$209,$E155,FALSE)/100,IF($B155=2021,VLOOKUP($BJ155,'Treasury Yields'!$C$215:$N$244,$E155,FALSE)/100,IF($B155=2022,VLOOKUP($BJ155,'Treasury Yields'!$C$250:$N$279,$E155,FALSE)/100)))))))),0)</f>
        <v>2.7045999999999997E-2</v>
      </c>
      <c r="BL155">
        <f t="shared" si="308"/>
        <v>1.5899787882250735</v>
      </c>
      <c r="BM155">
        <f t="shared" si="309"/>
        <v>32933575.665902995</v>
      </c>
      <c r="BN155">
        <f t="shared" si="310"/>
        <v>22243621.665902995</v>
      </c>
      <c r="BP155">
        <f>IF($BJ155&lt;=30,IF($B155=2015,VLOOKUP($BJ155,'Treasury Yields'!$C$40:$N$69,$E155,FALSE)/100,IF($B155=2016,VLOOKUP($BJ155,'Treasury Yields'!$C$75:$N$104,$E155,FALSE)/100,IF($B155=2017,VLOOKUP($BJ155,'Treasury Yields'!$C$110:$N$139,$E155,FALSE)/100,IF($B155=2018,VLOOKUP($BJ155,'Treasury Yields'!$C$145:$N$174,$E155,FALSE)/100,IF($B155=2019,VLOOKUP($BJ155,'Treasury Yields'!$C$180:$N$209,$E155,FALSE)/100,IF($B155=2020,VLOOKUP($BJ155,'Treasury Yields'!$C$215:$N$244,$E155,FALSE)/100,IF($B155=2021,VLOOKUP($BJ155,'Treasury Yields'!$C$250:$N$279,$E155,FALSE)/100,IF($B155=2022,VLOOKUP($BJ155,'Treasury Yields'!$C$285:$N$314,$E155,FALSE)/100)))))))),0)</f>
        <v>1.7546000000000003E-2</v>
      </c>
      <c r="BQ155">
        <f t="shared" si="311"/>
        <v>1.7016356483301238</v>
      </c>
      <c r="BR155">
        <f t="shared" si="312"/>
        <v>35946537.475372419</v>
      </c>
      <c r="BS155">
        <f t="shared" si="313"/>
        <v>25833240.475372419</v>
      </c>
      <c r="BU155">
        <f t="shared" si="276"/>
        <v>15</v>
      </c>
      <c r="BV155">
        <f t="shared" si="314"/>
        <v>2.6249435126534233</v>
      </c>
      <c r="BW155">
        <f t="shared" si="315"/>
        <v>855713.21052042744</v>
      </c>
      <c r="BX155" s="5">
        <f t="shared" si="316"/>
        <v>876411.10295574763</v>
      </c>
      <c r="BY155" s="5">
        <f t="shared" si="317"/>
        <v>587290.60707174777</v>
      </c>
      <c r="BZ155" s="5">
        <f t="shared" si="318"/>
        <v>1902870</v>
      </c>
      <c r="CA155" s="5">
        <f t="shared" si="319"/>
        <v>1443003.8175921752</v>
      </c>
      <c r="CC155" s="5">
        <f t="shared" si="320"/>
        <v>35946537.475372419</v>
      </c>
      <c r="CD155" s="5" t="str">
        <f t="shared" si="321"/>
        <v>Illinois</v>
      </c>
      <c r="CE155" s="5">
        <f t="shared" si="274"/>
        <v>0.47874281936446239</v>
      </c>
      <c r="CF155" s="10">
        <f t="shared" si="322"/>
        <v>0.28134273035139451</v>
      </c>
    </row>
    <row r="156" spans="1:84" x14ac:dyDescent="0.2">
      <c r="A156">
        <v>14501615810000</v>
      </c>
      <c r="B156">
        <v>2017</v>
      </c>
      <c r="C156">
        <v>489</v>
      </c>
      <c r="D156" t="s">
        <v>325</v>
      </c>
      <c r="E156">
        <v>6</v>
      </c>
      <c r="F156" t="s">
        <v>313</v>
      </c>
      <c r="G156" t="s">
        <v>326</v>
      </c>
      <c r="I156" t="b">
        <v>1</v>
      </c>
      <c r="J156">
        <v>269101</v>
      </c>
      <c r="K156">
        <v>1603833</v>
      </c>
      <c r="M156">
        <v>48391</v>
      </c>
      <c r="N156">
        <v>1554507</v>
      </c>
      <c r="O156">
        <v>1424938</v>
      </c>
      <c r="Q156">
        <v>2050894</v>
      </c>
      <c r="R156">
        <v>21124697</v>
      </c>
      <c r="S156">
        <v>23175591</v>
      </c>
      <c r="T156">
        <v>746840</v>
      </c>
      <c r="V156">
        <v>187539</v>
      </c>
      <c r="W156">
        <v>1233004</v>
      </c>
      <c r="Y156">
        <v>13781</v>
      </c>
      <c r="Z156">
        <v>214</v>
      </c>
      <c r="AA156">
        <v>679877</v>
      </c>
      <c r="AB156">
        <v>10113297</v>
      </c>
      <c r="AC156">
        <v>10793174</v>
      </c>
      <c r="AD156">
        <v>12382417</v>
      </c>
      <c r="AE156">
        <v>11011400</v>
      </c>
      <c r="AF156">
        <v>1371017</v>
      </c>
      <c r="AG156">
        <v>2030175</v>
      </c>
      <c r="AH156">
        <v>0.36786976492174323</v>
      </c>
      <c r="AI156" t="b">
        <v>1</v>
      </c>
      <c r="AK156">
        <v>7.7499999999999999E-2</v>
      </c>
      <c r="AL156">
        <v>7.0699999999999999E-2</v>
      </c>
      <c r="AM156">
        <v>7.0699999999999999E-2</v>
      </c>
      <c r="AN156">
        <v>7.7499999999999999E-2</v>
      </c>
      <c r="AO156">
        <v>0</v>
      </c>
      <c r="AP156">
        <v>0</v>
      </c>
      <c r="AS156">
        <v>15199983</v>
      </c>
      <c r="AT156">
        <v>10033130</v>
      </c>
      <c r="AU156" t="s">
        <v>322</v>
      </c>
      <c r="AV156" t="s">
        <v>330</v>
      </c>
      <c r="BB156">
        <f t="shared" si="300"/>
        <v>0.46571299950883671</v>
      </c>
      <c r="BD156">
        <f t="shared" si="301"/>
        <v>2817566</v>
      </c>
      <c r="BE156">
        <f t="shared" si="302"/>
        <v>-2349287</v>
      </c>
      <c r="BF156">
        <f t="shared" si="303"/>
        <v>12.15747205756263</v>
      </c>
      <c r="BG156">
        <f t="shared" si="304"/>
        <v>-10.136902226139561</v>
      </c>
      <c r="BH156">
        <f t="shared" si="305"/>
        <v>11.147187141851097</v>
      </c>
      <c r="BI156">
        <f t="shared" si="306"/>
        <v>101.02849157115347</v>
      </c>
      <c r="BJ156">
        <f t="shared" si="307"/>
        <v>11</v>
      </c>
      <c r="BK156">
        <f>IF($BJ156&lt;=30,IF($B156=2015,VLOOKUP($BJ156,'Treasury Yields'!$C$5:$N$34,$E156,FALSE)/100,IF($B156=2016,VLOOKUP($BJ156,'Treasury Yields'!$C$40:$N$69,$E156,FALSE)/100,IF($B156=2017,VLOOKUP($BJ156,'Treasury Yields'!$C$75:$N$104,$E156,FALSE)/100,IF($B156=2018,VLOOKUP($BJ156,'Treasury Yields'!$C$110:$N$139,$E156,FALSE)/100,IF($B156=2019,VLOOKUP($BJ156,'Treasury Yields'!$C$145:$N$174,$E156,FALSE)/100,IF($B156=2020,VLOOKUP($BJ156,'Treasury Yields'!$C$180:$N$209,$E156,FALSE)/100,IF($B156=2021,VLOOKUP($BJ156,'Treasury Yields'!$C$215:$N$244,$E156,FALSE)/100,IF($B156=2022,VLOOKUP($BJ156,'Treasury Yields'!$C$250:$N$279,$E156,FALSE)/100)))))))),0)</f>
        <v>1.6948000000000001E-2</v>
      </c>
      <c r="BL156">
        <f t="shared" si="308"/>
        <v>1.60207288075278</v>
      </c>
      <c r="BM156">
        <f t="shared" si="309"/>
        <v>33843304.17781961</v>
      </c>
      <c r="BN156">
        <f t="shared" si="310"/>
        <v>23730007.17781961</v>
      </c>
      <c r="BP156">
        <f>IF($BJ156&lt;=30,IF($B156=2015,VLOOKUP($BJ156,'Treasury Yields'!$C$40:$N$69,$E156,FALSE)/100,IF($B156=2016,VLOOKUP($BJ156,'Treasury Yields'!$C$75:$N$104,$E156,FALSE)/100,IF($B156=2017,VLOOKUP($BJ156,'Treasury Yields'!$C$110:$N$139,$E156,FALSE)/100,IF($B156=2018,VLOOKUP($BJ156,'Treasury Yields'!$C$145:$N$174,$E156,FALSE)/100,IF($B156=2019,VLOOKUP($BJ156,'Treasury Yields'!$C$180:$N$209,$E156,FALSE)/100,IF($B156=2020,VLOOKUP($BJ156,'Treasury Yields'!$C$215:$N$244,$E156,FALSE)/100,IF($B156=2021,VLOOKUP($BJ156,'Treasury Yields'!$C$250:$N$279,$E156,FALSE)/100,IF($B156=2022,VLOOKUP($BJ156,'Treasury Yields'!$C$285:$N$314,$E156,FALSE)/100)))))))),0)</f>
        <v>2.5068799999999999E-2</v>
      </c>
      <c r="BQ156">
        <f t="shared" si="311"/>
        <v>1.587209429205263</v>
      </c>
      <c r="BR156">
        <f t="shared" si="312"/>
        <v>36784516.562604629</v>
      </c>
      <c r="BS156">
        <f t="shared" si="313"/>
        <v>25991342.562604629</v>
      </c>
      <c r="BU156">
        <f t="shared" si="276"/>
        <v>14</v>
      </c>
      <c r="BV156">
        <f t="shared" si="314"/>
        <v>2.8931379565366888</v>
      </c>
      <c r="BW156">
        <f t="shared" si="315"/>
        <v>778546.31724197953</v>
      </c>
      <c r="BX156" s="5">
        <f t="shared" si="316"/>
        <v>562621.27296630386</v>
      </c>
      <c r="BY156" s="5">
        <f t="shared" si="317"/>
        <v>391221.11541030381</v>
      </c>
      <c r="BZ156" s="5">
        <f t="shared" si="318"/>
        <v>1872934</v>
      </c>
      <c r="CA156" s="5">
        <f t="shared" si="319"/>
        <v>1169767.4326522835</v>
      </c>
      <c r="CC156" s="5">
        <f t="shared" si="320"/>
        <v>36784516.562604629</v>
      </c>
      <c r="CD156" s="5" t="str">
        <f t="shared" si="321"/>
        <v>Illinois</v>
      </c>
      <c r="CE156" s="5">
        <f t="shared" si="274"/>
        <v>0.46571299950883671</v>
      </c>
      <c r="CF156" s="10">
        <f t="shared" si="322"/>
        <v>0.29341622531944345</v>
      </c>
    </row>
    <row r="157" spans="1:84" x14ac:dyDescent="0.2">
      <c r="A157">
        <v>14501615810000</v>
      </c>
      <c r="B157">
        <v>2018</v>
      </c>
      <c r="C157">
        <v>489</v>
      </c>
      <c r="D157" t="s">
        <v>325</v>
      </c>
      <c r="E157">
        <v>6</v>
      </c>
      <c r="F157" t="s">
        <v>313</v>
      </c>
      <c r="G157" t="s">
        <v>326</v>
      </c>
      <c r="I157" t="b">
        <v>1</v>
      </c>
      <c r="J157">
        <v>303910</v>
      </c>
      <c r="K157">
        <v>1609053</v>
      </c>
      <c r="M157">
        <v>54944</v>
      </c>
      <c r="N157">
        <v>870266</v>
      </c>
      <c r="O157">
        <v>1466280</v>
      </c>
      <c r="Q157">
        <v>1371892</v>
      </c>
      <c r="R157">
        <v>23175591</v>
      </c>
      <c r="S157">
        <v>24547483</v>
      </c>
      <c r="T157">
        <v>784402</v>
      </c>
      <c r="V157">
        <v>183679</v>
      </c>
      <c r="W157">
        <v>896705</v>
      </c>
      <c r="Y157">
        <v>21521</v>
      </c>
      <c r="Z157">
        <v>1475</v>
      </c>
      <c r="AA157">
        <v>311592</v>
      </c>
      <c r="AB157">
        <v>10793174</v>
      </c>
      <c r="AC157">
        <v>11104766</v>
      </c>
      <c r="AD157">
        <v>13442717</v>
      </c>
      <c r="AE157">
        <v>12382417</v>
      </c>
      <c r="AF157">
        <v>1060300</v>
      </c>
      <c r="AG157">
        <v>2094830</v>
      </c>
      <c r="AH157">
        <v>0.3744466138063709</v>
      </c>
      <c r="AI157" t="b">
        <v>1</v>
      </c>
      <c r="AK157">
        <v>7.0699999999999999E-2</v>
      </c>
      <c r="AL157">
        <v>6.8099999999999994E-2</v>
      </c>
      <c r="AM157">
        <v>6.8099999999999994E-2</v>
      </c>
      <c r="AN157">
        <v>7.0699999999999999E-2</v>
      </c>
      <c r="AO157">
        <v>0</v>
      </c>
      <c r="AP157">
        <v>0</v>
      </c>
      <c r="AS157">
        <v>16585702</v>
      </c>
      <c r="AT157">
        <v>10849574</v>
      </c>
      <c r="AU157" t="s">
        <v>322</v>
      </c>
      <c r="AV157" t="s">
        <v>331</v>
      </c>
      <c r="BB157">
        <f t="shared" si="300"/>
        <v>0.45237900765630429</v>
      </c>
      <c r="BD157">
        <f t="shared" si="301"/>
        <v>3142985</v>
      </c>
      <c r="BE157">
        <f t="shared" si="302"/>
        <v>-2593143</v>
      </c>
      <c r="BF157">
        <f t="shared" si="303"/>
        <v>12.803695596815365</v>
      </c>
      <c r="BG157">
        <f t="shared" si="304"/>
        <v>-10.563783667759338</v>
      </c>
      <c r="BH157">
        <f t="shared" si="305"/>
        <v>11.683739632287352</v>
      </c>
      <c r="BI157">
        <f t="shared" si="306"/>
        <v>111.99559645280128</v>
      </c>
      <c r="BJ157">
        <f t="shared" si="307"/>
        <v>12</v>
      </c>
      <c r="BK157">
        <f>IF($BJ157&lt;=30,IF($B157=2015,VLOOKUP($BJ157,'Treasury Yields'!$C$5:$N$34,$E157,FALSE)/100,IF($B157=2016,VLOOKUP($BJ157,'Treasury Yields'!$C$40:$N$69,$E157,FALSE)/100,IF($B157=2017,VLOOKUP($BJ157,'Treasury Yields'!$C$75:$N$104,$E157,FALSE)/100,IF($B157=2018,VLOOKUP($BJ157,'Treasury Yields'!$C$110:$N$139,$E157,FALSE)/100,IF($B157=2019,VLOOKUP($BJ157,'Treasury Yields'!$C$145:$N$174,$E157,FALSE)/100,IF($B157=2020,VLOOKUP($BJ157,'Treasury Yields'!$C$180:$N$209,$E157,FALSE)/100,IF($B157=2021,VLOOKUP($BJ157,'Treasury Yields'!$C$215:$N$244,$E157,FALSE)/100,IF($B157=2022,VLOOKUP($BJ157,'Treasury Yields'!$C$250:$N$279,$E157,FALSE)/100)))))))),0)</f>
        <v>2.5467599999999993E-2</v>
      </c>
      <c r="BL157">
        <f t="shared" si="308"/>
        <v>1.4999233830292873</v>
      </c>
      <c r="BM157">
        <f t="shared" si="309"/>
        <v>34761610.856423102</v>
      </c>
      <c r="BN157">
        <f t="shared" si="310"/>
        <v>23968436.856423102</v>
      </c>
      <c r="BP157">
        <f>IF($BJ157&lt;=30,IF($B157=2015,VLOOKUP($BJ157,'Treasury Yields'!$C$40:$N$69,$E157,FALSE)/100,IF($B157=2016,VLOOKUP($BJ157,'Treasury Yields'!$C$75:$N$104,$E157,FALSE)/100,IF($B157=2017,VLOOKUP($BJ157,'Treasury Yields'!$C$110:$N$139,$E157,FALSE)/100,IF($B157=2018,VLOOKUP($BJ157,'Treasury Yields'!$C$145:$N$174,$E157,FALSE)/100,IF($B157=2019,VLOOKUP($BJ157,'Treasury Yields'!$C$180:$N$209,$E157,FALSE)/100,IF($B157=2020,VLOOKUP($BJ157,'Treasury Yields'!$C$215:$N$244,$E157,FALSE)/100,IF($B157=2021,VLOOKUP($BJ157,'Treasury Yields'!$C$250:$N$279,$E157,FALSE)/100,IF($B157=2022,VLOOKUP($BJ157,'Treasury Yields'!$C$285:$N$314,$E157,FALSE)/100)))))))),0)</f>
        <v>2.8906472727272727E-2</v>
      </c>
      <c r="BQ157">
        <f t="shared" si="311"/>
        <v>1.4900513898913421</v>
      </c>
      <c r="BR157">
        <f t="shared" si="312"/>
        <v>36577011.162484095</v>
      </c>
      <c r="BS157">
        <f t="shared" si="313"/>
        <v>25472245.162484095</v>
      </c>
      <c r="BU157">
        <f t="shared" si="276"/>
        <v>15</v>
      </c>
      <c r="BV157">
        <f t="shared" si="314"/>
        <v>2.43610921611109</v>
      </c>
      <c r="BW157">
        <f t="shared" si="315"/>
        <v>740357.9518683214</v>
      </c>
      <c r="BX157" s="5">
        <f t="shared" si="316"/>
        <v>866807.30829404236</v>
      </c>
      <c r="BY157" s="5">
        <f t="shared" si="317"/>
        <v>591931.07013164251</v>
      </c>
      <c r="BZ157" s="5">
        <f t="shared" si="318"/>
        <v>1912963</v>
      </c>
      <c r="CA157" s="5">
        <f t="shared" si="319"/>
        <v>1332289.021999964</v>
      </c>
      <c r="CC157" s="5">
        <f t="shared" si="320"/>
        <v>36577011.162484095</v>
      </c>
      <c r="CD157" s="5" t="str">
        <f t="shared" si="321"/>
        <v>Illinois</v>
      </c>
      <c r="CE157" s="5">
        <f t="shared" si="274"/>
        <v>0.45237900765630429</v>
      </c>
      <c r="CF157" s="10">
        <f t="shared" si="322"/>
        <v>0.30359960114482548</v>
      </c>
    </row>
    <row r="158" spans="1:84" x14ac:dyDescent="0.2">
      <c r="A158">
        <v>14501615810000</v>
      </c>
      <c r="B158">
        <v>2019</v>
      </c>
      <c r="C158">
        <v>489</v>
      </c>
      <c r="D158" t="s">
        <v>325</v>
      </c>
      <c r="E158">
        <v>6</v>
      </c>
      <c r="F158" t="s">
        <v>313</v>
      </c>
      <c r="G158" t="s">
        <v>326</v>
      </c>
      <c r="I158" t="b">
        <v>1</v>
      </c>
      <c r="J158">
        <v>310239</v>
      </c>
      <c r="K158">
        <v>1631986</v>
      </c>
      <c r="M158">
        <v>-88601</v>
      </c>
      <c r="N158">
        <v>260689</v>
      </c>
      <c r="O158">
        <v>1495616</v>
      </c>
      <c r="Q158">
        <v>618696</v>
      </c>
      <c r="R158">
        <v>24547483</v>
      </c>
      <c r="S158">
        <v>25166179</v>
      </c>
      <c r="T158">
        <v>808570</v>
      </c>
      <c r="V158">
        <v>190565</v>
      </c>
      <c r="W158">
        <v>513576</v>
      </c>
      <c r="Y158">
        <v>25622</v>
      </c>
      <c r="Z158">
        <v>1688</v>
      </c>
      <c r="AA158">
        <v>-65928</v>
      </c>
      <c r="AB158">
        <v>11104766</v>
      </c>
      <c r="AC158">
        <v>11038837</v>
      </c>
      <c r="AD158">
        <v>14127342</v>
      </c>
      <c r="AE158">
        <v>13442717</v>
      </c>
      <c r="AF158">
        <v>684625</v>
      </c>
      <c r="AG158">
        <v>2179055</v>
      </c>
      <c r="AH158">
        <v>0.37106452108826993</v>
      </c>
      <c r="AI158" t="b">
        <v>1</v>
      </c>
      <c r="AK158">
        <v>6.8099999999999994E-2</v>
      </c>
      <c r="AL158">
        <v>6.7199999999999996E-2</v>
      </c>
      <c r="AM158">
        <v>6.7199999999999996E-2</v>
      </c>
      <c r="AN158">
        <v>6.8099999999999994E-2</v>
      </c>
      <c r="AO158">
        <v>0</v>
      </c>
      <c r="AP158">
        <v>0</v>
      </c>
      <c r="AS158">
        <v>17352786</v>
      </c>
      <c r="AT158">
        <v>11465803</v>
      </c>
      <c r="AU158" t="s">
        <v>332</v>
      </c>
      <c r="AV158" t="s">
        <v>333</v>
      </c>
      <c r="BB158">
        <f t="shared" si="300"/>
        <v>0.43863778446461815</v>
      </c>
      <c r="BD158">
        <f t="shared" si="301"/>
        <v>3225444</v>
      </c>
      <c r="BE158">
        <f t="shared" si="302"/>
        <v>-2661539</v>
      </c>
      <c r="BF158">
        <f t="shared" si="303"/>
        <v>12.816582127942427</v>
      </c>
      <c r="BG158">
        <f t="shared" si="304"/>
        <v>-10.575856589115098</v>
      </c>
      <c r="BH158">
        <f t="shared" si="305"/>
        <v>11.696219358528761</v>
      </c>
      <c r="BI158">
        <f t="shared" si="306"/>
        <v>112.03627694136642</v>
      </c>
      <c r="BJ158">
        <f t="shared" si="307"/>
        <v>12</v>
      </c>
      <c r="BK158">
        <f>IF($BJ158&lt;=30,IF($B158=2015,VLOOKUP($BJ158,'Treasury Yields'!$C$5:$N$34,$E158,FALSE)/100,IF($B158=2016,VLOOKUP($BJ158,'Treasury Yields'!$C$40:$N$69,$E158,FALSE)/100,IF($B158=2017,VLOOKUP($BJ158,'Treasury Yields'!$C$75:$N$104,$E158,FALSE)/100,IF($B158=2018,VLOOKUP($BJ158,'Treasury Yields'!$C$110:$N$139,$E158,FALSE)/100,IF($B158=2019,VLOOKUP($BJ158,'Treasury Yields'!$C$145:$N$174,$E158,FALSE)/100,IF($B158=2020,VLOOKUP($BJ158,'Treasury Yields'!$C$180:$N$209,$E158,FALSE)/100,IF($B158=2021,VLOOKUP($BJ158,'Treasury Yields'!$C$215:$N$244,$E158,FALSE)/100,IF($B158=2022,VLOOKUP($BJ158,'Treasury Yields'!$C$250:$N$279,$E158,FALSE)/100)))))))),0)</f>
        <v>2.8906472727272727E-2</v>
      </c>
      <c r="BL158">
        <f t="shared" si="308"/>
        <v>1.4493558892246088</v>
      </c>
      <c r="BM158">
        <f t="shared" si="309"/>
        <v>35578039.051690966</v>
      </c>
      <c r="BN158">
        <f t="shared" si="310"/>
        <v>24473273.051690966</v>
      </c>
      <c r="BP158">
        <f>IF($BJ158&lt;=30,IF($B158=2015,VLOOKUP($BJ158,'Treasury Yields'!$C$40:$N$69,$E158,FALSE)/100,IF($B158=2016,VLOOKUP($BJ158,'Treasury Yields'!$C$75:$N$104,$E158,FALSE)/100,IF($B158=2017,VLOOKUP($BJ158,'Treasury Yields'!$C$110:$N$139,$E158,FALSE)/100,IF($B158=2018,VLOOKUP($BJ158,'Treasury Yields'!$C$145:$N$174,$E158,FALSE)/100,IF($B158=2019,VLOOKUP($BJ158,'Treasury Yields'!$C$180:$N$209,$E158,FALSE)/100,IF($B158=2020,VLOOKUP($BJ158,'Treasury Yields'!$C$215:$N$244,$E158,FALSE)/100,IF($B158=2021,VLOOKUP($BJ158,'Treasury Yields'!$C$250:$N$279,$E158,FALSE)/100,IF($B158=2022,VLOOKUP($BJ158,'Treasury Yields'!$C$285:$N$314,$E158,FALSE)/100)))))))),0)</f>
        <v>2.2184000000000002E-2</v>
      </c>
      <c r="BQ158">
        <f t="shared" si="311"/>
        <v>1.5391518871222065</v>
      </c>
      <c r="BR158">
        <f t="shared" si="312"/>
        <v>38734571.899505243</v>
      </c>
      <c r="BS158">
        <f t="shared" si="313"/>
        <v>27695734.899505243</v>
      </c>
      <c r="BU158">
        <f t="shared" si="276"/>
        <v>15</v>
      </c>
      <c r="BV158">
        <f t="shared" si="314"/>
        <v>2.2184215766674829</v>
      </c>
      <c r="BW158">
        <f t="shared" si="315"/>
        <v>688240.89152374316</v>
      </c>
      <c r="BX158" s="5">
        <f t="shared" si="316"/>
        <v>1005097.2489837011</v>
      </c>
      <c r="BY158" s="5">
        <f t="shared" si="317"/>
        <v>684097.63346195582</v>
      </c>
      <c r="BZ158" s="5">
        <f t="shared" si="318"/>
        <v>1942225</v>
      </c>
      <c r="CA158" s="5">
        <f t="shared" si="319"/>
        <v>1372338.524985699</v>
      </c>
      <c r="CC158" s="5">
        <f t="shared" si="320"/>
        <v>38734571.899505243</v>
      </c>
      <c r="CD158" s="5" t="str">
        <f t="shared" si="321"/>
        <v>Illinois</v>
      </c>
      <c r="CE158" s="5">
        <f t="shared" si="274"/>
        <v>0.43863778446461815</v>
      </c>
      <c r="CF158" s="10">
        <f t="shared" si="322"/>
        <v>0.28498667879019463</v>
      </c>
    </row>
    <row r="159" spans="1:84" x14ac:dyDescent="0.2">
      <c r="A159">
        <v>14501615810000</v>
      </c>
      <c r="B159">
        <v>2020</v>
      </c>
      <c r="C159">
        <v>489</v>
      </c>
      <c r="D159" t="s">
        <v>325</v>
      </c>
      <c r="E159">
        <v>6</v>
      </c>
      <c r="F159" t="s">
        <v>313</v>
      </c>
      <c r="G159" t="s">
        <v>326</v>
      </c>
      <c r="I159" t="b">
        <v>1</v>
      </c>
      <c r="J159">
        <v>326866</v>
      </c>
      <c r="K159">
        <v>1651635</v>
      </c>
      <c r="M159">
        <v>-182660</v>
      </c>
      <c r="N159">
        <v>938721</v>
      </c>
      <c r="O159">
        <v>1522876</v>
      </c>
      <c r="Q159">
        <v>1211686</v>
      </c>
      <c r="R159">
        <v>25166179</v>
      </c>
      <c r="S159">
        <v>26377865</v>
      </c>
      <c r="T159">
        <v>854500</v>
      </c>
      <c r="V159">
        <v>196097</v>
      </c>
      <c r="W159">
        <v>438812</v>
      </c>
      <c r="Y159">
        <v>17847</v>
      </c>
      <c r="Z159">
        <v>1500</v>
      </c>
      <c r="AA159">
        <v>-101775</v>
      </c>
      <c r="AB159">
        <v>11038837</v>
      </c>
      <c r="AC159">
        <v>10937062</v>
      </c>
      <c r="AD159">
        <v>15440803</v>
      </c>
      <c r="AE159">
        <v>14127342</v>
      </c>
      <c r="AF159">
        <v>1313461</v>
      </c>
      <c r="AG159">
        <v>2249491</v>
      </c>
      <c r="AH159">
        <v>0.37986371139071018</v>
      </c>
      <c r="AI159" t="b">
        <v>1</v>
      </c>
      <c r="AK159">
        <v>6.7199999999999996E-2</v>
      </c>
      <c r="AL159">
        <v>6.3700000000000007E-2</v>
      </c>
      <c r="AM159">
        <v>6.3700000000000007E-2</v>
      </c>
      <c r="AN159">
        <v>6.7199999999999996E-2</v>
      </c>
      <c r="AO159">
        <v>0</v>
      </c>
      <c r="AP159">
        <v>0</v>
      </c>
      <c r="AS159">
        <v>18893967</v>
      </c>
      <c r="AT159">
        <v>12598500</v>
      </c>
      <c r="AU159" t="s">
        <v>304</v>
      </c>
      <c r="AV159" t="s">
        <v>334</v>
      </c>
      <c r="BB159">
        <f t="shared" si="300"/>
        <v>0.41463029703124193</v>
      </c>
      <c r="BD159">
        <f t="shared" si="301"/>
        <v>3453164</v>
      </c>
      <c r="BE159">
        <f t="shared" si="302"/>
        <v>-2842303</v>
      </c>
      <c r="BF159">
        <f t="shared" si="303"/>
        <v>13.091142895757486</v>
      </c>
      <c r="BG159">
        <f t="shared" si="304"/>
        <v>-10.77533378838659</v>
      </c>
      <c r="BH159">
        <f t="shared" si="305"/>
        <v>11.933238342072036</v>
      </c>
      <c r="BI159">
        <f t="shared" si="306"/>
        <v>115.7904553685448</v>
      </c>
      <c r="BJ159">
        <f t="shared" si="307"/>
        <v>12</v>
      </c>
      <c r="BK159">
        <f>IF($BJ159&lt;=30,IF($B159=2015,VLOOKUP($BJ159,'Treasury Yields'!$C$5:$N$34,$E159,FALSE)/100,IF($B159=2016,VLOOKUP($BJ159,'Treasury Yields'!$C$40:$N$69,$E159,FALSE)/100,IF($B159=2017,VLOOKUP($BJ159,'Treasury Yields'!$C$75:$N$104,$E159,FALSE)/100,IF($B159=2018,VLOOKUP($BJ159,'Treasury Yields'!$C$110:$N$139,$E159,FALSE)/100,IF($B159=2019,VLOOKUP($BJ159,'Treasury Yields'!$C$145:$N$174,$E159,FALSE)/100,IF($B159=2020,VLOOKUP($BJ159,'Treasury Yields'!$C$180:$N$209,$E159,FALSE)/100,IF($B159=2021,VLOOKUP($BJ159,'Treasury Yields'!$C$215:$N$244,$E159,FALSE)/100,IF($B159=2022,VLOOKUP($BJ159,'Treasury Yields'!$C$250:$N$279,$E159,FALSE)/100)))))))),0)</f>
        <v>2.2184000000000002E-2</v>
      </c>
      <c r="BL159">
        <f t="shared" si="308"/>
        <v>1.4971439012654626</v>
      </c>
      <c r="BM159">
        <f t="shared" si="309"/>
        <v>37677391.408004962</v>
      </c>
      <c r="BN159">
        <f t="shared" si="310"/>
        <v>26638554.408004962</v>
      </c>
      <c r="BP159">
        <f>IF($BJ159&lt;=30,IF($B159=2015,VLOOKUP($BJ159,'Treasury Yields'!$C$40:$N$69,$E159,FALSE)/100,IF($B159=2016,VLOOKUP($BJ159,'Treasury Yields'!$C$75:$N$104,$E159,FALSE)/100,IF($B159=2017,VLOOKUP($BJ159,'Treasury Yields'!$C$110:$N$139,$E159,FALSE)/100,IF($B159=2018,VLOOKUP($BJ159,'Treasury Yields'!$C$145:$N$174,$E159,FALSE)/100,IF($B159=2019,VLOOKUP($BJ159,'Treasury Yields'!$C$180:$N$209,$E159,FALSE)/100,IF($B159=2020,VLOOKUP($BJ159,'Treasury Yields'!$C$215:$N$244,$E159,FALSE)/100,IF($B159=2021,VLOOKUP($BJ159,'Treasury Yields'!$C$250:$N$279,$E159,FALSE)/100,IF($B159=2022,VLOOKUP($BJ159,'Treasury Yields'!$C$285:$N$314,$E159,FALSE)/100)))))))),0)</f>
        <v>1.3689454545454545E-2</v>
      </c>
      <c r="BQ159">
        <f t="shared" si="311"/>
        <v>1.6414174711982135</v>
      </c>
      <c r="BR159">
        <f t="shared" si="312"/>
        <v>43297088.46390786</v>
      </c>
      <c r="BS159">
        <f t="shared" si="313"/>
        <v>32360026.46390786</v>
      </c>
      <c r="BU159">
        <f t="shared" si="276"/>
        <v>15</v>
      </c>
      <c r="BV159">
        <f t="shared" si="314"/>
        <v>2.4470690972261049</v>
      </c>
      <c r="BW159">
        <f t="shared" si="315"/>
        <v>799863.68753390794</v>
      </c>
      <c r="BX159" s="5">
        <f t="shared" si="316"/>
        <v>819795.9458554344</v>
      </c>
      <c r="BY159" s="5">
        <f t="shared" si="317"/>
        <v>574910.38584743429</v>
      </c>
      <c r="BZ159" s="5">
        <f t="shared" si="318"/>
        <v>1978501</v>
      </c>
      <c r="CA159" s="5">
        <f t="shared" si="319"/>
        <v>1374774.0733813422</v>
      </c>
      <c r="CC159" s="5">
        <f t="shared" si="320"/>
        <v>43297088.46390786</v>
      </c>
      <c r="CD159" s="5" t="str">
        <f t="shared" si="321"/>
        <v>Illinois</v>
      </c>
      <c r="CE159" s="5">
        <f t="shared" si="274"/>
        <v>0.41463029703124193</v>
      </c>
      <c r="CF159" s="10">
        <f t="shared" si="322"/>
        <v>0.25260502237043159</v>
      </c>
    </row>
    <row r="160" spans="1:84" x14ac:dyDescent="0.2">
      <c r="A160">
        <v>14501615810000</v>
      </c>
      <c r="B160">
        <v>2021</v>
      </c>
      <c r="C160">
        <v>489</v>
      </c>
      <c r="D160" t="s">
        <v>325</v>
      </c>
      <c r="E160">
        <v>6</v>
      </c>
      <c r="F160" t="s">
        <v>313</v>
      </c>
      <c r="G160" t="s">
        <v>326</v>
      </c>
      <c r="I160" t="b">
        <v>1</v>
      </c>
      <c r="J160">
        <v>354215</v>
      </c>
      <c r="K160">
        <v>1643266</v>
      </c>
      <c r="M160">
        <v>-93508</v>
      </c>
      <c r="N160">
        <v>1352864</v>
      </c>
      <c r="O160">
        <v>1524251</v>
      </c>
      <c r="Q160">
        <v>1722586</v>
      </c>
      <c r="R160">
        <v>26377865</v>
      </c>
      <c r="S160">
        <v>28100451</v>
      </c>
      <c r="T160">
        <v>885894</v>
      </c>
      <c r="V160">
        <v>215093</v>
      </c>
      <c r="W160">
        <v>2935791</v>
      </c>
      <c r="Y160">
        <v>17022</v>
      </c>
      <c r="Z160">
        <v>1826</v>
      </c>
      <c r="AA160">
        <v>2435980</v>
      </c>
      <c r="AB160">
        <v>10937062</v>
      </c>
      <c r="AC160">
        <v>13373042</v>
      </c>
      <c r="AD160">
        <v>14727410</v>
      </c>
      <c r="AE160">
        <v>15440803</v>
      </c>
      <c r="AF160">
        <v>-713393</v>
      </c>
      <c r="AG160">
        <v>2372167</v>
      </c>
      <c r="AI160" t="b">
        <v>1</v>
      </c>
      <c r="AK160">
        <v>6.3700000000000007E-2</v>
      </c>
      <c r="AL160">
        <v>5.96E-2</v>
      </c>
      <c r="AM160">
        <v>5.96E-2</v>
      </c>
      <c r="AN160">
        <v>6.3700000000000007E-2</v>
      </c>
      <c r="AS160">
        <v>18530105</v>
      </c>
      <c r="AT160">
        <v>11607254</v>
      </c>
      <c r="BB160">
        <f t="shared" si="300"/>
        <v>0.47590132983986627</v>
      </c>
      <c r="BD160">
        <f t="shared" si="301"/>
        <v>3802695</v>
      </c>
      <c r="BE160">
        <f t="shared" si="302"/>
        <v>-3120156</v>
      </c>
      <c r="BF160">
        <f t="shared" si="303"/>
        <v>13.532505225627872</v>
      </c>
      <c r="BG160">
        <f t="shared" si="304"/>
        <v>-11.103579796637428</v>
      </c>
      <c r="BH160">
        <f t="shared" si="305"/>
        <v>12.318042511132649</v>
      </c>
      <c r="BI160">
        <f t="shared" si="306"/>
        <v>121.44627144952227</v>
      </c>
      <c r="BJ160">
        <f t="shared" si="307"/>
        <v>12</v>
      </c>
      <c r="BK160">
        <f>IF($BJ160&lt;=30,IF($B160=2015,VLOOKUP($BJ160,'Treasury Yields'!$C$5:$N$34,$E160,FALSE)/100,IF($B160=2016,VLOOKUP($BJ160,'Treasury Yields'!$C$40:$N$69,$E160,FALSE)/100,IF($B160=2017,VLOOKUP($BJ160,'Treasury Yields'!$C$75:$N$104,$E160,FALSE)/100,IF($B160=2018,VLOOKUP($BJ160,'Treasury Yields'!$C$110:$N$139,$E160,FALSE)/100,IF($B160=2019,VLOOKUP($BJ160,'Treasury Yields'!$C$145:$N$174,$E160,FALSE)/100,IF($B160=2020,VLOOKUP($BJ160,'Treasury Yields'!$C$180:$N$209,$E160,FALSE)/100,IF($B160=2021,VLOOKUP($BJ160,'Treasury Yields'!$C$215:$N$244,$E160,FALSE)/100,IF($B160=2022,VLOOKUP($BJ160,'Treasury Yields'!$C$250:$N$279,$E160,FALSE)/100)))))))),0)</f>
        <v>1.3689454545454545E-2</v>
      </c>
      <c r="BL160">
        <f t="shared" si="308"/>
        <v>1.5676358288023127</v>
      </c>
      <c r="BM160">
        <f t="shared" si="309"/>
        <v>41350886.261310518</v>
      </c>
      <c r="BN160">
        <f t="shared" si="310"/>
        <v>30413824.261310518</v>
      </c>
      <c r="BP160">
        <f>IF($BJ160&lt;=30,IF($B160=2015,VLOOKUP($BJ160,'Treasury Yields'!$C$40:$N$69,$E160,FALSE)/100,IF($B160=2016,VLOOKUP($BJ160,'Treasury Yields'!$C$75:$N$104,$E160,FALSE)/100,IF($B160=2017,VLOOKUP($BJ160,'Treasury Yields'!$C$110:$N$139,$E160,FALSE)/100,IF($B160=2018,VLOOKUP($BJ160,'Treasury Yields'!$C$145:$N$174,$E160,FALSE)/100,IF($B160=2019,VLOOKUP($BJ160,'Treasury Yields'!$C$180:$N$209,$E160,FALSE)/100,IF($B160=2020,VLOOKUP($BJ160,'Treasury Yields'!$C$215:$N$244,$E160,FALSE)/100,IF($B160=2021,VLOOKUP($BJ160,'Treasury Yields'!$C$250:$N$279,$E160,FALSE)/100,IF($B160=2022,VLOOKUP($BJ160,'Treasury Yields'!$C$285:$N$314,$E160,FALSE)/100)))))))),0)</f>
        <v>2.1085818181818185E-2</v>
      </c>
      <c r="BQ160">
        <f t="shared" si="311"/>
        <v>1.5267392717055328</v>
      </c>
      <c r="BR160">
        <f t="shared" si="312"/>
        <v>42902062.094337009</v>
      </c>
      <c r="BS160">
        <f t="shared" si="313"/>
        <v>29529020.094337009</v>
      </c>
      <c r="BU160">
        <f t="shared" si="276"/>
        <v>15</v>
      </c>
      <c r="BV160">
        <f t="shared" si="314"/>
        <v>2.6699339694751671</v>
      </c>
      <c r="BW160">
        <f t="shared" si="315"/>
        <v>945730.66099764628</v>
      </c>
      <c r="BX160" s="5">
        <f t="shared" si="316"/>
        <v>558151.4500040774</v>
      </c>
      <c r="BY160" s="5">
        <f t="shared" si="317"/>
        <v>408429.03689425933</v>
      </c>
      <c r="BZ160" s="5">
        <f t="shared" si="318"/>
        <v>1997481</v>
      </c>
      <c r="CA160" s="5">
        <f t="shared" si="319"/>
        <v>1354159.6978919057</v>
      </c>
      <c r="CC160" s="5">
        <f t="shared" si="320"/>
        <v>42902062.094337009</v>
      </c>
      <c r="CD160" s="5" t="str">
        <f t="shared" si="321"/>
        <v>Illinois</v>
      </c>
      <c r="CE160" s="5">
        <f t="shared" si="274"/>
        <v>0.47590132983986627</v>
      </c>
      <c r="CF160" s="10">
        <f t="shared" si="322"/>
        <v>0.3117109375906949</v>
      </c>
    </row>
    <row r="161" spans="1:84" x14ac:dyDescent="0.2">
      <c r="A161">
        <v>14501615810000</v>
      </c>
      <c r="B161">
        <v>2022</v>
      </c>
      <c r="C161">
        <v>489</v>
      </c>
      <c r="D161" t="s">
        <v>325</v>
      </c>
      <c r="E161">
        <v>6</v>
      </c>
      <c r="F161" t="s">
        <v>313</v>
      </c>
      <c r="G161" t="s">
        <v>326</v>
      </c>
      <c r="I161" t="b">
        <v>1</v>
      </c>
      <c r="J161">
        <v>416033</v>
      </c>
      <c r="K161">
        <v>1640898</v>
      </c>
      <c r="M161">
        <v>497979</v>
      </c>
      <c r="N161">
        <v>-1308673</v>
      </c>
      <c r="O161">
        <v>1569947</v>
      </c>
      <c r="Q161">
        <v>-323710</v>
      </c>
      <c r="R161">
        <v>28100451</v>
      </c>
      <c r="S161">
        <v>27776742</v>
      </c>
      <c r="T161">
        <v>944677</v>
      </c>
      <c r="V161">
        <v>221641</v>
      </c>
      <c r="W161">
        <v>-1125306</v>
      </c>
      <c r="Y161">
        <v>21568</v>
      </c>
      <c r="Z161">
        <v>4420</v>
      </c>
      <c r="AA161">
        <v>-1608100</v>
      </c>
      <c r="AB161">
        <v>13373042</v>
      </c>
      <c r="AC161">
        <v>11764942</v>
      </c>
      <c r="AD161">
        <v>16011800</v>
      </c>
      <c r="AE161">
        <v>14727410</v>
      </c>
      <c r="AF161">
        <v>1284390</v>
      </c>
      <c r="AG161">
        <v>2522166</v>
      </c>
      <c r="AI161" t="b">
        <v>1</v>
      </c>
      <c r="AK161">
        <v>5.96E-2</v>
      </c>
      <c r="AL161">
        <v>6.3399999999999998E-2</v>
      </c>
      <c r="AM161">
        <v>6.3399999999999998E-2</v>
      </c>
      <c r="AN161">
        <v>5.96E-2</v>
      </c>
      <c r="AS161">
        <v>19680162</v>
      </c>
      <c r="AT161">
        <v>12995200</v>
      </c>
      <c r="AU161" t="s">
        <v>304</v>
      </c>
      <c r="AV161" t="s">
        <v>335</v>
      </c>
      <c r="BB161">
        <f t="shared" si="300"/>
        <v>0.42355370547056959</v>
      </c>
      <c r="BD161">
        <f t="shared" si="301"/>
        <v>3668362</v>
      </c>
      <c r="BE161">
        <f t="shared" si="302"/>
        <v>-3016600</v>
      </c>
      <c r="BF161">
        <f t="shared" si="303"/>
        <v>13.206595647538505</v>
      </c>
      <c r="BG161">
        <f t="shared" si="304"/>
        <v>-10.860164953830798</v>
      </c>
      <c r="BH161">
        <f t="shared" si="305"/>
        <v>12.033380300684652</v>
      </c>
      <c r="BI161">
        <f t="shared" si="306"/>
        <v>117.32153468538534</v>
      </c>
      <c r="BJ161">
        <f t="shared" si="307"/>
        <v>12</v>
      </c>
      <c r="BK161">
        <f>IF($BJ161&lt;=30,IF($B161=2015,VLOOKUP($BJ161,'Treasury Yields'!$C$5:$N$34,$E161,FALSE)/100,IF($B161=2016,VLOOKUP($BJ161,'Treasury Yields'!$C$40:$N$69,$E161,FALSE)/100,IF($B161=2017,VLOOKUP($BJ161,'Treasury Yields'!$C$75:$N$104,$E161,FALSE)/100,IF($B161=2018,VLOOKUP($BJ161,'Treasury Yields'!$C$110:$N$139,$E161,FALSE)/100,IF($B161=2019,VLOOKUP($BJ161,'Treasury Yields'!$C$145:$N$174,$E161,FALSE)/100,IF($B161=2020,VLOOKUP($BJ161,'Treasury Yields'!$C$180:$N$209,$E161,FALSE)/100,IF($B161=2021,VLOOKUP($BJ161,'Treasury Yields'!$C$215:$N$244,$E161,FALSE)/100,IF($B161=2022,VLOOKUP($BJ161,'Treasury Yields'!$C$250:$N$279,$E161,FALSE)/100)))))))),0)</f>
        <v>2.1085818181818185E-2</v>
      </c>
      <c r="BL161">
        <f t="shared" si="308"/>
        <v>1.5109731319134398</v>
      </c>
      <c r="BM161">
        <f t="shared" si="309"/>
        <v>42459026.455650151</v>
      </c>
      <c r="BN161">
        <f t="shared" si="310"/>
        <v>29085984.455650151</v>
      </c>
      <c r="BP161">
        <f>IF($BJ161&lt;=30,IF($B161=2015,VLOOKUP($BJ161,'Treasury Yields'!$C$40:$N$69,$E161,FALSE)/100,IF($B161=2016,VLOOKUP($BJ161,'Treasury Yields'!$C$75:$N$104,$E161,FALSE)/100,IF($B161=2017,VLOOKUP($BJ161,'Treasury Yields'!$C$110:$N$139,$E161,FALSE)/100,IF($B161=2018,VLOOKUP($BJ161,'Treasury Yields'!$C$145:$N$174,$E161,FALSE)/100,IF($B161=2019,VLOOKUP($BJ161,'Treasury Yields'!$C$180:$N$209,$E161,FALSE)/100,IF($B161=2020,VLOOKUP($BJ161,'Treasury Yields'!$C$215:$N$244,$E161,FALSE)/100,IF($B161=2021,VLOOKUP($BJ161,'Treasury Yields'!$C$250:$N$279,$E161,FALSE)/100,IF($B161=2022,VLOOKUP($BJ161,'Treasury Yields'!$C$285:$N$314,$E161,FALSE)/100)))))))),0)</f>
        <v>3.2402272727272724E-2</v>
      </c>
      <c r="BQ161">
        <f t="shared" si="311"/>
        <v>1.3280203119558318</v>
      </c>
      <c r="BR161">
        <f t="shared" si="312"/>
        <v>36888077.575956658</v>
      </c>
      <c r="BS161">
        <f t="shared" si="313"/>
        <v>25123135.575956658</v>
      </c>
      <c r="BU161">
        <f t="shared" si="276"/>
        <v>15</v>
      </c>
      <c r="BV161">
        <f t="shared" si="314"/>
        <v>2.2151965075600843</v>
      </c>
      <c r="BW161">
        <f t="shared" si="315"/>
        <v>921594.84862974461</v>
      </c>
      <c r="BX161" s="5">
        <f t="shared" si="316"/>
        <v>881612.27643926337</v>
      </c>
      <c r="BY161" s="5">
        <f t="shared" si="317"/>
        <v>599630.74428944511</v>
      </c>
      <c r="BZ161" s="5">
        <f t="shared" si="318"/>
        <v>2056931</v>
      </c>
      <c r="CA161" s="5">
        <f t="shared" si="319"/>
        <v>1521225.5929191897</v>
      </c>
      <c r="CC161" s="5">
        <f t="shared" si="320"/>
        <v>36888077.575956658</v>
      </c>
      <c r="CD161" s="5" t="str">
        <f t="shared" si="321"/>
        <v>Illinois</v>
      </c>
      <c r="CE161" s="5">
        <f t="shared" si="274"/>
        <v>0.42355370547056959</v>
      </c>
      <c r="CF161" s="10">
        <f t="shared" si="322"/>
        <v>0.31893616510035455</v>
      </c>
    </row>
    <row r="162" spans="1:84" hidden="1" x14ac:dyDescent="0.2">
      <c r="A162">
        <v>15000000090600</v>
      </c>
      <c r="B162">
        <v>2015</v>
      </c>
      <c r="C162">
        <v>571</v>
      </c>
      <c r="D162" t="s">
        <v>336</v>
      </c>
      <c r="E162">
        <v>6</v>
      </c>
      <c r="F162" t="s">
        <v>337</v>
      </c>
      <c r="G162" t="s">
        <v>338</v>
      </c>
      <c r="H162" t="s">
        <v>339</v>
      </c>
      <c r="I162" t="b">
        <v>1</v>
      </c>
      <c r="J162">
        <v>170892</v>
      </c>
      <c r="K162">
        <v>287264</v>
      </c>
      <c r="M162">
        <v>-40857</v>
      </c>
      <c r="N162">
        <v>263991</v>
      </c>
      <c r="O162">
        <v>90267</v>
      </c>
      <c r="P162">
        <v>4890</v>
      </c>
      <c r="Q162">
        <v>618512</v>
      </c>
      <c r="R162">
        <v>4116264</v>
      </c>
      <c r="S162">
        <v>4734776</v>
      </c>
      <c r="T162">
        <v>205763</v>
      </c>
      <c r="V162">
        <v>0</v>
      </c>
      <c r="W162">
        <v>2684</v>
      </c>
      <c r="Y162">
        <v>6184</v>
      </c>
      <c r="Z162">
        <v>24</v>
      </c>
      <c r="AA162">
        <v>139485</v>
      </c>
      <c r="AB162">
        <v>4068713</v>
      </c>
      <c r="AC162">
        <v>4208198</v>
      </c>
      <c r="AD162">
        <v>526578</v>
      </c>
      <c r="AE162">
        <v>47551</v>
      </c>
      <c r="AF162">
        <v>479027</v>
      </c>
      <c r="AG162">
        <v>2742187</v>
      </c>
      <c r="AH162">
        <v>7.5036093453874589E-2</v>
      </c>
      <c r="AI162" t="b">
        <v>1</v>
      </c>
      <c r="AK162">
        <v>6.7500000000000004E-2</v>
      </c>
      <c r="AL162">
        <v>6.7500000000000004E-2</v>
      </c>
      <c r="AM162">
        <v>6.7500000000000004E-2</v>
      </c>
      <c r="AN162">
        <v>6.7500000000000004E-2</v>
      </c>
      <c r="AO162">
        <v>1</v>
      </c>
      <c r="AP162">
        <v>0</v>
      </c>
      <c r="AS162">
        <v>1408000</v>
      </c>
      <c r="AT162">
        <v>-172300</v>
      </c>
      <c r="BB162">
        <f t="shared" ref="BB162:BB177" si="323">AC162/S162</f>
        <v>0.88878502383217284</v>
      </c>
      <c r="BD162">
        <f t="shared" ref="BD162:BD177" si="324">AS162-AD162</f>
        <v>881422</v>
      </c>
      <c r="BE162">
        <f t="shared" ref="BE162:BE177" si="325">AT162-AD162</f>
        <v>-698878</v>
      </c>
      <c r="BF162">
        <f t="shared" ref="BF162:BF177" si="326">BD162/S162*100</f>
        <v>18.615917627359774</v>
      </c>
      <c r="BG162">
        <f t="shared" ref="BG162:BG177" si="327">BE162/S162*100</f>
        <v>-14.760529325991346</v>
      </c>
      <c r="BH162">
        <f t="shared" ref="BH162:BH177" si="328">(BD162-BE162)/(2*S162)*100</f>
        <v>16.68822347667556</v>
      </c>
      <c r="BI162">
        <f t="shared" ref="BI162:BI177" si="329">(BD162+BE162)/(2*S162*(0.01^2))</f>
        <v>192.76941506842141</v>
      </c>
      <c r="BJ162">
        <f t="shared" ref="BJ162:BJ177" si="330">ROUND(BH162,0)</f>
        <v>17</v>
      </c>
      <c r="BK162">
        <f>IF($BJ162&lt;=30,IF($B162=2015,VLOOKUP($BJ162,'Treasury Yields'!$C$5:$N$34,$E162,FALSE)/100,IF($B162=2016,VLOOKUP($BJ162,'Treasury Yields'!$C$40:$N$69,$E162,FALSE)/100,IF($B162=2017,VLOOKUP($BJ162,'Treasury Yields'!$C$75:$N$104,$E162,FALSE)/100,IF($B162=2018,VLOOKUP($BJ162,'Treasury Yields'!$C$110:$N$139,$E162,FALSE)/100,IF($B162=2019,VLOOKUP($BJ162,'Treasury Yields'!$C$145:$N$174,$E162,FALSE)/100,IF($B162=2020,VLOOKUP($BJ162,'Treasury Yields'!$C$180:$N$209,$E162,FALSE)/100,IF($B162=2021,VLOOKUP($BJ162,'Treasury Yields'!$C$215:$N$244,$E162,FALSE)/100,IF($B162=2022,VLOOKUP($BJ162,'Treasury Yields'!$C$250:$N$279,$E162,FALSE)/100)))))))),0)</f>
        <v>3.3127999999999998E-2</v>
      </c>
      <c r="BL162">
        <f t="shared" ref="BL162:BL177" si="331">1+BH162*(AL162-BK162)+(AL162-BK162)^2</f>
        <v>1.5747890517242924</v>
      </c>
      <c r="BM162">
        <f t="shared" ref="BM162:BM177" si="332">BL162*R162</f>
        <v>6482247.4812068427</v>
      </c>
      <c r="BN162">
        <f t="shared" ref="BN162:BN177" si="333">BM162-AB162</f>
        <v>2413534.4812068427</v>
      </c>
      <c r="BP162">
        <f>IF($BJ162&lt;=30,IF($B162=2015,VLOOKUP($BJ162,'Treasury Yields'!$C$40:$N$69,$E162,FALSE)/100,IF($B162=2016,VLOOKUP($BJ162,'Treasury Yields'!$C$75:$N$104,$E162,FALSE)/100,IF($B162=2017,VLOOKUP($BJ162,'Treasury Yields'!$C$110:$N$139,$E162,FALSE)/100,IF($B162=2018,VLOOKUP($BJ162,'Treasury Yields'!$C$145:$N$174,$E162,FALSE)/100,IF($B162=2019,VLOOKUP($BJ162,'Treasury Yields'!$C$180:$N$209,$E162,FALSE)/100,IF($B162=2020,VLOOKUP($BJ162,'Treasury Yields'!$C$215:$N$244,$E162,FALSE)/100,IF($B162=2021,VLOOKUP($BJ162,'Treasury Yields'!$C$250:$N$279,$E162,FALSE)/100,IF($B162=2022,VLOOKUP($BJ162,'Treasury Yields'!$C$285:$N$314,$E162,FALSE)/100)))))))),0)</f>
        <v>3.0350000000000002E-2</v>
      </c>
      <c r="BQ162">
        <f t="shared" ref="BQ162:BQ177" si="334">1+BH162*(AN162-BP162)+(AN162-BP162)^2</f>
        <v>1.621347624658497</v>
      </c>
      <c r="BR162">
        <f t="shared" ref="BR162:BR177" si="335">BQ162*S162</f>
        <v>7676717.8208900597</v>
      </c>
      <c r="BS162">
        <f t="shared" ref="BS162:BS177" si="336">BR162-AC162</f>
        <v>3468519.8208900597</v>
      </c>
      <c r="BU162">
        <f t="shared" si="276"/>
        <v>20</v>
      </c>
      <c r="BV162">
        <f t="shared" ref="BV162:BV177" si="337">1+(BH162+BU162)*(AN162-BK162)+(AN162-BK162)^2*BI162</f>
        <v>2.4887920324856934</v>
      </c>
      <c r="BW162">
        <f t="shared" ref="BW162:BW177" si="338">BV162*J162</f>
        <v>425314.6480155451</v>
      </c>
      <c r="BX162" s="5">
        <f t="shared" ref="BX162:BX177" si="339">(BM162+BW162-O162)*BK162</f>
        <v>225843.35304087924</v>
      </c>
      <c r="BY162" s="5">
        <f t="shared" ref="BY162:BY177" si="340">BK162*(BN162+BW162-O162)</f>
        <v>91055.028776879262</v>
      </c>
      <c r="BZ162" s="5">
        <f t="shared" ref="BZ162:BZ177" si="341">SUM(J162:K162)</f>
        <v>458156</v>
      </c>
      <c r="CA162" s="5">
        <f t="shared" ref="CA162:CA177" si="342">SUM(BW162+BY162)</f>
        <v>516369.67679242435</v>
      </c>
      <c r="CC162" s="5">
        <f t="shared" ref="CC162:CC177" si="343">BR162</f>
        <v>7676717.8208900597</v>
      </c>
      <c r="CD162" s="5" t="str">
        <f t="shared" ref="CD162:CD177" si="344">F162</f>
        <v>Indiana</v>
      </c>
      <c r="CE162" s="5">
        <f t="shared" si="274"/>
        <v>0.88878502383217284</v>
      </c>
      <c r="CF162" s="10">
        <f t="shared" ref="CF162:CF177" si="345">AC162/CC162</f>
        <v>0.54817672059647105</v>
      </c>
    </row>
    <row r="163" spans="1:84" hidden="1" x14ac:dyDescent="0.2">
      <c r="A163">
        <v>15000000090600</v>
      </c>
      <c r="B163">
        <v>2016</v>
      </c>
      <c r="C163">
        <v>571</v>
      </c>
      <c r="D163" t="s">
        <v>336</v>
      </c>
      <c r="E163">
        <v>6</v>
      </c>
      <c r="F163" t="s">
        <v>337</v>
      </c>
      <c r="G163" t="s">
        <v>338</v>
      </c>
      <c r="H163" t="s">
        <v>339</v>
      </c>
      <c r="I163" t="b">
        <v>1</v>
      </c>
      <c r="J163">
        <v>167836</v>
      </c>
      <c r="K163">
        <v>328018</v>
      </c>
      <c r="M163">
        <v>29876</v>
      </c>
      <c r="N163">
        <v>0</v>
      </c>
      <c r="O163">
        <v>99507</v>
      </c>
      <c r="P163">
        <v>4370</v>
      </c>
      <c r="Q163">
        <v>439541</v>
      </c>
      <c r="R163">
        <v>4734776</v>
      </c>
      <c r="S163">
        <v>5174317</v>
      </c>
      <c r="T163">
        <v>215626</v>
      </c>
      <c r="V163">
        <v>43</v>
      </c>
      <c r="W163">
        <v>61722</v>
      </c>
      <c r="Y163">
        <v>5603</v>
      </c>
      <c r="Z163">
        <v>16</v>
      </c>
      <c r="AA163">
        <v>185599</v>
      </c>
      <c r="AB163">
        <v>4208198</v>
      </c>
      <c r="AC163">
        <v>4393797</v>
      </c>
      <c r="AD163">
        <v>780520</v>
      </c>
      <c r="AE163">
        <v>526578</v>
      </c>
      <c r="AF163">
        <v>253942</v>
      </c>
      <c r="AG163">
        <v>2881397</v>
      </c>
      <c r="AH163">
        <v>7.4833839280043668E-2</v>
      </c>
      <c r="AI163" t="b">
        <v>1</v>
      </c>
      <c r="AK163">
        <v>6.7500000000000004E-2</v>
      </c>
      <c r="AL163">
        <v>6.7500000000000004E-2</v>
      </c>
      <c r="AM163">
        <v>6.7500000000000004E-2</v>
      </c>
      <c r="AN163">
        <v>6.7500000000000004E-2</v>
      </c>
      <c r="AO163">
        <v>1</v>
      </c>
      <c r="AP163">
        <v>0</v>
      </c>
      <c r="AS163">
        <v>1737603</v>
      </c>
      <c r="AT163">
        <v>15494</v>
      </c>
      <c r="AU163" t="s">
        <v>340</v>
      </c>
      <c r="AV163" t="s">
        <v>341</v>
      </c>
      <c r="BB163">
        <f t="shared" si="323"/>
        <v>0.84915497059805189</v>
      </c>
      <c r="BD163">
        <f t="shared" si="324"/>
        <v>957083</v>
      </c>
      <c r="BE163">
        <f t="shared" si="325"/>
        <v>-765026</v>
      </c>
      <c r="BF163">
        <f t="shared" si="326"/>
        <v>18.496798707926089</v>
      </c>
      <c r="BG163">
        <f t="shared" si="327"/>
        <v>-14.785062453653303</v>
      </c>
      <c r="BH163">
        <f t="shared" si="328"/>
        <v>16.640930580789696</v>
      </c>
      <c r="BI163">
        <f t="shared" si="329"/>
        <v>185.58681271363932</v>
      </c>
      <c r="BJ163">
        <f t="shared" si="330"/>
        <v>17</v>
      </c>
      <c r="BK163">
        <f>IF($BJ163&lt;=30,IF($B163=2015,VLOOKUP($BJ163,'Treasury Yields'!$C$5:$N$34,$E163,FALSE)/100,IF($B163=2016,VLOOKUP($BJ163,'Treasury Yields'!$C$40:$N$69,$E163,FALSE)/100,IF($B163=2017,VLOOKUP($BJ163,'Treasury Yields'!$C$75:$N$104,$E163,FALSE)/100,IF($B163=2018,VLOOKUP($BJ163,'Treasury Yields'!$C$110:$N$139,$E163,FALSE)/100,IF($B163=2019,VLOOKUP($BJ163,'Treasury Yields'!$C$145:$N$174,$E163,FALSE)/100,IF($B163=2020,VLOOKUP($BJ163,'Treasury Yields'!$C$180:$N$209,$E163,FALSE)/100,IF($B163=2021,VLOOKUP($BJ163,'Treasury Yields'!$C$215:$N$244,$E163,FALSE)/100,IF($B163=2022,VLOOKUP($BJ163,'Treasury Yields'!$C$250:$N$279,$E163,FALSE)/100)))))))),0)</f>
        <v>3.0350000000000002E-2</v>
      </c>
      <c r="BL163">
        <f t="shared" si="331"/>
        <v>1.6195906935763373</v>
      </c>
      <c r="BM163">
        <f t="shared" si="332"/>
        <v>7668399.1457685959</v>
      </c>
      <c r="BN163">
        <f t="shared" si="333"/>
        <v>3460201.1457685959</v>
      </c>
      <c r="BP163">
        <f>IF($BJ163&lt;=30,IF($B163=2015,VLOOKUP($BJ163,'Treasury Yields'!$C$40:$N$69,$E163,FALSE)/100,IF($B163=2016,VLOOKUP($BJ163,'Treasury Yields'!$C$75:$N$104,$E163,FALSE)/100,IF($B163=2017,VLOOKUP($BJ163,'Treasury Yields'!$C$110:$N$139,$E163,FALSE)/100,IF($B163=2018,VLOOKUP($BJ163,'Treasury Yields'!$C$145:$N$174,$E163,FALSE)/100,IF($B163=2019,VLOOKUP($BJ163,'Treasury Yields'!$C$180:$N$209,$E163,FALSE)/100,IF($B163=2020,VLOOKUP($BJ163,'Treasury Yields'!$C$215:$N$244,$E163,FALSE)/100,IF($B163=2021,VLOOKUP($BJ163,'Treasury Yields'!$C$250:$N$279,$E163,FALSE)/100,IF($B163=2022,VLOOKUP($BJ163,'Treasury Yields'!$C$285:$N$314,$E163,FALSE)/100)))))))),0)</f>
        <v>2.0183999999999997E-2</v>
      </c>
      <c r="BQ163">
        <f t="shared" si="334"/>
        <v>1.7896210752166455</v>
      </c>
      <c r="BR163">
        <f t="shared" si="335"/>
        <v>9260066.7530517671</v>
      </c>
      <c r="BS163">
        <f t="shared" si="336"/>
        <v>4866269.7530517671</v>
      </c>
      <c r="BU163">
        <f t="shared" si="276"/>
        <v>20</v>
      </c>
      <c r="BV163">
        <f t="shared" si="337"/>
        <v>2.6173431070057167</v>
      </c>
      <c r="BW163">
        <f t="shared" si="338"/>
        <v>439284.3977074115</v>
      </c>
      <c r="BX163" s="5">
        <f t="shared" si="339"/>
        <v>243048.15809449682</v>
      </c>
      <c r="BY163" s="5">
        <f t="shared" si="340"/>
        <v>115329.34879449684</v>
      </c>
      <c r="BZ163" s="5">
        <f t="shared" si="341"/>
        <v>495854</v>
      </c>
      <c r="CA163" s="5">
        <f t="shared" si="342"/>
        <v>554613.74650190829</v>
      </c>
      <c r="CC163" s="5">
        <f t="shared" si="343"/>
        <v>9260066.7530517671</v>
      </c>
      <c r="CD163" s="5" t="str">
        <f t="shared" si="344"/>
        <v>Indiana</v>
      </c>
      <c r="CE163" s="5">
        <f t="shared" si="274"/>
        <v>0.84915497059805189</v>
      </c>
      <c r="CF163" s="10">
        <f t="shared" si="345"/>
        <v>0.47448869615890954</v>
      </c>
    </row>
    <row r="164" spans="1:84" hidden="1" x14ac:dyDescent="0.2">
      <c r="A164">
        <v>15000000090600</v>
      </c>
      <c r="B164">
        <v>2017</v>
      </c>
      <c r="C164">
        <v>571</v>
      </c>
      <c r="D164" t="s">
        <v>336</v>
      </c>
      <c r="E164">
        <v>6</v>
      </c>
      <c r="F164" t="s">
        <v>337</v>
      </c>
      <c r="G164" t="s">
        <v>338</v>
      </c>
      <c r="H164" t="s">
        <v>339</v>
      </c>
      <c r="I164" t="b">
        <v>1</v>
      </c>
      <c r="J164">
        <v>168651</v>
      </c>
      <c r="K164">
        <v>357392</v>
      </c>
      <c r="L164">
        <v>1353</v>
      </c>
      <c r="M164">
        <v>46460</v>
      </c>
      <c r="N164">
        <v>-115506</v>
      </c>
      <c r="O164">
        <v>109335</v>
      </c>
      <c r="P164">
        <v>4258</v>
      </c>
      <c r="Q164">
        <v>361777</v>
      </c>
      <c r="R164">
        <v>5174317</v>
      </c>
      <c r="S164">
        <v>5536094</v>
      </c>
      <c r="T164">
        <v>227207</v>
      </c>
      <c r="V164">
        <v>58</v>
      </c>
      <c r="W164">
        <v>354927</v>
      </c>
      <c r="Y164">
        <v>5553</v>
      </c>
      <c r="Z164">
        <v>34</v>
      </c>
      <c r="AA164">
        <v>480100</v>
      </c>
      <c r="AB164">
        <v>4393797</v>
      </c>
      <c r="AC164">
        <v>4873897</v>
      </c>
      <c r="AD164">
        <v>662197</v>
      </c>
      <c r="AE164">
        <v>780520</v>
      </c>
      <c r="AF164">
        <v>-118323</v>
      </c>
      <c r="AG164">
        <v>3020463</v>
      </c>
      <c r="AH164">
        <v>7.5222573492871786E-2</v>
      </c>
      <c r="AI164" t="b">
        <v>1</v>
      </c>
      <c r="AK164">
        <v>6.7500000000000004E-2</v>
      </c>
      <c r="AL164">
        <v>6.7500000000000004E-2</v>
      </c>
      <c r="AM164">
        <v>6.7500000000000004E-2</v>
      </c>
      <c r="AN164">
        <v>6.7500000000000004E-2</v>
      </c>
      <c r="AO164">
        <v>1</v>
      </c>
      <c r="AP164">
        <v>0</v>
      </c>
      <c r="AS164">
        <v>1654941</v>
      </c>
      <c r="AT164">
        <v>-138242</v>
      </c>
      <c r="BB164">
        <f t="shared" si="323"/>
        <v>0.88038552091059152</v>
      </c>
      <c r="BD164">
        <f t="shared" si="324"/>
        <v>992744</v>
      </c>
      <c r="BE164">
        <f t="shared" si="325"/>
        <v>-800439</v>
      </c>
      <c r="BF164">
        <f t="shared" si="326"/>
        <v>17.932209966088003</v>
      </c>
      <c r="BG164">
        <f t="shared" si="327"/>
        <v>-14.458551462457104</v>
      </c>
      <c r="BH164">
        <f t="shared" si="328"/>
        <v>16.195380714272552</v>
      </c>
      <c r="BI164">
        <f t="shared" si="329"/>
        <v>173.68292518154496</v>
      </c>
      <c r="BJ164">
        <f t="shared" si="330"/>
        <v>16</v>
      </c>
      <c r="BK164">
        <f>IF($BJ164&lt;=30,IF($B164=2015,VLOOKUP($BJ164,'Treasury Yields'!$C$5:$N$34,$E164,FALSE)/100,IF($B164=2016,VLOOKUP($BJ164,'Treasury Yields'!$C$40:$N$69,$E164,FALSE)/100,IF($B164=2017,VLOOKUP($BJ164,'Treasury Yields'!$C$75:$N$104,$E164,FALSE)/100,IF($B164=2018,VLOOKUP($BJ164,'Treasury Yields'!$C$110:$N$139,$E164,FALSE)/100,IF($B164=2019,VLOOKUP($BJ164,'Treasury Yields'!$C$145:$N$174,$E164,FALSE)/100,IF($B164=2020,VLOOKUP($BJ164,'Treasury Yields'!$C$180:$N$209,$E164,FALSE)/100,IF($B164=2021,VLOOKUP($BJ164,'Treasury Yields'!$C$215:$N$244,$E164,FALSE)/100,IF($B164=2022,VLOOKUP($BJ164,'Treasury Yields'!$C$250:$N$279,$E164,FALSE)/100)))))))),0)</f>
        <v>1.9761999999999998E-2</v>
      </c>
      <c r="BL164">
        <f t="shared" si="331"/>
        <v>1.7754140011819433</v>
      </c>
      <c r="BM164">
        <f t="shared" si="332"/>
        <v>9186554.8483537491</v>
      </c>
      <c r="BN164">
        <f t="shared" si="333"/>
        <v>4792757.8483537491</v>
      </c>
      <c r="BP164">
        <f>IF($BJ164&lt;=30,IF($B164=2015,VLOOKUP($BJ164,'Treasury Yields'!$C$40:$N$69,$E164,FALSE)/100,IF($B164=2016,VLOOKUP($BJ164,'Treasury Yields'!$C$75:$N$104,$E164,FALSE)/100,IF($B164=2017,VLOOKUP($BJ164,'Treasury Yields'!$C$110:$N$139,$E164,FALSE)/100,IF($B164=2018,VLOOKUP($BJ164,'Treasury Yields'!$C$145:$N$174,$E164,FALSE)/100,IF($B164=2019,VLOOKUP($BJ164,'Treasury Yields'!$C$180:$N$209,$E164,FALSE)/100,IF($B164=2020,VLOOKUP($BJ164,'Treasury Yields'!$C$215:$N$244,$E164,FALSE)/100,IF($B164=2021,VLOOKUP($BJ164,'Treasury Yields'!$C$250:$N$279,$E164,FALSE)/100,IF($B164=2022,VLOOKUP($BJ164,'Treasury Yields'!$C$285:$N$314,$E164,FALSE)/100)))))))),0)</f>
        <v>2.6910799999999999E-2</v>
      </c>
      <c r="BQ164">
        <f t="shared" si="334"/>
        <v>1.6590050300443917</v>
      </c>
      <c r="BR164">
        <f t="shared" si="335"/>
        <v>9184407.7927985769</v>
      </c>
      <c r="BS164">
        <f t="shared" si="336"/>
        <v>4310510.7927985769</v>
      </c>
      <c r="BU164">
        <f t="shared" si="276"/>
        <v>19</v>
      </c>
      <c r="BV164">
        <f t="shared" si="337"/>
        <v>3.0759659935127726</v>
      </c>
      <c r="BW164">
        <f t="shared" si="338"/>
        <v>518764.74077192263</v>
      </c>
      <c r="BX164" s="5">
        <f t="shared" si="339"/>
        <v>189635.84745030152</v>
      </c>
      <c r="BY164" s="5">
        <f t="shared" si="340"/>
        <v>102805.63113630151</v>
      </c>
      <c r="BZ164" s="5">
        <f t="shared" si="341"/>
        <v>526043</v>
      </c>
      <c r="CA164" s="5">
        <f t="shared" si="342"/>
        <v>621570.37190822419</v>
      </c>
      <c r="CC164" s="5">
        <f t="shared" si="343"/>
        <v>9184407.7927985769</v>
      </c>
      <c r="CD164" s="5" t="str">
        <f t="shared" si="344"/>
        <v>Indiana</v>
      </c>
      <c r="CE164" s="5">
        <f t="shared" si="274"/>
        <v>0.88038552091059152</v>
      </c>
      <c r="CF164" s="10">
        <f t="shared" si="345"/>
        <v>0.53067079663226457</v>
      </c>
    </row>
    <row r="165" spans="1:84" hidden="1" x14ac:dyDescent="0.2">
      <c r="A165">
        <v>15000000090600</v>
      </c>
      <c r="B165">
        <v>2018</v>
      </c>
      <c r="C165">
        <v>571</v>
      </c>
      <c r="D165" t="s">
        <v>336</v>
      </c>
      <c r="E165">
        <v>6</v>
      </c>
      <c r="F165" t="s">
        <v>337</v>
      </c>
      <c r="G165" t="s">
        <v>338</v>
      </c>
      <c r="H165" t="s">
        <v>339</v>
      </c>
      <c r="I165" t="b">
        <v>1</v>
      </c>
      <c r="J165">
        <v>182558</v>
      </c>
      <c r="K165">
        <v>382298</v>
      </c>
      <c r="M165">
        <v>-142275</v>
      </c>
      <c r="N165">
        <v>-285442</v>
      </c>
      <c r="O165">
        <v>122239</v>
      </c>
      <c r="P165">
        <v>5601</v>
      </c>
      <c r="Q165">
        <v>27170</v>
      </c>
      <c r="R165">
        <v>5536094</v>
      </c>
      <c r="S165">
        <v>5563264</v>
      </c>
      <c r="T165">
        <v>235819</v>
      </c>
      <c r="V165">
        <v>130</v>
      </c>
      <c r="W165">
        <v>457708</v>
      </c>
      <c r="Y165">
        <v>5208</v>
      </c>
      <c r="Z165">
        <v>140</v>
      </c>
      <c r="AA165">
        <v>578455</v>
      </c>
      <c r="AB165">
        <v>4873897</v>
      </c>
      <c r="AC165">
        <v>5452352</v>
      </c>
      <c r="AD165">
        <v>110912</v>
      </c>
      <c r="AE165">
        <v>662197</v>
      </c>
      <c r="AF165">
        <v>-551285</v>
      </c>
      <c r="AG165">
        <v>3129070</v>
      </c>
      <c r="AH165">
        <v>7.5363926022747968E-2</v>
      </c>
      <c r="AI165" t="b">
        <v>1</v>
      </c>
      <c r="AK165">
        <v>6.7500000000000004E-2</v>
      </c>
      <c r="AL165">
        <v>6.7500000000000004E-2</v>
      </c>
      <c r="AM165">
        <v>6.7500000000000004E-2</v>
      </c>
      <c r="AN165">
        <v>6.7500000000000004E-2</v>
      </c>
      <c r="AO165">
        <v>1</v>
      </c>
      <c r="AP165">
        <v>0</v>
      </c>
      <c r="AS165">
        <v>1072148</v>
      </c>
      <c r="AT165">
        <v>-666533</v>
      </c>
      <c r="AU165" t="s">
        <v>60</v>
      </c>
      <c r="AV165" t="s">
        <v>342</v>
      </c>
      <c r="BB165">
        <f t="shared" si="323"/>
        <v>0.9800635022893035</v>
      </c>
      <c r="BD165">
        <f t="shared" si="324"/>
        <v>961236</v>
      </c>
      <c r="BE165">
        <f t="shared" si="325"/>
        <v>-777445</v>
      </c>
      <c r="BF165">
        <f t="shared" si="326"/>
        <v>17.278274049191268</v>
      </c>
      <c r="BG165">
        <f t="shared" si="327"/>
        <v>-13.974619935347308</v>
      </c>
      <c r="BH165">
        <f t="shared" si="328"/>
        <v>15.626446992269285</v>
      </c>
      <c r="BI165">
        <f t="shared" si="329"/>
        <v>165.18270569219794</v>
      </c>
      <c r="BJ165">
        <f t="shared" si="330"/>
        <v>16</v>
      </c>
      <c r="BK165">
        <f>IF($BJ165&lt;=30,IF($B165=2015,VLOOKUP($BJ165,'Treasury Yields'!$C$5:$N$34,$E165,FALSE)/100,IF($B165=2016,VLOOKUP($BJ165,'Treasury Yields'!$C$40:$N$69,$E165,FALSE)/100,IF($B165=2017,VLOOKUP($BJ165,'Treasury Yields'!$C$75:$N$104,$E165,FALSE)/100,IF($B165=2018,VLOOKUP($BJ165,'Treasury Yields'!$C$110:$N$139,$E165,FALSE)/100,IF($B165=2019,VLOOKUP($BJ165,'Treasury Yields'!$C$145:$N$174,$E165,FALSE)/100,IF($B165=2020,VLOOKUP($BJ165,'Treasury Yields'!$C$180:$N$209,$E165,FALSE)/100,IF($B165=2021,VLOOKUP($BJ165,'Treasury Yields'!$C$215:$N$244,$E165,FALSE)/100,IF($B165=2022,VLOOKUP($BJ165,'Treasury Yields'!$C$250:$N$279,$E165,FALSE)/100)))))))),0)</f>
        <v>2.6910799999999999E-2</v>
      </c>
      <c r="BL165">
        <f t="shared" si="331"/>
        <v>1.6359124654152566</v>
      </c>
      <c r="BM165">
        <f t="shared" si="332"/>
        <v>9056565.1843106095</v>
      </c>
      <c r="BN165">
        <f t="shared" si="333"/>
        <v>4182668.1843106095</v>
      </c>
      <c r="BP165">
        <f>IF($BJ165&lt;=30,IF($B165=2015,VLOOKUP($BJ165,'Treasury Yields'!$C$40:$N$69,$E165,FALSE)/100,IF($B165=2016,VLOOKUP($BJ165,'Treasury Yields'!$C$75:$N$104,$E165,FALSE)/100,IF($B165=2017,VLOOKUP($BJ165,'Treasury Yields'!$C$110:$N$139,$E165,FALSE)/100,IF($B165=2018,VLOOKUP($BJ165,'Treasury Yields'!$C$145:$N$174,$E165,FALSE)/100,IF($B165=2019,VLOOKUP($BJ165,'Treasury Yields'!$C$180:$N$209,$E165,FALSE)/100,IF($B165=2020,VLOOKUP($BJ165,'Treasury Yields'!$C$215:$N$244,$E165,FALSE)/100,IF($B165=2021,VLOOKUP($BJ165,'Treasury Yields'!$C$250:$N$279,$E165,FALSE)/100,IF($B165=2022,VLOOKUP($BJ165,'Treasury Yields'!$C$285:$N$314,$E165,FALSE)/100)))))))),0)</f>
        <v>3.0586327272727271E-2</v>
      </c>
      <c r="BQ165">
        <f t="shared" si="334"/>
        <v>1.5781921693969201</v>
      </c>
      <c r="BR165">
        <f t="shared" si="335"/>
        <v>8779899.6810877863</v>
      </c>
      <c r="BS165">
        <f t="shared" si="336"/>
        <v>3327547.6810877863</v>
      </c>
      <c r="BU165">
        <f t="shared" si="276"/>
        <v>19</v>
      </c>
      <c r="BV165">
        <f t="shared" si="337"/>
        <v>2.6775955076547349</v>
      </c>
      <c r="BW165">
        <f t="shared" si="338"/>
        <v>488816.48068643309</v>
      </c>
      <c r="BX165" s="5">
        <f t="shared" si="339"/>
        <v>253584.30762920241</v>
      </c>
      <c r="BY165" s="5">
        <f t="shared" si="340"/>
        <v>122423.84024160239</v>
      </c>
      <c r="BZ165" s="5">
        <f t="shared" si="341"/>
        <v>564856</v>
      </c>
      <c r="CA165" s="5">
        <f t="shared" si="342"/>
        <v>611240.32092803554</v>
      </c>
      <c r="CC165" s="5">
        <f t="shared" si="343"/>
        <v>8779899.6810877863</v>
      </c>
      <c r="CD165" s="5" t="str">
        <f t="shared" si="344"/>
        <v>Indiana</v>
      </c>
      <c r="CE165" s="5">
        <f t="shared" si="274"/>
        <v>0.9800635022893035</v>
      </c>
      <c r="CF165" s="10">
        <f t="shared" si="345"/>
        <v>0.62100390642783299</v>
      </c>
    </row>
    <row r="166" spans="1:84" hidden="1" x14ac:dyDescent="0.2">
      <c r="A166">
        <v>15000000090600</v>
      </c>
      <c r="B166">
        <v>2019</v>
      </c>
      <c r="C166">
        <v>571</v>
      </c>
      <c r="D166" t="s">
        <v>336</v>
      </c>
      <c r="E166">
        <v>6</v>
      </c>
      <c r="F166" t="s">
        <v>337</v>
      </c>
      <c r="G166" t="s">
        <v>338</v>
      </c>
      <c r="H166" t="s">
        <v>339</v>
      </c>
      <c r="I166" t="b">
        <v>1</v>
      </c>
      <c r="J166">
        <v>180559</v>
      </c>
      <c r="K166">
        <v>383384</v>
      </c>
      <c r="M166">
        <v>-21588</v>
      </c>
      <c r="N166">
        <v>0</v>
      </c>
      <c r="O166">
        <v>132572</v>
      </c>
      <c r="P166">
        <v>4293</v>
      </c>
      <c r="Q166">
        <v>417162</v>
      </c>
      <c r="R166">
        <v>5563264</v>
      </c>
      <c r="S166">
        <v>5980426</v>
      </c>
      <c r="T166">
        <v>393172</v>
      </c>
      <c r="V166">
        <v>127</v>
      </c>
      <c r="W166">
        <v>411147</v>
      </c>
      <c r="Y166">
        <v>5038</v>
      </c>
      <c r="Z166">
        <v>605</v>
      </c>
      <c r="AA166">
        <v>671734</v>
      </c>
      <c r="AB166">
        <v>5452352</v>
      </c>
      <c r="AC166">
        <v>6124086</v>
      </c>
      <c r="AD166">
        <v>-143660</v>
      </c>
      <c r="AE166">
        <v>110912</v>
      </c>
      <c r="AF166">
        <v>-254572</v>
      </c>
      <c r="AG166">
        <v>3257918</v>
      </c>
      <c r="AH166">
        <v>0.12068198156000243</v>
      </c>
      <c r="AI166" t="b">
        <v>1</v>
      </c>
      <c r="AK166">
        <v>6.7500000000000004E-2</v>
      </c>
      <c r="AL166">
        <v>6.7500000000000004E-2</v>
      </c>
      <c r="AM166">
        <v>6.7500000000000004E-2</v>
      </c>
      <c r="AN166">
        <v>6.7500000000000004E-2</v>
      </c>
      <c r="AO166">
        <v>1</v>
      </c>
      <c r="AP166">
        <v>0</v>
      </c>
      <c r="AS166">
        <v>879486</v>
      </c>
      <c r="AT166">
        <v>-972389</v>
      </c>
      <c r="AV166" t="s">
        <v>343</v>
      </c>
      <c r="BB166">
        <f t="shared" si="323"/>
        <v>1.0240217001263789</v>
      </c>
      <c r="BD166">
        <f t="shared" si="324"/>
        <v>1023146</v>
      </c>
      <c r="BE166">
        <f t="shared" si="325"/>
        <v>-828729</v>
      </c>
      <c r="BF166">
        <f t="shared" si="326"/>
        <v>17.10824613497433</v>
      </c>
      <c r="BG166">
        <f t="shared" si="327"/>
        <v>-13.857357318692682</v>
      </c>
      <c r="BH166">
        <f t="shared" si="328"/>
        <v>15.482801726833506</v>
      </c>
      <c r="BI166">
        <f t="shared" si="329"/>
        <v>162.54444081408246</v>
      </c>
      <c r="BJ166">
        <f t="shared" si="330"/>
        <v>15</v>
      </c>
      <c r="BK166">
        <f>IF($BJ166&lt;=30,IF($B166=2015,VLOOKUP($BJ166,'Treasury Yields'!$C$5:$N$34,$E166,FALSE)/100,IF($B166=2016,VLOOKUP($BJ166,'Treasury Yields'!$C$40:$N$69,$E166,FALSE)/100,IF($B166=2017,VLOOKUP($BJ166,'Treasury Yields'!$C$75:$N$104,$E166,FALSE)/100,IF($B166=2018,VLOOKUP($BJ166,'Treasury Yields'!$C$110:$N$139,$E166,FALSE)/100,IF($B166=2019,VLOOKUP($BJ166,'Treasury Yields'!$C$145:$N$174,$E166,FALSE)/100,IF($B166=2020,VLOOKUP($BJ166,'Treasury Yields'!$C$180:$N$209,$E166,FALSE)/100,IF($B166=2021,VLOOKUP($BJ166,'Treasury Yields'!$C$215:$N$244,$E166,FALSE)/100,IF($B166=2022,VLOOKUP($BJ166,'Treasury Yields'!$C$250:$N$279,$E166,FALSE)/100)))))))),0)</f>
        <v>3.0259999999999999E-2</v>
      </c>
      <c r="BL166">
        <f t="shared" si="331"/>
        <v>1.5779663539072799</v>
      </c>
      <c r="BM166">
        <f t="shared" si="332"/>
        <v>8778643.4099036288</v>
      </c>
      <c r="BN166">
        <f t="shared" si="333"/>
        <v>3326291.4099036288</v>
      </c>
      <c r="BP166">
        <f>IF($BJ166&lt;=30,IF($B166=2015,VLOOKUP($BJ166,'Treasury Yields'!$C$40:$N$69,$E166,FALSE)/100,IF($B166=2016,VLOOKUP($BJ166,'Treasury Yields'!$C$75:$N$104,$E166,FALSE)/100,IF($B166=2017,VLOOKUP($BJ166,'Treasury Yields'!$C$110:$N$139,$E166,FALSE)/100,IF($B166=2018,VLOOKUP($BJ166,'Treasury Yields'!$C$145:$N$174,$E166,FALSE)/100,IF($B166=2019,VLOOKUP($BJ166,'Treasury Yields'!$C$180:$N$209,$E166,FALSE)/100,IF($B166=2020,VLOOKUP($BJ166,'Treasury Yields'!$C$215:$N$244,$E166,FALSE)/100,IF($B166=2021,VLOOKUP($BJ166,'Treasury Yields'!$C$250:$N$279,$E166,FALSE)/100,IF($B166=2022,VLOOKUP($BJ166,'Treasury Yields'!$C$285:$N$314,$E166,FALSE)/100)))))))),0)</f>
        <v>2.3570000000000001E-2</v>
      </c>
      <c r="BQ166">
        <f t="shared" si="334"/>
        <v>1.6820893247597961</v>
      </c>
      <c r="BR166">
        <f t="shared" si="335"/>
        <v>10059610.732115928</v>
      </c>
      <c r="BS166">
        <f t="shared" si="336"/>
        <v>3935524.7321159281</v>
      </c>
      <c r="BU166">
        <f t="shared" si="276"/>
        <v>18</v>
      </c>
      <c r="BV166">
        <f t="shared" si="337"/>
        <v>2.4723190276104083</v>
      </c>
      <c r="BW166">
        <f t="shared" si="338"/>
        <v>446399.45130630775</v>
      </c>
      <c r="BX166" s="5">
        <f t="shared" si="339"/>
        <v>275138.16826021264</v>
      </c>
      <c r="BY166" s="5">
        <f t="shared" si="340"/>
        <v>110149.99674021268</v>
      </c>
      <c r="BZ166" s="5">
        <f t="shared" si="341"/>
        <v>563943</v>
      </c>
      <c r="CA166" s="5">
        <f t="shared" si="342"/>
        <v>556549.44804652047</v>
      </c>
      <c r="CC166" s="5">
        <f t="shared" si="343"/>
        <v>10059610.732115928</v>
      </c>
      <c r="CD166" s="5" t="str">
        <f t="shared" si="344"/>
        <v>Indiana</v>
      </c>
      <c r="CE166" s="5">
        <f t="shared" si="274"/>
        <v>1.0240217001263789</v>
      </c>
      <c r="CF166" s="10">
        <f t="shared" si="345"/>
        <v>0.60877962011477016</v>
      </c>
    </row>
    <row r="167" spans="1:84" hidden="1" x14ac:dyDescent="0.2">
      <c r="A167">
        <v>15000000090600</v>
      </c>
      <c r="B167">
        <v>2020</v>
      </c>
      <c r="C167">
        <v>571</v>
      </c>
      <c r="D167" t="s">
        <v>336</v>
      </c>
      <c r="E167">
        <v>6</v>
      </c>
      <c r="F167" t="s">
        <v>337</v>
      </c>
      <c r="G167" t="s">
        <v>338</v>
      </c>
      <c r="H167" t="s">
        <v>339</v>
      </c>
      <c r="I167" t="b">
        <v>1</v>
      </c>
      <c r="J167">
        <v>183633</v>
      </c>
      <c r="K167">
        <v>411329</v>
      </c>
      <c r="M167">
        <v>-31433</v>
      </c>
      <c r="N167">
        <v>-114</v>
      </c>
      <c r="O167">
        <v>143372</v>
      </c>
      <c r="P167">
        <v>2679</v>
      </c>
      <c r="Q167">
        <v>422826</v>
      </c>
      <c r="R167">
        <v>5980426</v>
      </c>
      <c r="S167">
        <v>6403252</v>
      </c>
      <c r="T167">
        <v>188789</v>
      </c>
      <c r="V167">
        <v>104</v>
      </c>
      <c r="W167">
        <v>158072</v>
      </c>
      <c r="Y167">
        <v>5090</v>
      </c>
      <c r="Z167">
        <v>43</v>
      </c>
      <c r="AA167">
        <v>201225</v>
      </c>
      <c r="AB167">
        <v>6124086</v>
      </c>
      <c r="AC167">
        <v>6325311</v>
      </c>
      <c r="AD167">
        <v>77941</v>
      </c>
      <c r="AE167">
        <v>-143660</v>
      </c>
      <c r="AF167">
        <v>221601</v>
      </c>
      <c r="AG167">
        <v>3465728</v>
      </c>
      <c r="AH167">
        <v>5.447311502806914E-2</v>
      </c>
      <c r="AI167" t="b">
        <v>1</v>
      </c>
      <c r="AK167">
        <v>6.7500000000000004E-2</v>
      </c>
      <c r="AL167">
        <v>6.7500000000000004E-2</v>
      </c>
      <c r="AM167">
        <v>6.7500000000000004E-2</v>
      </c>
      <c r="AN167">
        <v>6.7500000000000004E-2</v>
      </c>
      <c r="AO167">
        <v>1</v>
      </c>
      <c r="AP167">
        <v>0</v>
      </c>
      <c r="AS167">
        <v>1191567</v>
      </c>
      <c r="AT167">
        <v>-822619</v>
      </c>
      <c r="AU167" t="s">
        <v>344</v>
      </c>
      <c r="AV167" t="s">
        <v>345</v>
      </c>
      <c r="BB167">
        <f t="shared" si="323"/>
        <v>0.98782790369643425</v>
      </c>
      <c r="BD167">
        <f t="shared" si="324"/>
        <v>1113626</v>
      </c>
      <c r="BE167">
        <f t="shared" si="325"/>
        <v>-900560</v>
      </c>
      <c r="BF167">
        <f t="shared" si="326"/>
        <v>17.391569158921122</v>
      </c>
      <c r="BG167">
        <f t="shared" si="327"/>
        <v>-14.064103677318961</v>
      </c>
      <c r="BH167">
        <f t="shared" si="328"/>
        <v>15.727836418120042</v>
      </c>
      <c r="BI167">
        <f t="shared" si="329"/>
        <v>166.37327408010805</v>
      </c>
      <c r="BJ167">
        <f t="shared" si="330"/>
        <v>16</v>
      </c>
      <c r="BK167">
        <f>IF($BJ167&lt;=30,IF($B167=2015,VLOOKUP($BJ167,'Treasury Yields'!$C$5:$N$34,$E167,FALSE)/100,IF($B167=2016,VLOOKUP($BJ167,'Treasury Yields'!$C$40:$N$69,$E167,FALSE)/100,IF($B167=2017,VLOOKUP($BJ167,'Treasury Yields'!$C$75:$N$104,$E167,FALSE)/100,IF($B167=2018,VLOOKUP($BJ167,'Treasury Yields'!$C$110:$N$139,$E167,FALSE)/100,IF($B167=2019,VLOOKUP($BJ167,'Treasury Yields'!$C$145:$N$174,$E167,FALSE)/100,IF($B167=2020,VLOOKUP($BJ167,'Treasury Yields'!$C$180:$N$209,$E167,FALSE)/100,IF($B167=2021,VLOOKUP($BJ167,'Treasury Yields'!$C$215:$N$244,$E167,FALSE)/100,IF($B167=2022,VLOOKUP($BJ167,'Treasury Yields'!$C$250:$N$279,$E167,FALSE)/100)))))))),0)</f>
        <v>2.3873999999999999E-2</v>
      </c>
      <c r="BL167">
        <f t="shared" si="331"/>
        <v>1.6880458194529051</v>
      </c>
      <c r="BM167">
        <f t="shared" si="332"/>
        <v>10095233.10784746</v>
      </c>
      <c r="BN167">
        <f t="shared" si="333"/>
        <v>3971147.1078474596</v>
      </c>
      <c r="BP167">
        <f>IF($BJ167&lt;=30,IF($B167=2015,VLOOKUP($BJ167,'Treasury Yields'!$C$40:$N$69,$E167,FALSE)/100,IF($B167=2016,VLOOKUP($BJ167,'Treasury Yields'!$C$75:$N$104,$E167,FALSE)/100,IF($B167=2017,VLOOKUP($BJ167,'Treasury Yields'!$C$110:$N$139,$E167,FALSE)/100,IF($B167=2018,VLOOKUP($BJ167,'Treasury Yields'!$C$145:$N$174,$E167,FALSE)/100,IF($B167=2019,VLOOKUP($BJ167,'Treasury Yields'!$C$180:$N$209,$E167,FALSE)/100,IF($B167=2020,VLOOKUP($BJ167,'Treasury Yields'!$C$215:$N$244,$E167,FALSE)/100,IF($B167=2021,VLOOKUP($BJ167,'Treasury Yields'!$C$250:$N$279,$E167,FALSE)/100,IF($B167=2022,VLOOKUP($BJ167,'Treasury Yields'!$C$285:$N$314,$E167,FALSE)/100)))))))),0)</f>
        <v>1.1480090909090907E-2</v>
      </c>
      <c r="BQ167">
        <f t="shared" si="334"/>
        <v>1.8842101965543279</v>
      </c>
      <c r="BR167">
        <f t="shared" si="335"/>
        <v>12065072.709506894</v>
      </c>
      <c r="BS167">
        <f t="shared" si="336"/>
        <v>5739761.7095068935</v>
      </c>
      <c r="BU167">
        <f t="shared" si="276"/>
        <v>19</v>
      </c>
      <c r="BV167">
        <f t="shared" si="337"/>
        <v>2.8316828446275553</v>
      </c>
      <c r="BW167">
        <f t="shared" si="338"/>
        <v>519990.41580749187</v>
      </c>
      <c r="BX167" s="5">
        <f t="shared" si="339"/>
        <v>250004.98327573828</v>
      </c>
      <c r="BY167" s="5">
        <f t="shared" si="340"/>
        <v>103798.55411173831</v>
      </c>
      <c r="BZ167" s="5">
        <f t="shared" si="341"/>
        <v>594962</v>
      </c>
      <c r="CA167" s="5">
        <f t="shared" si="342"/>
        <v>623788.96991923021</v>
      </c>
      <c r="CC167" s="5">
        <f t="shared" si="343"/>
        <v>12065072.709506894</v>
      </c>
      <c r="CD167" s="5" t="str">
        <f t="shared" si="344"/>
        <v>Indiana</v>
      </c>
      <c r="CE167" s="5">
        <f t="shared" si="274"/>
        <v>0.98782790369643425</v>
      </c>
      <c r="CF167" s="10">
        <f t="shared" si="345"/>
        <v>0.52426629762586152</v>
      </c>
    </row>
    <row r="168" spans="1:84" hidden="1" x14ac:dyDescent="0.2">
      <c r="A168">
        <v>15000000090600</v>
      </c>
      <c r="B168">
        <v>2021</v>
      </c>
      <c r="C168">
        <v>571</v>
      </c>
      <c r="D168" t="s">
        <v>336</v>
      </c>
      <c r="E168">
        <v>6</v>
      </c>
      <c r="F168" t="s">
        <v>337</v>
      </c>
      <c r="G168" t="s">
        <v>338</v>
      </c>
      <c r="H168" t="s">
        <v>339</v>
      </c>
      <c r="I168" t="b">
        <v>1</v>
      </c>
      <c r="J168">
        <v>190037</v>
      </c>
      <c r="K168">
        <v>439929</v>
      </c>
      <c r="L168">
        <v>3034</v>
      </c>
      <c r="M168">
        <v>96923</v>
      </c>
      <c r="N168">
        <v>536184</v>
      </c>
      <c r="O168">
        <v>155348</v>
      </c>
      <c r="P168">
        <v>3092</v>
      </c>
      <c r="Q168">
        <v>1114450</v>
      </c>
      <c r="R168">
        <v>6403252</v>
      </c>
      <c r="S168">
        <v>7517702</v>
      </c>
      <c r="T168">
        <v>202489</v>
      </c>
      <c r="V168">
        <v>464</v>
      </c>
      <c r="W168">
        <v>1616454</v>
      </c>
      <c r="Y168">
        <v>4966</v>
      </c>
      <c r="Z168">
        <v>0</v>
      </c>
      <c r="AA168">
        <v>1662184</v>
      </c>
      <c r="AB168">
        <v>6325311</v>
      </c>
      <c r="AC168">
        <v>7987495</v>
      </c>
      <c r="AD168">
        <v>-469793</v>
      </c>
      <c r="AE168">
        <v>77941</v>
      </c>
      <c r="AF168">
        <v>-547734</v>
      </c>
      <c r="AG168">
        <v>3634649</v>
      </c>
      <c r="AI168" t="b">
        <v>1</v>
      </c>
      <c r="AK168">
        <v>6.7500000000000004E-2</v>
      </c>
      <c r="AL168">
        <v>6.25E-2</v>
      </c>
      <c r="AM168">
        <v>6.25E-2</v>
      </c>
      <c r="AN168">
        <v>6.7500000000000004E-2</v>
      </c>
      <c r="AS168">
        <v>868861</v>
      </c>
      <c r="AT168">
        <v>-1549428</v>
      </c>
      <c r="BB168">
        <f t="shared" si="323"/>
        <v>1.0624915698972903</v>
      </c>
      <c r="BD168">
        <f t="shared" si="324"/>
        <v>1338654</v>
      </c>
      <c r="BE168">
        <f t="shared" si="325"/>
        <v>-1079635</v>
      </c>
      <c r="BF168">
        <f t="shared" si="326"/>
        <v>17.806691459704044</v>
      </c>
      <c r="BG168">
        <f t="shared" si="327"/>
        <v>-14.361236984386986</v>
      </c>
      <c r="BH168">
        <f t="shared" si="328"/>
        <v>16.083964222045513</v>
      </c>
      <c r="BI168">
        <f t="shared" si="329"/>
        <v>172.2727237658529</v>
      </c>
      <c r="BJ168">
        <f t="shared" si="330"/>
        <v>16</v>
      </c>
      <c r="BK168">
        <f>IF($BJ168&lt;=30,IF($B168=2015,VLOOKUP($BJ168,'Treasury Yields'!$C$5:$N$34,$E168,FALSE)/100,IF($B168=2016,VLOOKUP($BJ168,'Treasury Yields'!$C$40:$N$69,$E168,FALSE)/100,IF($B168=2017,VLOOKUP($BJ168,'Treasury Yields'!$C$75:$N$104,$E168,FALSE)/100,IF($B168=2018,VLOOKUP($BJ168,'Treasury Yields'!$C$110:$N$139,$E168,FALSE)/100,IF($B168=2019,VLOOKUP($BJ168,'Treasury Yields'!$C$145:$N$174,$E168,FALSE)/100,IF($B168=2020,VLOOKUP($BJ168,'Treasury Yields'!$C$180:$N$209,$E168,FALSE)/100,IF($B168=2021,VLOOKUP($BJ168,'Treasury Yields'!$C$215:$N$244,$E168,FALSE)/100,IF($B168=2022,VLOOKUP($BJ168,'Treasury Yields'!$C$250:$N$279,$E168,FALSE)/100)))))))),0)</f>
        <v>1.1480090909090907E-2</v>
      </c>
      <c r="BL168">
        <f t="shared" si="331"/>
        <v>1.8232054235538411</v>
      </c>
      <c r="BM168">
        <f t="shared" si="332"/>
        <v>11674443.77478198</v>
      </c>
      <c r="BN168">
        <f t="shared" si="333"/>
        <v>5349132.7747819796</v>
      </c>
      <c r="BP168">
        <f>IF($BJ168&lt;=30,IF($B168=2015,VLOOKUP($BJ168,'Treasury Yields'!$C$40:$N$69,$E168,FALSE)/100,IF($B168=2016,VLOOKUP($BJ168,'Treasury Yields'!$C$75:$N$104,$E168,FALSE)/100,IF($B168=2017,VLOOKUP($BJ168,'Treasury Yields'!$C$110:$N$139,$E168,FALSE)/100,IF($B168=2018,VLOOKUP($BJ168,'Treasury Yields'!$C$145:$N$174,$E168,FALSE)/100,IF($B168=2019,VLOOKUP($BJ168,'Treasury Yields'!$C$180:$N$209,$E168,FALSE)/100,IF($B168=2020,VLOOKUP($BJ168,'Treasury Yields'!$C$215:$N$244,$E168,FALSE)/100,IF($B168=2021,VLOOKUP($BJ168,'Treasury Yields'!$C$250:$N$279,$E168,FALSE)/100,IF($B168=2022,VLOOKUP($BJ168,'Treasury Yields'!$C$285:$N$314,$E168,FALSE)/100)))))))),0)</f>
        <v>2.0093272727272727E-2</v>
      </c>
      <c r="BQ168">
        <f t="shared" si="334"/>
        <v>1.7647355031295255</v>
      </c>
      <c r="BR168">
        <f t="shared" si="335"/>
        <v>13266755.621347841</v>
      </c>
      <c r="BS168">
        <f t="shared" si="336"/>
        <v>5279260.6213478409</v>
      </c>
      <c r="BU168">
        <f t="shared" si="276"/>
        <v>19</v>
      </c>
      <c r="BV168">
        <f t="shared" si="337"/>
        <v>3.5060319531331632</v>
      </c>
      <c r="BW168">
        <f t="shared" si="338"/>
        <v>666275.79427756695</v>
      </c>
      <c r="BX168" s="5">
        <f t="shared" si="339"/>
        <v>139889.1733738553</v>
      </c>
      <c r="BY168" s="5">
        <f t="shared" si="340"/>
        <v>67274.028065582592</v>
      </c>
      <c r="BZ168" s="5">
        <f t="shared" si="341"/>
        <v>629966</v>
      </c>
      <c r="CA168" s="5">
        <f t="shared" si="342"/>
        <v>733549.82234314957</v>
      </c>
      <c r="CC168" s="5">
        <f t="shared" si="343"/>
        <v>13266755.621347841</v>
      </c>
      <c r="CD168" s="5" t="str">
        <f t="shared" si="344"/>
        <v>Indiana</v>
      </c>
      <c r="CE168" s="5">
        <f t="shared" si="274"/>
        <v>1.0624915698972903</v>
      </c>
      <c r="CF168" s="10">
        <f t="shared" si="345"/>
        <v>0.60206845049193025</v>
      </c>
    </row>
    <row r="169" spans="1:84" hidden="1" x14ac:dyDescent="0.2">
      <c r="A169">
        <v>15000000090600</v>
      </c>
      <c r="B169">
        <v>2022</v>
      </c>
      <c r="C169">
        <v>571</v>
      </c>
      <c r="D169" t="s">
        <v>336</v>
      </c>
      <c r="E169">
        <v>6</v>
      </c>
      <c r="F169" t="s">
        <v>337</v>
      </c>
      <c r="G169" t="s">
        <v>338</v>
      </c>
      <c r="H169" t="s">
        <v>339</v>
      </c>
      <c r="I169" t="b">
        <v>1</v>
      </c>
      <c r="J169">
        <v>230270</v>
      </c>
      <c r="K169">
        <v>479121</v>
      </c>
      <c r="L169">
        <v>0</v>
      </c>
      <c r="M169">
        <v>91984</v>
      </c>
      <c r="N169">
        <v>0</v>
      </c>
      <c r="O169">
        <v>168621</v>
      </c>
      <c r="P169">
        <v>4037</v>
      </c>
      <c r="Q169">
        <v>637289</v>
      </c>
      <c r="R169">
        <v>7517702</v>
      </c>
      <c r="S169">
        <v>8154991</v>
      </c>
      <c r="T169">
        <v>210665</v>
      </c>
      <c r="V169">
        <v>433</v>
      </c>
      <c r="W169">
        <v>-532181</v>
      </c>
      <c r="Y169">
        <v>5292</v>
      </c>
      <c r="Z169">
        <v>3</v>
      </c>
      <c r="AA169">
        <v>-490955</v>
      </c>
      <c r="AB169">
        <v>7987495</v>
      </c>
      <c r="AC169">
        <v>7496540</v>
      </c>
      <c r="AD169">
        <v>658451</v>
      </c>
      <c r="AE169">
        <v>-469793</v>
      </c>
      <c r="AF169">
        <v>1128244</v>
      </c>
      <c r="AG169">
        <v>3915888</v>
      </c>
      <c r="AI169" t="b">
        <v>1</v>
      </c>
      <c r="AK169">
        <v>6.25E-2</v>
      </c>
      <c r="AL169">
        <v>6.25E-2</v>
      </c>
      <c r="AM169">
        <v>6.25E-2</v>
      </c>
      <c r="AN169">
        <v>6.25E-2</v>
      </c>
      <c r="AS169">
        <v>2096210</v>
      </c>
      <c r="AT169">
        <v>-502488</v>
      </c>
      <c r="AV169" t="s">
        <v>346</v>
      </c>
      <c r="BB169">
        <f t="shared" si="323"/>
        <v>0.91925791211786745</v>
      </c>
      <c r="BD169">
        <f t="shared" si="324"/>
        <v>1437759</v>
      </c>
      <c r="BE169">
        <f t="shared" si="325"/>
        <v>-1160939</v>
      </c>
      <c r="BF169">
        <f t="shared" si="326"/>
        <v>17.630417985746398</v>
      </c>
      <c r="BG169">
        <f t="shared" si="327"/>
        <v>-14.235932326596068</v>
      </c>
      <c r="BH169">
        <f t="shared" si="328"/>
        <v>15.933175156171234</v>
      </c>
      <c r="BI169">
        <f t="shared" si="329"/>
        <v>169.72428295751644</v>
      </c>
      <c r="BJ169">
        <f t="shared" si="330"/>
        <v>16</v>
      </c>
      <c r="BK169">
        <f>IF($BJ169&lt;=30,IF($B169=2015,VLOOKUP($BJ169,'Treasury Yields'!$C$5:$N$34,$E169,FALSE)/100,IF($B169=2016,VLOOKUP($BJ169,'Treasury Yields'!$C$40:$N$69,$E169,FALSE)/100,IF($B169=2017,VLOOKUP($BJ169,'Treasury Yields'!$C$75:$N$104,$E169,FALSE)/100,IF($B169=2018,VLOOKUP($BJ169,'Treasury Yields'!$C$110:$N$139,$E169,FALSE)/100,IF($B169=2019,VLOOKUP($BJ169,'Treasury Yields'!$C$145:$N$174,$E169,FALSE)/100,IF($B169=2020,VLOOKUP($BJ169,'Treasury Yields'!$C$180:$N$209,$E169,FALSE)/100,IF($B169=2021,VLOOKUP($BJ169,'Treasury Yields'!$C$215:$N$244,$E169,FALSE)/100,IF($B169=2022,VLOOKUP($BJ169,'Treasury Yields'!$C$250:$N$279,$E169,FALSE)/100)))))))),0)</f>
        <v>2.0093272727272727E-2</v>
      </c>
      <c r="BL169">
        <f t="shared" si="331"/>
        <v>1.6774721439543308</v>
      </c>
      <c r="BM169">
        <f t="shared" si="332"/>
        <v>12610735.691549759</v>
      </c>
      <c r="BN169">
        <f t="shared" si="333"/>
        <v>4623240.6915497594</v>
      </c>
      <c r="BP169">
        <f>IF($BJ169&lt;=30,IF($B169=2015,VLOOKUP($BJ169,'Treasury Yields'!$C$40:$N$69,$E169,FALSE)/100,IF($B169=2016,VLOOKUP($BJ169,'Treasury Yields'!$C$75:$N$104,$E169,FALSE)/100,IF($B169=2017,VLOOKUP($BJ169,'Treasury Yields'!$C$110:$N$139,$E169,FALSE)/100,IF($B169=2018,VLOOKUP($BJ169,'Treasury Yields'!$C$145:$N$174,$E169,FALSE)/100,IF($B169=2019,VLOOKUP($BJ169,'Treasury Yields'!$C$180:$N$209,$E169,FALSE)/100,IF($B169=2020,VLOOKUP($BJ169,'Treasury Yields'!$C$215:$N$244,$E169,FALSE)/100,IF($B169=2021,VLOOKUP($BJ169,'Treasury Yields'!$C$250:$N$279,$E169,FALSE)/100,IF($B169=2022,VLOOKUP($BJ169,'Treasury Yields'!$C$285:$N$314,$E169,FALSE)/100)))))))),0)</f>
        <v>3.4054818181818179E-2</v>
      </c>
      <c r="BQ169">
        <f t="shared" si="334"/>
        <v>1.4540311926268978</v>
      </c>
      <c r="BR169">
        <f t="shared" si="335"/>
        <v>11857611.289591618</v>
      </c>
      <c r="BS169">
        <f t="shared" si="336"/>
        <v>4361071.2895916179</v>
      </c>
      <c r="BU169">
        <f t="shared" si="276"/>
        <v>19</v>
      </c>
      <c r="BV169">
        <f t="shared" si="337"/>
        <v>2.7866219893035296</v>
      </c>
      <c r="BW169">
        <f t="shared" si="338"/>
        <v>641675.44547692372</v>
      </c>
      <c r="BX169" s="5">
        <f t="shared" si="339"/>
        <v>262896.16352967813</v>
      </c>
      <c r="BY169" s="5">
        <f t="shared" si="340"/>
        <v>102401.24808695089</v>
      </c>
      <c r="BZ169" s="5">
        <f t="shared" si="341"/>
        <v>709391</v>
      </c>
      <c r="CA169" s="5">
        <f t="shared" si="342"/>
        <v>744076.69356387458</v>
      </c>
      <c r="CC169" s="5">
        <f t="shared" si="343"/>
        <v>11857611.289591618</v>
      </c>
      <c r="CD169" s="5" t="str">
        <f t="shared" si="344"/>
        <v>Indiana</v>
      </c>
      <c r="CE169" s="5">
        <f t="shared" si="274"/>
        <v>0.91925791211786745</v>
      </c>
      <c r="CF169" s="10">
        <f t="shared" si="345"/>
        <v>0.6322133368109577</v>
      </c>
    </row>
    <row r="170" spans="1:84" hidden="1" x14ac:dyDescent="0.2">
      <c r="A170">
        <v>15000000090600</v>
      </c>
      <c r="B170">
        <v>2015</v>
      </c>
      <c r="C170">
        <v>572</v>
      </c>
      <c r="D170" t="s">
        <v>336</v>
      </c>
      <c r="E170">
        <v>6</v>
      </c>
      <c r="F170" t="s">
        <v>337</v>
      </c>
      <c r="G170" t="s">
        <v>347</v>
      </c>
      <c r="H170" t="s">
        <v>348</v>
      </c>
      <c r="I170" t="b">
        <v>1</v>
      </c>
      <c r="J170">
        <v>57751</v>
      </c>
      <c r="K170">
        <v>959895</v>
      </c>
      <c r="M170">
        <v>-140466</v>
      </c>
      <c r="N170">
        <v>1033158</v>
      </c>
      <c r="O170">
        <v>1100434</v>
      </c>
      <c r="P170">
        <v>3266</v>
      </c>
      <c r="Q170">
        <v>956416</v>
      </c>
      <c r="R170">
        <v>14639876</v>
      </c>
      <c r="S170">
        <v>15596292</v>
      </c>
      <c r="T170">
        <v>5811</v>
      </c>
      <c r="U170">
        <v>845616</v>
      </c>
      <c r="V170">
        <v>0</v>
      </c>
      <c r="W170">
        <v>953</v>
      </c>
      <c r="Y170">
        <v>6530</v>
      </c>
      <c r="Z170">
        <v>21</v>
      </c>
      <c r="AA170">
        <v>-108072</v>
      </c>
      <c r="AB170">
        <v>3786527</v>
      </c>
      <c r="AC170">
        <v>3678455</v>
      </c>
      <c r="AD170">
        <v>11917837</v>
      </c>
      <c r="AE170">
        <v>10853349</v>
      </c>
      <c r="AF170">
        <v>1064488</v>
      </c>
      <c r="AG170">
        <v>1074827</v>
      </c>
      <c r="AH170">
        <v>5.4064514568391009E-3</v>
      </c>
      <c r="AI170" t="b">
        <v>1</v>
      </c>
      <c r="AK170">
        <v>6.7500000000000004E-2</v>
      </c>
      <c r="AL170">
        <v>6.7500000000000004E-2</v>
      </c>
      <c r="AM170">
        <v>6.7500000000000004E-2</v>
      </c>
      <c r="AN170">
        <v>6.7500000000000004E-2</v>
      </c>
      <c r="AO170">
        <v>1</v>
      </c>
      <c r="AP170">
        <v>0</v>
      </c>
      <c r="AS170">
        <v>13522900</v>
      </c>
      <c r="AT170">
        <v>10563400</v>
      </c>
      <c r="BB170">
        <f t="shared" si="323"/>
        <v>0.23585445822635279</v>
      </c>
      <c r="BD170">
        <f t="shared" si="324"/>
        <v>1605063</v>
      </c>
      <c r="BE170">
        <f t="shared" si="325"/>
        <v>-1354437</v>
      </c>
      <c r="BF170">
        <f t="shared" si="326"/>
        <v>10.291311550206935</v>
      </c>
      <c r="BG170">
        <f t="shared" si="327"/>
        <v>-8.6843526653643064</v>
      </c>
      <c r="BH170">
        <f t="shared" si="328"/>
        <v>9.4878321077856196</v>
      </c>
      <c r="BI170">
        <f t="shared" si="329"/>
        <v>80.347944242131391</v>
      </c>
      <c r="BJ170">
        <f t="shared" si="330"/>
        <v>9</v>
      </c>
      <c r="BK170">
        <f>IF($BJ170&lt;=30,IF($B170=2015,VLOOKUP($BJ170,'Treasury Yields'!$C$5:$N$34,$E170,FALSE)/100,IF($B170=2016,VLOOKUP($BJ170,'Treasury Yields'!$C$40:$N$69,$E170,FALSE)/100,IF($B170=2017,VLOOKUP($BJ170,'Treasury Yields'!$C$75:$N$104,$E170,FALSE)/100,IF($B170=2018,VLOOKUP($BJ170,'Treasury Yields'!$C$110:$N$139,$E170,FALSE)/100,IF($B170=2019,VLOOKUP($BJ170,'Treasury Yields'!$C$145:$N$174,$E170,FALSE)/100,IF($B170=2020,VLOOKUP($BJ170,'Treasury Yields'!$C$180:$N$209,$E170,FALSE)/100,IF($B170=2021,VLOOKUP($BJ170,'Treasury Yields'!$C$215:$N$244,$E170,FALSE)/100,IF($B170=2022,VLOOKUP($BJ170,'Treasury Yields'!$C$250:$N$279,$E170,FALSE)/100)))))))),0)</f>
        <v>2.597E-2</v>
      </c>
      <c r="BL170">
        <f t="shared" si="331"/>
        <v>1.3957544083363369</v>
      </c>
      <c r="BM170">
        <f t="shared" si="332"/>
        <v>20433671.464497339</v>
      </c>
      <c r="BN170">
        <f t="shared" si="333"/>
        <v>16647144.464497339</v>
      </c>
      <c r="BP170">
        <f>IF($BJ170&lt;=30,IF($B170=2015,VLOOKUP($BJ170,'Treasury Yields'!$C$40:$N$69,$E170,FALSE)/100,IF($B170=2016,VLOOKUP($BJ170,'Treasury Yields'!$C$75:$N$104,$E170,FALSE)/100,IF($B170=2017,VLOOKUP($BJ170,'Treasury Yields'!$C$110:$N$139,$E170,FALSE)/100,IF($B170=2018,VLOOKUP($BJ170,'Treasury Yields'!$C$145:$N$174,$E170,FALSE)/100,IF($B170=2019,VLOOKUP($BJ170,'Treasury Yields'!$C$180:$N$209,$E170,FALSE)/100,IF($B170=2020,VLOOKUP($BJ170,'Treasury Yields'!$C$215:$N$244,$E170,FALSE)/100,IF($B170=2021,VLOOKUP($BJ170,'Treasury Yields'!$C$250:$N$279,$E170,FALSE)/100,IF($B170=2022,VLOOKUP($BJ170,'Treasury Yields'!$C$285:$N$314,$E170,FALSE)/100)))))))),0)</f>
        <v>2.4550000000000002E-2</v>
      </c>
      <c r="BQ170">
        <f t="shared" si="334"/>
        <v>1.4093470915293922</v>
      </c>
      <c r="BR170">
        <f t="shared" si="335"/>
        <v>21980588.768843126</v>
      </c>
      <c r="BS170">
        <f t="shared" si="336"/>
        <v>18302133.768843126</v>
      </c>
      <c r="BU170">
        <f t="shared" si="276"/>
        <v>12</v>
      </c>
      <c r="BV170">
        <f t="shared" si="337"/>
        <v>2.0309690531016606</v>
      </c>
      <c r="BW170">
        <f t="shared" si="338"/>
        <v>117290.493785674</v>
      </c>
      <c r="BX170" s="5">
        <f t="shared" si="339"/>
        <v>505130.21107660991</v>
      </c>
      <c r="BY170" s="5">
        <f t="shared" si="340"/>
        <v>406794.10488660983</v>
      </c>
      <c r="BZ170" s="5">
        <f t="shared" si="341"/>
        <v>1017646</v>
      </c>
      <c r="CA170" s="5">
        <f t="shared" si="342"/>
        <v>524084.59867228381</v>
      </c>
      <c r="CC170" s="5">
        <f t="shared" si="343"/>
        <v>21980588.768843126</v>
      </c>
      <c r="CD170" s="5" t="str">
        <f t="shared" si="344"/>
        <v>Indiana</v>
      </c>
      <c r="CE170" s="5">
        <f t="shared" si="274"/>
        <v>0.23585445822635279</v>
      </c>
      <c r="CF170" s="10">
        <f t="shared" si="345"/>
        <v>0.16735015784536708</v>
      </c>
    </row>
    <row r="171" spans="1:84" hidden="1" x14ac:dyDescent="0.2">
      <c r="A171">
        <v>15000000090600</v>
      </c>
      <c r="B171">
        <v>2016</v>
      </c>
      <c r="C171">
        <v>572</v>
      </c>
      <c r="D171" t="s">
        <v>336</v>
      </c>
      <c r="E171">
        <v>6</v>
      </c>
      <c r="F171" t="s">
        <v>337</v>
      </c>
      <c r="G171" t="s">
        <v>347</v>
      </c>
      <c r="H171" t="s">
        <v>348</v>
      </c>
      <c r="I171" t="b">
        <v>1</v>
      </c>
      <c r="J171">
        <v>46787</v>
      </c>
      <c r="K171">
        <v>1019403</v>
      </c>
      <c r="M171">
        <v>-5794</v>
      </c>
      <c r="O171">
        <v>1118122</v>
      </c>
      <c r="Q171">
        <v>-21220</v>
      </c>
      <c r="R171">
        <v>15596292</v>
      </c>
      <c r="S171">
        <v>15575072</v>
      </c>
      <c r="T171">
        <v>5048</v>
      </c>
      <c r="U171">
        <v>887500</v>
      </c>
      <c r="V171">
        <v>132</v>
      </c>
      <c r="W171">
        <v>40767</v>
      </c>
      <c r="Y171">
        <v>6564</v>
      </c>
      <c r="AA171">
        <v>-156054</v>
      </c>
      <c r="AB171">
        <v>3678455</v>
      </c>
      <c r="AC171">
        <v>3522401</v>
      </c>
      <c r="AD171">
        <v>12052671</v>
      </c>
      <c r="AE171">
        <v>11917837</v>
      </c>
      <c r="AF171">
        <v>134834</v>
      </c>
      <c r="AG171">
        <v>989093</v>
      </c>
      <c r="AH171">
        <v>5.1036656815890919E-3</v>
      </c>
      <c r="AI171" t="b">
        <v>1</v>
      </c>
      <c r="AK171">
        <v>6.7500000000000004E-2</v>
      </c>
      <c r="AL171">
        <v>6.7500000000000004E-2</v>
      </c>
      <c r="AM171">
        <v>6.7500000000000004E-2</v>
      </c>
      <c r="AN171">
        <v>6.7500000000000004E-2</v>
      </c>
      <c r="AO171">
        <v>1</v>
      </c>
      <c r="AP171">
        <v>0</v>
      </c>
      <c r="AS171">
        <v>13630767</v>
      </c>
      <c r="AT171">
        <v>10707809</v>
      </c>
      <c r="AU171" t="s">
        <v>349</v>
      </c>
      <c r="AV171" t="s">
        <v>341</v>
      </c>
      <c r="BB171">
        <f t="shared" si="323"/>
        <v>0.22615632210239542</v>
      </c>
      <c r="BD171">
        <f t="shared" si="324"/>
        <v>1578096</v>
      </c>
      <c r="BE171">
        <f t="shared" si="325"/>
        <v>-1344862</v>
      </c>
      <c r="BF171">
        <f t="shared" si="326"/>
        <v>10.132190721172909</v>
      </c>
      <c r="BG171">
        <f t="shared" si="327"/>
        <v>-8.634708077111938</v>
      </c>
      <c r="BH171">
        <f t="shared" si="328"/>
        <v>9.3834493991424246</v>
      </c>
      <c r="BI171">
        <f t="shared" si="329"/>
        <v>74.874132203048561</v>
      </c>
      <c r="BJ171">
        <f t="shared" si="330"/>
        <v>9</v>
      </c>
      <c r="BK171">
        <f>IF($BJ171&lt;=30,IF($B171=2015,VLOOKUP($BJ171,'Treasury Yields'!$C$5:$N$34,$E171,FALSE)/100,IF($B171=2016,VLOOKUP($BJ171,'Treasury Yields'!$C$40:$N$69,$E171,FALSE)/100,IF($B171=2017,VLOOKUP($BJ171,'Treasury Yields'!$C$75:$N$104,$E171,FALSE)/100,IF($B171=2018,VLOOKUP($BJ171,'Treasury Yields'!$C$110:$N$139,$E171,FALSE)/100,IF($B171=2019,VLOOKUP($BJ171,'Treasury Yields'!$C$145:$N$174,$E171,FALSE)/100,IF($B171=2020,VLOOKUP($BJ171,'Treasury Yields'!$C$180:$N$209,$E171,FALSE)/100,IF($B171=2021,VLOOKUP($BJ171,'Treasury Yields'!$C$215:$N$244,$E171,FALSE)/100,IF($B171=2022,VLOOKUP($BJ171,'Treasury Yields'!$C$250:$N$279,$E171,FALSE)/100)))))))),0)</f>
        <v>2.4550000000000002E-2</v>
      </c>
      <c r="BL171">
        <f t="shared" si="331"/>
        <v>1.4048638541931671</v>
      </c>
      <c r="BM171">
        <f t="shared" si="332"/>
        <v>21910666.890242059</v>
      </c>
      <c r="BN171">
        <f t="shared" si="333"/>
        <v>18232211.890242059</v>
      </c>
      <c r="BP171">
        <f>IF($BJ171&lt;=30,IF($B171=2015,VLOOKUP($BJ171,'Treasury Yields'!$C$40:$N$69,$E171,FALSE)/100,IF($B171=2016,VLOOKUP($BJ171,'Treasury Yields'!$C$75:$N$104,$E171,FALSE)/100,IF($B171=2017,VLOOKUP($BJ171,'Treasury Yields'!$C$110:$N$139,$E171,FALSE)/100,IF($B171=2018,VLOOKUP($BJ171,'Treasury Yields'!$C$145:$N$174,$E171,FALSE)/100,IF($B171=2019,VLOOKUP($BJ171,'Treasury Yields'!$C$180:$N$209,$E171,FALSE)/100,IF($B171=2020,VLOOKUP($BJ171,'Treasury Yields'!$C$215:$N$244,$E171,FALSE)/100,IF($B171=2021,VLOOKUP($BJ171,'Treasury Yields'!$C$250:$N$279,$E171,FALSE)/100,IF($B171=2022,VLOOKUP($BJ171,'Treasury Yields'!$C$285:$N$314,$E171,FALSE)/100)))))))),0)</f>
        <v>1.5700000000000002E-2</v>
      </c>
      <c r="BQ171">
        <f t="shared" si="334"/>
        <v>1.4887459188755776</v>
      </c>
      <c r="BR171">
        <f t="shared" si="335"/>
        <v>23187324.876193281</v>
      </c>
      <c r="BS171">
        <f t="shared" si="336"/>
        <v>19664923.876193281</v>
      </c>
      <c r="BU171">
        <f t="shared" si="276"/>
        <v>12</v>
      </c>
      <c r="BV171">
        <f t="shared" si="337"/>
        <v>2.0565396505534617</v>
      </c>
      <c r="BW171">
        <f t="shared" si="338"/>
        <v>96219.32063044481</v>
      </c>
      <c r="BX171" s="5">
        <f t="shared" si="339"/>
        <v>512819.16137692006</v>
      </c>
      <c r="BY171" s="5">
        <f t="shared" si="340"/>
        <v>422513.09112692002</v>
      </c>
      <c r="BZ171" s="5">
        <f t="shared" si="341"/>
        <v>1066190</v>
      </c>
      <c r="CA171" s="5">
        <f t="shared" si="342"/>
        <v>518732.41175736481</v>
      </c>
      <c r="CC171" s="5">
        <f t="shared" si="343"/>
        <v>23187324.876193281</v>
      </c>
      <c r="CD171" s="5" t="str">
        <f t="shared" si="344"/>
        <v>Indiana</v>
      </c>
      <c r="CE171" s="5">
        <f t="shared" si="274"/>
        <v>0.22615632210239542</v>
      </c>
      <c r="CF171" s="10">
        <f t="shared" si="345"/>
        <v>0.15191062439533479</v>
      </c>
    </row>
    <row r="172" spans="1:84" hidden="1" x14ac:dyDescent="0.2">
      <c r="A172">
        <v>15000000090600</v>
      </c>
      <c r="B172">
        <v>2017</v>
      </c>
      <c r="C172">
        <v>572</v>
      </c>
      <c r="D172" t="s">
        <v>336</v>
      </c>
      <c r="E172">
        <v>6</v>
      </c>
      <c r="F172" t="s">
        <v>337</v>
      </c>
      <c r="G172" t="s">
        <v>347</v>
      </c>
      <c r="H172" t="s">
        <v>348</v>
      </c>
      <c r="I172" t="b">
        <v>1</v>
      </c>
      <c r="J172">
        <v>43204</v>
      </c>
      <c r="K172">
        <v>1016915</v>
      </c>
      <c r="L172">
        <v>4213</v>
      </c>
      <c r="M172">
        <v>22416</v>
      </c>
      <c r="N172">
        <v>-61548</v>
      </c>
      <c r="O172">
        <v>1135662</v>
      </c>
      <c r="Q172">
        <v>-80533</v>
      </c>
      <c r="R172">
        <v>15575072</v>
      </c>
      <c r="S172">
        <v>15494539</v>
      </c>
      <c r="T172">
        <v>4525</v>
      </c>
      <c r="U172">
        <v>871000</v>
      </c>
      <c r="V172">
        <v>10</v>
      </c>
      <c r="W172">
        <v>288850</v>
      </c>
      <c r="Y172">
        <v>6226</v>
      </c>
      <c r="AA172">
        <v>52999</v>
      </c>
      <c r="AB172">
        <v>3522401</v>
      </c>
      <c r="AC172">
        <v>3575400</v>
      </c>
      <c r="AD172">
        <v>11919139</v>
      </c>
      <c r="AE172">
        <v>12052671</v>
      </c>
      <c r="AF172">
        <v>-133532</v>
      </c>
      <c r="AG172">
        <v>912685</v>
      </c>
      <c r="AH172">
        <v>4.9578989465149529E-3</v>
      </c>
      <c r="AI172" t="b">
        <v>1</v>
      </c>
      <c r="AK172">
        <v>6.7500000000000004E-2</v>
      </c>
      <c r="AL172">
        <v>6.7500000000000004E-2</v>
      </c>
      <c r="AM172">
        <v>6.7500000000000004E-2</v>
      </c>
      <c r="AN172">
        <v>6.7500000000000004E-2</v>
      </c>
      <c r="AO172">
        <v>1</v>
      </c>
      <c r="AP172">
        <v>0</v>
      </c>
      <c r="AS172">
        <v>13449616</v>
      </c>
      <c r="AT172">
        <v>10610092</v>
      </c>
      <c r="BB172">
        <f t="shared" si="323"/>
        <v>0.23075226697612625</v>
      </c>
      <c r="BD172">
        <f t="shared" si="324"/>
        <v>1530477</v>
      </c>
      <c r="BE172">
        <f t="shared" si="325"/>
        <v>-1309047</v>
      </c>
      <c r="BF172">
        <f t="shared" si="326"/>
        <v>9.8775252364720245</v>
      </c>
      <c r="BG172">
        <f t="shared" si="327"/>
        <v>-8.4484410926972391</v>
      </c>
      <c r="BH172">
        <f t="shared" si="328"/>
        <v>9.1629831645846309</v>
      </c>
      <c r="BI172">
        <f t="shared" si="329"/>
        <v>71.454207188739204</v>
      </c>
      <c r="BJ172">
        <f t="shared" si="330"/>
        <v>9</v>
      </c>
      <c r="BK172">
        <f>IF($BJ172&lt;=30,IF($B172=2015,VLOOKUP($BJ172,'Treasury Yields'!$C$5:$N$34,$E172,FALSE)/100,IF($B172=2016,VLOOKUP($BJ172,'Treasury Yields'!$C$40:$N$69,$E172,FALSE)/100,IF($B172=2017,VLOOKUP($BJ172,'Treasury Yields'!$C$75:$N$104,$E172,FALSE)/100,IF($B172=2018,VLOOKUP($BJ172,'Treasury Yields'!$C$110:$N$139,$E172,FALSE)/100,IF($B172=2019,VLOOKUP($BJ172,'Treasury Yields'!$C$145:$N$174,$E172,FALSE)/100,IF($B172=2020,VLOOKUP($BJ172,'Treasury Yields'!$C$180:$N$209,$E172,FALSE)/100,IF($B172=2021,VLOOKUP($BJ172,'Treasury Yields'!$C$215:$N$244,$E172,FALSE)/100,IF($B172=2022,VLOOKUP($BJ172,'Treasury Yields'!$C$250:$N$279,$E172,FALSE)/100)))))))),0)</f>
        <v>1.5700000000000002E-2</v>
      </c>
      <c r="BL172">
        <f t="shared" si="331"/>
        <v>1.4773257679254841</v>
      </c>
      <c r="BM172">
        <f t="shared" si="332"/>
        <v>23009455.202894706</v>
      </c>
      <c r="BN172">
        <f t="shared" si="333"/>
        <v>19487054.202894706</v>
      </c>
      <c r="BP172">
        <f>IF($BJ172&lt;=30,IF($B172=2015,VLOOKUP($BJ172,'Treasury Yields'!$C$40:$N$69,$E172,FALSE)/100,IF($B172=2016,VLOOKUP($BJ172,'Treasury Yields'!$C$75:$N$104,$E172,FALSE)/100,IF($B172=2017,VLOOKUP($BJ172,'Treasury Yields'!$C$110:$N$139,$E172,FALSE)/100,IF($B172=2018,VLOOKUP($BJ172,'Treasury Yields'!$C$145:$N$174,$E172,FALSE)/100,IF($B172=2019,VLOOKUP($BJ172,'Treasury Yields'!$C$180:$N$209,$E172,FALSE)/100,IF($B172=2020,VLOOKUP($BJ172,'Treasury Yields'!$C$215:$N$244,$E172,FALSE)/100,IF($B172=2021,VLOOKUP($BJ172,'Treasury Yields'!$C$250:$N$279,$E172,FALSE)/100,IF($B172=2022,VLOOKUP($BJ172,'Treasury Yields'!$C$285:$N$314,$E172,FALSE)/100)))))))),0)</f>
        <v>2.3910000000000001E-2</v>
      </c>
      <c r="BQ172">
        <f t="shared" si="334"/>
        <v>1.401314524244244</v>
      </c>
      <c r="BR172">
        <f t="shared" si="335"/>
        <v>21712722.547168884</v>
      </c>
      <c r="BS172">
        <f t="shared" si="336"/>
        <v>18137322.547168884</v>
      </c>
      <c r="BU172">
        <f t="shared" si="276"/>
        <v>12</v>
      </c>
      <c r="BV172">
        <f t="shared" si="337"/>
        <v>2.2879713148225966</v>
      </c>
      <c r="BW172">
        <f t="shared" si="338"/>
        <v>98849.512685595459</v>
      </c>
      <c r="BX172" s="5">
        <f t="shared" si="339"/>
        <v>344970.49063461082</v>
      </c>
      <c r="BY172" s="5">
        <f t="shared" si="340"/>
        <v>289668.79493461078</v>
      </c>
      <c r="BZ172" s="5">
        <f t="shared" si="341"/>
        <v>1060119</v>
      </c>
      <c r="CA172" s="5">
        <f t="shared" si="342"/>
        <v>388518.30762020627</v>
      </c>
      <c r="CC172" s="5">
        <f t="shared" si="343"/>
        <v>21712722.547168884</v>
      </c>
      <c r="CD172" s="5" t="str">
        <f t="shared" si="344"/>
        <v>Indiana</v>
      </c>
      <c r="CE172" s="5">
        <f t="shared" si="274"/>
        <v>0.23075226697612625</v>
      </c>
      <c r="CF172" s="10">
        <f t="shared" si="345"/>
        <v>0.16466843309183238</v>
      </c>
    </row>
    <row r="173" spans="1:84" hidden="1" x14ac:dyDescent="0.2">
      <c r="A173">
        <v>15000000090600</v>
      </c>
      <c r="B173">
        <v>2018</v>
      </c>
      <c r="C173">
        <v>572</v>
      </c>
      <c r="D173" t="s">
        <v>336</v>
      </c>
      <c r="E173">
        <v>6</v>
      </c>
      <c r="F173" t="s">
        <v>337</v>
      </c>
      <c r="G173" t="s">
        <v>347</v>
      </c>
      <c r="H173" t="s">
        <v>348</v>
      </c>
      <c r="I173" t="b">
        <v>1</v>
      </c>
      <c r="J173">
        <v>44603</v>
      </c>
      <c r="K173">
        <v>1010565</v>
      </c>
      <c r="M173">
        <v>-162414</v>
      </c>
      <c r="N173">
        <v>-668484</v>
      </c>
      <c r="O173">
        <v>1153374</v>
      </c>
      <c r="P173">
        <v>1428</v>
      </c>
      <c r="Q173">
        <v>-911350</v>
      </c>
      <c r="R173">
        <v>15494539</v>
      </c>
      <c r="S173">
        <v>14583189</v>
      </c>
      <c r="T173">
        <v>4168</v>
      </c>
      <c r="U173">
        <v>917900</v>
      </c>
      <c r="V173">
        <v>156</v>
      </c>
      <c r="W173">
        <v>354639</v>
      </c>
      <c r="Y173">
        <v>5385</v>
      </c>
      <c r="Z173">
        <v>113</v>
      </c>
      <c r="AA173">
        <v>135947</v>
      </c>
      <c r="AB173">
        <v>3575400</v>
      </c>
      <c r="AC173">
        <v>3711347</v>
      </c>
      <c r="AD173">
        <v>10871842</v>
      </c>
      <c r="AE173">
        <v>11919139</v>
      </c>
      <c r="AF173">
        <v>-1047297</v>
      </c>
      <c r="AG173">
        <v>824770</v>
      </c>
      <c r="AH173">
        <v>5.0535300750512262E-3</v>
      </c>
      <c r="AI173" t="b">
        <v>1</v>
      </c>
      <c r="AK173">
        <v>6.7500000000000004E-2</v>
      </c>
      <c r="AL173">
        <v>6.7500000000000004E-2</v>
      </c>
      <c r="AM173">
        <v>6.7500000000000004E-2</v>
      </c>
      <c r="AN173">
        <v>6.7500000000000004E-2</v>
      </c>
      <c r="AO173">
        <v>1</v>
      </c>
      <c r="AP173">
        <v>0</v>
      </c>
      <c r="AS173">
        <v>12228232</v>
      </c>
      <c r="AT173">
        <v>9706327</v>
      </c>
      <c r="AU173" t="s">
        <v>350</v>
      </c>
      <c r="AV173" t="s">
        <v>342</v>
      </c>
      <c r="BB173">
        <f t="shared" si="323"/>
        <v>0.25449488448651392</v>
      </c>
      <c r="BD173">
        <f t="shared" si="324"/>
        <v>1356390</v>
      </c>
      <c r="BE173">
        <f t="shared" si="325"/>
        <v>-1165515</v>
      </c>
      <c r="BF173">
        <f t="shared" si="326"/>
        <v>9.3010520538408983</v>
      </c>
      <c r="BG173">
        <f t="shared" si="327"/>
        <v>-7.992181956909425</v>
      </c>
      <c r="BH173">
        <f t="shared" si="328"/>
        <v>8.6466170053751625</v>
      </c>
      <c r="BI173">
        <f t="shared" si="329"/>
        <v>65.443504846573688</v>
      </c>
      <c r="BJ173">
        <f t="shared" si="330"/>
        <v>9</v>
      </c>
      <c r="BK173">
        <f>IF($BJ173&lt;=30,IF($B173=2015,VLOOKUP($BJ173,'Treasury Yields'!$C$5:$N$34,$E173,FALSE)/100,IF($B173=2016,VLOOKUP($BJ173,'Treasury Yields'!$C$40:$N$69,$E173,FALSE)/100,IF($B173=2017,VLOOKUP($BJ173,'Treasury Yields'!$C$75:$N$104,$E173,FALSE)/100,IF($B173=2018,VLOOKUP($BJ173,'Treasury Yields'!$C$110:$N$139,$E173,FALSE)/100,IF($B173=2019,VLOOKUP($BJ173,'Treasury Yields'!$C$145:$N$174,$E173,FALSE)/100,IF($B173=2020,VLOOKUP($BJ173,'Treasury Yields'!$C$180:$N$209,$E173,FALSE)/100,IF($B173=2021,VLOOKUP($BJ173,'Treasury Yields'!$C$215:$N$244,$E173,FALSE)/100,IF($B173=2022,VLOOKUP($BJ173,'Treasury Yields'!$C$250:$N$279,$E173,FALSE)/100)))))))),0)</f>
        <v>2.3910000000000001E-2</v>
      </c>
      <c r="BL173">
        <f t="shared" si="331"/>
        <v>1.3788061233643034</v>
      </c>
      <c r="BM173">
        <f t="shared" si="332"/>
        <v>21363965.25190701</v>
      </c>
      <c r="BN173">
        <f t="shared" si="333"/>
        <v>17788565.25190701</v>
      </c>
      <c r="BP173">
        <f>IF($BJ173&lt;=30,IF($B173=2015,VLOOKUP($BJ173,'Treasury Yields'!$C$40:$N$69,$E173,FALSE)/100,IF($B173=2016,VLOOKUP($BJ173,'Treasury Yields'!$C$75:$N$104,$E173,FALSE)/100,IF($B173=2017,VLOOKUP($BJ173,'Treasury Yields'!$C$110:$N$139,$E173,FALSE)/100,IF($B173=2018,VLOOKUP($BJ173,'Treasury Yields'!$C$145:$N$174,$E173,FALSE)/100,IF($B173=2019,VLOOKUP($BJ173,'Treasury Yields'!$C$180:$N$209,$E173,FALSE)/100,IF($B173=2020,VLOOKUP($BJ173,'Treasury Yields'!$C$215:$N$244,$E173,FALSE)/100,IF($B173=2021,VLOOKUP($BJ173,'Treasury Yields'!$C$250:$N$279,$E173,FALSE)/100,IF($B173=2022,VLOOKUP($BJ173,'Treasury Yields'!$C$285:$N$314,$E173,FALSE)/100)))))))),0)</f>
        <v>2.9440000000000001E-2</v>
      </c>
      <c r="BQ173">
        <f t="shared" si="334"/>
        <v>1.3305388068245785</v>
      </c>
      <c r="BR173">
        <f t="shared" si="335"/>
        <v>19403498.891757317</v>
      </c>
      <c r="BS173">
        <f t="shared" si="336"/>
        <v>15692151.891757317</v>
      </c>
      <c r="BU173">
        <f t="shared" si="276"/>
        <v>12</v>
      </c>
      <c r="BV173">
        <f t="shared" si="337"/>
        <v>2.0243344600455706</v>
      </c>
      <c r="BW173">
        <f t="shared" si="338"/>
        <v>90291.389921412585</v>
      </c>
      <c r="BX173" s="5">
        <f t="shared" si="339"/>
        <v>485394.10396611755</v>
      </c>
      <c r="BY173" s="5">
        <f t="shared" si="340"/>
        <v>399906.28996611759</v>
      </c>
      <c r="BZ173" s="5">
        <f t="shared" si="341"/>
        <v>1055168</v>
      </c>
      <c r="CA173" s="5">
        <f t="shared" si="342"/>
        <v>490197.67988753016</v>
      </c>
      <c r="CC173" s="5">
        <f t="shared" si="343"/>
        <v>19403498.891757317</v>
      </c>
      <c r="CD173" s="5" t="str">
        <f t="shared" si="344"/>
        <v>Indiana</v>
      </c>
      <c r="CE173" s="5">
        <f t="shared" si="274"/>
        <v>0.25449488448651392</v>
      </c>
      <c r="CF173" s="10">
        <f t="shared" si="345"/>
        <v>0.19127204947436541</v>
      </c>
    </row>
    <row r="174" spans="1:84" hidden="1" x14ac:dyDescent="0.2">
      <c r="A174">
        <v>15000000090600</v>
      </c>
      <c r="B174">
        <v>2019</v>
      </c>
      <c r="C174">
        <v>572</v>
      </c>
      <c r="D174" t="s">
        <v>336</v>
      </c>
      <c r="E174">
        <v>6</v>
      </c>
      <c r="F174" t="s">
        <v>337</v>
      </c>
      <c r="G174" t="s">
        <v>347</v>
      </c>
      <c r="H174" t="s">
        <v>348</v>
      </c>
      <c r="I174" t="b">
        <v>1</v>
      </c>
      <c r="J174">
        <v>37234</v>
      </c>
      <c r="K174">
        <v>947607</v>
      </c>
      <c r="M174">
        <v>-15073</v>
      </c>
      <c r="N174">
        <v>0</v>
      </c>
      <c r="O174">
        <v>1165134</v>
      </c>
      <c r="P174">
        <v>1494</v>
      </c>
      <c r="Q174">
        <v>-194025</v>
      </c>
      <c r="R174">
        <v>14583189</v>
      </c>
      <c r="S174">
        <v>14389164</v>
      </c>
      <c r="T174">
        <v>3505</v>
      </c>
      <c r="U174">
        <v>943900</v>
      </c>
      <c r="V174">
        <v>36</v>
      </c>
      <c r="W174">
        <v>269009</v>
      </c>
      <c r="Y174">
        <v>5329</v>
      </c>
      <c r="Z174">
        <v>317</v>
      </c>
      <c r="AA174">
        <v>47798</v>
      </c>
      <c r="AB174">
        <v>3711347</v>
      </c>
      <c r="AC174">
        <v>3759145</v>
      </c>
      <c r="AD174">
        <v>10630019</v>
      </c>
      <c r="AE174">
        <v>10871842</v>
      </c>
      <c r="AF174">
        <v>-241823</v>
      </c>
      <c r="AG174">
        <v>753355</v>
      </c>
      <c r="AH174">
        <v>4.6525210558103413E-3</v>
      </c>
      <c r="AI174" t="b">
        <v>1</v>
      </c>
      <c r="AK174">
        <v>6.7500000000000004E-2</v>
      </c>
      <c r="AL174">
        <v>6.7500000000000004E-2</v>
      </c>
      <c r="AM174">
        <v>6.7500000000000004E-2</v>
      </c>
      <c r="AN174">
        <v>6.7500000000000004E-2</v>
      </c>
      <c r="AO174">
        <v>1</v>
      </c>
      <c r="AP174">
        <v>0</v>
      </c>
      <c r="AS174">
        <v>11949033</v>
      </c>
      <c r="AT174">
        <v>9494757</v>
      </c>
      <c r="AV174" t="s">
        <v>343</v>
      </c>
      <c r="BB174">
        <f t="shared" si="323"/>
        <v>0.26124832547603183</v>
      </c>
      <c r="BD174">
        <f t="shared" si="324"/>
        <v>1319014</v>
      </c>
      <c r="BE174">
        <f t="shared" si="325"/>
        <v>-1135262</v>
      </c>
      <c r="BF174">
        <f t="shared" si="326"/>
        <v>9.1667173992874087</v>
      </c>
      <c r="BG174">
        <f t="shared" si="327"/>
        <v>-7.8897008888077176</v>
      </c>
      <c r="BH174">
        <f t="shared" si="328"/>
        <v>8.5282091440475618</v>
      </c>
      <c r="BI174">
        <f t="shared" si="329"/>
        <v>63.850825523984575</v>
      </c>
      <c r="BJ174">
        <f t="shared" si="330"/>
        <v>9</v>
      </c>
      <c r="BK174">
        <f>IF($BJ174&lt;=30,IF($B174=2015,VLOOKUP($BJ174,'Treasury Yields'!$C$5:$N$34,$E174,FALSE)/100,IF($B174=2016,VLOOKUP($BJ174,'Treasury Yields'!$C$40:$N$69,$E174,FALSE)/100,IF($B174=2017,VLOOKUP($BJ174,'Treasury Yields'!$C$75:$N$104,$E174,FALSE)/100,IF($B174=2018,VLOOKUP($BJ174,'Treasury Yields'!$C$110:$N$139,$E174,FALSE)/100,IF($B174=2019,VLOOKUP($BJ174,'Treasury Yields'!$C$145:$N$174,$E174,FALSE)/100,IF($B174=2020,VLOOKUP($BJ174,'Treasury Yields'!$C$180:$N$209,$E174,FALSE)/100,IF($B174=2021,VLOOKUP($BJ174,'Treasury Yields'!$C$215:$N$244,$E174,FALSE)/100,IF($B174=2022,VLOOKUP($BJ174,'Treasury Yields'!$C$250:$N$279,$E174,FALSE)/100)))))))),0)</f>
        <v>2.9440000000000001E-2</v>
      </c>
      <c r="BL174">
        <f t="shared" si="331"/>
        <v>1.3260322036224501</v>
      </c>
      <c r="BM174">
        <f t="shared" si="332"/>
        <v>19337778.245512675</v>
      </c>
      <c r="BN174">
        <f t="shared" si="333"/>
        <v>15626431.245512675</v>
      </c>
      <c r="BP174">
        <f>IF($BJ174&lt;=30,IF($B174=2015,VLOOKUP($BJ174,'Treasury Yields'!$C$40:$N$69,$E174,FALSE)/100,IF($B174=2016,VLOOKUP($BJ174,'Treasury Yields'!$C$75:$N$104,$E174,FALSE)/100,IF($B174=2017,VLOOKUP($BJ174,'Treasury Yields'!$C$110:$N$139,$E174,FALSE)/100,IF($B174=2018,VLOOKUP($BJ174,'Treasury Yields'!$C$145:$N$174,$E174,FALSE)/100,IF($B174=2019,VLOOKUP($BJ174,'Treasury Yields'!$C$180:$N$209,$E174,FALSE)/100,IF($B174=2020,VLOOKUP($BJ174,'Treasury Yields'!$C$215:$N$244,$E174,FALSE)/100,IF($B174=2021,VLOOKUP($BJ174,'Treasury Yields'!$C$250:$N$279,$E174,FALSE)/100,IF($B174=2022,VLOOKUP($BJ174,'Treasury Yields'!$C$285:$N$314,$E174,FALSE)/100)))))))),0)</f>
        <v>2.0739999999999998E-2</v>
      </c>
      <c r="BQ174">
        <f t="shared" si="334"/>
        <v>1.4009655571756641</v>
      </c>
      <c r="BR174">
        <f t="shared" si="335"/>
        <v>20158723.160552006</v>
      </c>
      <c r="BS174">
        <f t="shared" si="336"/>
        <v>16399578.160552006</v>
      </c>
      <c r="BU174">
        <f t="shared" si="276"/>
        <v>12</v>
      </c>
      <c r="BV174">
        <f t="shared" si="337"/>
        <v>1.8737956217064453</v>
      </c>
      <c r="BW174">
        <f t="shared" si="338"/>
        <v>69768.906178617792</v>
      </c>
      <c r="BX174" s="5">
        <f t="shared" si="339"/>
        <v>537056.64318579168</v>
      </c>
      <c r="BY174" s="5">
        <f t="shared" si="340"/>
        <v>427794.58750579169</v>
      </c>
      <c r="BZ174" s="5">
        <f t="shared" si="341"/>
        <v>984841</v>
      </c>
      <c r="CA174" s="5">
        <f t="shared" si="342"/>
        <v>497563.49368440948</v>
      </c>
      <c r="CC174" s="5">
        <f t="shared" si="343"/>
        <v>20158723.160552006</v>
      </c>
      <c r="CD174" s="5" t="str">
        <f t="shared" si="344"/>
        <v>Indiana</v>
      </c>
      <c r="CE174" s="5">
        <f t="shared" si="274"/>
        <v>0.26124832547603183</v>
      </c>
      <c r="CF174" s="10">
        <f t="shared" si="345"/>
        <v>0.18647733638984421</v>
      </c>
    </row>
    <row r="175" spans="1:84" hidden="1" x14ac:dyDescent="0.2">
      <c r="A175">
        <v>15000000090600</v>
      </c>
      <c r="B175">
        <v>2020</v>
      </c>
      <c r="C175">
        <v>572</v>
      </c>
      <c r="D175" t="s">
        <v>336</v>
      </c>
      <c r="E175">
        <v>6</v>
      </c>
      <c r="F175" t="s">
        <v>337</v>
      </c>
      <c r="G175" t="s">
        <v>347</v>
      </c>
      <c r="H175" t="s">
        <v>348</v>
      </c>
      <c r="I175" t="b">
        <v>1</v>
      </c>
      <c r="J175">
        <v>33750</v>
      </c>
      <c r="K175">
        <v>933928</v>
      </c>
      <c r="M175">
        <v>-43562</v>
      </c>
      <c r="N175">
        <v>-170663</v>
      </c>
      <c r="O175">
        <v>1174419</v>
      </c>
      <c r="P175">
        <v>484</v>
      </c>
      <c r="Q175">
        <v>-420461</v>
      </c>
      <c r="R175">
        <v>14389164</v>
      </c>
      <c r="S175">
        <v>13968703</v>
      </c>
      <c r="T175">
        <v>2356</v>
      </c>
      <c r="U175">
        <v>971132</v>
      </c>
      <c r="V175">
        <v>21</v>
      </c>
      <c r="W175">
        <v>107748</v>
      </c>
      <c r="Y175">
        <v>5341</v>
      </c>
      <c r="Z175">
        <v>25</v>
      </c>
      <c r="AA175">
        <v>-97994</v>
      </c>
      <c r="AB175">
        <v>3759145</v>
      </c>
      <c r="AC175">
        <v>3661151</v>
      </c>
      <c r="AD175">
        <v>10307552</v>
      </c>
      <c r="AE175">
        <v>10630019</v>
      </c>
      <c r="AF175">
        <v>-322467</v>
      </c>
      <c r="AG175">
        <v>693965</v>
      </c>
      <c r="AH175">
        <v>3.3949838968824076E-3</v>
      </c>
      <c r="AI175" t="b">
        <v>1</v>
      </c>
      <c r="AK175">
        <v>6.7500000000000004E-2</v>
      </c>
      <c r="AL175">
        <v>6.7500000000000004E-2</v>
      </c>
      <c r="AM175">
        <v>6.7500000000000004E-2</v>
      </c>
      <c r="AN175">
        <v>6.7500000000000004E-2</v>
      </c>
      <c r="AO175">
        <v>1</v>
      </c>
      <c r="AP175">
        <v>0</v>
      </c>
      <c r="AS175">
        <v>11565852</v>
      </c>
      <c r="AT175">
        <v>9222047</v>
      </c>
      <c r="AU175" t="s">
        <v>351</v>
      </c>
      <c r="AV175" t="s">
        <v>345</v>
      </c>
      <c r="BB175">
        <f t="shared" si="323"/>
        <v>0.26209670289360437</v>
      </c>
      <c r="BD175">
        <f t="shared" si="324"/>
        <v>1258300</v>
      </c>
      <c r="BE175">
        <f t="shared" si="325"/>
        <v>-1085505</v>
      </c>
      <c r="BF175">
        <f t="shared" si="326"/>
        <v>9.0079945145945199</v>
      </c>
      <c r="BG175">
        <f t="shared" si="327"/>
        <v>-7.770979166784489</v>
      </c>
      <c r="BH175">
        <f t="shared" si="328"/>
        <v>8.3894868406895036</v>
      </c>
      <c r="BI175">
        <f t="shared" si="329"/>
        <v>61.850767390501467</v>
      </c>
      <c r="BJ175">
        <f t="shared" si="330"/>
        <v>8</v>
      </c>
      <c r="BK175">
        <f>IF($BJ175&lt;=30,IF($B175=2015,VLOOKUP($BJ175,'Treasury Yields'!$C$5:$N$34,$E175,FALSE)/100,IF($B175=2016,VLOOKUP($BJ175,'Treasury Yields'!$C$40:$N$69,$E175,FALSE)/100,IF($B175=2017,VLOOKUP($BJ175,'Treasury Yields'!$C$75:$N$104,$E175,FALSE)/100,IF($B175=2018,VLOOKUP($BJ175,'Treasury Yields'!$C$110:$N$139,$E175,FALSE)/100,IF($B175=2019,VLOOKUP($BJ175,'Treasury Yields'!$C$145:$N$174,$E175,FALSE)/100,IF($B175=2020,VLOOKUP($BJ175,'Treasury Yields'!$C$180:$N$209,$E175,FALSE)/100,IF($B175=2021,VLOOKUP($BJ175,'Treasury Yields'!$C$215:$N$244,$E175,FALSE)/100,IF($B175=2022,VLOOKUP($BJ175,'Treasury Yields'!$C$250:$N$279,$E175,FALSE)/100)))))))),0)</f>
        <v>2.0250000000000001E-2</v>
      </c>
      <c r="BL175">
        <f t="shared" si="331"/>
        <v>1.3986358157225789</v>
      </c>
      <c r="BM175">
        <f t="shared" si="332"/>
        <v>20125200.128705967</v>
      </c>
      <c r="BN175">
        <f t="shared" si="333"/>
        <v>16366055.128705967</v>
      </c>
      <c r="BP175">
        <f>IF($BJ175&lt;=30,IF($B175=2015,VLOOKUP($BJ175,'Treasury Yields'!$C$40:$N$69,$E175,FALSE)/100,IF($B175=2016,VLOOKUP($BJ175,'Treasury Yields'!$C$75:$N$104,$E175,FALSE)/100,IF($B175=2017,VLOOKUP($BJ175,'Treasury Yields'!$C$110:$N$139,$E175,FALSE)/100,IF($B175=2018,VLOOKUP($BJ175,'Treasury Yields'!$C$145:$N$174,$E175,FALSE)/100,IF($B175=2019,VLOOKUP($BJ175,'Treasury Yields'!$C$180:$N$209,$E175,FALSE)/100,IF($B175=2020,VLOOKUP($BJ175,'Treasury Yields'!$C$215:$N$244,$E175,FALSE)/100,IF($B175=2021,VLOOKUP($BJ175,'Treasury Yields'!$C$250:$N$279,$E175,FALSE)/100,IF($B175=2022,VLOOKUP($BJ175,'Treasury Yields'!$C$285:$N$314,$E175,FALSE)/100)))))))),0)</f>
        <v>1.1038636363636365E-2</v>
      </c>
      <c r="BQ175">
        <f t="shared" si="334"/>
        <v>1.4768697528183354</v>
      </c>
      <c r="BR175">
        <f t="shared" si="335"/>
        <v>20629954.946802739</v>
      </c>
      <c r="BS175">
        <f t="shared" si="336"/>
        <v>16968803.946802739</v>
      </c>
      <c r="BU175">
        <f t="shared" si="276"/>
        <v>11</v>
      </c>
      <c r="BV175">
        <f t="shared" si="337"/>
        <v>2.0542389570948352</v>
      </c>
      <c r="BW175">
        <f t="shared" si="338"/>
        <v>69330.564801950692</v>
      </c>
      <c r="BX175" s="5">
        <f t="shared" si="339"/>
        <v>385157.26179353532</v>
      </c>
      <c r="BY175" s="5">
        <f t="shared" si="340"/>
        <v>309034.57554353535</v>
      </c>
      <c r="BZ175" s="5">
        <f t="shared" si="341"/>
        <v>967678</v>
      </c>
      <c r="CA175" s="5">
        <f t="shared" si="342"/>
        <v>378365.14034548606</v>
      </c>
      <c r="CC175" s="5">
        <f t="shared" si="343"/>
        <v>20629954.946802739</v>
      </c>
      <c r="CD175" s="5" t="str">
        <f t="shared" si="344"/>
        <v>Indiana</v>
      </c>
      <c r="CE175" s="5">
        <f t="shared" si="274"/>
        <v>0.26209670289360437</v>
      </c>
      <c r="CF175" s="10">
        <f t="shared" si="345"/>
        <v>0.17746771669840269</v>
      </c>
    </row>
    <row r="176" spans="1:84" hidden="1" x14ac:dyDescent="0.2">
      <c r="A176">
        <v>15000000090600</v>
      </c>
      <c r="B176">
        <v>2021</v>
      </c>
      <c r="C176">
        <v>572</v>
      </c>
      <c r="D176" t="s">
        <v>336</v>
      </c>
      <c r="E176">
        <v>6</v>
      </c>
      <c r="F176" t="s">
        <v>337</v>
      </c>
      <c r="G176" t="s">
        <v>347</v>
      </c>
      <c r="H176" t="s">
        <v>348</v>
      </c>
      <c r="I176" t="b">
        <v>1</v>
      </c>
      <c r="J176">
        <v>31513</v>
      </c>
      <c r="K176">
        <v>905232</v>
      </c>
      <c r="M176">
        <v>6414</v>
      </c>
      <c r="N176">
        <v>582474</v>
      </c>
      <c r="O176">
        <v>1178740</v>
      </c>
      <c r="P176">
        <v>-35</v>
      </c>
      <c r="Q176">
        <v>369485</v>
      </c>
      <c r="R176">
        <v>13968703</v>
      </c>
      <c r="S176">
        <v>14338188</v>
      </c>
      <c r="T176">
        <v>2254</v>
      </c>
      <c r="U176">
        <v>1598375</v>
      </c>
      <c r="V176">
        <v>23</v>
      </c>
      <c r="W176">
        <v>996761</v>
      </c>
      <c r="Y176">
        <v>5039</v>
      </c>
      <c r="Z176">
        <v>0</v>
      </c>
      <c r="AA176">
        <v>1413600</v>
      </c>
      <c r="AB176">
        <v>3661151</v>
      </c>
      <c r="AC176">
        <v>5074751</v>
      </c>
      <c r="AD176">
        <v>9263437</v>
      </c>
      <c r="AE176">
        <v>10307552</v>
      </c>
      <c r="AF176">
        <v>-1044115</v>
      </c>
      <c r="AG176">
        <v>625812</v>
      </c>
      <c r="AI176" t="b">
        <v>1</v>
      </c>
      <c r="AK176">
        <v>6.7500000000000004E-2</v>
      </c>
      <c r="AL176">
        <v>6.25E-2</v>
      </c>
      <c r="AM176">
        <v>6.25E-2</v>
      </c>
      <c r="AN176">
        <v>6.7500000000000004E-2</v>
      </c>
      <c r="AS176">
        <v>10557668</v>
      </c>
      <c r="AT176">
        <v>8131722</v>
      </c>
      <c r="BB176">
        <f t="shared" si="323"/>
        <v>0.35393251922767366</v>
      </c>
      <c r="BD176">
        <f t="shared" si="324"/>
        <v>1294231</v>
      </c>
      <c r="BE176">
        <f t="shared" si="325"/>
        <v>-1131715</v>
      </c>
      <c r="BF176">
        <f t="shared" si="326"/>
        <v>9.0264613631792248</v>
      </c>
      <c r="BG176">
        <f t="shared" si="327"/>
        <v>-7.8930127014654854</v>
      </c>
      <c r="BH176">
        <f t="shared" si="328"/>
        <v>8.4597370323223551</v>
      </c>
      <c r="BI176">
        <f t="shared" si="329"/>
        <v>56.672433085686976</v>
      </c>
      <c r="BJ176">
        <f t="shared" si="330"/>
        <v>8</v>
      </c>
      <c r="BK176">
        <f>IF($BJ176&lt;=30,IF($B176=2015,VLOOKUP($BJ176,'Treasury Yields'!$C$5:$N$34,$E176,FALSE)/100,IF($B176=2016,VLOOKUP($BJ176,'Treasury Yields'!$C$40:$N$69,$E176,FALSE)/100,IF($B176=2017,VLOOKUP($BJ176,'Treasury Yields'!$C$75:$N$104,$E176,FALSE)/100,IF($B176=2018,VLOOKUP($BJ176,'Treasury Yields'!$C$110:$N$139,$E176,FALSE)/100,IF($B176=2019,VLOOKUP($BJ176,'Treasury Yields'!$C$145:$N$174,$E176,FALSE)/100,IF($B176=2020,VLOOKUP($BJ176,'Treasury Yields'!$C$180:$N$209,$E176,FALSE)/100,IF($B176=2021,VLOOKUP($BJ176,'Treasury Yields'!$C$215:$N$244,$E176,FALSE)/100,IF($B176=2022,VLOOKUP($BJ176,'Treasury Yields'!$C$250:$N$279,$E176,FALSE)/100)))))))),0)</f>
        <v>1.1038636363636365E-2</v>
      </c>
      <c r="BL176">
        <f t="shared" si="331"/>
        <v>1.4379978756356664</v>
      </c>
      <c r="BM176">
        <f t="shared" si="332"/>
        <v>20086965.23938556</v>
      </c>
      <c r="BN176">
        <f t="shared" si="333"/>
        <v>16425814.23938556</v>
      </c>
      <c r="BP176">
        <f>IF($BJ176&lt;=30,IF($B176=2015,VLOOKUP($BJ176,'Treasury Yields'!$C$40:$N$69,$E176,FALSE)/100,IF($B176=2016,VLOOKUP($BJ176,'Treasury Yields'!$C$75:$N$104,$E176,FALSE)/100,IF($B176=2017,VLOOKUP($BJ176,'Treasury Yields'!$C$110:$N$139,$E176,FALSE)/100,IF($B176=2018,VLOOKUP($BJ176,'Treasury Yields'!$C$145:$N$174,$E176,FALSE)/100,IF($B176=2019,VLOOKUP($BJ176,'Treasury Yields'!$C$180:$N$209,$E176,FALSE)/100,IF($B176=2020,VLOOKUP($BJ176,'Treasury Yields'!$C$215:$N$244,$E176,FALSE)/100,IF($B176=2021,VLOOKUP($BJ176,'Treasury Yields'!$C$250:$N$279,$E176,FALSE)/100,IF($B176=2022,VLOOKUP($BJ176,'Treasury Yields'!$C$285:$N$314,$E176,FALSE)/100)))))))),0)</f>
        <v>1.9385454545454549E-2</v>
      </c>
      <c r="BQ176">
        <f t="shared" si="334"/>
        <v>1.4093514114594727</v>
      </c>
      <c r="BR176">
        <f t="shared" si="335"/>
        <v>20207545.495571274</v>
      </c>
      <c r="BS176">
        <f t="shared" si="336"/>
        <v>15132794.495571274</v>
      </c>
      <c r="BU176">
        <f t="shared" si="276"/>
        <v>11</v>
      </c>
      <c r="BV176">
        <f t="shared" si="337"/>
        <v>2.2793885212757639</v>
      </c>
      <c r="BW176">
        <f t="shared" si="338"/>
        <v>71830.370470963142</v>
      </c>
      <c r="BX176" s="5">
        <f t="shared" si="339"/>
        <v>209513.9320388026</v>
      </c>
      <c r="BY176" s="5">
        <f t="shared" si="340"/>
        <v>169099.81747743898</v>
      </c>
      <c r="BZ176" s="5">
        <f t="shared" si="341"/>
        <v>936745</v>
      </c>
      <c r="CA176" s="5">
        <f t="shared" si="342"/>
        <v>240930.18794840213</v>
      </c>
      <c r="CC176" s="5">
        <f t="shared" si="343"/>
        <v>20207545.495571274</v>
      </c>
      <c r="CD176" s="5" t="str">
        <f t="shared" si="344"/>
        <v>Indiana</v>
      </c>
      <c r="CE176" s="5">
        <f t="shared" si="274"/>
        <v>0.35393251922767366</v>
      </c>
      <c r="CF176" s="10">
        <f t="shared" si="345"/>
        <v>0.25113148952762188</v>
      </c>
    </row>
    <row r="177" spans="1:84" hidden="1" x14ac:dyDescent="0.2">
      <c r="A177">
        <v>15000000090600</v>
      </c>
      <c r="B177">
        <v>2022</v>
      </c>
      <c r="C177">
        <v>572</v>
      </c>
      <c r="D177" t="s">
        <v>336</v>
      </c>
      <c r="E177">
        <v>6</v>
      </c>
      <c r="F177" t="s">
        <v>337</v>
      </c>
      <c r="G177" t="s">
        <v>347</v>
      </c>
      <c r="H177" t="s">
        <v>348</v>
      </c>
      <c r="I177" t="b">
        <v>1</v>
      </c>
      <c r="J177">
        <v>32789</v>
      </c>
      <c r="K177">
        <v>861852</v>
      </c>
      <c r="M177">
        <v>-11007</v>
      </c>
      <c r="N177">
        <v>0</v>
      </c>
      <c r="O177">
        <v>1164307</v>
      </c>
      <c r="P177">
        <v>1543</v>
      </c>
      <c r="Q177">
        <v>-279066</v>
      </c>
      <c r="R177">
        <v>14338188</v>
      </c>
      <c r="S177">
        <v>14059122</v>
      </c>
      <c r="T177">
        <v>2205</v>
      </c>
      <c r="U177">
        <v>1550410</v>
      </c>
      <c r="V177">
        <v>64</v>
      </c>
      <c r="W177">
        <v>-346479</v>
      </c>
      <c r="Y177">
        <v>5067</v>
      </c>
      <c r="Z177">
        <v>1</v>
      </c>
      <c r="AA177">
        <v>38370</v>
      </c>
      <c r="AB177">
        <v>5074751</v>
      </c>
      <c r="AC177">
        <v>5113121</v>
      </c>
      <c r="AD177">
        <v>8946001</v>
      </c>
      <c r="AE177">
        <v>9263437</v>
      </c>
      <c r="AF177">
        <v>-317436</v>
      </c>
      <c r="AG177">
        <v>575523</v>
      </c>
      <c r="AI177" t="b">
        <v>1</v>
      </c>
      <c r="AK177">
        <v>6.25E-2</v>
      </c>
      <c r="AL177">
        <v>6.25E-2</v>
      </c>
      <c r="AM177">
        <v>6.25E-2</v>
      </c>
      <c r="AN177">
        <v>6.25E-2</v>
      </c>
      <c r="AS177">
        <v>10212768</v>
      </c>
      <c r="AT177">
        <v>7853525</v>
      </c>
      <c r="AV177" t="s">
        <v>346</v>
      </c>
      <c r="BB177">
        <f t="shared" si="323"/>
        <v>0.36368707804086203</v>
      </c>
      <c r="BD177">
        <f t="shared" si="324"/>
        <v>1266767</v>
      </c>
      <c r="BE177">
        <f t="shared" si="325"/>
        <v>-1092476</v>
      </c>
      <c r="BF177">
        <f t="shared" si="326"/>
        <v>9.0102852795501747</v>
      </c>
      <c r="BG177">
        <f t="shared" si="327"/>
        <v>-7.7705848203038563</v>
      </c>
      <c r="BH177">
        <f t="shared" si="328"/>
        <v>8.3904350499270155</v>
      </c>
      <c r="BI177">
        <f t="shared" si="329"/>
        <v>61.985022962315853</v>
      </c>
      <c r="BJ177">
        <f t="shared" si="330"/>
        <v>8</v>
      </c>
      <c r="BK177">
        <f>IF($BJ177&lt;=30,IF($B177=2015,VLOOKUP($BJ177,'Treasury Yields'!$C$5:$N$34,$E177,FALSE)/100,IF($B177=2016,VLOOKUP($BJ177,'Treasury Yields'!$C$40:$N$69,$E177,FALSE)/100,IF($B177=2017,VLOOKUP($BJ177,'Treasury Yields'!$C$75:$N$104,$E177,FALSE)/100,IF($B177=2018,VLOOKUP($BJ177,'Treasury Yields'!$C$110:$N$139,$E177,FALSE)/100,IF($B177=2019,VLOOKUP($BJ177,'Treasury Yields'!$C$145:$N$174,$E177,FALSE)/100,IF($B177=2020,VLOOKUP($BJ177,'Treasury Yields'!$C$180:$N$209,$E177,FALSE)/100,IF($B177=2021,VLOOKUP($BJ177,'Treasury Yields'!$C$215:$N$244,$E177,FALSE)/100,IF($B177=2022,VLOOKUP($BJ177,'Treasury Yields'!$C$250:$N$279,$E177,FALSE)/100)))))))),0)</f>
        <v>1.9385454545454549E-2</v>
      </c>
      <c r="BL177">
        <f t="shared" si="331"/>
        <v>1.3636086573732418</v>
      </c>
      <c r="BM177">
        <f t="shared" si="332"/>
        <v>19551677.287845127</v>
      </c>
      <c r="BN177">
        <f t="shared" si="333"/>
        <v>14476926.287845127</v>
      </c>
      <c r="BP177">
        <f>IF($BJ177&lt;=30,IF($B177=2015,VLOOKUP($BJ177,'Treasury Yields'!$C$40:$N$69,$E177,FALSE)/100,IF($B177=2016,VLOOKUP($BJ177,'Treasury Yields'!$C$75:$N$104,$E177,FALSE)/100,IF($B177=2017,VLOOKUP($BJ177,'Treasury Yields'!$C$110:$N$139,$E177,FALSE)/100,IF($B177=2018,VLOOKUP($BJ177,'Treasury Yields'!$C$145:$N$174,$E177,FALSE)/100,IF($B177=2019,VLOOKUP($BJ177,'Treasury Yields'!$C$180:$N$209,$E177,FALSE)/100,IF($B177=2020,VLOOKUP($BJ177,'Treasury Yields'!$C$215:$N$244,$E177,FALSE)/100,IF($B177=2021,VLOOKUP($BJ177,'Treasury Yields'!$C$250:$N$279,$E177,FALSE)/100,IF($B177=2022,VLOOKUP($BJ177,'Treasury Yields'!$C$285:$N$314,$E177,FALSE)/100)))))))),0)</f>
        <v>3.3834545454545457E-2</v>
      </c>
      <c r="BQ177">
        <f t="shared" si="334"/>
        <v>1.2413373428245691</v>
      </c>
      <c r="BR177">
        <f t="shared" si="335"/>
        <v>17452113.145926442</v>
      </c>
      <c r="BS177">
        <f t="shared" si="336"/>
        <v>12338992.145926442</v>
      </c>
      <c r="BU177">
        <f t="shared" si="276"/>
        <v>11</v>
      </c>
      <c r="BV177">
        <f t="shared" si="337"/>
        <v>1.951231522911494</v>
      </c>
      <c r="BW177">
        <f t="shared" si="338"/>
        <v>63978.930404744977</v>
      </c>
      <c r="BX177" s="5">
        <f t="shared" si="339"/>
        <v>357687.79157269123</v>
      </c>
      <c r="BY177" s="5">
        <f t="shared" si="340"/>
        <v>259311.43673269122</v>
      </c>
      <c r="BZ177" s="5">
        <f t="shared" si="341"/>
        <v>894641</v>
      </c>
      <c r="CA177" s="5">
        <f t="shared" si="342"/>
        <v>323290.36713743617</v>
      </c>
      <c r="CC177" s="5">
        <f t="shared" si="343"/>
        <v>17452113.145926442</v>
      </c>
      <c r="CD177" s="5" t="str">
        <f t="shared" si="344"/>
        <v>Indiana</v>
      </c>
      <c r="CE177" s="5">
        <f t="shared" si="274"/>
        <v>0.36368707804086203</v>
      </c>
      <c r="CF177" s="10">
        <f t="shared" si="345"/>
        <v>0.2929800510257104</v>
      </c>
    </row>
    <row r="178" spans="1:84" x14ac:dyDescent="0.2">
      <c r="A178">
        <v>16000000090001</v>
      </c>
      <c r="B178">
        <v>2015</v>
      </c>
      <c r="C178">
        <v>263</v>
      </c>
      <c r="D178" t="s">
        <v>352</v>
      </c>
      <c r="E178">
        <v>6</v>
      </c>
      <c r="F178" t="s">
        <v>353</v>
      </c>
      <c r="G178" t="s">
        <v>354</v>
      </c>
      <c r="H178" t="s">
        <v>355</v>
      </c>
      <c r="I178" t="b">
        <v>1</v>
      </c>
      <c r="J178">
        <v>775968.19299999997</v>
      </c>
      <c r="K178">
        <v>2334357.588</v>
      </c>
      <c r="M178">
        <v>47305.303</v>
      </c>
      <c r="N178">
        <v>0</v>
      </c>
      <c r="O178">
        <v>1791768.4410000001</v>
      </c>
      <c r="Q178">
        <v>1365862.6429999999</v>
      </c>
      <c r="R178">
        <v>32004456.088</v>
      </c>
      <c r="S178">
        <v>33370318.730999999</v>
      </c>
      <c r="T178">
        <v>656911.16</v>
      </c>
      <c r="V178">
        <v>441213.23599999998</v>
      </c>
      <c r="W178">
        <v>1080045.1040000001</v>
      </c>
      <c r="Y178">
        <v>12591.755999999999</v>
      </c>
      <c r="Z178">
        <v>17475.633000000002</v>
      </c>
      <c r="AA178">
        <v>391284.93599999999</v>
      </c>
      <c r="AB178">
        <v>28038549.892999999</v>
      </c>
      <c r="AC178">
        <v>28429834.829</v>
      </c>
      <c r="AD178">
        <v>4940483.9019999998</v>
      </c>
      <c r="AE178">
        <v>3965906.1950000003</v>
      </c>
      <c r="AF178">
        <v>974577.70699999947</v>
      </c>
      <c r="AG178">
        <v>7326348</v>
      </c>
      <c r="AH178">
        <v>8.9664203775196044E-2</v>
      </c>
      <c r="AI178" t="b">
        <v>1</v>
      </c>
      <c r="AK178">
        <v>7.4999999999999997E-2</v>
      </c>
      <c r="AL178">
        <v>7.4999999999999997E-2</v>
      </c>
      <c r="AM178">
        <v>7.4999999999999997E-2</v>
      </c>
      <c r="AN178">
        <v>7.4999999999999997E-2</v>
      </c>
      <c r="AO178">
        <v>1</v>
      </c>
      <c r="AP178">
        <v>0</v>
      </c>
      <c r="AS178">
        <v>8917538.0969999991</v>
      </c>
      <c r="AT178">
        <v>1584153.398</v>
      </c>
      <c r="BB178">
        <f t="shared" ref="BB178:BB185" si="346">AC178/S178</f>
        <v>0.85194975385684757</v>
      </c>
      <c r="BD178">
        <f t="shared" ref="BD178:BD185" si="347">AS178-AD178</f>
        <v>3977054.1949999994</v>
      </c>
      <c r="BE178">
        <f t="shared" ref="BE178:BE185" si="348">AT178-AD178</f>
        <v>-3356330.5039999997</v>
      </c>
      <c r="BF178">
        <f t="shared" ref="BF178:BF185" si="349">BD178/S178*100</f>
        <v>11.917938893719461</v>
      </c>
      <c r="BG178">
        <f t="shared" ref="BG178:BG185" si="350">BE178/S178*100</f>
        <v>-10.057831724819794</v>
      </c>
      <c r="BH178">
        <f t="shared" ref="BH178:BH185" si="351">(BD178-BE178)/(2*S178)*100</f>
        <v>10.987885309269627</v>
      </c>
      <c r="BI178">
        <f t="shared" ref="BI178:BI185" si="352">(BD178+BE178)/(2*S178*(0.01^2))</f>
        <v>93.005358444983386</v>
      </c>
      <c r="BJ178">
        <f t="shared" ref="BJ178:BJ185" si="353">ROUND(BH178,0)</f>
        <v>11</v>
      </c>
      <c r="BK178">
        <f>IF($BJ178&lt;=30,IF($B178=2015,VLOOKUP($BJ178,'Treasury Yields'!$C$5:$N$34,$E178,FALSE)/100,IF($B178=2016,VLOOKUP($BJ178,'Treasury Yields'!$C$40:$N$69,$E178,FALSE)/100,IF($B178=2017,VLOOKUP($BJ178,'Treasury Yields'!$C$75:$N$104,$E178,FALSE)/100,IF($B178=2018,VLOOKUP($BJ178,'Treasury Yields'!$C$110:$N$139,$E178,FALSE)/100,IF($B178=2019,VLOOKUP($BJ178,'Treasury Yields'!$C$145:$N$174,$E178,FALSE)/100,IF($B178=2020,VLOOKUP($BJ178,'Treasury Yields'!$C$180:$N$209,$E178,FALSE)/100,IF($B178=2021,VLOOKUP($BJ178,'Treasury Yields'!$C$215:$N$244,$E178,FALSE)/100,IF($B178=2022,VLOOKUP($BJ178,'Treasury Yields'!$C$250:$N$279,$E178,FALSE)/100)))))))),0)</f>
        <v>2.8147999999999999E-2</v>
      </c>
      <c r="BL178">
        <f t="shared" ref="BL178:BL185" si="354">1+BH178*(AL178-BK178)+(AL178-BK178)^2</f>
        <v>1.5169995124139006</v>
      </c>
      <c r="BM178">
        <f t="shared" ref="BM178:BM185" si="355">BL178*R178</f>
        <v>48550744.280568093</v>
      </c>
      <c r="BN178">
        <f t="shared" ref="BN178:BN185" si="356">BM178-AB178</f>
        <v>20512194.387568094</v>
      </c>
      <c r="BP178">
        <f>IF($BJ178&lt;=30,IF($B178=2015,VLOOKUP($BJ178,'Treasury Yields'!$C$40:$N$69,$E178,FALSE)/100,IF($B178=2016,VLOOKUP($BJ178,'Treasury Yields'!$C$75:$N$104,$E178,FALSE)/100,IF($B178=2017,VLOOKUP($BJ178,'Treasury Yields'!$C$110:$N$139,$E178,FALSE)/100,IF($B178=2018,VLOOKUP($BJ178,'Treasury Yields'!$C$145:$N$174,$E178,FALSE)/100,IF($B178=2019,VLOOKUP($BJ178,'Treasury Yields'!$C$180:$N$209,$E178,FALSE)/100,IF($B178=2020,VLOOKUP($BJ178,'Treasury Yields'!$C$215:$N$244,$E178,FALSE)/100,IF($B178=2021,VLOOKUP($BJ178,'Treasury Yields'!$C$250:$N$279,$E178,FALSE)/100,IF($B178=2022,VLOOKUP($BJ178,'Treasury Yields'!$C$285:$N$314,$E178,FALSE)/100)))))))),0)</f>
        <v>2.6258E-2</v>
      </c>
      <c r="BQ178">
        <f t="shared" ref="BQ178:BQ185" si="357">1+BH178*(AN178-BP178)+(AN178-BP178)^2</f>
        <v>1.5379472883084202</v>
      </c>
      <c r="BR178">
        <f t="shared" ref="BR178:BR185" si="358">BQ178*S178</f>
        <v>51321791.202329129</v>
      </c>
      <c r="BS178">
        <f t="shared" ref="BS178:BS185" si="359">BR178-AC178</f>
        <v>22891956.373329129</v>
      </c>
      <c r="BU178">
        <f t="shared" si="276"/>
        <v>14</v>
      </c>
      <c r="BV178">
        <f t="shared" ref="BV178:BV185" si="360">1+(BH178+BU178)*(AN178-BK178)+(AN178-BK178)^2*BI178</f>
        <v>2.3748893859575535</v>
      </c>
      <c r="BW178">
        <f t="shared" ref="BW178:BW185" si="361">BV178*J178</f>
        <v>1842838.6253963623</v>
      </c>
      <c r="BX178" s="5">
        <f t="shared" ref="BX178:BX185" si="362">(BM178+BW178-O178)*BK178</f>
        <v>1368043.8735598195</v>
      </c>
      <c r="BY178" s="5">
        <f t="shared" ref="BY178:BY185" si="363">BK178*(BN178+BW178-O178)</f>
        <v>578814.77117165551</v>
      </c>
      <c r="BZ178" s="5">
        <f t="shared" ref="BZ178:BZ185" si="364">SUM(J178:K178)</f>
        <v>3110325.781</v>
      </c>
      <c r="CA178" s="5">
        <f t="shared" ref="CA178:CA185" si="365">SUM(BW178+BY178)</f>
        <v>2421653.396568018</v>
      </c>
      <c r="CC178" s="5">
        <f t="shared" ref="CC178:CC185" si="366">BR178</f>
        <v>51321791.202329129</v>
      </c>
      <c r="CD178" s="5" t="str">
        <f t="shared" ref="CD178:CD185" si="367">F178</f>
        <v>Iowa</v>
      </c>
      <c r="CE178" s="5">
        <f t="shared" si="274"/>
        <v>0.85194975385684757</v>
      </c>
      <c r="CF178" s="10">
        <f t="shared" ref="CF178:CF185" si="368">AC178/CC178</f>
        <v>0.55395250561149112</v>
      </c>
    </row>
    <row r="179" spans="1:84" x14ac:dyDescent="0.2">
      <c r="A179">
        <v>16000000090001</v>
      </c>
      <c r="B179">
        <v>2016</v>
      </c>
      <c r="C179">
        <v>263</v>
      </c>
      <c r="D179" t="s">
        <v>352</v>
      </c>
      <c r="E179">
        <v>6</v>
      </c>
      <c r="F179" t="s">
        <v>353</v>
      </c>
      <c r="G179" t="s">
        <v>354</v>
      </c>
      <c r="H179" t="s">
        <v>355</v>
      </c>
      <c r="I179" t="b">
        <v>1</v>
      </c>
      <c r="J179">
        <v>801587</v>
      </c>
      <c r="K179">
        <v>2433181</v>
      </c>
      <c r="M179">
        <v>-95355</v>
      </c>
      <c r="O179">
        <v>1889983</v>
      </c>
      <c r="Q179">
        <v>1249430</v>
      </c>
      <c r="R179">
        <v>33370319</v>
      </c>
      <c r="S179">
        <v>34619749</v>
      </c>
      <c r="T179">
        <v>684665</v>
      </c>
      <c r="V179">
        <v>459854</v>
      </c>
      <c r="W179">
        <v>624854</v>
      </c>
      <c r="Y179">
        <v>14939</v>
      </c>
      <c r="Z179">
        <v>32148</v>
      </c>
      <c r="AA179">
        <v>-103401</v>
      </c>
      <c r="AB179">
        <v>28429835</v>
      </c>
      <c r="AC179">
        <v>28326434</v>
      </c>
      <c r="AD179">
        <v>6293315</v>
      </c>
      <c r="AE179">
        <v>4940484</v>
      </c>
      <c r="AF179">
        <v>1352831</v>
      </c>
      <c r="AG179">
        <v>7556516</v>
      </c>
      <c r="AH179">
        <v>9.0605908860644249E-2</v>
      </c>
      <c r="AI179" t="b">
        <v>1</v>
      </c>
      <c r="AK179">
        <v>7.4999999999999997E-2</v>
      </c>
      <c r="AL179">
        <v>7.4999999999999997E-2</v>
      </c>
      <c r="AM179">
        <v>7.4999999999999997E-2</v>
      </c>
      <c r="AN179">
        <v>7.4999999999999997E-2</v>
      </c>
      <c r="AO179">
        <v>1</v>
      </c>
      <c r="AP179">
        <v>0</v>
      </c>
      <c r="AS179">
        <v>10404301</v>
      </c>
      <c r="AT179">
        <v>2824129</v>
      </c>
      <c r="AU179" t="s">
        <v>150</v>
      </c>
      <c r="AV179" t="s">
        <v>356</v>
      </c>
      <c r="BB179">
        <f t="shared" si="346"/>
        <v>0.81821604194761777</v>
      </c>
      <c r="BD179">
        <f t="shared" si="347"/>
        <v>4110986</v>
      </c>
      <c r="BE179">
        <f t="shared" si="348"/>
        <v>-3469186</v>
      </c>
      <c r="BF179">
        <f t="shared" si="349"/>
        <v>11.874684591156337</v>
      </c>
      <c r="BG179">
        <f t="shared" si="350"/>
        <v>-10.020829440444528</v>
      </c>
      <c r="BH179">
        <f t="shared" si="351"/>
        <v>10.947757015800432</v>
      </c>
      <c r="BI179">
        <f t="shared" si="352"/>
        <v>92.692757535590445</v>
      </c>
      <c r="BJ179">
        <f t="shared" si="353"/>
        <v>11</v>
      </c>
      <c r="BK179">
        <f>IF($BJ179&lt;=30,IF($B179=2015,VLOOKUP($BJ179,'Treasury Yields'!$C$5:$N$34,$E179,FALSE)/100,IF($B179=2016,VLOOKUP($BJ179,'Treasury Yields'!$C$40:$N$69,$E179,FALSE)/100,IF($B179=2017,VLOOKUP($BJ179,'Treasury Yields'!$C$75:$N$104,$E179,FALSE)/100,IF($B179=2018,VLOOKUP($BJ179,'Treasury Yields'!$C$110:$N$139,$E179,FALSE)/100,IF($B179=2019,VLOOKUP($BJ179,'Treasury Yields'!$C$145:$N$174,$E179,FALSE)/100,IF($B179=2020,VLOOKUP($BJ179,'Treasury Yields'!$C$180:$N$209,$E179,FALSE)/100,IF($B179=2021,VLOOKUP($BJ179,'Treasury Yields'!$C$215:$N$244,$E179,FALSE)/100,IF($B179=2022,VLOOKUP($BJ179,'Treasury Yields'!$C$250:$N$279,$E179,FALSE)/100)))))))),0)</f>
        <v>2.6258E-2</v>
      </c>
      <c r="BL179">
        <f t="shared" si="354"/>
        <v>1.5359913550281448</v>
      </c>
      <c r="BM179">
        <f t="shared" si="355"/>
        <v>51256521.498531446</v>
      </c>
      <c r="BN179">
        <f t="shared" si="356"/>
        <v>22826686.498531446</v>
      </c>
      <c r="BP179">
        <f>IF($BJ179&lt;=30,IF($B179=2015,VLOOKUP($BJ179,'Treasury Yields'!$C$40:$N$69,$E179,FALSE)/100,IF($B179=2016,VLOOKUP($BJ179,'Treasury Yields'!$C$75:$N$104,$E179,FALSE)/100,IF($B179=2017,VLOOKUP($BJ179,'Treasury Yields'!$C$110:$N$139,$E179,FALSE)/100,IF($B179=2018,VLOOKUP($BJ179,'Treasury Yields'!$C$145:$N$174,$E179,FALSE)/100,IF($B179=2019,VLOOKUP($BJ179,'Treasury Yields'!$C$180:$N$209,$E179,FALSE)/100,IF($B179=2020,VLOOKUP($BJ179,'Treasury Yields'!$C$215:$N$244,$E179,FALSE)/100,IF($B179=2021,VLOOKUP($BJ179,'Treasury Yields'!$C$250:$N$279,$E179,FALSE)/100,IF($B179=2022,VLOOKUP($BJ179,'Treasury Yields'!$C$285:$N$314,$E179,FALSE)/100)))))))),0)</f>
        <v>1.6948000000000001E-2</v>
      </c>
      <c r="BQ179">
        <f t="shared" si="357"/>
        <v>1.6389092249852466</v>
      </c>
      <c r="BR179">
        <f t="shared" si="358"/>
        <v>56738626.002773769</v>
      </c>
      <c r="BS179">
        <f t="shared" si="359"/>
        <v>28412192.002773769</v>
      </c>
      <c r="BU179">
        <f t="shared" si="276"/>
        <v>14</v>
      </c>
      <c r="BV179">
        <f t="shared" si="360"/>
        <v>2.4362214096262802</v>
      </c>
      <c r="BW179">
        <f t="shared" si="361"/>
        <v>1952843.411078101</v>
      </c>
      <c r="BX179" s="5">
        <f t="shared" si="362"/>
        <v>1347544.3301825274</v>
      </c>
      <c r="BY179" s="5">
        <f t="shared" si="363"/>
        <v>601033.72275252757</v>
      </c>
      <c r="BZ179" s="5">
        <f t="shared" si="364"/>
        <v>3234768</v>
      </c>
      <c r="CA179" s="5">
        <f t="shared" si="365"/>
        <v>2553877.1338306284</v>
      </c>
      <c r="CC179" s="5">
        <f t="shared" si="366"/>
        <v>56738626.002773769</v>
      </c>
      <c r="CD179" s="5" t="str">
        <f t="shared" si="367"/>
        <v>Iowa</v>
      </c>
      <c r="CE179" s="5">
        <f t="shared" si="274"/>
        <v>0.81821604194761777</v>
      </c>
      <c r="CF179" s="10">
        <f t="shared" si="368"/>
        <v>0.49924427141776773</v>
      </c>
    </row>
    <row r="180" spans="1:84" x14ac:dyDescent="0.2">
      <c r="A180">
        <v>16000000090001</v>
      </c>
      <c r="B180">
        <v>2017</v>
      </c>
      <c r="C180">
        <v>263</v>
      </c>
      <c r="D180" t="s">
        <v>352</v>
      </c>
      <c r="E180">
        <v>6</v>
      </c>
      <c r="F180" t="s">
        <v>353</v>
      </c>
      <c r="G180" t="s">
        <v>354</v>
      </c>
      <c r="H180" t="s">
        <v>355</v>
      </c>
      <c r="I180" t="b">
        <v>1</v>
      </c>
      <c r="J180">
        <v>822363</v>
      </c>
      <c r="K180">
        <v>2523074</v>
      </c>
      <c r="M180">
        <v>36106</v>
      </c>
      <c r="N180">
        <v>1432643</v>
      </c>
      <c r="O180">
        <v>1993554</v>
      </c>
      <c r="Q180">
        <v>2820633</v>
      </c>
      <c r="R180">
        <v>34619749</v>
      </c>
      <c r="S180">
        <v>37440382</v>
      </c>
      <c r="T180">
        <v>704766</v>
      </c>
      <c r="V180">
        <v>473355</v>
      </c>
      <c r="W180">
        <v>3279743</v>
      </c>
      <c r="Y180">
        <v>15899</v>
      </c>
      <c r="Z180">
        <v>4271</v>
      </c>
      <c r="AA180">
        <v>2452683</v>
      </c>
      <c r="AB180">
        <v>28326434</v>
      </c>
      <c r="AC180">
        <v>30779116</v>
      </c>
      <c r="AD180">
        <v>6661266</v>
      </c>
      <c r="AE180">
        <v>6293315</v>
      </c>
      <c r="AF180">
        <v>367951</v>
      </c>
      <c r="AG180">
        <v>7863160</v>
      </c>
      <c r="AH180">
        <v>8.9628851504992904E-2</v>
      </c>
      <c r="AI180" t="b">
        <v>1</v>
      </c>
      <c r="AK180">
        <v>7.4999999999999997E-2</v>
      </c>
      <c r="AL180">
        <v>7.0000000000000007E-2</v>
      </c>
      <c r="AM180">
        <v>7.0000000000000007E-2</v>
      </c>
      <c r="AN180">
        <v>7.4999999999999997E-2</v>
      </c>
      <c r="AO180">
        <v>1</v>
      </c>
      <c r="AP180">
        <v>0</v>
      </c>
      <c r="AS180">
        <v>11228455</v>
      </c>
      <c r="AT180">
        <v>2824536</v>
      </c>
      <c r="BB180">
        <f t="shared" si="346"/>
        <v>0.82208338579451457</v>
      </c>
      <c r="BD180">
        <f t="shared" si="347"/>
        <v>4567189</v>
      </c>
      <c r="BE180">
        <f t="shared" si="348"/>
        <v>-3836730</v>
      </c>
      <c r="BF180">
        <f t="shared" si="349"/>
        <v>12.19856410653075</v>
      </c>
      <c r="BG180">
        <f t="shared" si="350"/>
        <v>-10.247571726164546</v>
      </c>
      <c r="BH180">
        <f t="shared" si="351"/>
        <v>11.223067916347649</v>
      </c>
      <c r="BI180">
        <f t="shared" si="352"/>
        <v>97.549619018310224</v>
      </c>
      <c r="BJ180">
        <f t="shared" si="353"/>
        <v>11</v>
      </c>
      <c r="BK180">
        <f>IF($BJ180&lt;=30,IF($B180=2015,VLOOKUP($BJ180,'Treasury Yields'!$C$5:$N$34,$E180,FALSE)/100,IF($B180=2016,VLOOKUP($BJ180,'Treasury Yields'!$C$40:$N$69,$E180,FALSE)/100,IF($B180=2017,VLOOKUP($BJ180,'Treasury Yields'!$C$75:$N$104,$E180,FALSE)/100,IF($B180=2018,VLOOKUP($BJ180,'Treasury Yields'!$C$110:$N$139,$E180,FALSE)/100,IF($B180=2019,VLOOKUP($BJ180,'Treasury Yields'!$C$145:$N$174,$E180,FALSE)/100,IF($B180=2020,VLOOKUP($BJ180,'Treasury Yields'!$C$180:$N$209,$E180,FALSE)/100,IF($B180=2021,VLOOKUP($BJ180,'Treasury Yields'!$C$215:$N$244,$E180,FALSE)/100,IF($B180=2022,VLOOKUP($BJ180,'Treasury Yields'!$C$250:$N$279,$E180,FALSE)/100)))))))),0)</f>
        <v>1.6948000000000001E-2</v>
      </c>
      <c r="BL180">
        <f t="shared" si="354"/>
        <v>1.5982207138020754</v>
      </c>
      <c r="BM180">
        <f t="shared" si="355"/>
        <v>55329999.958428688</v>
      </c>
      <c r="BN180">
        <f t="shared" si="356"/>
        <v>27003565.958428688</v>
      </c>
      <c r="BP180">
        <f>IF($BJ180&lt;=30,IF($B180=2015,VLOOKUP($BJ180,'Treasury Yields'!$C$40:$N$69,$E180,FALSE)/100,IF($B180=2016,VLOOKUP($BJ180,'Treasury Yields'!$C$75:$N$104,$E180,FALSE)/100,IF($B180=2017,VLOOKUP($BJ180,'Treasury Yields'!$C$110:$N$139,$E180,FALSE)/100,IF($B180=2018,VLOOKUP($BJ180,'Treasury Yields'!$C$145:$N$174,$E180,FALSE)/100,IF($B180=2019,VLOOKUP($BJ180,'Treasury Yields'!$C$180:$N$209,$E180,FALSE)/100,IF($B180=2020,VLOOKUP($BJ180,'Treasury Yields'!$C$215:$N$244,$E180,FALSE)/100,IF($B180=2021,VLOOKUP($BJ180,'Treasury Yields'!$C$250:$N$279,$E180,FALSE)/100,IF($B180=2022,VLOOKUP($BJ180,'Treasury Yields'!$C$285:$N$314,$E180,FALSE)/100)))))))),0)</f>
        <v>2.5068799999999999E-2</v>
      </c>
      <c r="BQ180">
        <f t="shared" si="357"/>
        <v>1.5628743734781778</v>
      </c>
      <c r="BR180">
        <f t="shared" si="358"/>
        <v>58514613.561033644</v>
      </c>
      <c r="BS180">
        <f t="shared" si="359"/>
        <v>27735497.561033644</v>
      </c>
      <c r="BU180">
        <f t="shared" si="276"/>
        <v>14</v>
      </c>
      <c r="BV180">
        <f t="shared" si="360"/>
        <v>2.7929951401334971</v>
      </c>
      <c r="BW180">
        <f t="shared" si="361"/>
        <v>2296855.862425603</v>
      </c>
      <c r="BX180" s="5">
        <f t="shared" si="362"/>
        <v>942873.19925983856</v>
      </c>
      <c r="BY180" s="5">
        <f t="shared" si="363"/>
        <v>462796.79582783859</v>
      </c>
      <c r="BZ180" s="5">
        <f t="shared" si="364"/>
        <v>3345437</v>
      </c>
      <c r="CA180" s="5">
        <f t="shared" si="365"/>
        <v>2759652.6582534416</v>
      </c>
      <c r="CC180" s="5">
        <f t="shared" si="366"/>
        <v>58514613.561033644</v>
      </c>
      <c r="CD180" s="5" t="str">
        <f t="shared" si="367"/>
        <v>Iowa</v>
      </c>
      <c r="CE180" s="5">
        <f t="shared" si="274"/>
        <v>0.82208338579451457</v>
      </c>
      <c r="CF180" s="10">
        <f t="shared" si="368"/>
        <v>0.52600733606308203</v>
      </c>
    </row>
    <row r="181" spans="1:84" x14ac:dyDescent="0.2">
      <c r="A181">
        <v>16000000090001</v>
      </c>
      <c r="B181">
        <v>2018</v>
      </c>
      <c r="C181">
        <v>263</v>
      </c>
      <c r="D181" t="s">
        <v>352</v>
      </c>
      <c r="E181">
        <v>6</v>
      </c>
      <c r="F181" t="s">
        <v>353</v>
      </c>
      <c r="G181" t="s">
        <v>354</v>
      </c>
      <c r="H181" t="s">
        <v>355</v>
      </c>
      <c r="I181" t="b">
        <v>1</v>
      </c>
      <c r="J181">
        <v>862717</v>
      </c>
      <c r="K181">
        <v>2548179</v>
      </c>
      <c r="M181">
        <v>-131727</v>
      </c>
      <c r="N181">
        <v>34635</v>
      </c>
      <c r="O181">
        <v>2111352</v>
      </c>
      <c r="Q181">
        <v>1202452</v>
      </c>
      <c r="R181">
        <v>37440382</v>
      </c>
      <c r="S181">
        <v>38642833</v>
      </c>
      <c r="T181">
        <v>716753</v>
      </c>
      <c r="V181">
        <v>481406</v>
      </c>
      <c r="W181">
        <v>2458969</v>
      </c>
      <c r="Y181">
        <v>14754</v>
      </c>
      <c r="Z181">
        <v>4630</v>
      </c>
      <c r="AA181">
        <v>1535651</v>
      </c>
      <c r="AB181">
        <v>30779116</v>
      </c>
      <c r="AC181">
        <v>32314589</v>
      </c>
      <c r="AD181">
        <v>6328245</v>
      </c>
      <c r="AE181">
        <v>6661266</v>
      </c>
      <c r="AF181">
        <v>-333021</v>
      </c>
      <c r="AG181">
        <v>7983220</v>
      </c>
      <c r="AH181">
        <v>8.9782443675609586E-2</v>
      </c>
      <c r="AI181" t="b">
        <v>1</v>
      </c>
      <c r="AK181">
        <v>7.0000000000000007E-2</v>
      </c>
      <c r="AL181">
        <v>7.0000000000000007E-2</v>
      </c>
      <c r="AM181">
        <v>7.0000000000000007E-2</v>
      </c>
      <c r="AN181">
        <v>7.0000000000000007E-2</v>
      </c>
      <c r="AO181">
        <v>1</v>
      </c>
      <c r="AP181">
        <v>0</v>
      </c>
      <c r="AS181">
        <v>11040164</v>
      </c>
      <c r="AT181">
        <v>2376004</v>
      </c>
      <c r="AU181" t="s">
        <v>357</v>
      </c>
      <c r="AV181" t="s">
        <v>358</v>
      </c>
      <c r="BB181">
        <f t="shared" si="346"/>
        <v>0.83623757605970561</v>
      </c>
      <c r="BD181">
        <f t="shared" si="347"/>
        <v>4711919</v>
      </c>
      <c r="BE181">
        <f t="shared" si="348"/>
        <v>-3952241</v>
      </c>
      <c r="BF181">
        <f t="shared" si="349"/>
        <v>12.193513348257877</v>
      </c>
      <c r="BG181">
        <f t="shared" si="350"/>
        <v>-10.227617110784811</v>
      </c>
      <c r="BH181">
        <f t="shared" si="351"/>
        <v>11.210565229521345</v>
      </c>
      <c r="BI181">
        <f t="shared" si="352"/>
        <v>98.294811873653259</v>
      </c>
      <c r="BJ181">
        <f t="shared" si="353"/>
        <v>11</v>
      </c>
      <c r="BK181">
        <f>IF($BJ181&lt;=30,IF($B181=2015,VLOOKUP($BJ181,'Treasury Yields'!$C$5:$N$34,$E181,FALSE)/100,IF($B181=2016,VLOOKUP($BJ181,'Treasury Yields'!$C$40:$N$69,$E181,FALSE)/100,IF($B181=2017,VLOOKUP($BJ181,'Treasury Yields'!$C$75:$N$104,$E181,FALSE)/100,IF($B181=2018,VLOOKUP($BJ181,'Treasury Yields'!$C$110:$N$139,$E181,FALSE)/100,IF($B181=2019,VLOOKUP($BJ181,'Treasury Yields'!$C$145:$N$174,$E181,FALSE)/100,IF($B181=2020,VLOOKUP($BJ181,'Treasury Yields'!$C$180:$N$209,$E181,FALSE)/100,IF($B181=2021,VLOOKUP($BJ181,'Treasury Yields'!$C$215:$N$244,$E181,FALSE)/100,IF($B181=2022,VLOOKUP($BJ181,'Treasury Yields'!$C$250:$N$279,$E181,FALSE)/100)))))))),0)</f>
        <v>2.5068799999999999E-2</v>
      </c>
      <c r="BL181">
        <f t="shared" si="354"/>
        <v>1.5057229611741094</v>
      </c>
      <c r="BM181">
        <f t="shared" si="355"/>
        <v>56374842.852529824</v>
      </c>
      <c r="BN181">
        <f t="shared" si="356"/>
        <v>25595726.852529824</v>
      </c>
      <c r="BP181">
        <f>IF($BJ181&lt;=30,IF($B181=2015,VLOOKUP($BJ181,'Treasury Yields'!$C$40:$N$69,$E181,FALSE)/100,IF($B181=2016,VLOOKUP($BJ181,'Treasury Yields'!$C$75:$N$104,$E181,FALSE)/100,IF($B181=2017,VLOOKUP($BJ181,'Treasury Yields'!$C$110:$N$139,$E181,FALSE)/100,IF($B181=2018,VLOOKUP($BJ181,'Treasury Yields'!$C$145:$N$174,$E181,FALSE)/100,IF($B181=2019,VLOOKUP($BJ181,'Treasury Yields'!$C$180:$N$209,$E181,FALSE)/100,IF($B181=2020,VLOOKUP($BJ181,'Treasury Yields'!$C$215:$N$244,$E181,FALSE)/100,IF($B181=2021,VLOOKUP($BJ181,'Treasury Yields'!$C$250:$N$279,$E181,FALSE)/100,IF($B181=2022,VLOOKUP($BJ181,'Treasury Yields'!$C$285:$N$314,$E181,FALSE)/100)))))))),0)</f>
        <v>2.9273236363636365E-2</v>
      </c>
      <c r="BQ181">
        <f t="shared" si="357"/>
        <v>1.4582287096090449</v>
      </c>
      <c r="BR181">
        <f t="shared" si="358"/>
        <v>56350088.501227818</v>
      </c>
      <c r="BS181">
        <f t="shared" si="359"/>
        <v>24035499.501227818</v>
      </c>
      <c r="BU181">
        <f t="shared" si="276"/>
        <v>14</v>
      </c>
      <c r="BV181">
        <f t="shared" si="360"/>
        <v>2.3311797662822897</v>
      </c>
      <c r="BW181">
        <f t="shared" si="361"/>
        <v>2011148.4144277582</v>
      </c>
      <c r="BX181" s="5">
        <f t="shared" si="362"/>
        <v>1410737.6768555061</v>
      </c>
      <c r="BY181" s="5">
        <f t="shared" si="363"/>
        <v>639142.17367470614</v>
      </c>
      <c r="BZ181" s="5">
        <f t="shared" si="364"/>
        <v>3410896</v>
      </c>
      <c r="CA181" s="5">
        <f t="shared" si="365"/>
        <v>2650290.5881024646</v>
      </c>
      <c r="CC181" s="5">
        <f t="shared" si="366"/>
        <v>56350088.501227818</v>
      </c>
      <c r="CD181" s="5" t="str">
        <f t="shared" si="367"/>
        <v>Iowa</v>
      </c>
      <c r="CE181" s="5">
        <f t="shared" si="274"/>
        <v>0.83623757605970561</v>
      </c>
      <c r="CF181" s="10">
        <f t="shared" si="368"/>
        <v>0.5734611933980529</v>
      </c>
    </row>
    <row r="182" spans="1:84" x14ac:dyDescent="0.2">
      <c r="A182">
        <v>16000000090001</v>
      </c>
      <c r="B182">
        <v>2019</v>
      </c>
      <c r="C182">
        <v>263</v>
      </c>
      <c r="D182" t="s">
        <v>352</v>
      </c>
      <c r="E182">
        <v>6</v>
      </c>
      <c r="F182" t="s">
        <v>353</v>
      </c>
      <c r="G182" t="s">
        <v>354</v>
      </c>
      <c r="H182" t="s">
        <v>355</v>
      </c>
      <c r="I182" t="b">
        <v>1</v>
      </c>
      <c r="J182">
        <v>882447</v>
      </c>
      <c r="K182">
        <v>2628521</v>
      </c>
      <c r="M182">
        <v>-129807</v>
      </c>
      <c r="N182">
        <v>0</v>
      </c>
      <c r="O182">
        <v>2222656</v>
      </c>
      <c r="Q182">
        <v>1158505</v>
      </c>
      <c r="R182">
        <v>38642834</v>
      </c>
      <c r="S182">
        <v>39801339</v>
      </c>
      <c r="T182">
        <v>771782</v>
      </c>
      <c r="V182">
        <v>518344</v>
      </c>
      <c r="W182">
        <v>2640007</v>
      </c>
      <c r="Y182">
        <v>15698</v>
      </c>
      <c r="Z182">
        <v>4312</v>
      </c>
      <c r="AA182">
        <v>1696092</v>
      </c>
      <c r="AB182">
        <v>32314589</v>
      </c>
      <c r="AC182">
        <v>34010681</v>
      </c>
      <c r="AD182">
        <v>5790658</v>
      </c>
      <c r="AE182">
        <v>6328245</v>
      </c>
      <c r="AF182">
        <v>-537587</v>
      </c>
      <c r="AG182">
        <v>8151043</v>
      </c>
      <c r="AH182">
        <v>9.4685060549919806E-2</v>
      </c>
      <c r="AI182" t="b">
        <v>1</v>
      </c>
      <c r="AK182">
        <v>7.0000000000000007E-2</v>
      </c>
      <c r="AL182">
        <v>7.0000000000000007E-2</v>
      </c>
      <c r="AM182">
        <v>7.0000000000000007E-2</v>
      </c>
      <c r="AN182">
        <v>7.0000000000000007E-2</v>
      </c>
      <c r="AO182">
        <v>1</v>
      </c>
      <c r="AP182">
        <v>0</v>
      </c>
      <c r="AS182">
        <v>10627881</v>
      </c>
      <c r="AT182">
        <v>1733617</v>
      </c>
      <c r="AU182" t="s">
        <v>357</v>
      </c>
      <c r="AV182" t="s">
        <v>359</v>
      </c>
      <c r="BB182">
        <f t="shared" si="346"/>
        <v>0.85451097512071139</v>
      </c>
      <c r="BD182">
        <f t="shared" si="347"/>
        <v>4837223</v>
      </c>
      <c r="BE182">
        <f t="shared" si="348"/>
        <v>-4057041</v>
      </c>
      <c r="BF182">
        <f t="shared" si="349"/>
        <v>12.153417753106247</v>
      </c>
      <c r="BG182">
        <f t="shared" si="350"/>
        <v>-10.193227418806186</v>
      </c>
      <c r="BH182">
        <f t="shared" si="351"/>
        <v>11.173322585956216</v>
      </c>
      <c r="BI182">
        <f t="shared" si="352"/>
        <v>98.009516715002974</v>
      </c>
      <c r="BJ182">
        <f t="shared" si="353"/>
        <v>11</v>
      </c>
      <c r="BK182">
        <f>IF($BJ182&lt;=30,IF($B182=2015,VLOOKUP($BJ182,'Treasury Yields'!$C$5:$N$34,$E182,FALSE)/100,IF($B182=2016,VLOOKUP($BJ182,'Treasury Yields'!$C$40:$N$69,$E182,FALSE)/100,IF($B182=2017,VLOOKUP($BJ182,'Treasury Yields'!$C$75:$N$104,$E182,FALSE)/100,IF($B182=2018,VLOOKUP($BJ182,'Treasury Yields'!$C$110:$N$139,$E182,FALSE)/100,IF($B182=2019,VLOOKUP($BJ182,'Treasury Yields'!$C$145:$N$174,$E182,FALSE)/100,IF($B182=2020,VLOOKUP($BJ182,'Treasury Yields'!$C$180:$N$209,$E182,FALSE)/100,IF($B182=2021,VLOOKUP($BJ182,'Treasury Yields'!$C$215:$N$244,$E182,FALSE)/100,IF($B182=2022,VLOOKUP($BJ182,'Treasury Yields'!$C$250:$N$279,$E182,FALSE)/100)))))))),0)</f>
        <v>2.9273236363636365E-2</v>
      </c>
      <c r="BL182">
        <f t="shared" si="354"/>
        <v>1.4567119372673745</v>
      </c>
      <c r="BM182">
        <f t="shared" si="355"/>
        <v>56291477.577641562</v>
      </c>
      <c r="BN182">
        <f t="shared" si="356"/>
        <v>23976888.577641562</v>
      </c>
      <c r="BP182">
        <f>IF($BJ182&lt;=30,IF($B182=2015,VLOOKUP($BJ182,'Treasury Yields'!$C$40:$N$69,$E182,FALSE)/100,IF($B182=2016,VLOOKUP($BJ182,'Treasury Yields'!$C$75:$N$104,$E182,FALSE)/100,IF($B182=2017,VLOOKUP($BJ182,'Treasury Yields'!$C$110:$N$139,$E182,FALSE)/100,IF($B182=2018,VLOOKUP($BJ182,'Treasury Yields'!$C$145:$N$174,$E182,FALSE)/100,IF($B182=2019,VLOOKUP($BJ182,'Treasury Yields'!$C$180:$N$209,$E182,FALSE)/100,IF($B182=2020,VLOOKUP($BJ182,'Treasury Yields'!$C$215:$N$244,$E182,FALSE)/100,IF($B182=2021,VLOOKUP($BJ182,'Treasury Yields'!$C$250:$N$279,$E182,FALSE)/100,IF($B182=2022,VLOOKUP($BJ182,'Treasury Yields'!$C$285:$N$314,$E182,FALSE)/100)))))))),0)</f>
        <v>2.1722000000000002E-2</v>
      </c>
      <c r="BQ182">
        <f t="shared" si="357"/>
        <v>1.5417564330887941</v>
      </c>
      <c r="BR182">
        <f t="shared" si="358"/>
        <v>61363970.448797911</v>
      </c>
      <c r="BS182">
        <f t="shared" si="359"/>
        <v>27353289.448797911</v>
      </c>
      <c r="BU182">
        <f t="shared" si="276"/>
        <v>14</v>
      </c>
      <c r="BV182">
        <f t="shared" si="360"/>
        <v>2.1877933330595987</v>
      </c>
      <c r="BW182">
        <f t="shared" si="361"/>
        <v>1930611.6633784436</v>
      </c>
      <c r="BX182" s="5">
        <f t="shared" si="362"/>
        <v>1639284.6454940541</v>
      </c>
      <c r="BY182" s="5">
        <f t="shared" si="363"/>
        <v>693332.04370329017</v>
      </c>
      <c r="BZ182" s="5">
        <f t="shared" si="364"/>
        <v>3510968</v>
      </c>
      <c r="CA182" s="5">
        <f t="shared" si="365"/>
        <v>2623943.7070817337</v>
      </c>
      <c r="CC182" s="5">
        <f t="shared" si="366"/>
        <v>61363970.448797911</v>
      </c>
      <c r="CD182" s="5" t="str">
        <f t="shared" si="367"/>
        <v>Iowa</v>
      </c>
      <c r="CE182" s="5">
        <f t="shared" si="274"/>
        <v>0.85451097512071139</v>
      </c>
      <c r="CF182" s="10">
        <f t="shared" si="368"/>
        <v>0.55424511730997761</v>
      </c>
    </row>
    <row r="183" spans="1:84" x14ac:dyDescent="0.2">
      <c r="A183">
        <v>16000000090001</v>
      </c>
      <c r="B183">
        <v>2020</v>
      </c>
      <c r="C183">
        <v>263</v>
      </c>
      <c r="D183" t="s">
        <v>352</v>
      </c>
      <c r="E183">
        <v>6</v>
      </c>
      <c r="F183" t="s">
        <v>353</v>
      </c>
      <c r="G183" t="s">
        <v>354</v>
      </c>
      <c r="H183" t="s">
        <v>355</v>
      </c>
      <c r="I183" t="b">
        <v>1</v>
      </c>
      <c r="J183">
        <v>906212</v>
      </c>
      <c r="K183">
        <v>2706297</v>
      </c>
      <c r="M183">
        <v>-22277</v>
      </c>
      <c r="N183">
        <v>0</v>
      </c>
      <c r="O183">
        <v>2319142</v>
      </c>
      <c r="Q183">
        <v>1271089</v>
      </c>
      <c r="R183">
        <v>39801339</v>
      </c>
      <c r="S183">
        <v>41072428</v>
      </c>
      <c r="T183">
        <v>792017</v>
      </c>
      <c r="V183">
        <v>531934</v>
      </c>
      <c r="W183">
        <v>1041873</v>
      </c>
      <c r="Y183">
        <v>13584</v>
      </c>
      <c r="Z183">
        <v>3913</v>
      </c>
      <c r="AA183">
        <v>37011</v>
      </c>
      <c r="AB183">
        <v>34010681</v>
      </c>
      <c r="AC183">
        <v>34047692</v>
      </c>
      <c r="AD183">
        <v>7024735</v>
      </c>
      <c r="AE183">
        <v>5790658</v>
      </c>
      <c r="AF183">
        <v>1234077</v>
      </c>
      <c r="AG183">
        <v>8391856</v>
      </c>
      <c r="AH183">
        <v>9.4379241016528406E-2</v>
      </c>
      <c r="AI183" t="b">
        <v>1</v>
      </c>
      <c r="AK183">
        <v>7.0000000000000007E-2</v>
      </c>
      <c r="AL183">
        <v>7.0000000000000007E-2</v>
      </c>
      <c r="AM183">
        <v>7.0000000000000007E-2</v>
      </c>
      <c r="AN183">
        <v>7.0000000000000007E-2</v>
      </c>
      <c r="AO183">
        <v>1</v>
      </c>
      <c r="AP183">
        <v>0</v>
      </c>
      <c r="AS183">
        <v>12010320</v>
      </c>
      <c r="AT183">
        <v>2844713</v>
      </c>
      <c r="AU183" t="s">
        <v>150</v>
      </c>
      <c r="AV183" t="s">
        <v>360</v>
      </c>
      <c r="BB183">
        <f t="shared" si="346"/>
        <v>0.82896711146465463</v>
      </c>
      <c r="BD183">
        <f t="shared" si="347"/>
        <v>4985585</v>
      </c>
      <c r="BE183">
        <f t="shared" si="348"/>
        <v>-4180022</v>
      </c>
      <c r="BF183">
        <f t="shared" si="349"/>
        <v>12.138520274477077</v>
      </c>
      <c r="BG183">
        <f t="shared" si="350"/>
        <v>-10.177197218533076</v>
      </c>
      <c r="BH183">
        <f t="shared" si="351"/>
        <v>11.157858746505077</v>
      </c>
      <c r="BI183">
        <f t="shared" si="352"/>
        <v>98.066152797200104</v>
      </c>
      <c r="BJ183">
        <f t="shared" si="353"/>
        <v>11</v>
      </c>
      <c r="BK183">
        <f>IF($BJ183&lt;=30,IF($B183=2015,VLOOKUP($BJ183,'Treasury Yields'!$C$5:$N$34,$E183,FALSE)/100,IF($B183=2016,VLOOKUP($BJ183,'Treasury Yields'!$C$40:$N$69,$E183,FALSE)/100,IF($B183=2017,VLOOKUP($BJ183,'Treasury Yields'!$C$75:$N$104,$E183,FALSE)/100,IF($B183=2018,VLOOKUP($BJ183,'Treasury Yields'!$C$110:$N$139,$E183,FALSE)/100,IF($B183=2019,VLOOKUP($BJ183,'Treasury Yields'!$C$145:$N$174,$E183,FALSE)/100,IF($B183=2020,VLOOKUP($BJ183,'Treasury Yields'!$C$180:$N$209,$E183,FALSE)/100,IF($B183=2021,VLOOKUP($BJ183,'Treasury Yields'!$C$215:$N$244,$E183,FALSE)/100,IF($B183=2022,VLOOKUP($BJ183,'Treasury Yields'!$C$250:$N$279,$E183,FALSE)/100)))))))),0)</f>
        <v>2.1722000000000002E-2</v>
      </c>
      <c r="BL183">
        <f t="shared" si="354"/>
        <v>1.5410098698477719</v>
      </c>
      <c r="BM183">
        <f t="shared" si="355"/>
        <v>61334256.232157044</v>
      </c>
      <c r="BN183">
        <f t="shared" si="356"/>
        <v>27323575.232157044</v>
      </c>
      <c r="BP183">
        <f>IF($BJ183&lt;=30,IF($B183=2015,VLOOKUP($BJ183,'Treasury Yields'!$C$40:$N$69,$E183,FALSE)/100,IF($B183=2016,VLOOKUP($BJ183,'Treasury Yields'!$C$75:$N$104,$E183,FALSE)/100,IF($B183=2017,VLOOKUP($BJ183,'Treasury Yields'!$C$110:$N$139,$E183,FALSE)/100,IF($B183=2018,VLOOKUP($BJ183,'Treasury Yields'!$C$145:$N$174,$E183,FALSE)/100,IF($B183=2019,VLOOKUP($BJ183,'Treasury Yields'!$C$180:$N$209,$E183,FALSE)/100,IF($B183=2020,VLOOKUP($BJ183,'Treasury Yields'!$C$215:$N$244,$E183,FALSE)/100,IF($B183=2021,VLOOKUP($BJ183,'Treasury Yields'!$C$250:$N$279,$E183,FALSE)/100,IF($B183=2022,VLOOKUP($BJ183,'Treasury Yields'!$C$285:$N$314,$E183,FALSE)/100)))))))),0)</f>
        <v>1.4551090909090908E-2</v>
      </c>
      <c r="BQ183">
        <f t="shared" si="357"/>
        <v>1.6217656768035371</v>
      </c>
      <c r="BR183">
        <f t="shared" si="358"/>
        <v>66609853.993384548</v>
      </c>
      <c r="BS183">
        <f t="shared" si="359"/>
        <v>32562161.993384548</v>
      </c>
      <c r="BU183">
        <f t="shared" si="276"/>
        <v>14</v>
      </c>
      <c r="BV183">
        <f t="shared" si="360"/>
        <v>2.4431402890389258</v>
      </c>
      <c r="BW183">
        <f t="shared" si="361"/>
        <v>2214003.0476105432</v>
      </c>
      <c r="BX183" s="5">
        <f t="shared" si="362"/>
        <v>1330018.8855511115</v>
      </c>
      <c r="BY183" s="5">
        <f t="shared" si="363"/>
        <v>591238.8728691116</v>
      </c>
      <c r="BZ183" s="5">
        <f t="shared" si="364"/>
        <v>3612509</v>
      </c>
      <c r="CA183" s="5">
        <f t="shared" si="365"/>
        <v>2805241.9204796548</v>
      </c>
      <c r="CC183" s="5">
        <f t="shared" si="366"/>
        <v>66609853.993384548</v>
      </c>
      <c r="CD183" s="5" t="str">
        <f t="shared" si="367"/>
        <v>Iowa</v>
      </c>
      <c r="CE183" s="5">
        <f t="shared" si="274"/>
        <v>0.82896711146465463</v>
      </c>
      <c r="CF183" s="10">
        <f t="shared" si="368"/>
        <v>0.51115097780249596</v>
      </c>
    </row>
    <row r="184" spans="1:84" x14ac:dyDescent="0.2">
      <c r="A184">
        <v>16000000090001</v>
      </c>
      <c r="B184">
        <v>2021</v>
      </c>
      <c r="C184">
        <v>263</v>
      </c>
      <c r="D184" t="s">
        <v>352</v>
      </c>
      <c r="E184">
        <v>6</v>
      </c>
      <c r="F184" t="s">
        <v>353</v>
      </c>
      <c r="G184" t="s">
        <v>354</v>
      </c>
      <c r="H184" t="s">
        <v>355</v>
      </c>
      <c r="I184" t="b">
        <v>1</v>
      </c>
      <c r="J184">
        <v>930440</v>
      </c>
      <c r="K184">
        <v>2791843</v>
      </c>
      <c r="M184">
        <v>168749</v>
      </c>
      <c r="N184">
        <v>0</v>
      </c>
      <c r="O184">
        <v>2418811</v>
      </c>
      <c r="Q184">
        <v>1472221</v>
      </c>
      <c r="R184">
        <v>41072428</v>
      </c>
      <c r="S184">
        <v>42544649</v>
      </c>
      <c r="T184">
        <v>817561</v>
      </c>
      <c r="V184">
        <v>549091</v>
      </c>
      <c r="W184">
        <v>9902974</v>
      </c>
      <c r="Y184">
        <v>13852</v>
      </c>
      <c r="Z184">
        <v>5220</v>
      </c>
      <c r="AA184">
        <v>8842184</v>
      </c>
      <c r="AB184">
        <v>34047692</v>
      </c>
      <c r="AC184">
        <v>42889876</v>
      </c>
      <c r="AD184">
        <v>-345227</v>
      </c>
      <c r="AE184">
        <v>7024735</v>
      </c>
      <c r="AF184">
        <v>-7369962</v>
      </c>
      <c r="AG184">
        <v>8648784</v>
      </c>
      <c r="AI184" t="b">
        <v>1</v>
      </c>
      <c r="AK184">
        <v>7.0000000000000007E-2</v>
      </c>
      <c r="AL184">
        <v>7.0000000000000007E-2</v>
      </c>
      <c r="AM184">
        <v>7.0000000000000007E-2</v>
      </c>
      <c r="AN184">
        <v>7.0000000000000007E-2</v>
      </c>
      <c r="AS184">
        <v>4826715</v>
      </c>
      <c r="AT184">
        <v>-4679179</v>
      </c>
      <c r="BB184">
        <f t="shared" si="346"/>
        <v>1.0081144634663692</v>
      </c>
      <c r="BD184">
        <f t="shared" si="347"/>
        <v>5171942</v>
      </c>
      <c r="BE184">
        <f t="shared" si="348"/>
        <v>-4333952</v>
      </c>
      <c r="BF184">
        <f t="shared" si="349"/>
        <v>12.15650409996331</v>
      </c>
      <c r="BG184">
        <f t="shared" si="350"/>
        <v>-10.186832191282152</v>
      </c>
      <c r="BH184">
        <f t="shared" si="351"/>
        <v>11.171668145622732</v>
      </c>
      <c r="BI184">
        <f t="shared" si="352"/>
        <v>98.483595434057989</v>
      </c>
      <c r="BJ184">
        <f t="shared" si="353"/>
        <v>11</v>
      </c>
      <c r="BK184">
        <f>IF($BJ184&lt;=30,IF($B184=2015,VLOOKUP($BJ184,'Treasury Yields'!$C$5:$N$34,$E184,FALSE)/100,IF($B184=2016,VLOOKUP($BJ184,'Treasury Yields'!$C$40:$N$69,$E184,FALSE)/100,IF($B184=2017,VLOOKUP($BJ184,'Treasury Yields'!$C$75:$N$104,$E184,FALSE)/100,IF($B184=2018,VLOOKUP($BJ184,'Treasury Yields'!$C$110:$N$139,$E184,FALSE)/100,IF($B184=2019,VLOOKUP($BJ184,'Treasury Yields'!$C$145:$N$174,$E184,FALSE)/100,IF($B184=2020,VLOOKUP($BJ184,'Treasury Yields'!$C$180:$N$209,$E184,FALSE)/100,IF($B184=2021,VLOOKUP($BJ184,'Treasury Yields'!$C$215:$N$244,$E184,FALSE)/100,IF($B184=2022,VLOOKUP($BJ184,'Treasury Yields'!$C$250:$N$279,$E184,FALSE)/100)))))))),0)</f>
        <v>1.4551090909090908E-2</v>
      </c>
      <c r="BL184">
        <f t="shared" si="354"/>
        <v>1.6225313929198117</v>
      </c>
      <c r="BM184">
        <f t="shared" si="355"/>
        <v>66641303.813438676</v>
      </c>
      <c r="BN184">
        <f t="shared" si="356"/>
        <v>32593611.813438676</v>
      </c>
      <c r="BP184">
        <f>IF($BJ184&lt;=30,IF($B184=2015,VLOOKUP($BJ184,'Treasury Yields'!$C$40:$N$69,$E184,FALSE)/100,IF($B184=2016,VLOOKUP($BJ184,'Treasury Yields'!$C$75:$N$104,$E184,FALSE)/100,IF($B184=2017,VLOOKUP($BJ184,'Treasury Yields'!$C$110:$N$139,$E184,FALSE)/100,IF($B184=2018,VLOOKUP($BJ184,'Treasury Yields'!$C$145:$N$174,$E184,FALSE)/100,IF($B184=2019,VLOOKUP($BJ184,'Treasury Yields'!$C$180:$N$209,$E184,FALSE)/100,IF($B184=2020,VLOOKUP($BJ184,'Treasury Yields'!$C$215:$N$244,$E184,FALSE)/100,IF($B184=2021,VLOOKUP($BJ184,'Treasury Yields'!$C$250:$N$279,$E184,FALSE)/100,IF($B184=2022,VLOOKUP($BJ184,'Treasury Yields'!$C$285:$N$314,$E184,FALSE)/100)))))))),0)</f>
        <v>2.1554272727272727E-2</v>
      </c>
      <c r="BQ184">
        <f t="shared" si="357"/>
        <v>1.5435665766552371</v>
      </c>
      <c r="BR184">
        <f t="shared" si="358"/>
        <v>65670498.211928658</v>
      </c>
      <c r="BS184">
        <f t="shared" si="359"/>
        <v>22780622.211928658</v>
      </c>
      <c r="BU184">
        <f t="shared" si="276"/>
        <v>14</v>
      </c>
      <c r="BV184">
        <f t="shared" si="360"/>
        <v>2.6985373811560214</v>
      </c>
      <c r="BW184">
        <f t="shared" si="361"/>
        <v>2510827.1209228085</v>
      </c>
      <c r="BX184" s="5">
        <f t="shared" si="362"/>
        <v>971042.60503034247</v>
      </c>
      <c r="BY184" s="5">
        <f t="shared" si="363"/>
        <v>475611.54349361529</v>
      </c>
      <c r="BZ184" s="5">
        <f t="shared" si="364"/>
        <v>3722283</v>
      </c>
      <c r="CA184" s="5">
        <f t="shared" si="365"/>
        <v>2986438.664416424</v>
      </c>
      <c r="CC184" s="5">
        <f t="shared" si="366"/>
        <v>65670498.211928658</v>
      </c>
      <c r="CD184" s="5" t="str">
        <f t="shared" si="367"/>
        <v>Iowa</v>
      </c>
      <c r="CE184" s="5">
        <f t="shared" si="274"/>
        <v>1.0081144634663692</v>
      </c>
      <c r="CF184" s="10">
        <f t="shared" si="368"/>
        <v>0.65310721203283495</v>
      </c>
    </row>
    <row r="185" spans="1:84" x14ac:dyDescent="0.2">
      <c r="A185">
        <v>16000000090001</v>
      </c>
      <c r="B185">
        <v>2022</v>
      </c>
      <c r="C185">
        <v>263</v>
      </c>
      <c r="D185" t="s">
        <v>352</v>
      </c>
      <c r="E185">
        <v>6</v>
      </c>
      <c r="F185" t="s">
        <v>353</v>
      </c>
      <c r="G185" t="s">
        <v>354</v>
      </c>
      <c r="H185" t="s">
        <v>355</v>
      </c>
      <c r="I185" t="b">
        <v>1</v>
      </c>
      <c r="J185">
        <v>962108</v>
      </c>
      <c r="K185">
        <v>2891003</v>
      </c>
      <c r="M185">
        <v>146528</v>
      </c>
      <c r="N185">
        <v>-42533</v>
      </c>
      <c r="O185">
        <v>2532040</v>
      </c>
      <c r="Q185">
        <v>1425066</v>
      </c>
      <c r="R185">
        <v>42544649</v>
      </c>
      <c r="S185">
        <v>43969715</v>
      </c>
      <c r="T185">
        <v>853202</v>
      </c>
      <c r="V185">
        <v>573027</v>
      </c>
      <c r="W185">
        <v>-1583411</v>
      </c>
      <c r="Y185">
        <v>14056</v>
      </c>
      <c r="Z185">
        <v>4610</v>
      </c>
      <c r="AA185">
        <v>-2698668</v>
      </c>
      <c r="AB185">
        <v>42889876</v>
      </c>
      <c r="AC185">
        <v>40191208</v>
      </c>
      <c r="AD185">
        <v>3778507</v>
      </c>
      <c r="AE185">
        <v>-345227</v>
      </c>
      <c r="AF185">
        <v>4123734</v>
      </c>
      <c r="AG185">
        <v>9018020</v>
      </c>
      <c r="AI185" t="b">
        <v>1</v>
      </c>
      <c r="AK185">
        <v>7.0000000000000007E-2</v>
      </c>
      <c r="AL185">
        <v>7.0000000000000007E-2</v>
      </c>
      <c r="AM185">
        <v>7.0000000000000007E-2</v>
      </c>
      <c r="AN185">
        <v>7.0000000000000007E-2</v>
      </c>
      <c r="AS185">
        <v>7453951</v>
      </c>
      <c r="AT185">
        <v>540704</v>
      </c>
      <c r="AV185" t="s">
        <v>361</v>
      </c>
      <c r="BB185">
        <f t="shared" si="346"/>
        <v>0.9140656927159978</v>
      </c>
      <c r="BD185">
        <f t="shared" si="347"/>
        <v>3675444</v>
      </c>
      <c r="BE185">
        <f t="shared" si="348"/>
        <v>-3237803</v>
      </c>
      <c r="BF185">
        <f t="shared" si="349"/>
        <v>8.3590353041860741</v>
      </c>
      <c r="BG185">
        <f t="shared" si="350"/>
        <v>-7.3637115910348747</v>
      </c>
      <c r="BH185">
        <f t="shared" si="351"/>
        <v>7.8613734476104744</v>
      </c>
      <c r="BI185">
        <f t="shared" si="352"/>
        <v>49.766185657559973</v>
      </c>
      <c r="BJ185">
        <f t="shared" si="353"/>
        <v>8</v>
      </c>
      <c r="BK185">
        <f>IF($BJ185&lt;=30,IF($B185=2015,VLOOKUP($BJ185,'Treasury Yields'!$C$5:$N$34,$E185,FALSE)/100,IF($B185=2016,VLOOKUP($BJ185,'Treasury Yields'!$C$40:$N$69,$E185,FALSE)/100,IF($B185=2017,VLOOKUP($BJ185,'Treasury Yields'!$C$75:$N$104,$E185,FALSE)/100,IF($B185=2018,VLOOKUP($BJ185,'Treasury Yields'!$C$110:$N$139,$E185,FALSE)/100,IF($B185=2019,VLOOKUP($BJ185,'Treasury Yields'!$C$145:$N$174,$E185,FALSE)/100,IF($B185=2020,VLOOKUP($BJ185,'Treasury Yields'!$C$180:$N$209,$E185,FALSE)/100,IF($B185=2021,VLOOKUP($BJ185,'Treasury Yields'!$C$215:$N$244,$E185,FALSE)/100,IF($B185=2022,VLOOKUP($BJ185,'Treasury Yields'!$C$250:$N$279,$E185,FALSE)/100)))))))),0)</f>
        <v>1.9385454545454549E-2</v>
      </c>
      <c r="BL185">
        <f t="shared" si="354"/>
        <v>1.4004616759108073</v>
      </c>
      <c r="BM185">
        <f t="shared" si="355"/>
        <v>59582150.439577051</v>
      </c>
      <c r="BN185">
        <f t="shared" si="356"/>
        <v>16692274.439577051</v>
      </c>
      <c r="BP185">
        <f>IF($BJ185&lt;=30,IF($B185=2015,VLOOKUP($BJ185,'Treasury Yields'!$C$40:$N$69,$E185,FALSE)/100,IF($B185=2016,VLOOKUP($BJ185,'Treasury Yields'!$C$75:$N$104,$E185,FALSE)/100,IF($B185=2017,VLOOKUP($BJ185,'Treasury Yields'!$C$110:$N$139,$E185,FALSE)/100,IF($B185=2018,VLOOKUP($BJ185,'Treasury Yields'!$C$145:$N$174,$E185,FALSE)/100,IF($B185=2019,VLOOKUP($BJ185,'Treasury Yields'!$C$180:$N$209,$E185,FALSE)/100,IF($B185=2020,VLOOKUP($BJ185,'Treasury Yields'!$C$215:$N$244,$E185,FALSE)/100,IF($B185=2021,VLOOKUP($BJ185,'Treasury Yields'!$C$250:$N$279,$E185,FALSE)/100,IF($B185=2022,VLOOKUP($BJ185,'Treasury Yields'!$C$285:$N$314,$E185,FALSE)/100)))))))),0)</f>
        <v>3.3834545454545457E-2</v>
      </c>
      <c r="BQ185">
        <f t="shared" si="357"/>
        <v>1.2856180841868794</v>
      </c>
      <c r="BR185">
        <f t="shared" si="358"/>
        <v>56528260.760543093</v>
      </c>
      <c r="BS185">
        <f t="shared" si="359"/>
        <v>16337052.760543093</v>
      </c>
      <c r="BU185">
        <f t="shared" si="276"/>
        <v>11</v>
      </c>
      <c r="BV185">
        <f t="shared" si="360"/>
        <v>2.0821524611637594</v>
      </c>
      <c r="BW185">
        <f t="shared" si="361"/>
        <v>2003255.5401053422</v>
      </c>
      <c r="BX185" s="5">
        <f t="shared" si="362"/>
        <v>1144776.3419552252</v>
      </c>
      <c r="BY185" s="5">
        <f t="shared" si="363"/>
        <v>313336.6002970431</v>
      </c>
      <c r="BZ185" s="5">
        <f t="shared" si="364"/>
        <v>3853111</v>
      </c>
      <c r="CA185" s="5">
        <f t="shared" si="365"/>
        <v>2316592.140402385</v>
      </c>
      <c r="CC185" s="5">
        <f t="shared" si="366"/>
        <v>56528260.760543093</v>
      </c>
      <c r="CD185" s="5" t="str">
        <f t="shared" si="367"/>
        <v>Iowa</v>
      </c>
      <c r="CE185" s="5">
        <f t="shared" si="274"/>
        <v>0.9140656927159978</v>
      </c>
      <c r="CF185" s="10">
        <f t="shared" si="368"/>
        <v>0.71099318215807539</v>
      </c>
    </row>
    <row r="186" spans="1:84" x14ac:dyDescent="0.2">
      <c r="A186">
        <v>17000000006201</v>
      </c>
      <c r="B186">
        <v>2015</v>
      </c>
      <c r="C186">
        <v>288</v>
      </c>
      <c r="D186" t="s">
        <v>362</v>
      </c>
      <c r="E186">
        <v>6</v>
      </c>
      <c r="F186" t="s">
        <v>363</v>
      </c>
      <c r="G186" t="s">
        <v>364</v>
      </c>
      <c r="H186" t="s">
        <v>365</v>
      </c>
      <c r="I186" t="b">
        <v>1</v>
      </c>
      <c r="J186">
        <v>571944</v>
      </c>
      <c r="K186">
        <v>1926405</v>
      </c>
      <c r="L186">
        <v>1467</v>
      </c>
      <c r="M186">
        <v>-135542</v>
      </c>
      <c r="N186">
        <v>-53014</v>
      </c>
      <c r="O186">
        <v>1524380</v>
      </c>
      <c r="Q186">
        <v>786880</v>
      </c>
      <c r="R186">
        <v>24827591</v>
      </c>
      <c r="S186">
        <v>25614471</v>
      </c>
      <c r="T186">
        <v>690564</v>
      </c>
      <c r="V186">
        <v>382058</v>
      </c>
      <c r="W186">
        <v>561174</v>
      </c>
      <c r="Y186">
        <v>10768</v>
      </c>
      <c r="Z186">
        <v>1076</v>
      </c>
      <c r="AA186">
        <v>99724</v>
      </c>
      <c r="AB186">
        <v>16535797</v>
      </c>
      <c r="AC186">
        <v>16635521</v>
      </c>
      <c r="AD186">
        <v>8978950</v>
      </c>
      <c r="AE186">
        <v>8291794</v>
      </c>
      <c r="AF186">
        <v>687156</v>
      </c>
      <c r="AG186">
        <v>6635196</v>
      </c>
      <c r="AH186">
        <v>0.10407590069682945</v>
      </c>
      <c r="AI186" t="b">
        <v>1</v>
      </c>
      <c r="AK186">
        <v>0.08</v>
      </c>
      <c r="AL186">
        <v>0.08</v>
      </c>
      <c r="AM186">
        <v>0.08</v>
      </c>
      <c r="AN186">
        <v>0.08</v>
      </c>
      <c r="AO186">
        <v>1</v>
      </c>
      <c r="AP186">
        <v>0</v>
      </c>
      <c r="AS186">
        <v>11862179.642999999</v>
      </c>
      <c r="AT186">
        <v>6532076.0180000002</v>
      </c>
      <c r="BB186">
        <f t="shared" ref="BB186:BB193" si="369">AC186/S186</f>
        <v>0.64945791775282025</v>
      </c>
      <c r="BD186">
        <f t="shared" ref="BD186:BD193" si="370">AS186-AD186</f>
        <v>2883229.6429999992</v>
      </c>
      <c r="BE186">
        <f t="shared" ref="BE186:BE193" si="371">AT186-AD186</f>
        <v>-2446873.9819999998</v>
      </c>
      <c r="BF186">
        <f t="shared" ref="BF186:BF193" si="372">BD186/S186*100</f>
        <v>11.256252932180404</v>
      </c>
      <c r="BG186">
        <f t="shared" ref="BG186:BG193" si="373">BE186/S186*100</f>
        <v>-9.5527016037145565</v>
      </c>
      <c r="BH186">
        <f t="shared" ref="BH186:BH193" si="374">(BD186-BE186)/(2*S186)*100</f>
        <v>10.404477267947481</v>
      </c>
      <c r="BI186">
        <f t="shared" ref="BI186:BI193" si="375">(BD186+BE186)/(2*S186*(0.01^2))</f>
        <v>85.17756642329239</v>
      </c>
      <c r="BJ186">
        <f t="shared" ref="BJ186:BJ193" si="376">ROUND(BH186,0)</f>
        <v>10</v>
      </c>
      <c r="BK186">
        <f>IF($BJ186&lt;=30,IF($B186=2015,VLOOKUP($BJ186,'Treasury Yields'!$C$5:$N$34,$E186,FALSE)/100,IF($B186=2016,VLOOKUP($BJ186,'Treasury Yields'!$C$40:$N$69,$E186,FALSE)/100,IF($B186=2017,VLOOKUP($BJ186,'Treasury Yields'!$C$75:$N$104,$E186,FALSE)/100,IF($B186=2018,VLOOKUP($BJ186,'Treasury Yields'!$C$110:$N$139,$E186,FALSE)/100,IF($B186=2019,VLOOKUP($BJ186,'Treasury Yields'!$C$145:$N$174,$E186,FALSE)/100,IF($B186=2020,VLOOKUP($BJ186,'Treasury Yields'!$C$180:$N$209,$E186,FALSE)/100,IF($B186=2021,VLOOKUP($BJ186,'Treasury Yields'!$C$215:$N$244,$E186,FALSE)/100,IF($B186=2022,VLOOKUP($BJ186,'Treasury Yields'!$C$250:$N$279,$E186,FALSE)/100)))))))),0)</f>
        <v>2.7109999999999999E-2</v>
      </c>
      <c r="BL186">
        <f t="shared" ref="BL186:BL193" si="377">1+BH186*(AL186-BK186)+(AL186-BK186)^2</f>
        <v>1.5530901548017422</v>
      </c>
      <c r="BM186">
        <f t="shared" ref="BM186:BM193" si="378">BL186*R186</f>
        <v>38559487.149544343</v>
      </c>
      <c r="BN186">
        <f t="shared" ref="BN186:BN193" si="379">BM186-AB186</f>
        <v>22023690.149544343</v>
      </c>
      <c r="BP186">
        <f>IF($BJ186&lt;=30,IF($B186=2015,VLOOKUP($BJ186,'Treasury Yields'!$C$40:$N$69,$E186,FALSE)/100,IF($B186=2016,VLOOKUP($BJ186,'Treasury Yields'!$C$75:$N$104,$E186,FALSE)/100,IF($B186=2017,VLOOKUP($BJ186,'Treasury Yields'!$C$110:$N$139,$E186,FALSE)/100,IF($B186=2018,VLOOKUP($BJ186,'Treasury Yields'!$C$145:$N$174,$E186,FALSE)/100,IF($B186=2019,VLOOKUP($BJ186,'Treasury Yields'!$C$180:$N$209,$E186,FALSE)/100,IF($B186=2020,VLOOKUP($BJ186,'Treasury Yields'!$C$215:$N$244,$E186,FALSE)/100,IF($B186=2021,VLOOKUP($BJ186,'Treasury Yields'!$C$250:$N$279,$E186,FALSE)/100,IF($B186=2022,VLOOKUP($BJ186,'Treasury Yields'!$C$285:$N$314,$E186,FALSE)/100)))))))),0)</f>
        <v>2.5470000000000003E-2</v>
      </c>
      <c r="BQ186">
        <f t="shared" ref="BQ186:BQ193" si="380">1+BH186*(AN186-BP186)+(AN186-BP186)^2</f>
        <v>1.5703296663211761</v>
      </c>
      <c r="BR186">
        <f t="shared" ref="BR186:BR193" si="381">BQ186*S186</f>
        <v>40223163.698423445</v>
      </c>
      <c r="BS186">
        <f t="shared" ref="BS186:BS193" si="382">BR186-AC186</f>
        <v>23587642.698423445</v>
      </c>
      <c r="BU186">
        <f t="shared" si="276"/>
        <v>13</v>
      </c>
      <c r="BV186">
        <f t="shared" ref="BV186:BV193" si="383">1+(BH186+BU186)*(AN186-BK186)+(AN186-BK186)^2*BI186</f>
        <v>2.4761344470088287</v>
      </c>
      <c r="BW186">
        <f t="shared" ref="BW186:BW193" si="384">BV186*J186</f>
        <v>1416210.2401600175</v>
      </c>
      <c r="BX186" s="5">
        <f t="shared" ref="BX186:BX193" si="385">(BM186+BW186-O186)*BK186</f>
        <v>1042415.2144348852</v>
      </c>
      <c r="BY186" s="5">
        <f t="shared" ref="BY186:BY193" si="386">BK186*(BN186+BW186-O186)</f>
        <v>594129.7577648852</v>
      </c>
      <c r="BZ186" s="5">
        <f t="shared" ref="BZ186:BZ193" si="387">SUM(J186:K186)</f>
        <v>2498349</v>
      </c>
      <c r="CA186" s="5">
        <f t="shared" ref="CA186:CA193" si="388">SUM(BW186+BY186)</f>
        <v>2010339.9979249027</v>
      </c>
      <c r="CC186" s="5">
        <f t="shared" ref="CC186:CC193" si="389">BR186</f>
        <v>40223163.698423445</v>
      </c>
      <c r="CD186" s="5" t="str">
        <f t="shared" ref="CD186:CD193" si="390">F186</f>
        <v>Kansas</v>
      </c>
      <c r="CE186" s="5">
        <f t="shared" si="274"/>
        <v>0.64945791775282025</v>
      </c>
      <c r="CF186" s="10">
        <f t="shared" ref="CF186:CF193" si="391">AC186/CC186</f>
        <v>0.41358062047844418</v>
      </c>
    </row>
    <row r="187" spans="1:84" x14ac:dyDescent="0.2">
      <c r="A187">
        <v>17000000006201</v>
      </c>
      <c r="B187">
        <v>2016</v>
      </c>
      <c r="C187">
        <v>288</v>
      </c>
      <c r="D187" t="s">
        <v>362</v>
      </c>
      <c r="E187">
        <v>6</v>
      </c>
      <c r="F187" t="s">
        <v>363</v>
      </c>
      <c r="G187" t="s">
        <v>364</v>
      </c>
      <c r="H187" t="s">
        <v>365</v>
      </c>
      <c r="I187" t="b">
        <v>1</v>
      </c>
      <c r="J187">
        <v>571263</v>
      </c>
      <c r="K187">
        <v>1985329</v>
      </c>
      <c r="M187">
        <v>-133493</v>
      </c>
      <c r="O187">
        <v>1627032</v>
      </c>
      <c r="Q187">
        <v>796067</v>
      </c>
      <c r="R187">
        <v>25614471</v>
      </c>
      <c r="S187">
        <v>26410538</v>
      </c>
      <c r="T187">
        <v>739184</v>
      </c>
      <c r="U187">
        <v>1000000</v>
      </c>
      <c r="V187">
        <v>404856</v>
      </c>
      <c r="W187">
        <v>49171</v>
      </c>
      <c r="Y187">
        <v>12172</v>
      </c>
      <c r="Z187">
        <v>2904</v>
      </c>
      <c r="AA187">
        <v>556911</v>
      </c>
      <c r="AB187">
        <v>16635521</v>
      </c>
      <c r="AC187">
        <v>17192432</v>
      </c>
      <c r="AD187">
        <v>9218106</v>
      </c>
      <c r="AE187">
        <v>8978950</v>
      </c>
      <c r="AF187">
        <v>239156</v>
      </c>
      <c r="AG187">
        <v>6388450</v>
      </c>
      <c r="AH187">
        <v>0.11570631373807418</v>
      </c>
      <c r="AI187" t="b">
        <v>1</v>
      </c>
      <c r="AK187">
        <v>0.08</v>
      </c>
      <c r="AL187">
        <v>0.08</v>
      </c>
      <c r="AM187">
        <v>0.08</v>
      </c>
      <c r="AN187">
        <v>0.08</v>
      </c>
      <c r="AO187">
        <v>1</v>
      </c>
      <c r="AP187">
        <v>0</v>
      </c>
      <c r="AS187">
        <v>12169856</v>
      </c>
      <c r="AT187">
        <v>6712855</v>
      </c>
      <c r="AU187" t="s">
        <v>152</v>
      </c>
      <c r="AV187" t="s">
        <v>366</v>
      </c>
      <c r="BB187">
        <f t="shared" si="369"/>
        <v>0.65096863986640485</v>
      </c>
      <c r="BD187">
        <f t="shared" si="370"/>
        <v>2951750</v>
      </c>
      <c r="BE187">
        <f t="shared" si="371"/>
        <v>-2505251</v>
      </c>
      <c r="BF187">
        <f t="shared" si="372"/>
        <v>11.176409961811455</v>
      </c>
      <c r="BG187">
        <f t="shared" si="373"/>
        <v>-9.4858007057637383</v>
      </c>
      <c r="BH187">
        <f t="shared" si="374"/>
        <v>10.331105333787596</v>
      </c>
      <c r="BI187">
        <f t="shared" si="375"/>
        <v>84.530462802385927</v>
      </c>
      <c r="BJ187">
        <f t="shared" si="376"/>
        <v>10</v>
      </c>
      <c r="BK187">
        <f>IF($BJ187&lt;=30,IF($B187=2015,VLOOKUP($BJ187,'Treasury Yields'!$C$5:$N$34,$E187,FALSE)/100,IF($B187=2016,VLOOKUP($BJ187,'Treasury Yields'!$C$40:$N$69,$E187,FALSE)/100,IF($B187=2017,VLOOKUP($BJ187,'Treasury Yields'!$C$75:$N$104,$E187,FALSE)/100,IF($B187=2018,VLOOKUP($BJ187,'Treasury Yields'!$C$110:$N$139,$E187,FALSE)/100,IF($B187=2019,VLOOKUP($BJ187,'Treasury Yields'!$C$145:$N$174,$E187,FALSE)/100,IF($B187=2020,VLOOKUP($BJ187,'Treasury Yields'!$C$180:$N$209,$E187,FALSE)/100,IF($B187=2021,VLOOKUP($BJ187,'Treasury Yields'!$C$215:$N$244,$E187,FALSE)/100,IF($B187=2022,VLOOKUP($BJ187,'Treasury Yields'!$C$250:$N$279,$E187,FALSE)/100)))))))),0)</f>
        <v>2.5470000000000003E-2</v>
      </c>
      <c r="BL187">
        <f t="shared" si="377"/>
        <v>1.5663286947514374</v>
      </c>
      <c r="BM187">
        <f t="shared" si="378"/>
        <v>40120680.928178549</v>
      </c>
      <c r="BN187">
        <f t="shared" si="379"/>
        <v>23485159.928178549</v>
      </c>
      <c r="BP187">
        <f>IF($BJ187&lt;=30,IF($B187=2015,VLOOKUP($BJ187,'Treasury Yields'!$C$40:$N$69,$E187,FALSE)/100,IF($B187=2016,VLOOKUP($BJ187,'Treasury Yields'!$C$75:$N$104,$E187,FALSE)/100,IF($B187=2017,VLOOKUP($BJ187,'Treasury Yields'!$C$110:$N$139,$E187,FALSE)/100,IF($B187=2018,VLOOKUP($BJ187,'Treasury Yields'!$C$145:$N$174,$E187,FALSE)/100,IF($B187=2019,VLOOKUP($BJ187,'Treasury Yields'!$C$180:$N$209,$E187,FALSE)/100,IF($B187=2020,VLOOKUP($BJ187,'Treasury Yields'!$C$215:$N$244,$E187,FALSE)/100,IF($B187=2021,VLOOKUP($BJ187,'Treasury Yields'!$C$250:$N$279,$E187,FALSE)/100,IF($B187=2022,VLOOKUP($BJ187,'Treasury Yields'!$C$285:$N$314,$E187,FALSE)/100)))))))),0)</f>
        <v>1.635E-2</v>
      </c>
      <c r="BQ187">
        <f t="shared" si="380"/>
        <v>1.6616261769955805</v>
      </c>
      <c r="BR187">
        <f t="shared" si="381"/>
        <v>43884441.289336503</v>
      </c>
      <c r="BS187">
        <f t="shared" si="382"/>
        <v>26692009.289336503</v>
      </c>
      <c r="BU187">
        <f t="shared" si="276"/>
        <v>13</v>
      </c>
      <c r="BV187">
        <f t="shared" si="383"/>
        <v>2.5235982716810046</v>
      </c>
      <c r="BW187">
        <f t="shared" si="384"/>
        <v>1441638.3194753057</v>
      </c>
      <c r="BX187" s="5">
        <f t="shared" si="385"/>
        <v>1017151.7661977438</v>
      </c>
      <c r="BY187" s="5">
        <f t="shared" si="386"/>
        <v>593445.04632774368</v>
      </c>
      <c r="BZ187" s="5">
        <f t="shared" si="387"/>
        <v>2556592</v>
      </c>
      <c r="CA187" s="5">
        <f t="shared" si="388"/>
        <v>2035083.3658030494</v>
      </c>
      <c r="CC187" s="5">
        <f t="shared" si="389"/>
        <v>43884441.289336503</v>
      </c>
      <c r="CD187" s="5" t="str">
        <f t="shared" si="390"/>
        <v>Kansas</v>
      </c>
      <c r="CE187" s="5">
        <f t="shared" si="274"/>
        <v>0.65096863986640485</v>
      </c>
      <c r="CF187" s="10">
        <f t="shared" si="391"/>
        <v>0.39176599940392987</v>
      </c>
    </row>
    <row r="188" spans="1:84" x14ac:dyDescent="0.2">
      <c r="A188">
        <v>17000000006201</v>
      </c>
      <c r="B188">
        <v>2017</v>
      </c>
      <c r="C188">
        <v>288</v>
      </c>
      <c r="D188" t="s">
        <v>362</v>
      </c>
      <c r="E188">
        <v>6</v>
      </c>
      <c r="F188" t="s">
        <v>363</v>
      </c>
      <c r="G188" t="s">
        <v>364</v>
      </c>
      <c r="H188" t="s">
        <v>365</v>
      </c>
      <c r="I188" t="b">
        <v>1</v>
      </c>
      <c r="J188">
        <v>570703</v>
      </c>
      <c r="K188">
        <v>2046822</v>
      </c>
      <c r="L188">
        <v>713</v>
      </c>
      <c r="M188">
        <v>-154326</v>
      </c>
      <c r="N188">
        <v>-154326</v>
      </c>
      <c r="O188">
        <v>1686676</v>
      </c>
      <c r="Q188">
        <v>1351932</v>
      </c>
      <c r="R188">
        <v>26410538</v>
      </c>
      <c r="S188">
        <v>27762469</v>
      </c>
      <c r="T188">
        <v>761610</v>
      </c>
      <c r="V188">
        <v>414538</v>
      </c>
      <c r="W188">
        <v>2060925</v>
      </c>
      <c r="Y188">
        <v>11116</v>
      </c>
      <c r="Z188">
        <v>97873</v>
      </c>
      <c r="AA188">
        <v>1441408</v>
      </c>
      <c r="AB188">
        <v>17192432</v>
      </c>
      <c r="AC188">
        <v>18633840</v>
      </c>
      <c r="AD188">
        <v>9128629</v>
      </c>
      <c r="AE188">
        <v>9218106</v>
      </c>
      <c r="AF188">
        <v>-89477</v>
      </c>
      <c r="AG188">
        <v>6715593</v>
      </c>
      <c r="AH188">
        <v>0.1134091955840683</v>
      </c>
      <c r="AI188" t="b">
        <v>1</v>
      </c>
      <c r="AK188">
        <v>0.08</v>
      </c>
      <c r="AL188">
        <v>7.7499999999999999E-2</v>
      </c>
      <c r="AM188">
        <v>7.7499999999999999E-2</v>
      </c>
      <c r="AN188">
        <v>0.08</v>
      </c>
      <c r="AO188">
        <v>1</v>
      </c>
      <c r="AP188">
        <v>0</v>
      </c>
      <c r="AS188">
        <v>12415167</v>
      </c>
      <c r="AT188">
        <v>6358184</v>
      </c>
      <c r="BB188">
        <f t="shared" si="369"/>
        <v>0.67118814252435544</v>
      </c>
      <c r="BD188">
        <f t="shared" si="370"/>
        <v>3286538</v>
      </c>
      <c r="BE188">
        <f t="shared" si="371"/>
        <v>-2770445</v>
      </c>
      <c r="BF188">
        <f t="shared" si="372"/>
        <v>11.838060944795652</v>
      </c>
      <c r="BG188">
        <f t="shared" si="373"/>
        <v>-9.9791016425808525</v>
      </c>
      <c r="BH188">
        <f t="shared" si="374"/>
        <v>10.908581293688252</v>
      </c>
      <c r="BI188">
        <f t="shared" si="375"/>
        <v>92.947965110739972</v>
      </c>
      <c r="BJ188">
        <f t="shared" si="376"/>
        <v>11</v>
      </c>
      <c r="BK188">
        <f>IF($BJ188&lt;=30,IF($B188=2015,VLOOKUP($BJ188,'Treasury Yields'!$C$5:$N$34,$E188,FALSE)/100,IF($B188=2016,VLOOKUP($BJ188,'Treasury Yields'!$C$40:$N$69,$E188,FALSE)/100,IF($B188=2017,VLOOKUP($BJ188,'Treasury Yields'!$C$75:$N$104,$E188,FALSE)/100,IF($B188=2018,VLOOKUP($BJ188,'Treasury Yields'!$C$110:$N$139,$E188,FALSE)/100,IF($B188=2019,VLOOKUP($BJ188,'Treasury Yields'!$C$145:$N$174,$E188,FALSE)/100,IF($B188=2020,VLOOKUP($BJ188,'Treasury Yields'!$C$180:$N$209,$E188,FALSE)/100,IF($B188=2021,VLOOKUP($BJ188,'Treasury Yields'!$C$215:$N$244,$E188,FALSE)/100,IF($B188=2022,VLOOKUP($BJ188,'Treasury Yields'!$C$250:$N$279,$E188,FALSE)/100)))))))),0)</f>
        <v>1.6948000000000001E-2</v>
      </c>
      <c r="BL188">
        <f t="shared" si="377"/>
        <v>1.664202959199411</v>
      </c>
      <c r="BM188">
        <f t="shared" si="378"/>
        <v>43952495.493648492</v>
      </c>
      <c r="BN188">
        <f t="shared" si="379"/>
        <v>26760063.493648492</v>
      </c>
      <c r="BP188">
        <f>IF($BJ188&lt;=30,IF($B188=2015,VLOOKUP($BJ188,'Treasury Yields'!$C$40:$N$69,$E188,FALSE)/100,IF($B188=2016,VLOOKUP($BJ188,'Treasury Yields'!$C$75:$N$104,$E188,FALSE)/100,IF($B188=2017,VLOOKUP($BJ188,'Treasury Yields'!$C$110:$N$139,$E188,FALSE)/100,IF($B188=2018,VLOOKUP($BJ188,'Treasury Yields'!$C$145:$N$174,$E188,FALSE)/100,IF($B188=2019,VLOOKUP($BJ188,'Treasury Yields'!$C$180:$N$209,$E188,FALSE)/100,IF($B188=2020,VLOOKUP($BJ188,'Treasury Yields'!$C$215:$N$244,$E188,FALSE)/100,IF($B188=2021,VLOOKUP($BJ188,'Treasury Yields'!$C$250:$N$279,$E188,FALSE)/100,IF($B188=2022,VLOOKUP($BJ188,'Treasury Yields'!$C$285:$N$314,$E188,FALSE)/100)))))))),0)</f>
        <v>2.5068799999999999E-2</v>
      </c>
      <c r="BQ188">
        <f t="shared" si="380"/>
        <v>1.602238897493288</v>
      </c>
      <c r="BR188">
        <f t="shared" si="381"/>
        <v>44482107.722251587</v>
      </c>
      <c r="BS188">
        <f t="shared" si="382"/>
        <v>25848267.722251587</v>
      </c>
      <c r="BU188">
        <f t="shared" si="276"/>
        <v>14</v>
      </c>
      <c r="BV188">
        <f t="shared" si="383"/>
        <v>2.940055587652862</v>
      </c>
      <c r="BW188">
        <f t="shared" si="384"/>
        <v>1677898.5440402513</v>
      </c>
      <c r="BX188" s="5">
        <f t="shared" si="385"/>
        <v>744758.13330274879</v>
      </c>
      <c r="BY188" s="5">
        <f t="shared" si="386"/>
        <v>453380.79576674884</v>
      </c>
      <c r="BZ188" s="5">
        <f t="shared" si="387"/>
        <v>2617525</v>
      </c>
      <c r="CA188" s="5">
        <f t="shared" si="388"/>
        <v>2131279.339807</v>
      </c>
      <c r="CC188" s="5">
        <f t="shared" si="389"/>
        <v>44482107.722251587</v>
      </c>
      <c r="CD188" s="5" t="str">
        <f t="shared" si="390"/>
        <v>Kansas</v>
      </c>
      <c r="CE188" s="5">
        <f t="shared" si="274"/>
        <v>0.67118814252435544</v>
      </c>
      <c r="CF188" s="10">
        <f t="shared" si="391"/>
        <v>0.41890640875991286</v>
      </c>
    </row>
    <row r="189" spans="1:84" x14ac:dyDescent="0.2">
      <c r="A189">
        <v>17000000006201</v>
      </c>
      <c r="B189">
        <v>2018</v>
      </c>
      <c r="C189">
        <v>288</v>
      </c>
      <c r="D189" t="s">
        <v>362</v>
      </c>
      <c r="E189">
        <v>6</v>
      </c>
      <c r="F189" t="s">
        <v>363</v>
      </c>
      <c r="G189" t="s">
        <v>364</v>
      </c>
      <c r="H189" t="s">
        <v>365</v>
      </c>
      <c r="I189" t="b">
        <v>1</v>
      </c>
      <c r="J189">
        <v>552423</v>
      </c>
      <c r="K189">
        <v>2084822</v>
      </c>
      <c r="L189">
        <v>0</v>
      </c>
      <c r="M189">
        <v>-47143</v>
      </c>
      <c r="N189">
        <v>0</v>
      </c>
      <c r="O189">
        <v>1755854</v>
      </c>
      <c r="Q189">
        <v>834247</v>
      </c>
      <c r="R189">
        <v>27762469</v>
      </c>
      <c r="S189">
        <v>28596716</v>
      </c>
      <c r="T189">
        <v>831735</v>
      </c>
      <c r="U189">
        <v>56000</v>
      </c>
      <c r="V189">
        <v>420285</v>
      </c>
      <c r="W189">
        <v>1516929</v>
      </c>
      <c r="Y189">
        <v>12460</v>
      </c>
      <c r="Z189">
        <v>5734</v>
      </c>
      <c r="AA189">
        <v>1062369</v>
      </c>
      <c r="AB189">
        <v>18633840</v>
      </c>
      <c r="AC189">
        <v>19696209</v>
      </c>
      <c r="AD189">
        <v>8900507</v>
      </c>
      <c r="AE189">
        <v>9128629</v>
      </c>
      <c r="AF189">
        <v>-228122</v>
      </c>
      <c r="AG189">
        <v>6824710</v>
      </c>
      <c r="AH189">
        <v>0.1218711124721783</v>
      </c>
      <c r="AI189" t="b">
        <v>1</v>
      </c>
      <c r="AK189">
        <v>7.7499999999999999E-2</v>
      </c>
      <c r="AL189">
        <v>7.7499999999999999E-2</v>
      </c>
      <c r="AM189">
        <v>7.7499999999999999E-2</v>
      </c>
      <c r="AN189">
        <v>7.7499999999999999E-2</v>
      </c>
      <c r="AO189">
        <v>1</v>
      </c>
      <c r="AP189">
        <v>0</v>
      </c>
      <c r="AS189">
        <v>12239681</v>
      </c>
      <c r="AT189">
        <v>6079734</v>
      </c>
      <c r="AU189" t="s">
        <v>367</v>
      </c>
      <c r="AV189" t="s">
        <v>368</v>
      </c>
      <c r="BB189">
        <f t="shared" si="369"/>
        <v>0.68875772308960237</v>
      </c>
      <c r="BD189">
        <f t="shared" si="370"/>
        <v>3339174</v>
      </c>
      <c r="BE189">
        <f t="shared" si="371"/>
        <v>-2820773</v>
      </c>
      <c r="BF189">
        <f t="shared" si="372"/>
        <v>11.676774354090169</v>
      </c>
      <c r="BG189">
        <f t="shared" si="373"/>
        <v>-9.8639752900298063</v>
      </c>
      <c r="BH189">
        <f t="shared" si="374"/>
        <v>10.770374822059987</v>
      </c>
      <c r="BI189">
        <f t="shared" si="375"/>
        <v>90.639953203018138</v>
      </c>
      <c r="BJ189">
        <f t="shared" si="376"/>
        <v>11</v>
      </c>
      <c r="BK189">
        <f>IF($BJ189&lt;=30,IF($B189=2015,VLOOKUP($BJ189,'Treasury Yields'!$C$5:$N$34,$E189,FALSE)/100,IF($B189=2016,VLOOKUP($BJ189,'Treasury Yields'!$C$40:$N$69,$E189,FALSE)/100,IF($B189=2017,VLOOKUP($BJ189,'Treasury Yields'!$C$75:$N$104,$E189,FALSE)/100,IF($B189=2018,VLOOKUP($BJ189,'Treasury Yields'!$C$110:$N$139,$E189,FALSE)/100,IF($B189=2019,VLOOKUP($BJ189,'Treasury Yields'!$C$145:$N$174,$E189,FALSE)/100,IF($B189=2020,VLOOKUP($BJ189,'Treasury Yields'!$C$180:$N$209,$E189,FALSE)/100,IF($B189=2021,VLOOKUP($BJ189,'Treasury Yields'!$C$215:$N$244,$E189,FALSE)/100,IF($B189=2022,VLOOKUP($BJ189,'Treasury Yields'!$C$250:$N$279,$E189,FALSE)/100)))))))),0)</f>
        <v>2.5068799999999999E-2</v>
      </c>
      <c r="BL189">
        <f t="shared" si="377"/>
        <v>1.5674527071038313</v>
      </c>
      <c r="BM189">
        <f t="shared" si="378"/>
        <v>43516357.189936198</v>
      </c>
      <c r="BN189">
        <f t="shared" si="379"/>
        <v>24882517.189936198</v>
      </c>
      <c r="BP189">
        <f>IF($BJ189&lt;=30,IF($B189=2015,VLOOKUP($BJ189,'Treasury Yields'!$C$40:$N$69,$E189,FALSE)/100,IF($B189=2016,VLOOKUP($BJ189,'Treasury Yields'!$C$75:$N$104,$E189,FALSE)/100,IF($B189=2017,VLOOKUP($BJ189,'Treasury Yields'!$C$110:$N$139,$E189,FALSE)/100,IF($B189=2018,VLOOKUP($BJ189,'Treasury Yields'!$C$145:$N$174,$E189,FALSE)/100,IF($B189=2019,VLOOKUP($BJ189,'Treasury Yields'!$C$180:$N$209,$E189,FALSE)/100,IF($B189=2020,VLOOKUP($BJ189,'Treasury Yields'!$C$215:$N$244,$E189,FALSE)/100,IF($B189=2021,VLOOKUP($BJ189,'Treasury Yields'!$C$250:$N$279,$E189,FALSE)/100,IF($B189=2022,VLOOKUP($BJ189,'Treasury Yields'!$C$285:$N$314,$E189,FALSE)/100)))))))),0)</f>
        <v>2.9273236363636365E-2</v>
      </c>
      <c r="BQ189">
        <f t="shared" si="380"/>
        <v>1.5217461415493665</v>
      </c>
      <c r="BR189">
        <f t="shared" si="381"/>
        <v>43516942.233983032</v>
      </c>
      <c r="BS189">
        <f t="shared" si="382"/>
        <v>23820733.233983032</v>
      </c>
      <c r="BU189">
        <f t="shared" si="276"/>
        <v>14</v>
      </c>
      <c r="BV189">
        <f t="shared" si="383"/>
        <v>2.5479124934030519</v>
      </c>
      <c r="BW189">
        <f t="shared" si="384"/>
        <v>1407525.4633431942</v>
      </c>
      <c r="BX189" s="5">
        <f t="shared" si="385"/>
        <v>1082170.6767033304</v>
      </c>
      <c r="BY189" s="5">
        <f t="shared" si="386"/>
        <v>615042.66851133038</v>
      </c>
      <c r="BZ189" s="5">
        <f t="shared" si="387"/>
        <v>2637245</v>
      </c>
      <c r="CA189" s="5">
        <f t="shared" si="388"/>
        <v>2022568.1318545246</v>
      </c>
      <c r="CC189" s="5">
        <f t="shared" si="389"/>
        <v>43516942.233983032</v>
      </c>
      <c r="CD189" s="5" t="str">
        <f t="shared" si="390"/>
        <v>Kansas</v>
      </c>
      <c r="CE189" s="5">
        <f t="shared" si="274"/>
        <v>0.68875772308960237</v>
      </c>
      <c r="CF189" s="10">
        <f t="shared" si="391"/>
        <v>0.4526101327178943</v>
      </c>
    </row>
    <row r="190" spans="1:84" x14ac:dyDescent="0.2">
      <c r="A190">
        <v>17000000006201</v>
      </c>
      <c r="B190">
        <v>2019</v>
      </c>
      <c r="C190">
        <v>288</v>
      </c>
      <c r="D190" t="s">
        <v>362</v>
      </c>
      <c r="E190">
        <v>6</v>
      </c>
      <c r="F190" t="s">
        <v>363</v>
      </c>
      <c r="G190" t="s">
        <v>364</v>
      </c>
      <c r="H190" t="s">
        <v>365</v>
      </c>
      <c r="I190" t="b">
        <v>1</v>
      </c>
      <c r="J190">
        <v>563297</v>
      </c>
      <c r="K190">
        <v>2146531</v>
      </c>
      <c r="L190">
        <v>0</v>
      </c>
      <c r="M190">
        <v>75441</v>
      </c>
      <c r="N190">
        <v>0</v>
      </c>
      <c r="O190">
        <v>1833297</v>
      </c>
      <c r="Q190">
        <v>951972</v>
      </c>
      <c r="R190">
        <v>28596716</v>
      </c>
      <c r="S190">
        <v>29548688</v>
      </c>
      <c r="T190">
        <v>925352</v>
      </c>
      <c r="U190">
        <v>213543</v>
      </c>
      <c r="V190">
        <v>437353</v>
      </c>
      <c r="W190">
        <v>1216685</v>
      </c>
      <c r="Y190">
        <v>13280</v>
      </c>
      <c r="Z190">
        <v>5488</v>
      </c>
      <c r="AA190">
        <v>951845</v>
      </c>
      <c r="AB190">
        <v>19696209</v>
      </c>
      <c r="AC190">
        <v>20648054</v>
      </c>
      <c r="AD190">
        <v>8900634</v>
      </c>
      <c r="AE190">
        <v>8900507</v>
      </c>
      <c r="AF190">
        <v>127</v>
      </c>
      <c r="AG190">
        <v>7168557</v>
      </c>
      <c r="AH190">
        <v>0.12908483534412854</v>
      </c>
      <c r="AI190" t="b">
        <v>1</v>
      </c>
      <c r="AK190">
        <v>7.7499999999999999E-2</v>
      </c>
      <c r="AL190">
        <v>7.7499999999999999E-2</v>
      </c>
      <c r="AM190">
        <v>7.7499999999999999E-2</v>
      </c>
      <c r="AN190">
        <v>7.7499999999999999E-2</v>
      </c>
      <c r="AO190">
        <v>1</v>
      </c>
      <c r="AP190">
        <v>0</v>
      </c>
      <c r="AS190">
        <v>12417494</v>
      </c>
      <c r="AT190">
        <v>5951574</v>
      </c>
      <c r="AU190" t="s">
        <v>369</v>
      </c>
      <c r="AV190" t="s">
        <v>370</v>
      </c>
      <c r="BB190">
        <f t="shared" si="369"/>
        <v>0.6987807377437536</v>
      </c>
      <c r="BD190">
        <f t="shared" si="370"/>
        <v>3516860</v>
      </c>
      <c r="BE190">
        <f t="shared" si="371"/>
        <v>-2949060</v>
      </c>
      <c r="BF190">
        <f t="shared" si="372"/>
        <v>11.901915915860629</v>
      </c>
      <c r="BG190">
        <f t="shared" si="373"/>
        <v>-9.9803415975694083</v>
      </c>
      <c r="BH190">
        <f t="shared" si="374"/>
        <v>10.941128756715019</v>
      </c>
      <c r="BI190">
        <f t="shared" si="375"/>
        <v>96.078715914561073</v>
      </c>
      <c r="BJ190">
        <f t="shared" si="376"/>
        <v>11</v>
      </c>
      <c r="BK190">
        <f>IF($BJ190&lt;=30,IF($B190=2015,VLOOKUP($BJ190,'Treasury Yields'!$C$5:$N$34,$E190,FALSE)/100,IF($B190=2016,VLOOKUP($BJ190,'Treasury Yields'!$C$40:$N$69,$E190,FALSE)/100,IF($B190=2017,VLOOKUP($BJ190,'Treasury Yields'!$C$75:$N$104,$E190,FALSE)/100,IF($B190=2018,VLOOKUP($BJ190,'Treasury Yields'!$C$110:$N$139,$E190,FALSE)/100,IF($B190=2019,VLOOKUP($BJ190,'Treasury Yields'!$C$145:$N$174,$E190,FALSE)/100,IF($B190=2020,VLOOKUP($BJ190,'Treasury Yields'!$C$180:$N$209,$E190,FALSE)/100,IF($B190=2021,VLOOKUP($BJ190,'Treasury Yields'!$C$215:$N$244,$E190,FALSE)/100,IF($B190=2022,VLOOKUP($BJ190,'Treasury Yields'!$C$250:$N$279,$E190,FALSE)/100)))))))),0)</f>
        <v>2.9273236363636365E-2</v>
      </c>
      <c r="BL190">
        <f t="shared" si="377"/>
        <v>1.529981051195954</v>
      </c>
      <c r="BM190">
        <f t="shared" si="378"/>
        <v>43752433.606432155</v>
      </c>
      <c r="BN190">
        <f t="shared" si="379"/>
        <v>24056224.606432155</v>
      </c>
      <c r="BP190">
        <f>IF($BJ190&lt;=30,IF($B190=2015,VLOOKUP($BJ190,'Treasury Yields'!$C$40:$N$69,$E190,FALSE)/100,IF($B190=2016,VLOOKUP($BJ190,'Treasury Yields'!$C$75:$N$104,$E190,FALSE)/100,IF($B190=2017,VLOOKUP($BJ190,'Treasury Yields'!$C$110:$N$139,$E190,FALSE)/100,IF($B190=2018,VLOOKUP($BJ190,'Treasury Yields'!$C$145:$N$174,$E190,FALSE)/100,IF($B190=2019,VLOOKUP($BJ190,'Treasury Yields'!$C$180:$N$209,$E190,FALSE)/100,IF($B190=2020,VLOOKUP($BJ190,'Treasury Yields'!$C$215:$N$244,$E190,FALSE)/100,IF($B190=2021,VLOOKUP($BJ190,'Treasury Yields'!$C$250:$N$279,$E190,FALSE)/100,IF($B190=2022,VLOOKUP($BJ190,'Treasury Yields'!$C$285:$N$314,$E190,FALSE)/100)))))))),0)</f>
        <v>2.1722000000000002E-2</v>
      </c>
      <c r="BQ190">
        <f t="shared" si="380"/>
        <v>1.6133854650760504</v>
      </c>
      <c r="BR190">
        <f t="shared" si="381"/>
        <v>47673423.73126711</v>
      </c>
      <c r="BS190">
        <f t="shared" si="382"/>
        <v>27025369.73126711</v>
      </c>
      <c r="BU190">
        <f t="shared" si="276"/>
        <v>14</v>
      </c>
      <c r="BV190">
        <f t="shared" si="383"/>
        <v>2.4262917906405579</v>
      </c>
      <c r="BW190">
        <f t="shared" si="384"/>
        <v>1366722.8867924544</v>
      </c>
      <c r="BX190" s="5">
        <f t="shared" si="385"/>
        <v>1267117.1961483168</v>
      </c>
      <c r="BY190" s="5">
        <f t="shared" si="386"/>
        <v>690545.41462373512</v>
      </c>
      <c r="BZ190" s="5">
        <f t="shared" si="387"/>
        <v>2709828</v>
      </c>
      <c r="CA190" s="5">
        <f t="shared" si="388"/>
        <v>2057268.3014161894</v>
      </c>
      <c r="CC190" s="5">
        <f t="shared" si="389"/>
        <v>47673423.73126711</v>
      </c>
      <c r="CD190" s="5" t="str">
        <f t="shared" si="390"/>
        <v>Kansas</v>
      </c>
      <c r="CE190" s="5">
        <f t="shared" si="274"/>
        <v>0.6987807377437536</v>
      </c>
      <c r="CF190" s="10">
        <f t="shared" si="391"/>
        <v>0.4331145611943486</v>
      </c>
    </row>
    <row r="191" spans="1:84" x14ac:dyDescent="0.2">
      <c r="A191">
        <v>17000000006201</v>
      </c>
      <c r="B191">
        <v>2020</v>
      </c>
      <c r="C191">
        <v>288</v>
      </c>
      <c r="D191" t="s">
        <v>362</v>
      </c>
      <c r="E191">
        <v>6</v>
      </c>
      <c r="F191" t="s">
        <v>363</v>
      </c>
      <c r="G191" t="s">
        <v>364</v>
      </c>
      <c r="H191" t="s">
        <v>365</v>
      </c>
      <c r="I191" t="b">
        <v>1</v>
      </c>
      <c r="J191">
        <v>581722</v>
      </c>
      <c r="K191">
        <v>2217512</v>
      </c>
      <c r="L191">
        <v>0</v>
      </c>
      <c r="M191">
        <v>110055</v>
      </c>
      <c r="N191">
        <v>529310</v>
      </c>
      <c r="O191">
        <v>1906848</v>
      </c>
      <c r="Q191">
        <v>1531751</v>
      </c>
      <c r="R191">
        <v>29548688</v>
      </c>
      <c r="S191">
        <v>31080439</v>
      </c>
      <c r="T191">
        <v>1008544</v>
      </c>
      <c r="U191">
        <v>51000</v>
      </c>
      <c r="V191">
        <v>451568</v>
      </c>
      <c r="W191">
        <v>347464</v>
      </c>
      <c r="Y191">
        <v>13607</v>
      </c>
      <c r="Z191">
        <v>20699</v>
      </c>
      <c r="AA191">
        <v>-41180</v>
      </c>
      <c r="AB191">
        <v>20648054</v>
      </c>
      <c r="AC191">
        <v>20606874</v>
      </c>
      <c r="AD191">
        <v>10473565</v>
      </c>
      <c r="AE191">
        <v>8900634</v>
      </c>
      <c r="AF191">
        <v>1572931</v>
      </c>
      <c r="AG191">
        <v>7411388</v>
      </c>
      <c r="AH191">
        <v>0.13608031316131336</v>
      </c>
      <c r="AI191" t="b">
        <v>1</v>
      </c>
      <c r="AK191">
        <v>7.7499999999999999E-2</v>
      </c>
      <c r="AL191">
        <v>7.4999999999999997E-2</v>
      </c>
      <c r="AM191">
        <v>7.4999999999999997E-2</v>
      </c>
      <c r="AN191">
        <v>7.7499999999999999E-2</v>
      </c>
      <c r="AO191">
        <v>1</v>
      </c>
      <c r="AP191">
        <v>0</v>
      </c>
      <c r="AS191">
        <v>14088186</v>
      </c>
      <c r="AT191">
        <v>7430983</v>
      </c>
      <c r="AU191" t="s">
        <v>371</v>
      </c>
      <c r="AV191" t="s">
        <v>372</v>
      </c>
      <c r="BB191">
        <f t="shared" si="369"/>
        <v>0.66301746896174796</v>
      </c>
      <c r="BD191">
        <f t="shared" si="370"/>
        <v>3614621</v>
      </c>
      <c r="BE191">
        <f t="shared" si="371"/>
        <v>-3042582</v>
      </c>
      <c r="BF191">
        <f t="shared" si="372"/>
        <v>11.629890427223373</v>
      </c>
      <c r="BG191">
        <f t="shared" si="373"/>
        <v>-9.7893791011124378</v>
      </c>
      <c r="BH191">
        <f t="shared" si="374"/>
        <v>10.709634764167907</v>
      </c>
      <c r="BI191">
        <f t="shared" si="375"/>
        <v>92.025566305546704</v>
      </c>
      <c r="BJ191">
        <f t="shared" si="376"/>
        <v>11</v>
      </c>
      <c r="BK191">
        <f>IF($BJ191&lt;=30,IF($B191=2015,VLOOKUP($BJ191,'Treasury Yields'!$C$5:$N$34,$E191,FALSE)/100,IF($B191=2016,VLOOKUP($BJ191,'Treasury Yields'!$C$40:$N$69,$E191,FALSE)/100,IF($B191=2017,VLOOKUP($BJ191,'Treasury Yields'!$C$75:$N$104,$E191,FALSE)/100,IF($B191=2018,VLOOKUP($BJ191,'Treasury Yields'!$C$110:$N$139,$E191,FALSE)/100,IF($B191=2019,VLOOKUP($BJ191,'Treasury Yields'!$C$145:$N$174,$E191,FALSE)/100,IF($B191=2020,VLOOKUP($BJ191,'Treasury Yields'!$C$180:$N$209,$E191,FALSE)/100,IF($B191=2021,VLOOKUP($BJ191,'Treasury Yields'!$C$215:$N$244,$E191,FALSE)/100,IF($B191=2022,VLOOKUP($BJ191,'Treasury Yields'!$C$250:$N$279,$E191,FALSE)/100)))))))),0)</f>
        <v>2.1722000000000002E-2</v>
      </c>
      <c r="BL191">
        <f t="shared" si="377"/>
        <v>1.5734264662493376</v>
      </c>
      <c r="BM191">
        <f t="shared" si="378"/>
        <v>46492687.742144205</v>
      </c>
      <c r="BN191">
        <f t="shared" si="379"/>
        <v>25844633.742144205</v>
      </c>
      <c r="BP191">
        <f>IF($BJ191&lt;=30,IF($B191=2015,VLOOKUP($BJ191,'Treasury Yields'!$C$40:$N$69,$E191,FALSE)/100,IF($B191=2016,VLOOKUP($BJ191,'Treasury Yields'!$C$75:$N$104,$E191,FALSE)/100,IF($B191=2017,VLOOKUP($BJ191,'Treasury Yields'!$C$110:$N$139,$E191,FALSE)/100,IF($B191=2018,VLOOKUP($BJ191,'Treasury Yields'!$C$145:$N$174,$E191,FALSE)/100,IF($B191=2019,VLOOKUP($BJ191,'Treasury Yields'!$C$180:$N$209,$E191,FALSE)/100,IF($B191=2020,VLOOKUP($BJ191,'Treasury Yields'!$C$215:$N$244,$E191,FALSE)/100,IF($B191=2021,VLOOKUP($BJ191,'Treasury Yields'!$C$250:$N$279,$E191,FALSE)/100,IF($B191=2022,VLOOKUP($BJ191,'Treasury Yields'!$C$285:$N$314,$E191,FALSE)/100)))))))),0)</f>
        <v>1.4551090909090908E-2</v>
      </c>
      <c r="BQ191">
        <f t="shared" si="380"/>
        <v>1.6781223903221809</v>
      </c>
      <c r="BR191">
        <f t="shared" si="381"/>
        <v>52156780.586942732</v>
      </c>
      <c r="BS191">
        <f t="shared" si="382"/>
        <v>31549906.586942732</v>
      </c>
      <c r="BU191">
        <f t="shared" si="276"/>
        <v>14</v>
      </c>
      <c r="BV191">
        <f t="shared" si="383"/>
        <v>2.6645625955173404</v>
      </c>
      <c r="BW191">
        <f t="shared" si="384"/>
        <v>1550034.6821895384</v>
      </c>
      <c r="BX191" s="5">
        <f t="shared" si="385"/>
        <v>1002163.4642453777</v>
      </c>
      <c r="BY191" s="5">
        <f t="shared" si="386"/>
        <v>553646.43525737757</v>
      </c>
      <c r="BZ191" s="5">
        <f t="shared" si="387"/>
        <v>2799234</v>
      </c>
      <c r="CA191" s="5">
        <f t="shared" si="388"/>
        <v>2103681.1174469162</v>
      </c>
      <c r="CC191" s="5">
        <f t="shared" si="389"/>
        <v>52156780.586942732</v>
      </c>
      <c r="CD191" s="5" t="str">
        <f t="shared" si="390"/>
        <v>Kansas</v>
      </c>
      <c r="CE191" s="5">
        <f t="shared" si="274"/>
        <v>0.66301746896174796</v>
      </c>
      <c r="CF191" s="10">
        <f t="shared" si="391"/>
        <v>0.39509482311028338</v>
      </c>
    </row>
    <row r="192" spans="1:84" x14ac:dyDescent="0.2">
      <c r="A192">
        <v>17000000006201</v>
      </c>
      <c r="B192">
        <v>2021</v>
      </c>
      <c r="C192">
        <v>288</v>
      </c>
      <c r="D192" t="s">
        <v>362</v>
      </c>
      <c r="E192">
        <v>6</v>
      </c>
      <c r="F192" t="s">
        <v>363</v>
      </c>
      <c r="G192" t="s">
        <v>364</v>
      </c>
      <c r="H192" t="s">
        <v>365</v>
      </c>
      <c r="I192" t="b">
        <v>1</v>
      </c>
      <c r="J192">
        <v>608798</v>
      </c>
      <c r="K192">
        <v>2257132</v>
      </c>
      <c r="L192">
        <v>101</v>
      </c>
      <c r="M192">
        <v>113131</v>
      </c>
      <c r="N192">
        <v>1001426</v>
      </c>
      <c r="O192">
        <v>2006981</v>
      </c>
      <c r="Q192">
        <v>1973607</v>
      </c>
      <c r="R192">
        <v>31080439</v>
      </c>
      <c r="S192">
        <v>33054046</v>
      </c>
      <c r="T192">
        <v>1007571</v>
      </c>
      <c r="U192">
        <v>0</v>
      </c>
      <c r="V192">
        <v>459314</v>
      </c>
      <c r="W192">
        <v>5185034</v>
      </c>
      <c r="Y192">
        <v>17184</v>
      </c>
      <c r="Z192">
        <v>19967</v>
      </c>
      <c r="AA192">
        <v>4647721</v>
      </c>
      <c r="AB192">
        <v>20606874</v>
      </c>
      <c r="AC192">
        <v>25254595</v>
      </c>
      <c r="AD192">
        <v>7799451</v>
      </c>
      <c r="AE192">
        <v>10473565</v>
      </c>
      <c r="AF192">
        <v>-2674114</v>
      </c>
      <c r="AG192">
        <v>7547246</v>
      </c>
      <c r="AI192" t="b">
        <v>1</v>
      </c>
      <c r="AK192">
        <v>7.4999999999999997E-2</v>
      </c>
      <c r="AL192">
        <v>7.2499999999999995E-2</v>
      </c>
      <c r="AM192">
        <v>7.2499999999999995E-2</v>
      </c>
      <c r="AN192">
        <v>7.4999999999999997E-2</v>
      </c>
      <c r="AS192">
        <v>11714934</v>
      </c>
      <c r="AT192">
        <v>4510590</v>
      </c>
      <c r="BB192">
        <f t="shared" si="369"/>
        <v>0.76403944618459119</v>
      </c>
      <c r="BD192">
        <f t="shared" si="370"/>
        <v>3915483</v>
      </c>
      <c r="BE192">
        <f t="shared" si="371"/>
        <v>-3288861</v>
      </c>
      <c r="BF192">
        <f t="shared" si="372"/>
        <v>11.845699615714215</v>
      </c>
      <c r="BG192">
        <f t="shared" si="373"/>
        <v>-9.9499498488021718</v>
      </c>
      <c r="BH192">
        <f t="shared" si="374"/>
        <v>10.897824732258194</v>
      </c>
      <c r="BI192">
        <f t="shared" si="375"/>
        <v>94.787488345602227</v>
      </c>
      <c r="BJ192">
        <f t="shared" si="376"/>
        <v>11</v>
      </c>
      <c r="BK192">
        <f>IF($BJ192&lt;=30,IF($B192=2015,VLOOKUP($BJ192,'Treasury Yields'!$C$5:$N$34,$E192,FALSE)/100,IF($B192=2016,VLOOKUP($BJ192,'Treasury Yields'!$C$40:$N$69,$E192,FALSE)/100,IF($B192=2017,VLOOKUP($BJ192,'Treasury Yields'!$C$75:$N$104,$E192,FALSE)/100,IF($B192=2018,VLOOKUP($BJ192,'Treasury Yields'!$C$110:$N$139,$E192,FALSE)/100,IF($B192=2019,VLOOKUP($BJ192,'Treasury Yields'!$C$145:$N$174,$E192,FALSE)/100,IF($B192=2020,VLOOKUP($BJ192,'Treasury Yields'!$C$180:$N$209,$E192,FALSE)/100,IF($B192=2021,VLOOKUP($BJ192,'Treasury Yields'!$C$215:$N$244,$E192,FALSE)/100,IF($B192=2022,VLOOKUP($BJ192,'Treasury Yields'!$C$250:$N$279,$E192,FALSE)/100)))))))),0)</f>
        <v>1.4551090909090908E-2</v>
      </c>
      <c r="BL192">
        <f t="shared" si="377"/>
        <v>1.6348751307631171</v>
      </c>
      <c r="BM192">
        <f t="shared" si="378"/>
        <v>50812636.774300084</v>
      </c>
      <c r="BN192">
        <f t="shared" si="379"/>
        <v>30205762.774300084</v>
      </c>
      <c r="BP192">
        <f>IF($BJ192&lt;=30,IF($B192=2015,VLOOKUP($BJ192,'Treasury Yields'!$C$40:$N$69,$E192,FALSE)/100,IF($B192=2016,VLOOKUP($BJ192,'Treasury Yields'!$C$75:$N$104,$E192,FALSE)/100,IF($B192=2017,VLOOKUP($BJ192,'Treasury Yields'!$C$110:$N$139,$E192,FALSE)/100,IF($B192=2018,VLOOKUP($BJ192,'Treasury Yields'!$C$145:$N$174,$E192,FALSE)/100,IF($B192=2019,VLOOKUP($BJ192,'Treasury Yields'!$C$180:$N$209,$E192,FALSE)/100,IF($B192=2020,VLOOKUP($BJ192,'Treasury Yields'!$C$215:$N$244,$E192,FALSE)/100,IF($B192=2021,VLOOKUP($BJ192,'Treasury Yields'!$C$250:$N$279,$E192,FALSE)/100,IF($B192=2022,VLOOKUP($BJ192,'Treasury Yields'!$C$285:$N$314,$E192,FALSE)/100)))))))),0)</f>
        <v>2.1554272727272727E-2</v>
      </c>
      <c r="BQ192">
        <f t="shared" si="380"/>
        <v>1.5852986142699643</v>
      </c>
      <c r="BR192">
        <f t="shared" si="381"/>
        <v>52400533.319815658</v>
      </c>
      <c r="BS192">
        <f t="shared" si="382"/>
        <v>27145938.319815658</v>
      </c>
      <c r="BU192">
        <f t="shared" si="276"/>
        <v>14</v>
      </c>
      <c r="BV192">
        <f t="shared" si="383"/>
        <v>2.8514065191876807</v>
      </c>
      <c r="BW192">
        <f t="shared" si="384"/>
        <v>1735930.5860684216</v>
      </c>
      <c r="BX192" s="5">
        <f t="shared" si="385"/>
        <v>735435.21781939117</v>
      </c>
      <c r="BY192" s="5">
        <f t="shared" si="386"/>
        <v>435582.72089320939</v>
      </c>
      <c r="BZ192" s="5">
        <f t="shared" si="387"/>
        <v>2865930</v>
      </c>
      <c r="CA192" s="5">
        <f t="shared" si="388"/>
        <v>2171513.3069616309</v>
      </c>
      <c r="CC192" s="5">
        <f t="shared" si="389"/>
        <v>52400533.319815658</v>
      </c>
      <c r="CD192" s="5" t="str">
        <f t="shared" si="390"/>
        <v>Kansas</v>
      </c>
      <c r="CE192" s="5">
        <f t="shared" si="274"/>
        <v>0.76403944618459119</v>
      </c>
      <c r="CF192" s="10">
        <f t="shared" si="391"/>
        <v>0.4819530145974637</v>
      </c>
    </row>
    <row r="193" spans="1:84" x14ac:dyDescent="0.2">
      <c r="A193">
        <v>17000000006201</v>
      </c>
      <c r="B193">
        <v>2022</v>
      </c>
      <c r="C193">
        <v>288</v>
      </c>
      <c r="D193" t="s">
        <v>362</v>
      </c>
      <c r="E193">
        <v>6</v>
      </c>
      <c r="F193" t="s">
        <v>363</v>
      </c>
      <c r="G193" t="s">
        <v>364</v>
      </c>
      <c r="H193" t="s">
        <v>365</v>
      </c>
      <c r="I193" t="b">
        <v>1</v>
      </c>
      <c r="J193">
        <v>666910</v>
      </c>
      <c r="K193">
        <v>2321174</v>
      </c>
      <c r="L193">
        <v>0</v>
      </c>
      <c r="M193">
        <v>192192</v>
      </c>
      <c r="N193">
        <v>962890</v>
      </c>
      <c r="O193">
        <v>2112655</v>
      </c>
      <c r="Q193">
        <v>2030511</v>
      </c>
      <c r="R193">
        <v>33054046</v>
      </c>
      <c r="S193">
        <v>35084557</v>
      </c>
      <c r="T193">
        <v>1025928</v>
      </c>
      <c r="U193">
        <v>1100000</v>
      </c>
      <c r="V193">
        <v>481840</v>
      </c>
      <c r="W193">
        <v>-1295608</v>
      </c>
      <c r="Y193">
        <v>19498</v>
      </c>
      <c r="Z193">
        <v>37474</v>
      </c>
      <c r="AA193">
        <v>-782519</v>
      </c>
      <c r="AB193">
        <v>25254595</v>
      </c>
      <c r="AC193">
        <v>24472076</v>
      </c>
      <c r="AD193">
        <v>10612481</v>
      </c>
      <c r="AE193">
        <v>7799451</v>
      </c>
      <c r="AF193">
        <v>2813030</v>
      </c>
      <c r="AG193">
        <v>7837185</v>
      </c>
      <c r="AI193" t="b">
        <v>1</v>
      </c>
      <c r="AK193">
        <v>7.2499999999999995E-2</v>
      </c>
      <c r="AL193">
        <v>7.0000000000000007E-2</v>
      </c>
      <c r="AM193">
        <v>7.0000000000000007E-2</v>
      </c>
      <c r="AN193">
        <v>7.2499999999999995E-2</v>
      </c>
      <c r="AS193">
        <v>14993470</v>
      </c>
      <c r="AT193">
        <v>6954866</v>
      </c>
      <c r="AV193" t="s">
        <v>373</v>
      </c>
      <c r="BB193">
        <f t="shared" si="369"/>
        <v>0.69751703007109367</v>
      </c>
      <c r="BD193">
        <f t="shared" si="370"/>
        <v>4380989</v>
      </c>
      <c r="BE193">
        <f t="shared" si="371"/>
        <v>-3657615</v>
      </c>
      <c r="BF193">
        <f t="shared" si="372"/>
        <v>12.486944042075264</v>
      </c>
      <c r="BG193">
        <f t="shared" si="373"/>
        <v>-10.425142321164266</v>
      </c>
      <c r="BH193">
        <f t="shared" si="374"/>
        <v>11.456043181619766</v>
      </c>
      <c r="BI193">
        <f t="shared" si="375"/>
        <v>103.0900860455499</v>
      </c>
      <c r="BJ193">
        <f t="shared" si="376"/>
        <v>11</v>
      </c>
      <c r="BK193">
        <f>IF($BJ193&lt;=30,IF($B193=2015,VLOOKUP($BJ193,'Treasury Yields'!$C$5:$N$34,$E193,FALSE)/100,IF($B193=2016,VLOOKUP($BJ193,'Treasury Yields'!$C$40:$N$69,$E193,FALSE)/100,IF($B193=2017,VLOOKUP($BJ193,'Treasury Yields'!$C$75:$N$104,$E193,FALSE)/100,IF($B193=2018,VLOOKUP($BJ193,'Treasury Yields'!$C$110:$N$139,$E193,FALSE)/100,IF($B193=2019,VLOOKUP($BJ193,'Treasury Yields'!$C$145:$N$174,$E193,FALSE)/100,IF($B193=2020,VLOOKUP($BJ193,'Treasury Yields'!$C$180:$N$209,$E193,FALSE)/100,IF($B193=2021,VLOOKUP($BJ193,'Treasury Yields'!$C$215:$N$244,$E193,FALSE)/100,IF($B193=2022,VLOOKUP($BJ193,'Treasury Yields'!$C$250:$N$279,$E193,FALSE)/100)))))))),0)</f>
        <v>2.1554272727272727E-2</v>
      </c>
      <c r="BL193">
        <f t="shared" si="377"/>
        <v>1.5573433320923216</v>
      </c>
      <c r="BM193">
        <f t="shared" si="378"/>
        <v>51476498.136772871</v>
      </c>
      <c r="BN193">
        <f t="shared" si="379"/>
        <v>26221903.136772871</v>
      </c>
      <c r="BP193">
        <f>IF($BJ193&lt;=30,IF($B193=2015,VLOOKUP($BJ193,'Treasury Yields'!$C$40:$N$69,$E193,FALSE)/100,IF($B193=2016,VLOOKUP($BJ193,'Treasury Yields'!$C$75:$N$104,$E193,FALSE)/100,IF($B193=2017,VLOOKUP($BJ193,'Treasury Yields'!$C$110:$N$139,$E193,FALSE)/100,IF($B193=2018,VLOOKUP($BJ193,'Treasury Yields'!$C$145:$N$174,$E193,FALSE)/100,IF($B193=2019,VLOOKUP($BJ193,'Treasury Yields'!$C$180:$N$209,$E193,FALSE)/100,IF($B193=2020,VLOOKUP($BJ193,'Treasury Yields'!$C$215:$N$244,$E193,FALSE)/100,IF($B193=2021,VLOOKUP($BJ193,'Treasury Yields'!$C$250:$N$279,$E193,FALSE)/100,IF($B193=2022,VLOOKUP($BJ193,'Treasury Yields'!$C$285:$N$314,$E193,FALSE)/100)))))))),0)</f>
        <v>3.1935909090909091E-2</v>
      </c>
      <c r="BQ193">
        <f t="shared" si="380"/>
        <v>1.4663494225489764</v>
      </c>
      <c r="BR193">
        <f t="shared" si="381"/>
        <v>51446219.897336647</v>
      </c>
      <c r="BS193">
        <f t="shared" si="382"/>
        <v>26974143.897336647</v>
      </c>
      <c r="BU193">
        <f t="shared" si="276"/>
        <v>14</v>
      </c>
      <c r="BV193">
        <f t="shared" si="383"/>
        <v>2.5644435628601783</v>
      </c>
      <c r="BW193">
        <f t="shared" si="384"/>
        <v>1710253.0565070815</v>
      </c>
      <c r="BX193" s="5">
        <f t="shared" si="385"/>
        <v>1100864.998648918</v>
      </c>
      <c r="BY193" s="5">
        <f t="shared" si="386"/>
        <v>556520.57040209975</v>
      </c>
      <c r="BZ193" s="5">
        <f t="shared" si="387"/>
        <v>2988084</v>
      </c>
      <c r="CA193" s="5">
        <f t="shared" si="388"/>
        <v>2266773.6269091815</v>
      </c>
      <c r="CC193" s="5">
        <f t="shared" si="389"/>
        <v>51446219.897336647</v>
      </c>
      <c r="CD193" s="5" t="str">
        <f t="shared" si="390"/>
        <v>Kansas</v>
      </c>
      <c r="CE193" s="5">
        <f t="shared" si="274"/>
        <v>0.69751703007109367</v>
      </c>
      <c r="CF193" s="10">
        <f t="shared" si="391"/>
        <v>0.47568268473048514</v>
      </c>
    </row>
    <row r="194" spans="1:84" x14ac:dyDescent="0.2">
      <c r="A194">
        <v>18000000005205</v>
      </c>
      <c r="B194">
        <v>2015</v>
      </c>
      <c r="C194">
        <v>294</v>
      </c>
      <c r="D194" t="s">
        <v>374</v>
      </c>
      <c r="E194">
        <v>6</v>
      </c>
      <c r="F194" t="s">
        <v>375</v>
      </c>
      <c r="G194" t="s">
        <v>376</v>
      </c>
      <c r="H194" t="s">
        <v>69</v>
      </c>
      <c r="I194" t="b">
        <v>1</v>
      </c>
      <c r="J194">
        <v>1015080</v>
      </c>
      <c r="K194">
        <v>2029372</v>
      </c>
      <c r="M194">
        <v>1511960</v>
      </c>
      <c r="O194">
        <v>1741456</v>
      </c>
      <c r="P194">
        <v>23033</v>
      </c>
      <c r="Q194">
        <v>2791923</v>
      </c>
      <c r="R194">
        <v>39684776</v>
      </c>
      <c r="S194">
        <v>42476699</v>
      </c>
      <c r="T194">
        <v>79506</v>
      </c>
      <c r="U194">
        <v>480073</v>
      </c>
      <c r="V194">
        <v>308160</v>
      </c>
      <c r="W194">
        <v>862179</v>
      </c>
      <c r="Y194">
        <v>8869</v>
      </c>
      <c r="AA194">
        <v>-43440</v>
      </c>
      <c r="AB194">
        <v>18092571</v>
      </c>
      <c r="AC194">
        <v>18049131</v>
      </c>
      <c r="AD194">
        <v>24427568</v>
      </c>
      <c r="AE194">
        <v>21592205</v>
      </c>
      <c r="AF194">
        <v>2835363</v>
      </c>
      <c r="AG194">
        <v>3455008</v>
      </c>
      <c r="AH194">
        <v>2.3011813576119072E-2</v>
      </c>
      <c r="AI194" t="b">
        <v>1</v>
      </c>
      <c r="AK194">
        <v>5.2299999999999999E-2</v>
      </c>
      <c r="AL194">
        <v>4.8799999999999996E-2</v>
      </c>
      <c r="AM194">
        <v>7.4999999999999997E-2</v>
      </c>
      <c r="AN194">
        <v>7.4999999999999997E-2</v>
      </c>
      <c r="AO194">
        <v>1</v>
      </c>
      <c r="AP194">
        <v>2.6200000000000001E-2</v>
      </c>
      <c r="AQ194">
        <v>3.8199999999999998E-2</v>
      </c>
      <c r="AR194">
        <v>2039</v>
      </c>
      <c r="AS194">
        <v>30402796</v>
      </c>
      <c r="AT194">
        <v>19482972</v>
      </c>
      <c r="AU194" t="s">
        <v>269</v>
      </c>
      <c r="AV194" t="s">
        <v>377</v>
      </c>
      <c r="BB194">
        <f t="shared" ref="BB194:BB201" si="392">AC194/S194</f>
        <v>0.42491840055650276</v>
      </c>
      <c r="BD194">
        <f t="shared" ref="BD194:BD201" si="393">AS194-AD194</f>
        <v>5975228</v>
      </c>
      <c r="BE194">
        <f t="shared" ref="BE194:BE201" si="394">AT194-AD194</f>
        <v>-4944596</v>
      </c>
      <c r="BF194">
        <f t="shared" ref="BF194:BF201" si="395">BD194/S194*100</f>
        <v>14.067072396562644</v>
      </c>
      <c r="BG194">
        <f t="shared" ref="BG194:BG201" si="396">BE194/S194*100</f>
        <v>-11.640725659967128</v>
      </c>
      <c r="BH194">
        <f t="shared" ref="BH194:BH201" si="397">(BD194-BE194)/(2*S194)*100</f>
        <v>12.853899028264884</v>
      </c>
      <c r="BI194">
        <f t="shared" ref="BI194:BI201" si="398">(BD194+BE194)/(2*S194*(0.01^2))</f>
        <v>121.31733682977578</v>
      </c>
      <c r="BJ194">
        <f t="shared" ref="BJ194:BJ201" si="399">ROUND(BH194,0)</f>
        <v>13</v>
      </c>
      <c r="BK194">
        <f>IF($BJ194&lt;=30,IF($B194=2015,VLOOKUP($BJ194,'Treasury Yields'!$C$5:$N$34,$E194,FALSE)/100,IF($B194=2016,VLOOKUP($BJ194,'Treasury Yields'!$C$40:$N$69,$E194,FALSE)/100,IF($B194=2017,VLOOKUP($BJ194,'Treasury Yields'!$C$75:$N$104,$E194,FALSE)/100,IF($B194=2018,VLOOKUP($BJ194,'Treasury Yields'!$C$110:$N$139,$E194,FALSE)/100,IF($B194=2019,VLOOKUP($BJ194,'Treasury Yields'!$C$145:$N$174,$E194,FALSE)/100,IF($B194=2020,VLOOKUP($BJ194,'Treasury Yields'!$C$180:$N$209,$E194,FALSE)/100,IF($B194=2021,VLOOKUP($BJ194,'Treasury Yields'!$C$215:$N$244,$E194,FALSE)/100,IF($B194=2022,VLOOKUP($BJ194,'Treasury Yields'!$C$250:$N$279,$E194,FALSE)/100)))))))),0)</f>
        <v>3.0224000000000001E-2</v>
      </c>
      <c r="BL194">
        <f t="shared" ref="BL194:BL201" si="400">1+BH194*(AL194-BK194)+(AL194-BK194)^2</f>
        <v>1.2391190961250484</v>
      </c>
      <c r="BM194">
        <f t="shared" ref="BM194:BM201" si="401">BL194*R194</f>
        <v>49174163.767045014</v>
      </c>
      <c r="BN194">
        <f t="shared" ref="BN194:BN201" si="402">BM194-AB194</f>
        <v>31081592.767045014</v>
      </c>
      <c r="BP194">
        <f>IF($BJ194&lt;=30,IF($B194=2015,VLOOKUP($BJ194,'Treasury Yields'!$C$40:$N$69,$E194,FALSE)/100,IF($B194=2016,VLOOKUP($BJ194,'Treasury Yields'!$C$75:$N$104,$E194,FALSE)/100,IF($B194=2017,VLOOKUP($BJ194,'Treasury Yields'!$C$110:$N$139,$E194,FALSE)/100,IF($B194=2018,VLOOKUP($BJ194,'Treasury Yields'!$C$145:$N$174,$E194,FALSE)/100,IF($B194=2019,VLOOKUP($BJ194,'Treasury Yields'!$C$180:$N$209,$E194,FALSE)/100,IF($B194=2020,VLOOKUP($BJ194,'Treasury Yields'!$C$215:$N$244,$E194,FALSE)/100,IF($B194=2021,VLOOKUP($BJ194,'Treasury Yields'!$C$250:$N$279,$E194,FALSE)/100,IF($B194=2022,VLOOKUP($BJ194,'Treasury Yields'!$C$285:$N$314,$E194,FALSE)/100)))))))),0)</f>
        <v>2.7833999999999994E-2</v>
      </c>
      <c r="BQ194">
        <f t="shared" ref="BQ194:BQ201" si="403">1+BH194*(AN194-BP194)+(AN194-BP194)^2</f>
        <v>1.6084916331231414</v>
      </c>
      <c r="BR194">
        <f t="shared" ref="BR194:BR201" si="404">BQ194*S194</f>
        <v>68323414.9441901</v>
      </c>
      <c r="BS194">
        <f t="shared" ref="BS194:BS201" si="405">BR194-AC194</f>
        <v>50274283.9441901</v>
      </c>
      <c r="BU194">
        <f t="shared" si="276"/>
        <v>16</v>
      </c>
      <c r="BV194">
        <f t="shared" ref="BV194:BV201" si="406">1+(BH194+BU194)*(AN194-BK194)+(AN194-BK194)^2*BI194</f>
        <v>2.5351901196780893</v>
      </c>
      <c r="BW194">
        <f t="shared" ref="BW194:BW201" si="407">BV194*J194</f>
        <v>2573420.7866828348</v>
      </c>
      <c r="BX194" s="5">
        <f t="shared" ref="BX194:BX201" si="408">(BM194+BW194-O194)*BK194</f>
        <v>1511385.2294078707</v>
      </c>
      <c r="BY194" s="5">
        <f t="shared" ref="BY194:BY201" si="409">BK194*(BN194+BW194-O194)</f>
        <v>964555.36350387055</v>
      </c>
      <c r="BZ194" s="5">
        <f t="shared" ref="BZ194:BZ201" si="410">SUM(J194:K194)</f>
        <v>3044452</v>
      </c>
      <c r="CA194" s="5">
        <f t="shared" ref="CA194:CA201" si="411">SUM(BW194+BY194)</f>
        <v>3537976.1501867054</v>
      </c>
      <c r="CC194" s="5">
        <f t="shared" ref="CC194:CC201" si="412">BR194</f>
        <v>68323414.9441901</v>
      </c>
      <c r="CD194" s="5" t="str">
        <f t="shared" ref="CD194:CD201" si="413">F194</f>
        <v>Kentucky</v>
      </c>
      <c r="CE194" s="5">
        <f t="shared" ref="CE194:CE257" si="414">BB194</f>
        <v>0.42491840055650276</v>
      </c>
      <c r="CF194" s="10">
        <f t="shared" ref="CF194:CF201" si="415">AC194/CC194</f>
        <v>0.26417196820070266</v>
      </c>
    </row>
    <row r="195" spans="1:84" x14ac:dyDescent="0.2">
      <c r="A195">
        <v>18000000005205</v>
      </c>
      <c r="B195">
        <v>2016</v>
      </c>
      <c r="C195">
        <v>294</v>
      </c>
      <c r="D195" t="s">
        <v>374</v>
      </c>
      <c r="E195">
        <v>6</v>
      </c>
      <c r="F195" t="s">
        <v>375</v>
      </c>
      <c r="G195" t="s">
        <v>376</v>
      </c>
      <c r="H195" t="s">
        <v>69</v>
      </c>
      <c r="I195" t="b">
        <v>1</v>
      </c>
      <c r="J195">
        <v>1120893</v>
      </c>
      <c r="K195">
        <v>2027457</v>
      </c>
      <c r="M195">
        <v>-58035</v>
      </c>
      <c r="N195">
        <v>4030834</v>
      </c>
      <c r="O195">
        <v>1833199</v>
      </c>
      <c r="P195">
        <v>27748</v>
      </c>
      <c r="Q195">
        <v>5260202</v>
      </c>
      <c r="R195">
        <v>42476699</v>
      </c>
      <c r="S195">
        <v>47736901</v>
      </c>
      <c r="T195">
        <v>80468</v>
      </c>
      <c r="U195">
        <v>484987</v>
      </c>
      <c r="V195">
        <v>313044</v>
      </c>
      <c r="W195">
        <v>-245215</v>
      </c>
      <c r="Y195">
        <v>8636</v>
      </c>
      <c r="AA195">
        <v>-1236299</v>
      </c>
      <c r="AB195">
        <v>18049131</v>
      </c>
      <c r="AC195">
        <v>16812832</v>
      </c>
      <c r="AD195">
        <v>30924069</v>
      </c>
      <c r="AE195">
        <v>24427568</v>
      </c>
      <c r="AF195">
        <v>6496501</v>
      </c>
      <c r="AG195">
        <v>3390539</v>
      </c>
      <c r="AH195">
        <v>2.3733099663504828E-2</v>
      </c>
      <c r="AI195" t="b">
        <v>1</v>
      </c>
      <c r="AK195">
        <v>4.8799999999999996E-2</v>
      </c>
      <c r="AL195">
        <v>4.2000000000000003E-2</v>
      </c>
      <c r="AM195">
        <v>7.4999999999999997E-2</v>
      </c>
      <c r="AN195">
        <v>7.4999999999999997E-2</v>
      </c>
      <c r="AO195">
        <v>1</v>
      </c>
      <c r="AP195">
        <v>3.2999999999999995E-2</v>
      </c>
      <c r="AQ195">
        <v>3.0099999999999998E-2</v>
      </c>
      <c r="AR195">
        <v>2040</v>
      </c>
      <c r="AS195">
        <v>37937230</v>
      </c>
      <c r="AT195">
        <v>25168197</v>
      </c>
      <c r="AU195" t="s">
        <v>378</v>
      </c>
      <c r="AV195" t="s">
        <v>379</v>
      </c>
      <c r="BB195">
        <f t="shared" si="392"/>
        <v>0.3521978102432749</v>
      </c>
      <c r="BD195">
        <f t="shared" si="393"/>
        <v>7013161</v>
      </c>
      <c r="BE195">
        <f t="shared" si="394"/>
        <v>-5755872</v>
      </c>
      <c r="BF195">
        <f t="shared" si="395"/>
        <v>14.6912783467029</v>
      </c>
      <c r="BG195">
        <f t="shared" si="396"/>
        <v>-12.057489865125513</v>
      </c>
      <c r="BH195">
        <f t="shared" si="397"/>
        <v>13.374384105914206</v>
      </c>
      <c r="BI195">
        <f t="shared" si="398"/>
        <v>131.68942407886931</v>
      </c>
      <c r="BJ195">
        <f t="shared" si="399"/>
        <v>13</v>
      </c>
      <c r="BK195">
        <f>IF($BJ195&lt;=30,IF($B195=2015,VLOOKUP($BJ195,'Treasury Yields'!$C$5:$N$34,$E195,FALSE)/100,IF($B195=2016,VLOOKUP($BJ195,'Treasury Yields'!$C$40:$N$69,$E195,FALSE)/100,IF($B195=2017,VLOOKUP($BJ195,'Treasury Yields'!$C$75:$N$104,$E195,FALSE)/100,IF($B195=2018,VLOOKUP($BJ195,'Treasury Yields'!$C$110:$N$139,$E195,FALSE)/100,IF($B195=2019,VLOOKUP($BJ195,'Treasury Yields'!$C$145:$N$174,$E195,FALSE)/100,IF($B195=2020,VLOOKUP($BJ195,'Treasury Yields'!$C$180:$N$209,$E195,FALSE)/100,IF($B195=2021,VLOOKUP($BJ195,'Treasury Yields'!$C$215:$N$244,$E195,FALSE)/100,IF($B195=2022,VLOOKUP($BJ195,'Treasury Yields'!$C$250:$N$279,$E195,FALSE)/100)))))))),0)</f>
        <v>2.7833999999999994E-2</v>
      </c>
      <c r="BL195">
        <f t="shared" si="400"/>
        <v>1.1896622008003808</v>
      </c>
      <c r="BM195">
        <f t="shared" si="401"/>
        <v>50532923.215075336</v>
      </c>
      <c r="BN195">
        <f t="shared" si="402"/>
        <v>32483792.215075336</v>
      </c>
      <c r="BP195">
        <f>IF($BJ195&lt;=30,IF($B195=2015,VLOOKUP($BJ195,'Treasury Yields'!$C$40:$N$69,$E195,FALSE)/100,IF($B195=2016,VLOOKUP($BJ195,'Treasury Yields'!$C$75:$N$104,$E195,FALSE)/100,IF($B195=2017,VLOOKUP($BJ195,'Treasury Yields'!$C$110:$N$139,$E195,FALSE)/100,IF($B195=2018,VLOOKUP($BJ195,'Treasury Yields'!$C$145:$N$174,$E195,FALSE)/100,IF($B195=2019,VLOOKUP($BJ195,'Treasury Yields'!$C$180:$N$209,$E195,FALSE)/100,IF($B195=2020,VLOOKUP($BJ195,'Treasury Yields'!$C$215:$N$244,$E195,FALSE)/100,IF($B195=2021,VLOOKUP($BJ195,'Treasury Yields'!$C$250:$N$279,$E195,FALSE)/100,IF($B195=2022,VLOOKUP($BJ195,'Treasury Yields'!$C$285:$N$314,$E195,FALSE)/100)))))))),0)</f>
        <v>1.8144000000000004E-2</v>
      </c>
      <c r="BQ195">
        <f t="shared" si="403"/>
        <v>1.7636465874618581</v>
      </c>
      <c r="BR195">
        <f t="shared" si="404"/>
        <v>84191022.544654563</v>
      </c>
      <c r="BS195">
        <f t="shared" si="405"/>
        <v>67378190.544654563</v>
      </c>
      <c r="BU195">
        <f t="shared" ref="BU195:BU258" si="416">IF(BJ195="","",ROUND(BJ195+$BT$2,0))</f>
        <v>16</v>
      </c>
      <c r="BV195">
        <f>1+(BH195+BU195)*(AN195-BK195)+(AN195-BK195)^2*BI195</f>
        <v>2.6784326491368682</v>
      </c>
      <c r="BW195">
        <f>BV195*J195</f>
        <v>3002236.4073889717</v>
      </c>
      <c r="BX195" s="5">
        <f t="shared" si="408"/>
        <v>1439072.3719656712</v>
      </c>
      <c r="BY195" s="5">
        <f>BK195*(BN195+BW195-O195)</f>
        <v>936692.85971167136</v>
      </c>
      <c r="BZ195" s="5">
        <f t="shared" si="410"/>
        <v>3148350</v>
      </c>
      <c r="CA195" s="5">
        <f>SUM(BW195+BY195)</f>
        <v>3938929.2671006429</v>
      </c>
      <c r="CC195" s="5">
        <f>BR195</f>
        <v>84191022.544654563</v>
      </c>
      <c r="CD195" s="5" t="str">
        <f t="shared" si="413"/>
        <v>Kentucky</v>
      </c>
      <c r="CE195" s="5">
        <f t="shared" si="414"/>
        <v>0.3521978102432749</v>
      </c>
      <c r="CF195" s="10">
        <f>AC195/CC195</f>
        <v>0.19969863165734261</v>
      </c>
    </row>
    <row r="196" spans="1:84" x14ac:dyDescent="0.2">
      <c r="A196">
        <v>18000000005205</v>
      </c>
      <c r="B196">
        <v>2017</v>
      </c>
      <c r="C196">
        <v>294</v>
      </c>
      <c r="D196" t="s">
        <v>374</v>
      </c>
      <c r="E196">
        <v>6</v>
      </c>
      <c r="F196" t="s">
        <v>375</v>
      </c>
      <c r="G196" t="s">
        <v>376</v>
      </c>
      <c r="H196" t="s">
        <v>69</v>
      </c>
      <c r="I196" t="b">
        <v>1</v>
      </c>
      <c r="J196">
        <v>1332587</v>
      </c>
      <c r="K196">
        <v>1964107</v>
      </c>
      <c r="M196">
        <v>199471</v>
      </c>
      <c r="N196">
        <v>-2321327</v>
      </c>
      <c r="O196">
        <v>1918612</v>
      </c>
      <c r="P196">
        <v>26305</v>
      </c>
      <c r="Q196">
        <v>-770079</v>
      </c>
      <c r="R196">
        <v>47736901</v>
      </c>
      <c r="S196">
        <v>46966822</v>
      </c>
      <c r="T196">
        <v>79303</v>
      </c>
      <c r="U196">
        <v>981417</v>
      </c>
      <c r="V196">
        <v>313625</v>
      </c>
      <c r="W196">
        <v>2475753</v>
      </c>
      <c r="Y196">
        <v>10314</v>
      </c>
      <c r="AA196">
        <v>1894867</v>
      </c>
      <c r="AB196">
        <v>16812832</v>
      </c>
      <c r="AC196">
        <v>18707699</v>
      </c>
      <c r="AD196">
        <v>28259123</v>
      </c>
      <c r="AE196">
        <v>30924069</v>
      </c>
      <c r="AF196">
        <v>-2664946</v>
      </c>
      <c r="AG196">
        <v>3415432</v>
      </c>
      <c r="AH196">
        <v>2.3219024709026561E-2</v>
      </c>
      <c r="AI196" t="b">
        <v>1</v>
      </c>
      <c r="AK196">
        <v>4.2000000000000003E-2</v>
      </c>
      <c r="AL196">
        <v>4.4900000000000002E-2</v>
      </c>
      <c r="AM196">
        <v>7.4999999999999997E-2</v>
      </c>
      <c r="AN196">
        <v>7.4999999999999997E-2</v>
      </c>
      <c r="AO196">
        <v>1</v>
      </c>
      <c r="AP196">
        <v>3.0099999999999995E-2</v>
      </c>
      <c r="AQ196">
        <v>3.56E-2</v>
      </c>
      <c r="AR196">
        <v>2037</v>
      </c>
      <c r="AS196">
        <v>35029551</v>
      </c>
      <c r="AT196">
        <v>22702413</v>
      </c>
      <c r="AU196" t="s">
        <v>306</v>
      </c>
      <c r="AV196" t="s">
        <v>380</v>
      </c>
      <c r="BB196">
        <f t="shared" si="392"/>
        <v>0.39831732706973444</v>
      </c>
      <c r="BD196">
        <f t="shared" si="393"/>
        <v>6770428</v>
      </c>
      <c r="BE196">
        <f t="shared" si="394"/>
        <v>-5556710</v>
      </c>
      <c r="BF196">
        <f t="shared" si="395"/>
        <v>14.415341962034391</v>
      </c>
      <c r="BG196">
        <f t="shared" si="396"/>
        <v>-11.831139011279069</v>
      </c>
      <c r="BH196">
        <f t="shared" si="397"/>
        <v>13.123240486656728</v>
      </c>
      <c r="BI196">
        <f t="shared" si="398"/>
        <v>129.21014753776612</v>
      </c>
      <c r="BJ196">
        <f t="shared" si="399"/>
        <v>13</v>
      </c>
      <c r="BK196">
        <f>IF($BJ196&lt;=30,IF($B196=2015,VLOOKUP($BJ196,'Treasury Yields'!$C$5:$N$34,$E196,FALSE)/100,IF($B196=2016,VLOOKUP($BJ196,'Treasury Yields'!$C$40:$N$69,$E196,FALSE)/100,IF($B196=2017,VLOOKUP($BJ196,'Treasury Yields'!$C$75:$N$104,$E196,FALSE)/100,IF($B196=2018,VLOOKUP($BJ196,'Treasury Yields'!$C$110:$N$139,$E196,FALSE)/100,IF($B196=2019,VLOOKUP($BJ196,'Treasury Yields'!$C$145:$N$174,$E196,FALSE)/100,IF($B196=2020,VLOOKUP($BJ196,'Treasury Yields'!$C$180:$N$209,$E196,FALSE)/100,IF($B196=2021,VLOOKUP($BJ196,'Treasury Yields'!$C$215:$N$244,$E196,FALSE)/100,IF($B196=2022,VLOOKUP($BJ196,'Treasury Yields'!$C$250:$N$279,$E196,FALSE)/100)))))))),0)</f>
        <v>1.8144000000000004E-2</v>
      </c>
      <c r="BL196">
        <f t="shared" si="400"/>
        <v>1.3518413059969874</v>
      </c>
      <c r="BM196">
        <f t="shared" si="401"/>
        <v>64532714.592088893</v>
      </c>
      <c r="BN196">
        <f t="shared" si="402"/>
        <v>47719882.592088893</v>
      </c>
      <c r="BP196">
        <f>IF($BJ196&lt;=30,IF($B196=2015,VLOOKUP($BJ196,'Treasury Yields'!$C$40:$N$69,$E196,FALSE)/100,IF($B196=2016,VLOOKUP($BJ196,'Treasury Yields'!$C$75:$N$104,$E196,FALSE)/100,IF($B196=2017,VLOOKUP($BJ196,'Treasury Yields'!$C$110:$N$139,$E196,FALSE)/100,IF($B196=2018,VLOOKUP($BJ196,'Treasury Yields'!$C$145:$N$174,$E196,FALSE)/100,IF($B196=2019,VLOOKUP($BJ196,'Treasury Yields'!$C$180:$N$209,$E196,FALSE)/100,IF($B196=2020,VLOOKUP($BJ196,'Treasury Yields'!$C$215:$N$244,$E196,FALSE)/100,IF($B196=2021,VLOOKUP($BJ196,'Treasury Yields'!$C$250:$N$279,$E196,FALSE)/100,IF($B196=2022,VLOOKUP($BJ196,'Treasury Yields'!$C$285:$N$314,$E196,FALSE)/100)))))))),0)</f>
        <v>2.5866399999999991E-2</v>
      </c>
      <c r="BQ196">
        <f t="shared" si="403"/>
        <v>1.6472061594241569</v>
      </c>
      <c r="BR196">
        <f t="shared" si="404"/>
        <v>77364038.486977994</v>
      </c>
      <c r="BS196">
        <f t="shared" si="405"/>
        <v>58656339.486977994</v>
      </c>
      <c r="BU196">
        <f t="shared" si="416"/>
        <v>16</v>
      </c>
      <c r="BV196">
        <f t="shared" si="406"/>
        <v>3.073516295979196</v>
      </c>
      <c r="BW196">
        <f t="shared" si="407"/>
        <v>4095727.8603100288</v>
      </c>
      <c r="BX196" s="5">
        <f t="shared" si="408"/>
        <v>1210383.1637283263</v>
      </c>
      <c r="BY196" s="5">
        <f t="shared" si="409"/>
        <v>905331.13992032618</v>
      </c>
      <c r="BZ196" s="5">
        <f t="shared" si="410"/>
        <v>3296694</v>
      </c>
      <c r="CA196" s="5">
        <f t="shared" si="411"/>
        <v>5001059.0002303552</v>
      </c>
      <c r="CC196" s="5">
        <f t="shared" si="412"/>
        <v>77364038.486977994</v>
      </c>
      <c r="CD196" s="5" t="str">
        <f t="shared" si="413"/>
        <v>Kentucky</v>
      </c>
      <c r="CE196" s="5">
        <f t="shared" si="414"/>
        <v>0.39831732706973444</v>
      </c>
      <c r="CF196" s="10">
        <f t="shared" si="415"/>
        <v>0.24181388880246862</v>
      </c>
    </row>
    <row r="197" spans="1:84" x14ac:dyDescent="0.2">
      <c r="A197">
        <v>18000000005205</v>
      </c>
      <c r="B197">
        <v>2018</v>
      </c>
      <c r="C197">
        <v>294</v>
      </c>
      <c r="D197" t="s">
        <v>374</v>
      </c>
      <c r="E197">
        <v>6</v>
      </c>
      <c r="F197" t="s">
        <v>375</v>
      </c>
      <c r="G197" t="s">
        <v>376</v>
      </c>
      <c r="H197" t="s">
        <v>69</v>
      </c>
      <c r="I197" t="b">
        <v>1</v>
      </c>
      <c r="J197">
        <v>1104102</v>
      </c>
      <c r="K197">
        <v>2063109</v>
      </c>
      <c r="M197">
        <v>-233473</v>
      </c>
      <c r="N197">
        <v>-14167315</v>
      </c>
      <c r="O197">
        <v>2004617</v>
      </c>
      <c r="P197">
        <v>31073</v>
      </c>
      <c r="Q197">
        <v>-13258267</v>
      </c>
      <c r="R197">
        <v>46966822</v>
      </c>
      <c r="S197">
        <v>33708555</v>
      </c>
      <c r="T197">
        <v>78973</v>
      </c>
      <c r="U197">
        <v>969698</v>
      </c>
      <c r="V197">
        <v>319127</v>
      </c>
      <c r="W197">
        <v>1953214</v>
      </c>
      <c r="Y197">
        <v>11388</v>
      </c>
      <c r="AA197">
        <v>1273934</v>
      </c>
      <c r="AB197">
        <v>18707699</v>
      </c>
      <c r="AC197">
        <v>19981633</v>
      </c>
      <c r="AD197">
        <v>13726922</v>
      </c>
      <c r="AE197">
        <v>28259123</v>
      </c>
      <c r="AF197">
        <v>-14532201</v>
      </c>
      <c r="AG197">
        <v>3455660</v>
      </c>
      <c r="AH197">
        <v>2.2853232088805034E-2</v>
      </c>
      <c r="AI197" t="b">
        <v>1</v>
      </c>
      <c r="AK197">
        <v>4.4900000000000002E-2</v>
      </c>
      <c r="AL197">
        <v>7.4999999999999997E-2</v>
      </c>
      <c r="AM197">
        <v>7.4999999999999997E-2</v>
      </c>
      <c r="AN197">
        <v>7.4999999999999997E-2</v>
      </c>
      <c r="AO197">
        <v>1</v>
      </c>
      <c r="AP197">
        <v>0</v>
      </c>
      <c r="AQ197">
        <v>3.8899999999999997E-2</v>
      </c>
      <c r="AR197">
        <v>2037</v>
      </c>
      <c r="AS197">
        <v>17595452</v>
      </c>
      <c r="AT197">
        <v>10472071</v>
      </c>
      <c r="AU197" t="s">
        <v>381</v>
      </c>
      <c r="AV197" t="s">
        <v>382</v>
      </c>
      <c r="BB197">
        <f t="shared" si="392"/>
        <v>0.59277631449939039</v>
      </c>
      <c r="BD197">
        <f t="shared" si="393"/>
        <v>3868530</v>
      </c>
      <c r="BE197">
        <f t="shared" si="394"/>
        <v>-3254851</v>
      </c>
      <c r="BF197">
        <f t="shared" si="395"/>
        <v>11.47640413538937</v>
      </c>
      <c r="BG197">
        <f t="shared" si="396"/>
        <v>-9.655860359484409</v>
      </c>
      <c r="BH197">
        <f t="shared" si="397"/>
        <v>10.56613224743689</v>
      </c>
      <c r="BI197">
        <f t="shared" si="398"/>
        <v>91.027188795247966</v>
      </c>
      <c r="BJ197">
        <f t="shared" si="399"/>
        <v>11</v>
      </c>
      <c r="BK197">
        <f>IF($BJ197&lt;=30,IF($B197=2015,VLOOKUP($BJ197,'Treasury Yields'!$C$5:$N$34,$E197,FALSE)/100,IF($B197=2016,VLOOKUP($BJ197,'Treasury Yields'!$C$40:$N$69,$E197,FALSE)/100,IF($B197=2017,VLOOKUP($BJ197,'Treasury Yields'!$C$75:$N$104,$E197,FALSE)/100,IF($B197=2018,VLOOKUP($BJ197,'Treasury Yields'!$C$110:$N$139,$E197,FALSE)/100,IF($B197=2019,VLOOKUP($BJ197,'Treasury Yields'!$C$145:$N$174,$E197,FALSE)/100,IF($B197=2020,VLOOKUP($BJ197,'Treasury Yields'!$C$180:$N$209,$E197,FALSE)/100,IF($B197=2021,VLOOKUP($BJ197,'Treasury Yields'!$C$215:$N$244,$E197,FALSE)/100,IF($B197=2022,VLOOKUP($BJ197,'Treasury Yields'!$C$250:$N$279,$E197,FALSE)/100)))))))),0)</f>
        <v>2.5068799999999999E-2</v>
      </c>
      <c r="BL197">
        <f t="shared" si="400"/>
        <v>1.5300727872066608</v>
      </c>
      <c r="BM197">
        <f t="shared" si="401"/>
        <v>71862656.243779123</v>
      </c>
      <c r="BN197">
        <f t="shared" si="402"/>
        <v>53154957.243779123</v>
      </c>
      <c r="BP197">
        <f>IF($BJ197&lt;=30,IF($B197=2015,VLOOKUP($BJ197,'Treasury Yields'!$C$40:$N$69,$E197,FALSE)/100,IF($B197=2016,VLOOKUP($BJ197,'Treasury Yields'!$C$75:$N$104,$E197,FALSE)/100,IF($B197=2017,VLOOKUP($BJ197,'Treasury Yields'!$C$110:$N$139,$E197,FALSE)/100,IF($B197=2018,VLOOKUP($BJ197,'Treasury Yields'!$C$145:$N$174,$E197,FALSE)/100,IF($B197=2019,VLOOKUP($BJ197,'Treasury Yields'!$C$180:$N$209,$E197,FALSE)/100,IF($B197=2020,VLOOKUP($BJ197,'Treasury Yields'!$C$215:$N$244,$E197,FALSE)/100,IF($B197=2021,VLOOKUP($BJ197,'Treasury Yields'!$C$250:$N$279,$E197,FALSE)/100,IF($B197=2022,VLOOKUP($BJ197,'Treasury Yields'!$C$285:$N$314,$E197,FALSE)/100)))))))),0)</f>
        <v>2.9273236363636365E-2</v>
      </c>
      <c r="BQ197">
        <f t="shared" si="403"/>
        <v>1.4852459687417623</v>
      </c>
      <c r="BR197">
        <f t="shared" si="404"/>
        <v>50065495.425859973</v>
      </c>
      <c r="BS197">
        <f t="shared" si="405"/>
        <v>30083862.425859973</v>
      </c>
      <c r="BU197">
        <f t="shared" si="416"/>
        <v>14</v>
      </c>
      <c r="BV197">
        <f t="shared" si="406"/>
        <v>2.4535585982741654</v>
      </c>
      <c r="BW197">
        <f t="shared" si="407"/>
        <v>2708978.9554717029</v>
      </c>
      <c r="BX197" s="5">
        <f t="shared" si="408"/>
        <v>1819168.0658333793</v>
      </c>
      <c r="BY197" s="5">
        <f t="shared" si="409"/>
        <v>1350188.5011421789</v>
      </c>
      <c r="BZ197" s="5">
        <f t="shared" si="410"/>
        <v>3167211</v>
      </c>
      <c r="CA197" s="5">
        <f t="shared" si="411"/>
        <v>4059167.4566138815</v>
      </c>
      <c r="CC197" s="5">
        <f t="shared" si="412"/>
        <v>50065495.425859973</v>
      </c>
      <c r="CD197" s="5" t="str">
        <f t="shared" si="413"/>
        <v>Kentucky</v>
      </c>
      <c r="CE197" s="5">
        <f t="shared" si="414"/>
        <v>0.59277631449939039</v>
      </c>
      <c r="CF197" s="10">
        <f t="shared" si="415"/>
        <v>0.39910986259169284</v>
      </c>
    </row>
    <row r="198" spans="1:84" x14ac:dyDescent="0.2">
      <c r="A198">
        <v>18000000005205</v>
      </c>
      <c r="B198">
        <v>2019</v>
      </c>
      <c r="C198">
        <v>294</v>
      </c>
      <c r="D198" t="s">
        <v>374</v>
      </c>
      <c r="E198">
        <v>6</v>
      </c>
      <c r="F198" t="s">
        <v>375</v>
      </c>
      <c r="G198" t="s">
        <v>376</v>
      </c>
      <c r="H198" t="s">
        <v>69</v>
      </c>
      <c r="I198" t="b">
        <v>1</v>
      </c>
      <c r="J198">
        <v>542970</v>
      </c>
      <c r="K198">
        <v>2448387</v>
      </c>
      <c r="M198">
        <v>93650</v>
      </c>
      <c r="N198">
        <v>0</v>
      </c>
      <c r="O198">
        <v>2094364</v>
      </c>
      <c r="P198">
        <v>32403</v>
      </c>
      <c r="Q198">
        <v>958240</v>
      </c>
      <c r="R198">
        <v>33708555</v>
      </c>
      <c r="S198">
        <v>34666795</v>
      </c>
      <c r="T198">
        <v>71583</v>
      </c>
      <c r="U198">
        <v>1051452</v>
      </c>
      <c r="V198">
        <v>321172</v>
      </c>
      <c r="W198">
        <v>1085189</v>
      </c>
      <c r="Y198">
        <v>12352</v>
      </c>
      <c r="AA198">
        <v>390277</v>
      </c>
      <c r="AB198">
        <v>19981633</v>
      </c>
      <c r="AC198">
        <v>20371910</v>
      </c>
      <c r="AD198">
        <v>14294885</v>
      </c>
      <c r="AE198">
        <v>13726922</v>
      </c>
      <c r="AF198">
        <v>567963</v>
      </c>
      <c r="AG198">
        <v>3497216</v>
      </c>
      <c r="AH198">
        <v>2.0468566997291559E-2</v>
      </c>
      <c r="AI198" t="b">
        <v>1</v>
      </c>
      <c r="AK198">
        <v>7.4999999999999997E-2</v>
      </c>
      <c r="AL198">
        <v>7.4999999999999997E-2</v>
      </c>
      <c r="AM198">
        <v>7.4999999999999997E-2</v>
      </c>
      <c r="AN198">
        <v>7.4999999999999997E-2</v>
      </c>
      <c r="AO198">
        <v>1</v>
      </c>
      <c r="AP198">
        <v>0</v>
      </c>
      <c r="AQ198">
        <v>3.5000000000000003E-2</v>
      </c>
      <c r="AS198">
        <v>18252330</v>
      </c>
      <c r="AT198">
        <v>10964314</v>
      </c>
      <c r="AU198" t="s">
        <v>383</v>
      </c>
      <c r="AV198" t="s">
        <v>384</v>
      </c>
      <c r="BB198">
        <f t="shared" si="392"/>
        <v>0.58764907456832971</v>
      </c>
      <c r="BD198">
        <f t="shared" si="393"/>
        <v>3957445</v>
      </c>
      <c r="BE198">
        <f t="shared" si="394"/>
        <v>-3330571</v>
      </c>
      <c r="BF198">
        <f t="shared" si="395"/>
        <v>11.415664470857488</v>
      </c>
      <c r="BG198">
        <f t="shared" si="396"/>
        <v>-9.6073807803692262</v>
      </c>
      <c r="BH198">
        <f t="shared" si="397"/>
        <v>10.511522625613356</v>
      </c>
      <c r="BI198">
        <f t="shared" si="398"/>
        <v>90.414184524413059</v>
      </c>
      <c r="BJ198">
        <f t="shared" si="399"/>
        <v>11</v>
      </c>
      <c r="BK198">
        <f>IF($BJ198&lt;=30,IF($B198=2015,VLOOKUP($BJ198,'Treasury Yields'!$C$5:$N$34,$E198,FALSE)/100,IF($B198=2016,VLOOKUP($BJ198,'Treasury Yields'!$C$40:$N$69,$E198,FALSE)/100,IF($B198=2017,VLOOKUP($BJ198,'Treasury Yields'!$C$75:$N$104,$E198,FALSE)/100,IF($B198=2018,VLOOKUP($BJ198,'Treasury Yields'!$C$110:$N$139,$E198,FALSE)/100,IF($B198=2019,VLOOKUP($BJ198,'Treasury Yields'!$C$145:$N$174,$E198,FALSE)/100,IF($B198=2020,VLOOKUP($BJ198,'Treasury Yields'!$C$180:$N$209,$E198,FALSE)/100,IF($B198=2021,VLOOKUP($BJ198,'Treasury Yields'!$C$215:$N$244,$E198,FALSE)/100,IF($B198=2022,VLOOKUP($BJ198,'Treasury Yields'!$C$250:$N$279,$E198,FALSE)/100)))))))),0)</f>
        <v>2.9273236363636365E-2</v>
      </c>
      <c r="BL198">
        <f t="shared" si="400"/>
        <v>1.4827488474723662</v>
      </c>
      <c r="BM198">
        <f t="shared" si="401"/>
        <v>49981321.076208867</v>
      </c>
      <c r="BN198">
        <f t="shared" si="402"/>
        <v>29999688.076208867</v>
      </c>
      <c r="BP198">
        <f>IF($BJ198&lt;=30,IF($B198=2015,VLOOKUP($BJ198,'Treasury Yields'!$C$40:$N$69,$E198,FALSE)/100,IF($B198=2016,VLOOKUP($BJ198,'Treasury Yields'!$C$75:$N$104,$E198,FALSE)/100,IF($B198=2017,VLOOKUP($BJ198,'Treasury Yields'!$C$110:$N$139,$E198,FALSE)/100,IF($B198=2018,VLOOKUP($BJ198,'Treasury Yields'!$C$145:$N$174,$E198,FALSE)/100,IF($B198=2019,VLOOKUP($BJ198,'Treasury Yields'!$C$180:$N$209,$E198,FALSE)/100,IF($B198=2020,VLOOKUP($BJ198,'Treasury Yields'!$C$215:$N$244,$E198,FALSE)/100,IF($B198=2021,VLOOKUP($BJ198,'Treasury Yields'!$C$250:$N$279,$E198,FALSE)/100,IF($B198=2022,VLOOKUP($BJ198,'Treasury Yields'!$C$285:$N$314,$E198,FALSE)/100)))))))),0)</f>
        <v>2.1722000000000002E-2</v>
      </c>
      <c r="BQ198">
        <f t="shared" si="403"/>
        <v>1.5628714477314285</v>
      </c>
      <c r="BR198">
        <f t="shared" si="404"/>
        <v>54179744.089858644</v>
      </c>
      <c r="BS198">
        <f t="shared" si="405"/>
        <v>33807834.089858644</v>
      </c>
      <c r="BU198">
        <f t="shared" si="416"/>
        <v>14</v>
      </c>
      <c r="BV198">
        <f t="shared" si="406"/>
        <v>2.3098829573185751</v>
      </c>
      <c r="BW198">
        <f t="shared" si="407"/>
        <v>1254197.1493352668</v>
      </c>
      <c r="BX198" s="5">
        <f t="shared" si="408"/>
        <v>1438520.6228262612</v>
      </c>
      <c r="BY198" s="5">
        <f t="shared" si="409"/>
        <v>853593.5570858249</v>
      </c>
      <c r="BZ198" s="5">
        <f t="shared" si="410"/>
        <v>2991357</v>
      </c>
      <c r="CA198" s="5">
        <f t="shared" si="411"/>
        <v>2107790.7064210917</v>
      </c>
      <c r="CC198" s="5">
        <f t="shared" si="412"/>
        <v>54179744.089858644</v>
      </c>
      <c r="CD198" s="5" t="str">
        <f t="shared" si="413"/>
        <v>Kentucky</v>
      </c>
      <c r="CE198" s="5">
        <f t="shared" si="414"/>
        <v>0.58764907456832971</v>
      </c>
      <c r="CF198" s="10">
        <f t="shared" si="415"/>
        <v>0.37600602111026232</v>
      </c>
    </row>
    <row r="199" spans="1:84" x14ac:dyDescent="0.2">
      <c r="A199">
        <v>18000000005205</v>
      </c>
      <c r="B199">
        <v>2020</v>
      </c>
      <c r="C199">
        <v>294</v>
      </c>
      <c r="D199" t="s">
        <v>374</v>
      </c>
      <c r="E199">
        <v>6</v>
      </c>
      <c r="F199" t="s">
        <v>375</v>
      </c>
      <c r="G199" t="s">
        <v>376</v>
      </c>
      <c r="H199" t="s">
        <v>69</v>
      </c>
      <c r="I199" t="b">
        <v>1</v>
      </c>
      <c r="J199">
        <v>552625</v>
      </c>
      <c r="K199">
        <v>2517671</v>
      </c>
      <c r="M199">
        <v>10661</v>
      </c>
      <c r="N199">
        <v>0</v>
      </c>
      <c r="O199">
        <v>2167239</v>
      </c>
      <c r="P199">
        <v>28472</v>
      </c>
      <c r="Q199">
        <v>885246</v>
      </c>
      <c r="R199">
        <v>34666795</v>
      </c>
      <c r="S199">
        <v>35552041</v>
      </c>
      <c r="T199">
        <v>86088</v>
      </c>
      <c r="U199">
        <v>1048193</v>
      </c>
      <c r="V199">
        <v>324664</v>
      </c>
      <c r="W199">
        <v>1094023</v>
      </c>
      <c r="Y199">
        <v>12167</v>
      </c>
      <c r="AA199">
        <v>345090</v>
      </c>
      <c r="AB199">
        <v>20371910</v>
      </c>
      <c r="AC199">
        <v>20717000</v>
      </c>
      <c r="AD199">
        <v>14835041</v>
      </c>
      <c r="AE199">
        <v>14294885</v>
      </c>
      <c r="AF199">
        <v>540156</v>
      </c>
      <c r="AG199">
        <v>3569262</v>
      </c>
      <c r="AH199">
        <v>2.4119271714993184E-2</v>
      </c>
      <c r="AI199" t="b">
        <v>1</v>
      </c>
      <c r="AK199">
        <v>7.4999999999999997E-2</v>
      </c>
      <c r="AL199">
        <v>7.4999999999999997E-2</v>
      </c>
      <c r="AM199">
        <v>7.4999999999999997E-2</v>
      </c>
      <c r="AN199">
        <v>7.4999999999999997E-2</v>
      </c>
      <c r="AO199">
        <v>1</v>
      </c>
      <c r="AP199">
        <v>0</v>
      </c>
      <c r="AQ199">
        <v>3.5000000000000003E-2</v>
      </c>
      <c r="AS199">
        <v>18868453</v>
      </c>
      <c r="AT199">
        <v>11439108</v>
      </c>
      <c r="AU199" t="s">
        <v>344</v>
      </c>
      <c r="AV199" t="s">
        <v>385</v>
      </c>
      <c r="BB199">
        <f t="shared" si="392"/>
        <v>0.58272322536981769</v>
      </c>
      <c r="BD199">
        <f t="shared" si="393"/>
        <v>4033412</v>
      </c>
      <c r="BE199">
        <f t="shared" si="394"/>
        <v>-3395933</v>
      </c>
      <c r="BF199">
        <f t="shared" si="395"/>
        <v>11.345092676957702</v>
      </c>
      <c r="BG199">
        <f t="shared" si="396"/>
        <v>-9.5520057484182139</v>
      </c>
      <c r="BH199">
        <f t="shared" si="397"/>
        <v>10.448549212687958</v>
      </c>
      <c r="BI199">
        <f t="shared" si="398"/>
        <v>89.65434642697447</v>
      </c>
      <c r="BJ199">
        <f t="shared" si="399"/>
        <v>10</v>
      </c>
      <c r="BK199">
        <f>IF($BJ199&lt;=30,IF($B199=2015,VLOOKUP($BJ199,'Treasury Yields'!$C$5:$N$34,$E199,FALSE)/100,IF($B199=2016,VLOOKUP($BJ199,'Treasury Yields'!$C$40:$N$69,$E199,FALSE)/100,IF($B199=2017,VLOOKUP($BJ199,'Treasury Yields'!$C$75:$N$104,$E199,FALSE)/100,IF($B199=2018,VLOOKUP($BJ199,'Treasury Yields'!$C$110:$N$139,$E199,FALSE)/100,IF($B199=2019,VLOOKUP($BJ199,'Treasury Yields'!$C$145:$N$174,$E199,FALSE)/100,IF($B199=2020,VLOOKUP($BJ199,'Treasury Yields'!$C$180:$N$209,$E199,FALSE)/100,IF($B199=2021,VLOOKUP($BJ199,'Treasury Yields'!$C$215:$N$244,$E199,FALSE)/100,IF($B199=2022,VLOOKUP($BJ199,'Treasury Yields'!$C$250:$N$279,$E199,FALSE)/100)))))))),0)</f>
        <v>2.1259999999999998E-2</v>
      </c>
      <c r="BL199">
        <f t="shared" si="400"/>
        <v>1.564393022289851</v>
      </c>
      <c r="BM199">
        <f t="shared" si="401"/>
        <v>54232492.203152694</v>
      </c>
      <c r="BN199">
        <f t="shared" si="402"/>
        <v>33860582.203152694</v>
      </c>
      <c r="BP199">
        <f>IF($BJ199&lt;=30,IF($B199=2015,VLOOKUP($BJ199,'Treasury Yields'!$C$40:$N$69,$E199,FALSE)/100,IF($B199=2016,VLOOKUP($BJ199,'Treasury Yields'!$C$75:$N$104,$E199,FALSE)/100,IF($B199=2017,VLOOKUP($BJ199,'Treasury Yields'!$C$110:$N$139,$E199,FALSE)/100,IF($B199=2018,VLOOKUP($BJ199,'Treasury Yields'!$C$145:$N$174,$E199,FALSE)/100,IF($B199=2019,VLOOKUP($BJ199,'Treasury Yields'!$C$180:$N$209,$E199,FALSE)/100,IF($B199=2020,VLOOKUP($BJ199,'Treasury Yields'!$C$215:$N$244,$E199,FALSE)/100,IF($B199=2021,VLOOKUP($BJ199,'Treasury Yields'!$C$250:$N$279,$E199,FALSE)/100,IF($B199=2022,VLOOKUP($BJ199,'Treasury Yields'!$C$285:$N$314,$E199,FALSE)/100)))))))),0)</f>
        <v>1.5412727272727269E-2</v>
      </c>
      <c r="BQ199">
        <f t="shared" si="403"/>
        <v>1.6261511946118423</v>
      </c>
      <c r="BR199">
        <f t="shared" si="404"/>
        <v>57812993.943039194</v>
      </c>
      <c r="BS199">
        <f t="shared" si="405"/>
        <v>37095993.943039194</v>
      </c>
      <c r="BU199">
        <f t="shared" si="416"/>
        <v>13</v>
      </c>
      <c r="BV199">
        <f t="shared" si="406"/>
        <v>2.5190456754570572</v>
      </c>
      <c r="BW199">
        <f t="shared" si="407"/>
        <v>1392087.6163994563</v>
      </c>
      <c r="BX199" s="5">
        <f t="shared" si="408"/>
        <v>1136503.0658236786</v>
      </c>
      <c r="BY199" s="5">
        <f t="shared" si="409"/>
        <v>703396.25922367873</v>
      </c>
      <c r="BZ199" s="5">
        <f t="shared" si="410"/>
        <v>3070296</v>
      </c>
      <c r="CA199" s="5">
        <f t="shared" si="411"/>
        <v>2095483.8756231349</v>
      </c>
      <c r="CC199" s="5">
        <f t="shared" si="412"/>
        <v>57812993.943039194</v>
      </c>
      <c r="CD199" s="5" t="str">
        <f t="shared" si="413"/>
        <v>Kentucky</v>
      </c>
      <c r="CE199" s="5">
        <f t="shared" si="414"/>
        <v>0.58272322536981769</v>
      </c>
      <c r="CF199" s="10">
        <f t="shared" si="415"/>
        <v>0.3583450464511771</v>
      </c>
    </row>
    <row r="200" spans="1:84" x14ac:dyDescent="0.2">
      <c r="A200">
        <v>18000000005205</v>
      </c>
      <c r="B200">
        <v>2021</v>
      </c>
      <c r="C200">
        <v>294</v>
      </c>
      <c r="D200" t="s">
        <v>374</v>
      </c>
      <c r="E200">
        <v>6</v>
      </c>
      <c r="F200" t="s">
        <v>375</v>
      </c>
      <c r="G200" t="s">
        <v>376</v>
      </c>
      <c r="H200" t="s">
        <v>69</v>
      </c>
      <c r="I200" t="b">
        <v>1</v>
      </c>
      <c r="J200">
        <v>563188</v>
      </c>
      <c r="K200">
        <v>2581630</v>
      </c>
      <c r="M200">
        <v>32475</v>
      </c>
      <c r="N200">
        <v>3072848</v>
      </c>
      <c r="O200">
        <v>2235241</v>
      </c>
      <c r="P200">
        <v>25374</v>
      </c>
      <c r="Q200">
        <v>3989526</v>
      </c>
      <c r="R200">
        <v>35552041</v>
      </c>
      <c r="S200">
        <v>39541567</v>
      </c>
      <c r="T200">
        <v>86720</v>
      </c>
      <c r="U200">
        <v>1060257</v>
      </c>
      <c r="V200">
        <v>327833</v>
      </c>
      <c r="W200">
        <v>6017186</v>
      </c>
      <c r="Y200">
        <v>12602</v>
      </c>
      <c r="AA200">
        <v>5218779</v>
      </c>
      <c r="AB200">
        <v>20717000</v>
      </c>
      <c r="AC200">
        <v>25935779</v>
      </c>
      <c r="AD200">
        <v>13605788</v>
      </c>
      <c r="AE200">
        <v>14835041</v>
      </c>
      <c r="AF200">
        <v>-1229253</v>
      </c>
      <c r="AG200">
        <v>3638905</v>
      </c>
      <c r="AI200" t="b">
        <v>1</v>
      </c>
      <c r="AK200">
        <v>7.4999999999999997E-2</v>
      </c>
      <c r="AL200">
        <v>7.0999999999999994E-2</v>
      </c>
      <c r="AM200">
        <v>7.0999999999999994E-2</v>
      </c>
      <c r="AN200">
        <v>7.4999999999999997E-2</v>
      </c>
      <c r="AS200">
        <v>18389990</v>
      </c>
      <c r="AT200">
        <v>9631759</v>
      </c>
      <c r="BB200">
        <f t="shared" si="392"/>
        <v>0.65591176495357406</v>
      </c>
      <c r="BD200">
        <f t="shared" si="393"/>
        <v>4784202</v>
      </c>
      <c r="BE200">
        <f t="shared" si="394"/>
        <v>-3974029</v>
      </c>
      <c r="BF200">
        <f t="shared" si="395"/>
        <v>12.099171487058163</v>
      </c>
      <c r="BG200">
        <f t="shared" si="396"/>
        <v>-10.050256733629196</v>
      </c>
      <c r="BH200">
        <f t="shared" si="397"/>
        <v>11.074714110343679</v>
      </c>
      <c r="BI200">
        <f t="shared" si="398"/>
        <v>102.44573767144838</v>
      </c>
      <c r="BJ200">
        <f t="shared" si="399"/>
        <v>11</v>
      </c>
      <c r="BK200">
        <f>IF($BJ200&lt;=30,IF($B200=2015,VLOOKUP($BJ200,'Treasury Yields'!$C$5:$N$34,$E200,FALSE)/100,IF($B200=2016,VLOOKUP($BJ200,'Treasury Yields'!$C$40:$N$69,$E200,FALSE)/100,IF($B200=2017,VLOOKUP($BJ200,'Treasury Yields'!$C$75:$N$104,$E200,FALSE)/100,IF($B200=2018,VLOOKUP($BJ200,'Treasury Yields'!$C$110:$N$139,$E200,FALSE)/100,IF($B200=2019,VLOOKUP($BJ200,'Treasury Yields'!$C$145:$N$174,$E200,FALSE)/100,IF($B200=2020,VLOOKUP($BJ200,'Treasury Yields'!$C$180:$N$209,$E200,FALSE)/100,IF($B200=2021,VLOOKUP($BJ200,'Treasury Yields'!$C$215:$N$244,$E200,FALSE)/100,IF($B200=2022,VLOOKUP($BJ200,'Treasury Yields'!$C$250:$N$279,$E200,FALSE)/100)))))))),0)</f>
        <v>1.4551090909090908E-2</v>
      </c>
      <c r="BL200">
        <f t="shared" si="400"/>
        <v>1.6283420093601522</v>
      </c>
      <c r="BM200">
        <f t="shared" si="401"/>
        <v>57890881.878794514</v>
      </c>
      <c r="BN200">
        <f t="shared" si="402"/>
        <v>37173881.878794514</v>
      </c>
      <c r="BP200">
        <f>IF($BJ200&lt;=30,IF($B200=2015,VLOOKUP($BJ200,'Treasury Yields'!$C$40:$N$69,$E200,FALSE)/100,IF($B200=2016,VLOOKUP($BJ200,'Treasury Yields'!$C$75:$N$104,$E200,FALSE)/100,IF($B200=2017,VLOOKUP($BJ200,'Treasury Yields'!$C$110:$N$139,$E200,FALSE)/100,IF($B200=2018,VLOOKUP($BJ200,'Treasury Yields'!$C$145:$N$174,$E200,FALSE)/100,IF($B200=2019,VLOOKUP($BJ200,'Treasury Yields'!$C$180:$N$209,$E200,FALSE)/100,IF($B200=2020,VLOOKUP($BJ200,'Treasury Yields'!$C$215:$N$244,$E200,FALSE)/100,IF($B200=2021,VLOOKUP($BJ200,'Treasury Yields'!$C$250:$N$279,$E200,FALSE)/100,IF($B200=2022,VLOOKUP($BJ200,'Treasury Yields'!$C$285:$N$314,$E200,FALSE)/100)))))))),0)</f>
        <v>2.1554272727272727E-2</v>
      </c>
      <c r="BQ200">
        <f t="shared" si="403"/>
        <v>1.5947525957285635</v>
      </c>
      <c r="BR200">
        <f t="shared" si="404"/>
        <v>63059016.61242491</v>
      </c>
      <c r="BS200">
        <f t="shared" si="405"/>
        <v>37123237.61242491</v>
      </c>
      <c r="BU200">
        <f t="shared" si="416"/>
        <v>14</v>
      </c>
      <c r="BV200">
        <f t="shared" si="406"/>
        <v>2.8900830729104956</v>
      </c>
      <c r="BW200">
        <f t="shared" si="407"/>
        <v>1627660.1056663161</v>
      </c>
      <c r="BX200" s="5">
        <f t="shared" si="408"/>
        <v>833534.52019770618</v>
      </c>
      <c r="BY200" s="5">
        <f t="shared" si="409"/>
        <v>532079.56983406993</v>
      </c>
      <c r="BZ200" s="5">
        <f t="shared" si="410"/>
        <v>3144818</v>
      </c>
      <c r="CA200" s="5">
        <f t="shared" si="411"/>
        <v>2159739.6755003859</v>
      </c>
      <c r="CC200" s="5">
        <f t="shared" si="412"/>
        <v>63059016.61242491</v>
      </c>
      <c r="CD200" s="5" t="str">
        <f t="shared" si="413"/>
        <v>Kentucky</v>
      </c>
      <c r="CE200" s="5">
        <f t="shared" si="414"/>
        <v>0.65591176495357406</v>
      </c>
      <c r="CF200" s="10">
        <f t="shared" si="415"/>
        <v>0.41129374343731379</v>
      </c>
    </row>
    <row r="201" spans="1:84" x14ac:dyDescent="0.2">
      <c r="A201">
        <v>18000000005205</v>
      </c>
      <c r="B201">
        <v>2022</v>
      </c>
      <c r="C201">
        <v>294</v>
      </c>
      <c r="D201" t="s">
        <v>374</v>
      </c>
      <c r="E201">
        <v>6</v>
      </c>
      <c r="F201" t="s">
        <v>375</v>
      </c>
      <c r="G201" t="s">
        <v>376</v>
      </c>
      <c r="H201" t="s">
        <v>69</v>
      </c>
      <c r="I201" t="b">
        <v>1</v>
      </c>
      <c r="J201">
        <v>621689</v>
      </c>
      <c r="K201">
        <v>2724644</v>
      </c>
      <c r="M201">
        <v>42986</v>
      </c>
      <c r="N201">
        <v>0</v>
      </c>
      <c r="O201">
        <v>2305853</v>
      </c>
      <c r="P201">
        <v>26745</v>
      </c>
      <c r="Q201">
        <v>1056721</v>
      </c>
      <c r="R201">
        <v>39541567</v>
      </c>
      <c r="S201">
        <v>40598288</v>
      </c>
      <c r="T201">
        <v>109467</v>
      </c>
      <c r="U201">
        <v>1570118</v>
      </c>
      <c r="V201">
        <v>356967</v>
      </c>
      <c r="W201">
        <v>-2727776</v>
      </c>
      <c r="Y201">
        <v>12005</v>
      </c>
      <c r="AA201">
        <v>-3035827</v>
      </c>
      <c r="AB201">
        <v>25935779</v>
      </c>
      <c r="AC201">
        <v>22899952</v>
      </c>
      <c r="AD201">
        <v>17698336</v>
      </c>
      <c r="AE201">
        <v>13605788</v>
      </c>
      <c r="AF201">
        <v>4092548</v>
      </c>
      <c r="AG201">
        <v>3876491</v>
      </c>
      <c r="AI201" t="b">
        <v>1</v>
      </c>
      <c r="AK201">
        <v>7.0999999999999994E-2</v>
      </c>
      <c r="AL201">
        <v>7.0999999999999994E-2</v>
      </c>
      <c r="AM201">
        <v>7.0999999999999994E-2</v>
      </c>
      <c r="AN201">
        <v>7.0999999999999994E-2</v>
      </c>
      <c r="AS201">
        <v>22587405</v>
      </c>
      <c r="AT201">
        <v>13623659</v>
      </c>
      <c r="AV201" t="s">
        <v>386</v>
      </c>
      <c r="BB201">
        <f t="shared" si="392"/>
        <v>0.56406201167891612</v>
      </c>
      <c r="BD201">
        <f t="shared" si="393"/>
        <v>4889069</v>
      </c>
      <c r="BE201">
        <f t="shared" si="394"/>
        <v>-4074677</v>
      </c>
      <c r="BF201">
        <f t="shared" si="395"/>
        <v>12.042549675986338</v>
      </c>
      <c r="BG201">
        <f t="shared" si="396"/>
        <v>-10.036573463393333</v>
      </c>
      <c r="BH201">
        <f t="shared" si="397"/>
        <v>11.039561569689834</v>
      </c>
      <c r="BI201">
        <f t="shared" si="398"/>
        <v>100.29881062965019</v>
      </c>
      <c r="BJ201">
        <f t="shared" si="399"/>
        <v>11</v>
      </c>
      <c r="BK201">
        <f>IF($BJ201&lt;=30,IF($B201=2015,VLOOKUP($BJ201,'Treasury Yields'!$C$5:$N$34,$E201,FALSE)/100,IF($B201=2016,VLOOKUP($BJ201,'Treasury Yields'!$C$40:$N$69,$E201,FALSE)/100,IF($B201=2017,VLOOKUP($BJ201,'Treasury Yields'!$C$75:$N$104,$E201,FALSE)/100,IF($B201=2018,VLOOKUP($BJ201,'Treasury Yields'!$C$110:$N$139,$E201,FALSE)/100,IF($B201=2019,VLOOKUP($BJ201,'Treasury Yields'!$C$145:$N$174,$E201,FALSE)/100,IF($B201=2020,VLOOKUP($BJ201,'Treasury Yields'!$C$180:$N$209,$E201,FALSE)/100,IF($B201=2021,VLOOKUP($BJ201,'Treasury Yields'!$C$215:$N$244,$E201,FALSE)/100,IF($B201=2022,VLOOKUP($BJ201,'Treasury Yields'!$C$250:$N$279,$E201,FALSE)/100)))))))),0)</f>
        <v>2.1554272727272727E-2</v>
      </c>
      <c r="BL201">
        <f t="shared" si="400"/>
        <v>1.5483040305308935</v>
      </c>
      <c r="BM201">
        <f t="shared" si="401"/>
        <v>61222367.559607372</v>
      </c>
      <c r="BN201">
        <f t="shared" si="402"/>
        <v>35286588.559607372</v>
      </c>
      <c r="BP201">
        <f>IF($BJ201&lt;=30,IF($B201=2015,VLOOKUP($BJ201,'Treasury Yields'!$C$40:$N$69,$E201,FALSE)/100,IF($B201=2016,VLOOKUP($BJ201,'Treasury Yields'!$C$75:$N$104,$E201,FALSE)/100,IF($B201=2017,VLOOKUP($BJ201,'Treasury Yields'!$C$110:$N$139,$E201,FALSE)/100,IF($B201=2018,VLOOKUP($BJ201,'Treasury Yields'!$C$145:$N$174,$E201,FALSE)/100,IF($B201=2019,VLOOKUP($BJ201,'Treasury Yields'!$C$180:$N$209,$E201,FALSE)/100,IF($B201=2020,VLOOKUP($BJ201,'Treasury Yields'!$C$215:$N$244,$E201,FALSE)/100,IF($B201=2021,VLOOKUP($BJ201,'Treasury Yields'!$C$250:$N$279,$E201,FALSE)/100,IF($B201=2022,VLOOKUP($BJ201,'Treasury Yields'!$C$285:$N$314,$E201,FALSE)/100)))))))),0)</f>
        <v>3.1935909090909091E-2</v>
      </c>
      <c r="BQ201">
        <f t="shared" si="403"/>
        <v>1.4327764399534237</v>
      </c>
      <c r="BR201">
        <f t="shared" si="404"/>
        <v>58168270.548843801</v>
      </c>
      <c r="BS201">
        <f t="shared" si="405"/>
        <v>35268318.548843801</v>
      </c>
      <c r="BU201">
        <f t="shared" si="416"/>
        <v>14</v>
      </c>
      <c r="BV201">
        <f t="shared" si="406"/>
        <v>2.483317883072381</v>
      </c>
      <c r="BW201">
        <f t="shared" si="407"/>
        <v>1543851.4114093855</v>
      </c>
      <c r="BX201" s="5">
        <f t="shared" si="408"/>
        <v>1303179.2173300146</v>
      </c>
      <c r="BY201" s="5">
        <f t="shared" si="409"/>
        <v>744152.36336974183</v>
      </c>
      <c r="BZ201" s="5">
        <f t="shared" si="410"/>
        <v>3346333</v>
      </c>
      <c r="CA201" s="5">
        <f t="shared" si="411"/>
        <v>2288003.7747791274</v>
      </c>
      <c r="CC201" s="5">
        <f t="shared" si="412"/>
        <v>58168270.548843801</v>
      </c>
      <c r="CD201" s="5" t="str">
        <f t="shared" si="413"/>
        <v>Kentucky</v>
      </c>
      <c r="CE201" s="5">
        <f t="shared" si="414"/>
        <v>0.56406201167891612</v>
      </c>
      <c r="CF201" s="10">
        <f t="shared" si="415"/>
        <v>0.39368459443488091</v>
      </c>
    </row>
    <row r="202" spans="1:84" x14ac:dyDescent="0.2">
      <c r="A202">
        <v>19000000090001</v>
      </c>
      <c r="B202">
        <v>2015</v>
      </c>
      <c r="C202">
        <v>577</v>
      </c>
      <c r="D202" t="s">
        <v>387</v>
      </c>
      <c r="E202">
        <v>6</v>
      </c>
      <c r="F202" t="s">
        <v>388</v>
      </c>
      <c r="G202" t="s">
        <v>389</v>
      </c>
      <c r="H202" t="s">
        <v>390</v>
      </c>
      <c r="I202" t="b">
        <v>1</v>
      </c>
      <c r="J202">
        <v>459658.12</v>
      </c>
      <c r="K202">
        <v>2137096.7560000001</v>
      </c>
      <c r="L202">
        <v>0</v>
      </c>
      <c r="M202">
        <v>-62489.197999999997</v>
      </c>
      <c r="N202">
        <v>0</v>
      </c>
      <c r="O202">
        <v>1955102.5819999999</v>
      </c>
      <c r="P202">
        <v>52402.762000000002</v>
      </c>
      <c r="Q202">
        <v>526760.33400000003</v>
      </c>
      <c r="R202">
        <v>28119536.563000001</v>
      </c>
      <c r="S202">
        <v>28646296.897</v>
      </c>
      <c r="T202">
        <v>1217466.676</v>
      </c>
      <c r="U202">
        <v>37425.629000000001</v>
      </c>
      <c r="V202">
        <v>324920.64399999997</v>
      </c>
      <c r="W202">
        <v>443034.31699999998</v>
      </c>
      <c r="Y202">
        <v>18023.794000000002</v>
      </c>
      <c r="Z202">
        <v>-1400.9409999999989</v>
      </c>
      <c r="AA202">
        <v>-4082.8130000000001</v>
      </c>
      <c r="AB202">
        <v>17898102.401000001</v>
      </c>
      <c r="AC202">
        <v>17894019.588</v>
      </c>
      <c r="AD202">
        <v>10752277.309</v>
      </c>
      <c r="AE202">
        <v>10221434.162</v>
      </c>
      <c r="AF202">
        <v>530843.14699999988</v>
      </c>
      <c r="AG202">
        <v>3815648</v>
      </c>
      <c r="AH202">
        <v>0.31907206220280276</v>
      </c>
      <c r="AI202" t="b">
        <v>1</v>
      </c>
      <c r="AK202">
        <v>7.7499999999999999E-2</v>
      </c>
      <c r="AL202">
        <v>7.7499999999999999E-2</v>
      </c>
      <c r="AM202">
        <v>7.7499999999999999E-2</v>
      </c>
      <c r="AN202">
        <v>7.7499999999999999E-2</v>
      </c>
      <c r="AO202">
        <v>1</v>
      </c>
      <c r="AP202">
        <v>0</v>
      </c>
      <c r="AS202">
        <v>13605538.764</v>
      </c>
      <c r="AT202">
        <v>8325523.3669999996</v>
      </c>
      <c r="BB202">
        <f t="shared" ref="BB202:BB209" si="417">AC202/S202</f>
        <v>0.62465384801181623</v>
      </c>
      <c r="BD202">
        <f t="shared" ref="BD202:BD209" si="418">AS202-AD202</f>
        <v>2853261.4550000001</v>
      </c>
      <c r="BE202">
        <f t="shared" ref="BE202:BE209" si="419">AT202-AD202</f>
        <v>-2426753.9420000007</v>
      </c>
      <c r="BF202">
        <f t="shared" ref="BF202:BF209" si="420">BD202/S202*100</f>
        <v>9.9603151683413902</v>
      </c>
      <c r="BG202">
        <f t="shared" ref="BG202:BG209" si="421">BE202/S202*100</f>
        <v>-8.4714403077144116</v>
      </c>
      <c r="BH202">
        <f t="shared" ref="BH202:BH209" si="422">(BD202-BE202)/(2*S202)*100</f>
        <v>9.2158777380279009</v>
      </c>
      <c r="BI202">
        <f t="shared" ref="BI202:BI209" si="423">(BD202+BE202)/(2*S202*(0.01^2))</f>
        <v>74.443743031348944</v>
      </c>
      <c r="BJ202">
        <f t="shared" ref="BJ202:BJ209" si="424">ROUND(BH202,0)</f>
        <v>9</v>
      </c>
      <c r="BK202">
        <f>IF($BJ202&lt;=30,IF($B202=2015,VLOOKUP($BJ202,'Treasury Yields'!$C$5:$N$34,$E202,FALSE)/100,IF($B202=2016,VLOOKUP($BJ202,'Treasury Yields'!$C$40:$N$69,$E202,FALSE)/100,IF($B202=2017,VLOOKUP($BJ202,'Treasury Yields'!$C$75:$N$104,$E202,FALSE)/100,IF($B202=2018,VLOOKUP($BJ202,'Treasury Yields'!$C$110:$N$139,$E202,FALSE)/100,IF($B202=2019,VLOOKUP($BJ202,'Treasury Yields'!$C$145:$N$174,$E202,FALSE)/100,IF($B202=2020,VLOOKUP($BJ202,'Treasury Yields'!$C$180:$N$209,$E202,FALSE)/100,IF($B202=2021,VLOOKUP($BJ202,'Treasury Yields'!$C$215:$N$244,$E202,FALSE)/100,IF($B202=2022,VLOOKUP($BJ202,'Treasury Yields'!$C$250:$N$279,$E202,FALSE)/100)))))))),0)</f>
        <v>2.597E-2</v>
      </c>
      <c r="BL202">
        <f t="shared" ref="BL202:BL209" si="425">1+BH202*(AL202-BK202)+(AL202-BK202)^2</f>
        <v>1.4775495207405778</v>
      </c>
      <c r="BM202">
        <f t="shared" ref="BM202:BM209" si="426">BL202*R202</f>
        <v>41548007.772107802</v>
      </c>
      <c r="BN202">
        <f t="shared" ref="BN202:BN209" si="427">BM202-AB202</f>
        <v>23649905.371107802</v>
      </c>
      <c r="BP202">
        <f>IF($BJ202&lt;=30,IF($B202=2015,VLOOKUP($BJ202,'Treasury Yields'!$C$40:$N$69,$E202,FALSE)/100,IF($B202=2016,VLOOKUP($BJ202,'Treasury Yields'!$C$75:$N$104,$E202,FALSE)/100,IF($B202=2017,VLOOKUP($BJ202,'Treasury Yields'!$C$110:$N$139,$E202,FALSE)/100,IF($B202=2018,VLOOKUP($BJ202,'Treasury Yields'!$C$145:$N$174,$E202,FALSE)/100,IF($B202=2019,VLOOKUP($BJ202,'Treasury Yields'!$C$180:$N$209,$E202,FALSE)/100,IF($B202=2020,VLOOKUP($BJ202,'Treasury Yields'!$C$215:$N$244,$E202,FALSE)/100,IF($B202=2021,VLOOKUP($BJ202,'Treasury Yields'!$C$250:$N$279,$E202,FALSE)/100,IF($B202=2022,VLOOKUP($BJ202,'Treasury Yields'!$C$285:$N$314,$E202,FALSE)/100)))))))),0)</f>
        <v>2.4550000000000002E-2</v>
      </c>
      <c r="BQ202">
        <f t="shared" ref="BQ202:BQ209" si="428">1+BH202*(AN202-BP202)+(AN202-BP202)^2</f>
        <v>1.4907844287285774</v>
      </c>
      <c r="BR202">
        <f t="shared" ref="BR202:BR209" si="429">BQ202*S202</f>
        <v>42705453.354783364</v>
      </c>
      <c r="BS202">
        <f t="shared" ref="BS202:BS209" si="430">BR202-AC202</f>
        <v>24811433.766783364</v>
      </c>
      <c r="BU202">
        <f t="shared" si="416"/>
        <v>12</v>
      </c>
      <c r="BV202">
        <f t="shared" ref="BV202:BV208" si="431">1+(BH202+BU202)*(AN202-BK202)+(AN202-BK202)^2*BI202</f>
        <v>2.2909276954608089</v>
      </c>
      <c r="BW202">
        <f t="shared" ref="BW202:BW209" si="432">BV202*J202</f>
        <v>1053043.517551448</v>
      </c>
      <c r="BX202" s="5">
        <f t="shared" ref="BX202:BX209" si="433">(BM202+BW202-O202)*BK202</f>
        <v>1055575.2879379105</v>
      </c>
      <c r="BY202" s="5">
        <f t="shared" ref="BY202:BY209" si="434">BK202*(BN202+BW202-O202)</f>
        <v>590761.56858394074</v>
      </c>
      <c r="BZ202" s="5">
        <f t="shared" ref="BZ202:BZ209" si="435">SUM(J202:K202)</f>
        <v>2596754.8760000002</v>
      </c>
      <c r="CA202" s="5">
        <f t="shared" ref="CA202:CA209" si="436">SUM(BW202+BY202)</f>
        <v>1643805.0861353888</v>
      </c>
      <c r="CC202" s="5">
        <f t="shared" ref="CC202:CC209" si="437">BR202</f>
        <v>42705453.354783364</v>
      </c>
      <c r="CD202" s="5" t="str">
        <f t="shared" ref="CD202:CD209" si="438">F202</f>
        <v>Louisiana</v>
      </c>
      <c r="CE202" s="5">
        <f t="shared" si="414"/>
        <v>0.62465384801181623</v>
      </c>
      <c r="CF202" s="10">
        <f t="shared" ref="CF202:CF209" si="439">AC202/CC202</f>
        <v>0.41901017744366648</v>
      </c>
    </row>
    <row r="203" spans="1:84" x14ac:dyDescent="0.2">
      <c r="A203">
        <v>19000000090001</v>
      </c>
      <c r="B203">
        <v>2016</v>
      </c>
      <c r="C203">
        <v>577</v>
      </c>
      <c r="D203" t="s">
        <v>387</v>
      </c>
      <c r="E203">
        <v>6</v>
      </c>
      <c r="F203" t="s">
        <v>388</v>
      </c>
      <c r="G203" t="s">
        <v>389</v>
      </c>
      <c r="H203" t="s">
        <v>390</v>
      </c>
      <c r="I203" t="b">
        <v>1</v>
      </c>
      <c r="J203">
        <v>441620</v>
      </c>
      <c r="K203">
        <v>2174909</v>
      </c>
      <c r="L203">
        <v>216473</v>
      </c>
      <c r="M203">
        <v>-157739</v>
      </c>
      <c r="O203">
        <v>1999272</v>
      </c>
      <c r="P203">
        <v>49885</v>
      </c>
      <c r="Q203">
        <v>626105</v>
      </c>
      <c r="R203">
        <v>28646297</v>
      </c>
      <c r="S203">
        <v>29272402</v>
      </c>
      <c r="T203">
        <v>1157901</v>
      </c>
      <c r="U203">
        <v>38193</v>
      </c>
      <c r="V203">
        <v>330773</v>
      </c>
      <c r="W203">
        <v>177423</v>
      </c>
      <c r="Y203">
        <v>16306</v>
      </c>
      <c r="Z203">
        <v>24</v>
      </c>
      <c r="AA203">
        <v>-358604</v>
      </c>
      <c r="AB203">
        <v>17894020</v>
      </c>
      <c r="AC203">
        <v>17535415</v>
      </c>
      <c r="AD203">
        <v>11736987</v>
      </c>
      <c r="AE203">
        <v>10752277</v>
      </c>
      <c r="AF203">
        <v>984710</v>
      </c>
      <c r="AG203">
        <v>3869730</v>
      </c>
      <c r="AH203">
        <v>0.29922010062717552</v>
      </c>
      <c r="AI203" t="b">
        <v>1</v>
      </c>
      <c r="AK203">
        <v>7.7499999999999999E-2</v>
      </c>
      <c r="AL203">
        <v>7.7499999999999999E-2</v>
      </c>
      <c r="AM203">
        <v>7.7499999999999999E-2</v>
      </c>
      <c r="AN203">
        <v>7.7499999999999999E-2</v>
      </c>
      <c r="AO203">
        <v>1</v>
      </c>
      <c r="AP203">
        <v>0</v>
      </c>
      <c r="AS203">
        <v>14639615</v>
      </c>
      <c r="AT203">
        <v>9267046</v>
      </c>
      <c r="AU203" t="s">
        <v>72</v>
      </c>
      <c r="AV203" t="s">
        <v>391</v>
      </c>
      <c r="BB203">
        <f t="shared" si="417"/>
        <v>0.59904257259107063</v>
      </c>
      <c r="BD203">
        <f t="shared" si="418"/>
        <v>2902628</v>
      </c>
      <c r="BE203">
        <f t="shared" si="419"/>
        <v>-2469941</v>
      </c>
      <c r="BF203">
        <f t="shared" si="420"/>
        <v>9.9159201216217241</v>
      </c>
      <c r="BG203">
        <f t="shared" si="421"/>
        <v>-8.4377804049015186</v>
      </c>
      <c r="BH203">
        <f t="shared" si="422"/>
        <v>9.1768502632616205</v>
      </c>
      <c r="BI203">
        <f t="shared" si="423"/>
        <v>73.906985836010307</v>
      </c>
      <c r="BJ203">
        <f t="shared" si="424"/>
        <v>9</v>
      </c>
      <c r="BK203">
        <f>IF($BJ203&lt;=30,IF($B203=2015,VLOOKUP($BJ203,'Treasury Yields'!$C$5:$N$34,$E203,FALSE)/100,IF($B203=2016,VLOOKUP($BJ203,'Treasury Yields'!$C$40:$N$69,$E203,FALSE)/100,IF($B203=2017,VLOOKUP($BJ203,'Treasury Yields'!$C$75:$N$104,$E203,FALSE)/100,IF($B203=2018,VLOOKUP($BJ203,'Treasury Yields'!$C$110:$N$139,$E203,FALSE)/100,IF($B203=2019,VLOOKUP($BJ203,'Treasury Yields'!$C$145:$N$174,$E203,FALSE)/100,IF($B203=2020,VLOOKUP($BJ203,'Treasury Yields'!$C$180:$N$209,$E203,FALSE)/100,IF($B203=2021,VLOOKUP($BJ203,'Treasury Yields'!$C$215:$N$244,$E203,FALSE)/100,IF($B203=2022,VLOOKUP($BJ203,'Treasury Yields'!$C$250:$N$279,$E203,FALSE)/100)))))))),0)</f>
        <v>2.4550000000000002E-2</v>
      </c>
      <c r="BL203">
        <f t="shared" si="425"/>
        <v>1.4887179239397028</v>
      </c>
      <c r="BM203">
        <f t="shared" si="426"/>
        <v>42646255.798400134</v>
      </c>
      <c r="BN203">
        <f t="shared" si="427"/>
        <v>24752235.798400134</v>
      </c>
      <c r="BP203">
        <f>IF($BJ203&lt;=30,IF($B203=2015,VLOOKUP($BJ203,'Treasury Yields'!$C$40:$N$69,$E203,FALSE)/100,IF($B203=2016,VLOOKUP($BJ203,'Treasury Yields'!$C$75:$N$104,$E203,FALSE)/100,IF($B203=2017,VLOOKUP($BJ203,'Treasury Yields'!$C$110:$N$139,$E203,FALSE)/100,IF($B203=2018,VLOOKUP($BJ203,'Treasury Yields'!$C$145:$N$174,$E203,FALSE)/100,IF($B203=2019,VLOOKUP($BJ203,'Treasury Yields'!$C$180:$N$209,$E203,FALSE)/100,IF($B203=2020,VLOOKUP($BJ203,'Treasury Yields'!$C$215:$N$244,$E203,FALSE)/100,IF($B203=2021,VLOOKUP($BJ203,'Treasury Yields'!$C$250:$N$279,$E203,FALSE)/100,IF($B203=2022,VLOOKUP($BJ203,'Treasury Yields'!$C$285:$N$314,$E203,FALSE)/100)))))))),0)</f>
        <v>1.5700000000000002E-2</v>
      </c>
      <c r="BQ203">
        <f t="shared" si="428"/>
        <v>1.570948586269568</v>
      </c>
      <c r="BR203">
        <f t="shared" si="429"/>
        <v>45985438.538614474</v>
      </c>
      <c r="BS203">
        <f t="shared" si="430"/>
        <v>28450023.538614474</v>
      </c>
      <c r="BU203">
        <f t="shared" si="416"/>
        <v>12</v>
      </c>
      <c r="BV203">
        <f t="shared" si="431"/>
        <v>2.3285274223955894</v>
      </c>
      <c r="BW203">
        <f t="shared" si="432"/>
        <v>1028324.2802783402</v>
      </c>
      <c r="BX203" s="5">
        <f t="shared" si="433"/>
        <v>1023128.8133315566</v>
      </c>
      <c r="BY203" s="5">
        <f t="shared" si="434"/>
        <v>583830.62233155663</v>
      </c>
      <c r="BZ203" s="5">
        <f t="shared" si="435"/>
        <v>2616529</v>
      </c>
      <c r="CA203" s="5">
        <f t="shared" si="436"/>
        <v>1612154.9026098968</v>
      </c>
      <c r="CC203" s="5">
        <f t="shared" si="437"/>
        <v>45985438.538614474</v>
      </c>
      <c r="CD203" s="5" t="str">
        <f t="shared" si="438"/>
        <v>Louisiana</v>
      </c>
      <c r="CE203" s="5">
        <f t="shared" si="414"/>
        <v>0.59904257259107063</v>
      </c>
      <c r="CF203" s="10">
        <f t="shared" si="439"/>
        <v>0.38132538380112047</v>
      </c>
    </row>
    <row r="204" spans="1:84" x14ac:dyDescent="0.2">
      <c r="A204">
        <v>19000000090001</v>
      </c>
      <c r="B204">
        <v>2017</v>
      </c>
      <c r="C204">
        <v>577</v>
      </c>
      <c r="D204" t="s">
        <v>387</v>
      </c>
      <c r="E204">
        <v>6</v>
      </c>
      <c r="F204" t="s">
        <v>388</v>
      </c>
      <c r="G204" t="s">
        <v>389</v>
      </c>
      <c r="H204" t="s">
        <v>390</v>
      </c>
      <c r="I204" t="b">
        <v>1</v>
      </c>
      <c r="J204">
        <v>466591</v>
      </c>
      <c r="K204">
        <v>2222961</v>
      </c>
      <c r="L204">
        <v>0</v>
      </c>
      <c r="M204">
        <v>-223203</v>
      </c>
      <c r="N204">
        <v>135133</v>
      </c>
      <c r="O204">
        <v>2062454</v>
      </c>
      <c r="P204">
        <v>49806</v>
      </c>
      <c r="Q204">
        <v>490222</v>
      </c>
      <c r="R204">
        <v>29272402</v>
      </c>
      <c r="S204">
        <v>29762624</v>
      </c>
      <c r="T204">
        <v>1122278</v>
      </c>
      <c r="U204">
        <v>38763</v>
      </c>
      <c r="V204">
        <v>328541</v>
      </c>
      <c r="W204">
        <v>2612232</v>
      </c>
      <c r="Y204">
        <v>17176</v>
      </c>
      <c r="AA204">
        <v>1975332</v>
      </c>
      <c r="AB204">
        <v>17535415</v>
      </c>
      <c r="AC204">
        <v>19510747</v>
      </c>
      <c r="AD204">
        <v>10251877</v>
      </c>
      <c r="AE204">
        <v>11736987</v>
      </c>
      <c r="AF204">
        <v>-1485110</v>
      </c>
      <c r="AG204">
        <v>3901628</v>
      </c>
      <c r="AH204">
        <v>0.28764351701392343</v>
      </c>
      <c r="AI204" t="b">
        <v>1</v>
      </c>
      <c r="AK204">
        <v>7.7499999999999999E-2</v>
      </c>
      <c r="AL204">
        <v>7.6999999999999999E-2</v>
      </c>
      <c r="AM204">
        <v>7.6999999999999999E-2</v>
      </c>
      <c r="AN204">
        <v>7.7499999999999999E-2</v>
      </c>
      <c r="AO204">
        <v>1</v>
      </c>
      <c r="AP204">
        <v>0</v>
      </c>
      <c r="AS204">
        <v>13209778</v>
      </c>
      <c r="AT204">
        <v>7735663</v>
      </c>
      <c r="AU204" t="s">
        <v>54</v>
      </c>
      <c r="AV204" t="s">
        <v>392</v>
      </c>
      <c r="BB204">
        <f t="shared" si="417"/>
        <v>0.65554525703110045</v>
      </c>
      <c r="BD204">
        <f t="shared" si="418"/>
        <v>2957901</v>
      </c>
      <c r="BE204">
        <f t="shared" si="419"/>
        <v>-2516214</v>
      </c>
      <c r="BF204">
        <f t="shared" si="420"/>
        <v>9.9383071868931978</v>
      </c>
      <c r="BG204">
        <f t="shared" si="421"/>
        <v>-8.4542747306151487</v>
      </c>
      <c r="BH204">
        <f t="shared" si="422"/>
        <v>9.1962909587541741</v>
      </c>
      <c r="BI204">
        <f t="shared" si="423"/>
        <v>74.201622813902432</v>
      </c>
      <c r="BJ204">
        <f t="shared" si="424"/>
        <v>9</v>
      </c>
      <c r="BK204">
        <f>IF($BJ204&lt;=30,IF($B204=2015,VLOOKUP($BJ204,'Treasury Yields'!$C$5:$N$34,$E204,FALSE)/100,IF($B204=2016,VLOOKUP($BJ204,'Treasury Yields'!$C$40:$N$69,$E204,FALSE)/100,IF($B204=2017,VLOOKUP($BJ204,'Treasury Yields'!$C$75:$N$104,$E204,FALSE)/100,IF($B204=2018,VLOOKUP($BJ204,'Treasury Yields'!$C$110:$N$139,$E204,FALSE)/100,IF($B204=2019,VLOOKUP($BJ204,'Treasury Yields'!$C$145:$N$174,$E204,FALSE)/100,IF($B204=2020,VLOOKUP($BJ204,'Treasury Yields'!$C$180:$N$209,$E204,FALSE)/100,IF($B204=2021,VLOOKUP($BJ204,'Treasury Yields'!$C$215:$N$244,$E204,FALSE)/100,IF($B204=2022,VLOOKUP($BJ204,'Treasury Yields'!$C$250:$N$279,$E204,FALSE)/100)))))))),0)</f>
        <v>1.5700000000000002E-2</v>
      </c>
      <c r="BL204">
        <f t="shared" si="425"/>
        <v>1.5674903257716308</v>
      </c>
      <c r="BM204">
        <f t="shared" si="426"/>
        <v>45884206.947098136</v>
      </c>
      <c r="BN204">
        <f t="shared" si="427"/>
        <v>28348791.947098136</v>
      </c>
      <c r="BP204">
        <f>IF($BJ204&lt;=30,IF($B204=2015,VLOOKUP($BJ204,'Treasury Yields'!$C$40:$N$69,$E204,FALSE)/100,IF($B204=2016,VLOOKUP($BJ204,'Treasury Yields'!$C$75:$N$104,$E204,FALSE)/100,IF($B204=2017,VLOOKUP($BJ204,'Treasury Yields'!$C$110:$N$139,$E204,FALSE)/100,IF($B204=2018,VLOOKUP($BJ204,'Treasury Yields'!$C$145:$N$174,$E204,FALSE)/100,IF($B204=2019,VLOOKUP($BJ204,'Treasury Yields'!$C$180:$N$209,$E204,FALSE)/100,IF($B204=2020,VLOOKUP($BJ204,'Treasury Yields'!$C$215:$N$244,$E204,FALSE)/100,IF($B204=2021,VLOOKUP($BJ204,'Treasury Yields'!$C$250:$N$279,$E204,FALSE)/100,IF($B204=2022,VLOOKUP($BJ204,'Treasury Yields'!$C$285:$N$314,$E204,FALSE)/100)))))))),0)</f>
        <v>2.3910000000000001E-2</v>
      </c>
      <c r="BQ204">
        <f t="shared" si="428"/>
        <v>1.4957011205796362</v>
      </c>
      <c r="BR204">
        <f t="shared" si="429"/>
        <v>44515990.068190373</v>
      </c>
      <c r="BS204">
        <f t="shared" si="430"/>
        <v>25005243.068190373</v>
      </c>
      <c r="BU204">
        <f t="shared" si="416"/>
        <v>12</v>
      </c>
      <c r="BV204">
        <f t="shared" si="431"/>
        <v>2.5933245871667765</v>
      </c>
      <c r="BW204">
        <f t="shared" si="432"/>
        <v>1210021.9124507334</v>
      </c>
      <c r="BX204" s="5">
        <f t="shared" si="433"/>
        <v>706998.86529491725</v>
      </c>
      <c r="BY204" s="5">
        <f t="shared" si="434"/>
        <v>431692.84979491733</v>
      </c>
      <c r="BZ204" s="5">
        <f t="shared" si="435"/>
        <v>2689552</v>
      </c>
      <c r="CA204" s="5">
        <f t="shared" si="436"/>
        <v>1641714.7622456506</v>
      </c>
      <c r="CC204" s="5">
        <f t="shared" si="437"/>
        <v>44515990.068190373</v>
      </c>
      <c r="CD204" s="5" t="str">
        <f t="shared" si="438"/>
        <v>Louisiana</v>
      </c>
      <c r="CE204" s="5">
        <f t="shared" si="414"/>
        <v>0.65554525703110045</v>
      </c>
      <c r="CF204" s="10">
        <f t="shared" si="439"/>
        <v>0.43828626455601899</v>
      </c>
    </row>
    <row r="205" spans="1:84" x14ac:dyDescent="0.2">
      <c r="A205">
        <v>19000000090001</v>
      </c>
      <c r="B205">
        <v>2018</v>
      </c>
      <c r="C205">
        <v>577</v>
      </c>
      <c r="D205" t="s">
        <v>387</v>
      </c>
      <c r="E205">
        <v>6</v>
      </c>
      <c r="F205" t="s">
        <v>388</v>
      </c>
      <c r="G205" t="s">
        <v>389</v>
      </c>
      <c r="H205" t="s">
        <v>390</v>
      </c>
      <c r="I205" t="b">
        <v>1</v>
      </c>
      <c r="J205">
        <v>473025</v>
      </c>
      <c r="K205">
        <v>2244768</v>
      </c>
      <c r="L205">
        <v>0</v>
      </c>
      <c r="M205">
        <v>-130859</v>
      </c>
      <c r="N205">
        <v>688003</v>
      </c>
      <c r="O205">
        <v>2116954</v>
      </c>
      <c r="P205">
        <v>48671</v>
      </c>
      <c r="Q205">
        <v>1109313</v>
      </c>
      <c r="R205">
        <v>29762624</v>
      </c>
      <c r="S205">
        <v>30871937</v>
      </c>
      <c r="T205">
        <v>1201829</v>
      </c>
      <c r="U205">
        <v>39550</v>
      </c>
      <c r="V205">
        <v>337929</v>
      </c>
      <c r="W205">
        <v>2137541</v>
      </c>
      <c r="Y205">
        <v>15432</v>
      </c>
      <c r="Z205">
        <v>-13633</v>
      </c>
      <c r="AA205">
        <v>1533170</v>
      </c>
      <c r="AB205">
        <v>19510747</v>
      </c>
      <c r="AC205">
        <v>21043917</v>
      </c>
      <c r="AD205">
        <v>9828020</v>
      </c>
      <c r="AE205">
        <v>10251877</v>
      </c>
      <c r="AF205">
        <v>-423857</v>
      </c>
      <c r="AG205">
        <v>3998051</v>
      </c>
      <c r="AH205">
        <v>0.30060371916216178</v>
      </c>
      <c r="AI205" t="b">
        <v>1</v>
      </c>
      <c r="AK205">
        <v>7.6999999999999999E-2</v>
      </c>
      <c r="AL205">
        <v>7.6499999999999999E-2</v>
      </c>
      <c r="AM205">
        <v>7.6499999999999999E-2</v>
      </c>
      <c r="AN205">
        <v>7.6999999999999999E-2</v>
      </c>
      <c r="AO205">
        <v>1</v>
      </c>
      <c r="AP205">
        <v>0</v>
      </c>
      <c r="AS205">
        <v>13019747</v>
      </c>
      <c r="AT205">
        <v>7135632</v>
      </c>
      <c r="AU205" t="s">
        <v>72</v>
      </c>
      <c r="AV205" t="s">
        <v>393</v>
      </c>
      <c r="BB205">
        <f t="shared" si="417"/>
        <v>0.68165198056733534</v>
      </c>
      <c r="BD205">
        <f t="shared" si="418"/>
        <v>3191727</v>
      </c>
      <c r="BE205">
        <f t="shared" si="419"/>
        <v>-2692388</v>
      </c>
      <c r="BF205">
        <f t="shared" si="420"/>
        <v>10.338602984321975</v>
      </c>
      <c r="BG205">
        <f t="shared" si="421"/>
        <v>-8.7211502148375075</v>
      </c>
      <c r="BH205">
        <f t="shared" si="422"/>
        <v>9.5298765995797403</v>
      </c>
      <c r="BI205">
        <f t="shared" si="423"/>
        <v>80.872638474223365</v>
      </c>
      <c r="BJ205">
        <f t="shared" si="424"/>
        <v>10</v>
      </c>
      <c r="BK205">
        <f>IF($BJ205&lt;=30,IF($B205=2015,VLOOKUP($BJ205,'Treasury Yields'!$C$5:$N$34,$E205,FALSE)/100,IF($B205=2016,VLOOKUP($BJ205,'Treasury Yields'!$C$40:$N$69,$E205,FALSE)/100,IF($B205=2017,VLOOKUP($BJ205,'Treasury Yields'!$C$75:$N$104,$E205,FALSE)/100,IF($B205=2018,VLOOKUP($BJ205,'Treasury Yields'!$C$110:$N$139,$E205,FALSE)/100,IF($B205=2019,VLOOKUP($BJ205,'Treasury Yields'!$C$145:$N$174,$E205,FALSE)/100,IF($B205=2020,VLOOKUP($BJ205,'Treasury Yields'!$C$180:$N$209,$E205,FALSE)/100,IF($B205=2021,VLOOKUP($BJ205,'Treasury Yields'!$C$215:$N$244,$E205,FALSE)/100,IF($B205=2022,VLOOKUP($BJ205,'Treasury Yields'!$C$250:$N$279,$E205,FALSE)/100)))))))),0)</f>
        <v>2.4670000000000001E-2</v>
      </c>
      <c r="BL205">
        <f t="shared" si="425"/>
        <v>1.4966198530562178</v>
      </c>
      <c r="BM205">
        <f t="shared" si="426"/>
        <v>44543333.957447462</v>
      </c>
      <c r="BN205">
        <f t="shared" si="427"/>
        <v>25032586.957447462</v>
      </c>
      <c r="BP205">
        <f>IF($BJ205&lt;=30,IF($B205=2015,VLOOKUP($BJ205,'Treasury Yields'!$C$40:$N$69,$E205,FALSE)/100,IF($B205=2016,VLOOKUP($BJ205,'Treasury Yields'!$C$75:$N$104,$E205,FALSE)/100,IF($B205=2017,VLOOKUP($BJ205,'Treasury Yields'!$C$110:$N$139,$E205,FALSE)/100,IF($B205=2018,VLOOKUP($BJ205,'Treasury Yields'!$C$145:$N$174,$E205,FALSE)/100,IF($B205=2019,VLOOKUP($BJ205,'Treasury Yields'!$C$180:$N$209,$E205,FALSE)/100,IF($B205=2020,VLOOKUP($BJ205,'Treasury Yields'!$C$215:$N$244,$E205,FALSE)/100,IF($B205=2021,VLOOKUP($BJ205,'Treasury Yields'!$C$250:$N$279,$E205,FALSE)/100,IF($B205=2022,VLOOKUP($BJ205,'Treasury Yields'!$C$285:$N$314,$E205,FALSE)/100)))))))),0)</f>
        <v>2.964E-2</v>
      </c>
      <c r="BQ205">
        <f t="shared" si="428"/>
        <v>1.4535779253560965</v>
      </c>
      <c r="BR205">
        <f t="shared" si="429"/>
        <v>44874766.136184111</v>
      </c>
      <c r="BS205">
        <f t="shared" si="430"/>
        <v>23830849.136184111</v>
      </c>
      <c r="BU205">
        <f t="shared" si="416"/>
        <v>13</v>
      </c>
      <c r="BV205">
        <f t="shared" si="431"/>
        <v>2.4004524128730731</v>
      </c>
      <c r="BW205">
        <f t="shared" si="432"/>
        <v>1135474.0025992854</v>
      </c>
      <c r="BX205" s="5">
        <f t="shared" si="433"/>
        <v>1074670.9371943532</v>
      </c>
      <c r="BY205" s="5">
        <f t="shared" si="434"/>
        <v>593340.80870435329</v>
      </c>
      <c r="BZ205" s="5">
        <f t="shared" si="435"/>
        <v>2717793</v>
      </c>
      <c r="CA205" s="5">
        <f t="shared" si="436"/>
        <v>1728814.8113036389</v>
      </c>
      <c r="CC205" s="5">
        <f t="shared" si="437"/>
        <v>44874766.136184111</v>
      </c>
      <c r="CD205" s="5" t="str">
        <f t="shared" si="438"/>
        <v>Louisiana</v>
      </c>
      <c r="CE205" s="5">
        <f t="shared" si="414"/>
        <v>0.68165198056733534</v>
      </c>
      <c r="CF205" s="10">
        <f t="shared" si="439"/>
        <v>0.46894766952404338</v>
      </c>
    </row>
    <row r="206" spans="1:84" x14ac:dyDescent="0.2">
      <c r="A206">
        <v>19000000090001</v>
      </c>
      <c r="B206">
        <v>2019</v>
      </c>
      <c r="C206">
        <v>577</v>
      </c>
      <c r="D206" t="s">
        <v>387</v>
      </c>
      <c r="E206">
        <v>6</v>
      </c>
      <c r="F206" t="s">
        <v>388</v>
      </c>
      <c r="G206" t="s">
        <v>389</v>
      </c>
      <c r="H206" t="s">
        <v>390</v>
      </c>
      <c r="I206" t="b">
        <v>1</v>
      </c>
      <c r="J206">
        <v>439692</v>
      </c>
      <c r="K206">
        <v>2310655</v>
      </c>
      <c r="L206">
        <v>0</v>
      </c>
      <c r="M206">
        <v>-132535</v>
      </c>
      <c r="N206">
        <v>298385</v>
      </c>
      <c r="O206">
        <v>2163685</v>
      </c>
      <c r="P206">
        <v>50302</v>
      </c>
      <c r="Q206">
        <v>702210</v>
      </c>
      <c r="R206">
        <v>30871937</v>
      </c>
      <c r="S206">
        <v>31574147</v>
      </c>
      <c r="T206">
        <v>1217167</v>
      </c>
      <c r="U206">
        <v>40850</v>
      </c>
      <c r="V206">
        <v>341399</v>
      </c>
      <c r="W206">
        <v>1208950</v>
      </c>
      <c r="Y206">
        <v>13446</v>
      </c>
      <c r="Z206">
        <v>-95</v>
      </c>
      <c r="AA206">
        <v>605580</v>
      </c>
      <c r="AB206">
        <v>21043917</v>
      </c>
      <c r="AC206">
        <v>21649497</v>
      </c>
      <c r="AD206">
        <v>9924650</v>
      </c>
      <c r="AE206">
        <v>9828020</v>
      </c>
      <c r="AF206">
        <v>96630</v>
      </c>
      <c r="AG206">
        <v>4071754</v>
      </c>
      <c r="AH206">
        <v>0.2989294048707265</v>
      </c>
      <c r="AI206" t="b">
        <v>1</v>
      </c>
      <c r="AK206">
        <v>7.6499999999999999E-2</v>
      </c>
      <c r="AL206">
        <v>7.5499999999999998E-2</v>
      </c>
      <c r="AM206">
        <v>7.5499999999999998E-2</v>
      </c>
      <c r="AN206">
        <v>7.6499999999999999E-2</v>
      </c>
      <c r="AO206">
        <v>1</v>
      </c>
      <c r="AP206">
        <v>0</v>
      </c>
      <c r="AS206">
        <v>13211129</v>
      </c>
      <c r="AT206">
        <v>7154650</v>
      </c>
      <c r="AV206" t="s">
        <v>394</v>
      </c>
      <c r="BB206">
        <f t="shared" si="417"/>
        <v>0.68567163508803575</v>
      </c>
      <c r="BD206">
        <f t="shared" si="418"/>
        <v>3286479</v>
      </c>
      <c r="BE206">
        <f t="shared" si="419"/>
        <v>-2770000</v>
      </c>
      <c r="BF206">
        <f t="shared" si="420"/>
        <v>10.408765753830181</v>
      </c>
      <c r="BG206">
        <f t="shared" si="421"/>
        <v>-8.7730002650586254</v>
      </c>
      <c r="BH206">
        <f t="shared" si="422"/>
        <v>9.5908830094444042</v>
      </c>
      <c r="BI206">
        <f t="shared" si="423"/>
        <v>81.788274438577858</v>
      </c>
      <c r="BJ206">
        <f t="shared" si="424"/>
        <v>10</v>
      </c>
      <c r="BK206">
        <f>IF($BJ206&lt;=30,IF($B206=2015,VLOOKUP($BJ206,'Treasury Yields'!$C$5:$N$34,$E206,FALSE)/100,IF($B206=2016,VLOOKUP($BJ206,'Treasury Yields'!$C$40:$N$69,$E206,FALSE)/100,IF($B206=2017,VLOOKUP($BJ206,'Treasury Yields'!$C$75:$N$104,$E206,FALSE)/100,IF($B206=2018,VLOOKUP($BJ206,'Treasury Yields'!$C$110:$N$139,$E206,FALSE)/100,IF($B206=2019,VLOOKUP($BJ206,'Treasury Yields'!$C$145:$N$174,$E206,FALSE)/100,IF($B206=2020,VLOOKUP($BJ206,'Treasury Yields'!$C$180:$N$209,$E206,FALSE)/100,IF($B206=2021,VLOOKUP($BJ206,'Treasury Yields'!$C$215:$N$244,$E206,FALSE)/100,IF($B206=2022,VLOOKUP($BJ206,'Treasury Yields'!$C$250:$N$279,$E206,FALSE)/100)))))))),0)</f>
        <v>2.964E-2</v>
      </c>
      <c r="BL206">
        <f t="shared" si="425"/>
        <v>1.4419410344131203</v>
      </c>
      <c r="BM206">
        <f t="shared" si="426"/>
        <v>44515512.772116683</v>
      </c>
      <c r="BN206">
        <f t="shared" si="427"/>
        <v>23471595.772116683</v>
      </c>
      <c r="BP206">
        <f>IF($BJ206&lt;=30,IF($B206=2015,VLOOKUP($BJ206,'Treasury Yields'!$C$40:$N$69,$E206,FALSE)/100,IF($B206=2016,VLOOKUP($BJ206,'Treasury Yields'!$C$75:$N$104,$E206,FALSE)/100,IF($B206=2017,VLOOKUP($BJ206,'Treasury Yields'!$C$110:$N$139,$E206,FALSE)/100,IF($B206=2018,VLOOKUP($BJ206,'Treasury Yields'!$C$145:$N$174,$E206,FALSE)/100,IF($B206=2019,VLOOKUP($BJ206,'Treasury Yields'!$C$180:$N$209,$E206,FALSE)/100,IF($B206=2020,VLOOKUP($BJ206,'Treasury Yields'!$C$215:$N$244,$E206,FALSE)/100,IF($B206=2021,VLOOKUP($BJ206,'Treasury Yields'!$C$250:$N$279,$E206,FALSE)/100,IF($B206=2022,VLOOKUP($BJ206,'Treasury Yields'!$C$285:$N$314,$E206,FALSE)/100)))))))),0)</f>
        <v>2.1259999999999998E-2</v>
      </c>
      <c r="BQ206">
        <f t="shared" si="428"/>
        <v>1.5328518350417089</v>
      </c>
      <c r="BR206">
        <f t="shared" si="429"/>
        <v>48398489.168826669</v>
      </c>
      <c r="BS206">
        <f t="shared" si="430"/>
        <v>26748992.168826669</v>
      </c>
      <c r="BU206">
        <f t="shared" si="416"/>
        <v>13</v>
      </c>
      <c r="BV206">
        <f t="shared" si="431"/>
        <v>2.2382043454159506</v>
      </c>
      <c r="BW206">
        <f t="shared" si="432"/>
        <v>984120.54504463018</v>
      </c>
      <c r="BX206" s="5">
        <f t="shared" si="433"/>
        <v>1284477.5081206614</v>
      </c>
      <c r="BY206" s="5">
        <f t="shared" si="434"/>
        <v>660735.8082406614</v>
      </c>
      <c r="BZ206" s="5">
        <f t="shared" si="435"/>
        <v>2750347</v>
      </c>
      <c r="CA206" s="5">
        <f t="shared" si="436"/>
        <v>1644856.3532852917</v>
      </c>
      <c r="CC206" s="5">
        <f t="shared" si="437"/>
        <v>48398489.168826669</v>
      </c>
      <c r="CD206" s="5" t="str">
        <f t="shared" si="438"/>
        <v>Louisiana</v>
      </c>
      <c r="CE206" s="5">
        <f t="shared" si="414"/>
        <v>0.68567163508803575</v>
      </c>
      <c r="CF206" s="10">
        <f t="shared" si="439"/>
        <v>0.44731762027696476</v>
      </c>
    </row>
    <row r="207" spans="1:84" x14ac:dyDescent="0.2">
      <c r="A207">
        <v>19000000090001</v>
      </c>
      <c r="B207">
        <v>2020</v>
      </c>
      <c r="C207">
        <v>577</v>
      </c>
      <c r="D207" t="s">
        <v>387</v>
      </c>
      <c r="E207">
        <v>6</v>
      </c>
      <c r="F207" t="s">
        <v>388</v>
      </c>
      <c r="G207" t="s">
        <v>389</v>
      </c>
      <c r="H207" t="s">
        <v>390</v>
      </c>
      <c r="I207" t="b">
        <v>1</v>
      </c>
      <c r="J207">
        <v>454344</v>
      </c>
      <c r="K207">
        <v>2333436</v>
      </c>
      <c r="L207">
        <v>0</v>
      </c>
      <c r="M207">
        <v>-2566</v>
      </c>
      <c r="N207">
        <v>225604</v>
      </c>
      <c r="O207">
        <v>2193873</v>
      </c>
      <c r="P207">
        <v>50225</v>
      </c>
      <c r="Q207">
        <v>766720</v>
      </c>
      <c r="R207">
        <v>31574147</v>
      </c>
      <c r="S207">
        <v>32340867</v>
      </c>
      <c r="T207">
        <v>1222809</v>
      </c>
      <c r="U207">
        <v>43151</v>
      </c>
      <c r="V207">
        <v>351288</v>
      </c>
      <c r="W207">
        <v>170756</v>
      </c>
      <c r="Y207">
        <v>15994</v>
      </c>
      <c r="Z207">
        <v>540</v>
      </c>
      <c r="AA207">
        <v>-432200</v>
      </c>
      <c r="AB207">
        <v>21649497</v>
      </c>
      <c r="AC207">
        <v>21217297</v>
      </c>
      <c r="AD207">
        <v>11123570</v>
      </c>
      <c r="AE207">
        <v>9924650</v>
      </c>
      <c r="AF207">
        <v>1198920</v>
      </c>
      <c r="AG207">
        <v>4229621</v>
      </c>
      <c r="AH207">
        <v>0.2891060451988488</v>
      </c>
      <c r="AI207" t="b">
        <v>1</v>
      </c>
      <c r="AK207">
        <v>7.5499999999999998E-2</v>
      </c>
      <c r="AL207">
        <v>7.4499999999999997E-2</v>
      </c>
      <c r="AM207">
        <v>7.4499999999999997E-2</v>
      </c>
      <c r="AN207">
        <v>7.5499999999999998E-2</v>
      </c>
      <c r="AO207">
        <v>1</v>
      </c>
      <c r="AP207">
        <v>0</v>
      </c>
      <c r="AS207">
        <v>14520881</v>
      </c>
      <c r="AT207">
        <v>8263696</v>
      </c>
      <c r="AU207" t="s">
        <v>395</v>
      </c>
      <c r="AV207" t="s">
        <v>396</v>
      </c>
      <c r="BB207">
        <f t="shared" si="417"/>
        <v>0.65605220169267575</v>
      </c>
      <c r="BD207">
        <f t="shared" si="418"/>
        <v>3397311</v>
      </c>
      <c r="BE207">
        <f t="shared" si="419"/>
        <v>-2859874</v>
      </c>
      <c r="BF207">
        <f t="shared" si="420"/>
        <v>10.504699827620577</v>
      </c>
      <c r="BG207">
        <f t="shared" si="421"/>
        <v>-8.8429107358191725</v>
      </c>
      <c r="BH207">
        <f t="shared" si="422"/>
        <v>9.6738052817198739</v>
      </c>
      <c r="BI207">
        <f t="shared" si="423"/>
        <v>83.08945459007019</v>
      </c>
      <c r="BJ207">
        <f t="shared" si="424"/>
        <v>10</v>
      </c>
      <c r="BK207">
        <f>IF($BJ207&lt;=30,IF($B207=2015,VLOOKUP($BJ207,'Treasury Yields'!$C$5:$N$34,$E207,FALSE)/100,IF($B207=2016,VLOOKUP($BJ207,'Treasury Yields'!$C$40:$N$69,$E207,FALSE)/100,IF($B207=2017,VLOOKUP($BJ207,'Treasury Yields'!$C$75:$N$104,$E207,FALSE)/100,IF($B207=2018,VLOOKUP($BJ207,'Treasury Yields'!$C$110:$N$139,$E207,FALSE)/100,IF($B207=2019,VLOOKUP($BJ207,'Treasury Yields'!$C$145:$N$174,$E207,FALSE)/100,IF($B207=2020,VLOOKUP($BJ207,'Treasury Yields'!$C$180:$N$209,$E207,FALSE)/100,IF($B207=2021,VLOOKUP($BJ207,'Treasury Yields'!$C$215:$N$244,$E207,FALSE)/100,IF($B207=2022,VLOOKUP($BJ207,'Treasury Yields'!$C$250:$N$279,$E207,FALSE)/100)))))))),0)</f>
        <v>2.1259999999999998E-2</v>
      </c>
      <c r="BL207">
        <f t="shared" si="425"/>
        <v>1.5178678907987662</v>
      </c>
      <c r="BM207">
        <f t="shared" si="426"/>
        <v>47925383.910660192</v>
      </c>
      <c r="BN207">
        <f t="shared" si="427"/>
        <v>26275886.910660192</v>
      </c>
      <c r="BP207">
        <f>IF($BJ207&lt;=30,IF($B207=2015,VLOOKUP($BJ207,'Treasury Yields'!$C$40:$N$69,$E207,FALSE)/100,IF($B207=2016,VLOOKUP($BJ207,'Treasury Yields'!$C$75:$N$104,$E207,FALSE)/100,IF($B207=2017,VLOOKUP($BJ207,'Treasury Yields'!$C$110:$N$139,$E207,FALSE)/100,IF($B207=2018,VLOOKUP($BJ207,'Treasury Yields'!$C$145:$N$174,$E207,FALSE)/100,IF($B207=2019,VLOOKUP($BJ207,'Treasury Yields'!$C$180:$N$209,$E207,FALSE)/100,IF($B207=2020,VLOOKUP($BJ207,'Treasury Yields'!$C$215:$N$244,$E207,FALSE)/100,IF($B207=2021,VLOOKUP($BJ207,'Treasury Yields'!$C$250:$N$279,$E207,FALSE)/100,IF($B207=2022,VLOOKUP($BJ207,'Treasury Yields'!$C$285:$N$314,$E207,FALSE)/100)))))))),0)</f>
        <v>1.5412727272727269E-2</v>
      </c>
      <c r="BQ207">
        <f t="shared" si="428"/>
        <v>1.5848830566170351</v>
      </c>
      <c r="BR207">
        <f t="shared" si="429"/>
        <v>51256492.144605003</v>
      </c>
      <c r="BS207">
        <f t="shared" si="430"/>
        <v>30039195.144605003</v>
      </c>
      <c r="BU207">
        <f t="shared" si="416"/>
        <v>13</v>
      </c>
      <c r="BV207">
        <f t="shared" si="431"/>
        <v>2.4742745126806893</v>
      </c>
      <c r="BW207">
        <f t="shared" si="432"/>
        <v>1124171.779189395</v>
      </c>
      <c r="BX207" s="5">
        <f t="shared" si="433"/>
        <v>996151.81398620212</v>
      </c>
      <c r="BY207" s="5">
        <f t="shared" si="434"/>
        <v>535883.50776620221</v>
      </c>
      <c r="BZ207" s="5">
        <f t="shared" si="435"/>
        <v>2787780</v>
      </c>
      <c r="CA207" s="5">
        <f t="shared" si="436"/>
        <v>1660055.2869555973</v>
      </c>
      <c r="CC207" s="5">
        <f t="shared" si="437"/>
        <v>51256492.144605003</v>
      </c>
      <c r="CD207" s="5" t="str">
        <f t="shared" si="438"/>
        <v>Louisiana</v>
      </c>
      <c r="CE207" s="5">
        <f t="shared" si="414"/>
        <v>0.65605220169267575</v>
      </c>
      <c r="CF207" s="10">
        <f t="shared" si="439"/>
        <v>0.41394360230781468</v>
      </c>
    </row>
    <row r="208" spans="1:84" x14ac:dyDescent="0.2">
      <c r="A208">
        <v>19000000090001</v>
      </c>
      <c r="B208">
        <v>2021</v>
      </c>
      <c r="C208">
        <v>577</v>
      </c>
      <c r="D208" t="s">
        <v>387</v>
      </c>
      <c r="E208">
        <v>6</v>
      </c>
      <c r="F208" t="s">
        <v>388</v>
      </c>
      <c r="G208" t="s">
        <v>389</v>
      </c>
      <c r="H208" t="s">
        <v>390</v>
      </c>
      <c r="I208" t="b">
        <v>1</v>
      </c>
      <c r="J208">
        <v>468547</v>
      </c>
      <c r="K208">
        <v>2358287</v>
      </c>
      <c r="L208">
        <v>6937251</v>
      </c>
      <c r="M208">
        <v>34084</v>
      </c>
      <c r="N208">
        <v>159215</v>
      </c>
      <c r="O208">
        <v>2256015</v>
      </c>
      <c r="P208">
        <v>53096</v>
      </c>
      <c r="Q208">
        <v>717960</v>
      </c>
      <c r="R208">
        <v>32340867</v>
      </c>
      <c r="S208">
        <v>33058827</v>
      </c>
      <c r="T208">
        <v>1239712</v>
      </c>
      <c r="U208">
        <v>43151</v>
      </c>
      <c r="V208">
        <v>361685</v>
      </c>
      <c r="W208">
        <v>7163605</v>
      </c>
      <c r="Y208">
        <v>16003</v>
      </c>
      <c r="Z208">
        <v>385</v>
      </c>
      <c r="AA208">
        <v>6502759</v>
      </c>
      <c r="AB208">
        <v>21217297</v>
      </c>
      <c r="AC208">
        <v>27720055</v>
      </c>
      <c r="AD208">
        <v>5338771</v>
      </c>
      <c r="AE208">
        <v>11123570</v>
      </c>
      <c r="AF208">
        <v>-5784799</v>
      </c>
      <c r="AG208">
        <v>4335091</v>
      </c>
      <c r="AI208" t="b">
        <v>1</v>
      </c>
      <c r="AK208">
        <v>7.4499999999999997E-2</v>
      </c>
      <c r="AL208">
        <v>7.3999999999999996E-2</v>
      </c>
      <c r="AM208">
        <v>7.3999999999999996E-2</v>
      </c>
      <c r="AN208">
        <v>7.4499999999999997E-2</v>
      </c>
      <c r="AS208">
        <v>8835125</v>
      </c>
      <c r="AT208">
        <v>2397970</v>
      </c>
      <c r="BB208">
        <f t="shared" si="417"/>
        <v>0.83850691375105357</v>
      </c>
      <c r="BD208">
        <f t="shared" si="418"/>
        <v>3496354</v>
      </c>
      <c r="BE208">
        <f t="shared" si="419"/>
        <v>-2940801</v>
      </c>
      <c r="BF208">
        <f t="shared" si="420"/>
        <v>10.576158676168395</v>
      </c>
      <c r="BG208">
        <f t="shared" si="421"/>
        <v>-8.8956604540142941</v>
      </c>
      <c r="BH208">
        <f t="shared" si="422"/>
        <v>9.7359095650913439</v>
      </c>
      <c r="BI208">
        <f t="shared" si="423"/>
        <v>84.024911107705066</v>
      </c>
      <c r="BJ208">
        <f t="shared" si="424"/>
        <v>10</v>
      </c>
      <c r="BK208">
        <f>IF($BJ208&lt;=30,IF($B208=2015,VLOOKUP($BJ208,'Treasury Yields'!$C$5:$N$34,$E208,FALSE)/100,IF($B208=2016,VLOOKUP($BJ208,'Treasury Yields'!$C$40:$N$69,$E208,FALSE)/100,IF($B208=2017,VLOOKUP($BJ208,'Treasury Yields'!$C$75:$N$104,$E208,FALSE)/100,IF($B208=2018,VLOOKUP($BJ208,'Treasury Yields'!$C$110:$N$139,$E208,FALSE)/100,IF($B208=2019,VLOOKUP($BJ208,'Treasury Yields'!$C$145:$N$174,$E208,FALSE)/100,IF($B208=2020,VLOOKUP($BJ208,'Treasury Yields'!$C$180:$N$209,$E208,FALSE)/100,IF($B208=2021,VLOOKUP($BJ208,'Treasury Yields'!$C$215:$N$244,$E208,FALSE)/100,IF($B208=2022,VLOOKUP($BJ208,'Treasury Yields'!$C$250:$N$279,$E208,FALSE)/100)))))))),0)</f>
        <v>1.5412727272727269E-2</v>
      </c>
      <c r="BL208">
        <f t="shared" si="425"/>
        <v>1.5738328574636895</v>
      </c>
      <c r="BM208">
        <f t="shared" si="426"/>
        <v>50899119.123463139</v>
      </c>
      <c r="BN208">
        <f t="shared" si="427"/>
        <v>29681822.123463139</v>
      </c>
      <c r="BP208">
        <f>IF($BJ208&lt;=30,IF($B208=2015,VLOOKUP($BJ208,'Treasury Yields'!$C$40:$N$69,$E208,FALSE)/100,IF($B208=2016,VLOOKUP($BJ208,'Treasury Yields'!$C$75:$N$104,$E208,FALSE)/100,IF($B208=2017,VLOOKUP($BJ208,'Treasury Yields'!$C$110:$N$139,$E208,FALSE)/100,IF($B208=2018,VLOOKUP($BJ208,'Treasury Yields'!$C$145:$N$174,$E208,FALSE)/100,IF($B208=2019,VLOOKUP($BJ208,'Treasury Yields'!$C$180:$N$209,$E208,FALSE)/100,IF($B208=2020,VLOOKUP($BJ208,'Treasury Yields'!$C$215:$N$244,$E208,FALSE)/100,IF($B208=2021,VLOOKUP($BJ208,'Treasury Yields'!$C$250:$N$279,$E208,FALSE)/100,IF($B208=2022,VLOOKUP($BJ208,'Treasury Yields'!$C$285:$N$314,$E208,FALSE)/100)))))))),0)</f>
        <v>2.202272727272727E-2</v>
      </c>
      <c r="BQ208">
        <f t="shared" si="428"/>
        <v>1.5136678456482542</v>
      </c>
      <c r="BR208">
        <f t="shared" si="429"/>
        <v>50040083.444748335</v>
      </c>
      <c r="BS208">
        <f t="shared" si="430"/>
        <v>22320028.444748335</v>
      </c>
      <c r="BU208">
        <f t="shared" si="416"/>
        <v>13</v>
      </c>
      <c r="BV208">
        <f t="shared" si="431"/>
        <v>2.6367595485310917</v>
      </c>
      <c r="BW208">
        <f t="shared" si="432"/>
        <v>1235445.7761855975</v>
      </c>
      <c r="BX208" s="5">
        <f t="shared" si="433"/>
        <v>768764.48636240407</v>
      </c>
      <c r="BY208" s="5">
        <f t="shared" si="434"/>
        <v>441748.07423694961</v>
      </c>
      <c r="BZ208" s="5">
        <f t="shared" si="435"/>
        <v>2826834</v>
      </c>
      <c r="CA208" s="5">
        <f t="shared" si="436"/>
        <v>1677193.8504225472</v>
      </c>
      <c r="CC208" s="5">
        <f t="shared" si="437"/>
        <v>50040083.444748335</v>
      </c>
      <c r="CD208" s="5" t="str">
        <f t="shared" si="438"/>
        <v>Louisiana</v>
      </c>
      <c r="CE208" s="5">
        <f t="shared" si="414"/>
        <v>0.83850691375105357</v>
      </c>
      <c r="CF208" s="10">
        <f t="shared" si="439"/>
        <v>0.55395700989601759</v>
      </c>
    </row>
    <row r="209" spans="1:84" x14ac:dyDescent="0.2">
      <c r="A209">
        <v>19000000090001</v>
      </c>
      <c r="B209">
        <v>2022</v>
      </c>
      <c r="C209">
        <v>577</v>
      </c>
      <c r="D209" t="s">
        <v>387</v>
      </c>
      <c r="E209">
        <v>6</v>
      </c>
      <c r="F209" t="s">
        <v>388</v>
      </c>
      <c r="G209" t="s">
        <v>389</v>
      </c>
      <c r="H209" t="s">
        <v>390</v>
      </c>
      <c r="I209" t="b">
        <v>1</v>
      </c>
      <c r="J209">
        <v>482491</v>
      </c>
      <c r="K209">
        <v>2394974</v>
      </c>
      <c r="L209">
        <v>353118</v>
      </c>
      <c r="M209">
        <v>159411</v>
      </c>
      <c r="N209">
        <v>498139</v>
      </c>
      <c r="O209">
        <v>2303868</v>
      </c>
      <c r="P209">
        <v>49730</v>
      </c>
      <c r="Q209">
        <v>1534535</v>
      </c>
      <c r="R209">
        <v>33058827</v>
      </c>
      <c r="S209">
        <v>34593362</v>
      </c>
      <c r="T209">
        <v>1266088</v>
      </c>
      <c r="U209">
        <v>45234</v>
      </c>
      <c r="V209">
        <v>378065</v>
      </c>
      <c r="W209">
        <v>-2043190</v>
      </c>
      <c r="Y209">
        <v>15312</v>
      </c>
      <c r="Z209">
        <v>-632</v>
      </c>
      <c r="AA209">
        <v>-3673970</v>
      </c>
      <c r="AB209">
        <v>27720055</v>
      </c>
      <c r="AC209">
        <v>25046085</v>
      </c>
      <c r="AD209">
        <v>9547276</v>
      </c>
      <c r="AE209">
        <v>5338771</v>
      </c>
      <c r="AF209">
        <v>4208505</v>
      </c>
      <c r="AG209">
        <v>4541422</v>
      </c>
      <c r="AI209" t="b">
        <v>1</v>
      </c>
      <c r="AK209">
        <v>7.3999999999999996E-2</v>
      </c>
      <c r="AL209">
        <v>7.2499999999999995E-2</v>
      </c>
      <c r="AM209">
        <v>7.2499999999999995E-2</v>
      </c>
      <c r="AN209">
        <v>7.3999999999999996E-2</v>
      </c>
      <c r="AS209">
        <v>13111690</v>
      </c>
      <c r="AT209">
        <v>6310697</v>
      </c>
      <c r="AV209" t="s">
        <v>397</v>
      </c>
      <c r="BB209">
        <f t="shared" si="417"/>
        <v>0.72401419093061847</v>
      </c>
      <c r="BD209">
        <f t="shared" si="418"/>
        <v>3564414</v>
      </c>
      <c r="BE209">
        <f t="shared" si="419"/>
        <v>-3236579</v>
      </c>
      <c r="BF209">
        <f t="shared" si="420"/>
        <v>10.303751338190258</v>
      </c>
      <c r="BG209">
        <f t="shared" si="421"/>
        <v>-9.3560695257084294</v>
      </c>
      <c r="BH209">
        <f t="shared" si="422"/>
        <v>9.8299104319493438</v>
      </c>
      <c r="BI209">
        <f t="shared" si="423"/>
        <v>47.384090624091407</v>
      </c>
      <c r="BJ209">
        <f t="shared" si="424"/>
        <v>10</v>
      </c>
      <c r="BK209">
        <f>IF($BJ209&lt;=30,IF($B209=2015,VLOOKUP($BJ209,'Treasury Yields'!$C$5:$N$34,$E209,FALSE)/100,IF($B209=2016,VLOOKUP($BJ209,'Treasury Yields'!$C$40:$N$69,$E209,FALSE)/100,IF($B209=2017,VLOOKUP($BJ209,'Treasury Yields'!$C$75:$N$104,$E209,FALSE)/100,IF($B209=2018,VLOOKUP($BJ209,'Treasury Yields'!$C$110:$N$139,$E209,FALSE)/100,IF($B209=2019,VLOOKUP($BJ209,'Treasury Yields'!$C$145:$N$174,$E209,FALSE)/100,IF($B209=2020,VLOOKUP($BJ209,'Treasury Yields'!$C$180:$N$209,$E209,FALSE)/100,IF($B209=2021,VLOOKUP($BJ209,'Treasury Yields'!$C$215:$N$244,$E209,FALSE)/100,IF($B209=2022,VLOOKUP($BJ209,'Treasury Yields'!$C$250:$N$279,$E209,FALSE)/100)))))))),0)</f>
        <v>2.202272727272727E-2</v>
      </c>
      <c r="BL209">
        <f t="shared" si="425"/>
        <v>1.4987350248201539</v>
      </c>
      <c r="BM209">
        <f t="shared" si="426"/>
        <v>49546421.904370174</v>
      </c>
      <c r="BN209">
        <f t="shared" si="427"/>
        <v>21826366.904370174</v>
      </c>
      <c r="BP209">
        <f>IF($BJ209&lt;=30,IF($B209=2015,VLOOKUP($BJ209,'Treasury Yields'!$C$40:$N$69,$E209,FALSE)/100,IF($B209=2016,VLOOKUP($BJ209,'Treasury Yields'!$C$75:$N$104,$E209,FALSE)/100,IF($B209=2017,VLOOKUP($BJ209,'Treasury Yields'!$C$110:$N$139,$E209,FALSE)/100,IF($B209=2018,VLOOKUP($BJ209,'Treasury Yields'!$C$145:$N$174,$E209,FALSE)/100,IF($B209=2019,VLOOKUP($BJ209,'Treasury Yields'!$C$180:$N$209,$E209,FALSE)/100,IF($B209=2020,VLOOKUP($BJ209,'Treasury Yields'!$C$215:$N$244,$E209,FALSE)/100,IF($B209=2021,VLOOKUP($BJ209,'Treasury Yields'!$C$250:$N$279,$E209,FALSE)/100,IF($B209=2022,VLOOKUP($BJ209,'Treasury Yields'!$C$285:$N$314,$E209,FALSE)/100)))))))),0)</f>
        <v>3.1469545454545458E-2</v>
      </c>
      <c r="BQ209">
        <f t="shared" si="428"/>
        <v>1.4198793983757538</v>
      </c>
      <c r="BR209">
        <f t="shared" si="429"/>
        <v>49118402.024354666</v>
      </c>
      <c r="BS209">
        <f t="shared" si="430"/>
        <v>24072317.024354666</v>
      </c>
      <c r="BU209">
        <f t="shared" si="416"/>
        <v>13</v>
      </c>
      <c r="BV209">
        <f>1+(BH209+BU209)*(AN209-BK209)+(AN209-BK209)^2*BI209</f>
        <v>2.3146510876237794</v>
      </c>
      <c r="BW209">
        <f t="shared" si="432"/>
        <v>1116798.317918685</v>
      </c>
      <c r="BX209" s="5">
        <f t="shared" si="433"/>
        <v>1065004.825077225</v>
      </c>
      <c r="BY209" s="5">
        <f t="shared" si="434"/>
        <v>454533.61382722505</v>
      </c>
      <c r="BZ209" s="5">
        <f t="shared" si="435"/>
        <v>2877465</v>
      </c>
      <c r="CA209" s="5">
        <f t="shared" si="436"/>
        <v>1571331.9317459101</v>
      </c>
      <c r="CC209" s="5">
        <f t="shared" si="437"/>
        <v>49118402.024354666</v>
      </c>
      <c r="CD209" s="5" t="str">
        <f t="shared" si="438"/>
        <v>Louisiana</v>
      </c>
      <c r="CE209" s="5">
        <f t="shared" si="414"/>
        <v>0.72401419093061847</v>
      </c>
      <c r="CF209" s="10">
        <f t="shared" si="439"/>
        <v>0.50991245577535793</v>
      </c>
    </row>
    <row r="210" spans="1:84" x14ac:dyDescent="0.2">
      <c r="A210">
        <v>20000000005201</v>
      </c>
      <c r="B210">
        <v>2015</v>
      </c>
      <c r="C210">
        <v>336</v>
      </c>
      <c r="D210" t="s">
        <v>398</v>
      </c>
      <c r="E210">
        <v>6</v>
      </c>
      <c r="F210" t="s">
        <v>399</v>
      </c>
      <c r="G210" t="s">
        <v>400</v>
      </c>
      <c r="H210" t="s">
        <v>401</v>
      </c>
      <c r="I210" t="b">
        <v>1</v>
      </c>
      <c r="J210">
        <v>191528.649</v>
      </c>
      <c r="K210">
        <v>861682.50800000003</v>
      </c>
      <c r="L210">
        <v>9778.1059999999998</v>
      </c>
      <c r="M210">
        <v>-44287.642999999996</v>
      </c>
      <c r="N210">
        <v>0</v>
      </c>
      <c r="O210">
        <v>722573.34900000005</v>
      </c>
      <c r="Q210">
        <v>296128.27100000001</v>
      </c>
      <c r="R210">
        <v>12320158.783</v>
      </c>
      <c r="S210">
        <v>12616287.054</v>
      </c>
      <c r="T210">
        <v>173935.492</v>
      </c>
      <c r="U210">
        <v>147283.71599999999</v>
      </c>
      <c r="V210">
        <v>123528.807</v>
      </c>
      <c r="W210">
        <v>191829.057</v>
      </c>
      <c r="Y210">
        <v>9386.6949999999997</v>
      </c>
      <c r="Z210">
        <v>0</v>
      </c>
      <c r="AA210">
        <v>-95533.880999999994</v>
      </c>
      <c r="AB210">
        <v>10337639.471999999</v>
      </c>
      <c r="AC210">
        <v>10242105.591</v>
      </c>
      <c r="AD210">
        <v>2374181.463</v>
      </c>
      <c r="AE210">
        <v>1982519.3110000007</v>
      </c>
      <c r="AF210">
        <v>391662.1519999993</v>
      </c>
      <c r="AG210">
        <v>1699161</v>
      </c>
      <c r="AH210">
        <v>0.10236551568685957</v>
      </c>
      <c r="AI210" t="b">
        <v>1</v>
      </c>
      <c r="AK210">
        <v>7.1249999999999994E-2</v>
      </c>
      <c r="AL210">
        <v>7.1249999999999994E-2</v>
      </c>
      <c r="AM210">
        <v>7.1249999999999994E-2</v>
      </c>
      <c r="AN210">
        <v>7.1249999999999994E-2</v>
      </c>
      <c r="AO210">
        <v>1</v>
      </c>
      <c r="AP210">
        <v>0</v>
      </c>
      <c r="AS210">
        <v>3883075.5180000002</v>
      </c>
      <c r="AT210">
        <v>1111875.2479999999</v>
      </c>
      <c r="BB210">
        <f t="shared" ref="BB210:BB217" si="440">AC210/S210</f>
        <v>0.81181615059660006</v>
      </c>
      <c r="BD210">
        <f t="shared" ref="BD210:BD217" si="441">AS210-AD210</f>
        <v>1508894.0550000002</v>
      </c>
      <c r="BE210">
        <f t="shared" ref="BE210:BE217" si="442">AT210-AD210</f>
        <v>-1262306.2150000001</v>
      </c>
      <c r="BF210">
        <f t="shared" ref="BF210:BF217" si="443">BD210/S210*100</f>
        <v>11.959890009966163</v>
      </c>
      <c r="BG210">
        <f t="shared" ref="BG210:BG217" si="444">BE210/S210*100</f>
        <v>-10.005370118776629</v>
      </c>
      <c r="BH210">
        <f t="shared" ref="BH210:BH217" si="445">(BD210-BE210)/(2*S210)*100</f>
        <v>10.982630064371396</v>
      </c>
      <c r="BI210">
        <f t="shared" ref="BI210:BI217" si="446">(BD210+BE210)/(2*S210*(0.01^2))</f>
        <v>97.725994559476717</v>
      </c>
      <c r="BJ210">
        <f t="shared" ref="BJ210:BJ217" si="447">ROUND(BH210,0)</f>
        <v>11</v>
      </c>
      <c r="BK210">
        <f>IF($BJ210&lt;=30,IF($B210=2015,VLOOKUP($BJ210,'Treasury Yields'!$C$5:$N$34,$E210,FALSE)/100,IF($B210=2016,VLOOKUP($BJ210,'Treasury Yields'!$C$40:$N$69,$E210,FALSE)/100,IF($B210=2017,VLOOKUP($BJ210,'Treasury Yields'!$C$75:$N$104,$E210,FALSE)/100,IF($B210=2018,VLOOKUP($BJ210,'Treasury Yields'!$C$110:$N$139,$E210,FALSE)/100,IF($B210=2019,VLOOKUP($BJ210,'Treasury Yields'!$C$145:$N$174,$E210,FALSE)/100,IF($B210=2020,VLOOKUP($BJ210,'Treasury Yields'!$C$180:$N$209,$E210,FALSE)/100,IF($B210=2021,VLOOKUP($BJ210,'Treasury Yields'!$C$215:$N$244,$E210,FALSE)/100,IF($B210=2022,VLOOKUP($BJ210,'Treasury Yields'!$C$250:$N$279,$E210,FALSE)/100)))))))),0)</f>
        <v>2.8147999999999999E-2</v>
      </c>
      <c r="BL210">
        <f t="shared" ref="BL210:BL217" si="448">1+BH210*(AL210-BK210)+(AL210-BK210)^2</f>
        <v>1.4752311034385359</v>
      </c>
      <c r="BM210">
        <f t="shared" ref="BM210:BM217" si="449">BL210*R210</f>
        <v>18175081.435983058</v>
      </c>
      <c r="BN210">
        <f t="shared" ref="BN210:BN217" si="450">BM210-AB210</f>
        <v>7837441.9639830589</v>
      </c>
      <c r="BP210">
        <f>IF($BJ210&lt;=30,IF($B210=2015,VLOOKUP($BJ210,'Treasury Yields'!$C$40:$N$69,$E210,FALSE)/100,IF($B210=2016,VLOOKUP($BJ210,'Treasury Yields'!$C$75:$N$104,$E210,FALSE)/100,IF($B210=2017,VLOOKUP($BJ210,'Treasury Yields'!$C$110:$N$139,$E210,FALSE)/100,IF($B210=2018,VLOOKUP($BJ210,'Treasury Yields'!$C$145:$N$174,$E210,FALSE)/100,IF($B210=2019,VLOOKUP($BJ210,'Treasury Yields'!$C$180:$N$209,$E210,FALSE)/100,IF($B210=2020,VLOOKUP($BJ210,'Treasury Yields'!$C$215:$N$244,$E210,FALSE)/100,IF($B210=2021,VLOOKUP($BJ210,'Treasury Yields'!$C$250:$N$279,$E210,FALSE)/100,IF($B210=2022,VLOOKUP($BJ210,'Treasury Yields'!$C$285:$N$314,$E210,FALSE)/100)))))))),0)</f>
        <v>2.6258E-2</v>
      </c>
      <c r="BQ210">
        <f t="shared" ref="BQ210:BQ217" si="451">1+BH210*(AN210-BP210)+(AN210-BP210)^2</f>
        <v>1.4961547719201977</v>
      </c>
      <c r="BR210">
        <f t="shared" ref="BR210:BR217" si="452">BQ210*S210</f>
        <v>18875918.079757113</v>
      </c>
      <c r="BS210">
        <f t="shared" ref="BS210:BS217" si="453">BR210-AC210</f>
        <v>8633812.488757113</v>
      </c>
      <c r="BU210">
        <f t="shared" si="416"/>
        <v>14</v>
      </c>
      <c r="BV210">
        <f t="shared" ref="BV210:BV217" si="454">1+(BH210+BU210)*(AN210-BK210)+(AN210-BK210)^2*BI210</f>
        <v>2.2583549541405312</v>
      </c>
      <c r="BW210">
        <f t="shared" ref="BW210:BW217" si="455">BV210*J210</f>
        <v>432539.67332899291</v>
      </c>
      <c r="BX210" s="5">
        <f t="shared" ref="BX210:BX217" si="456">(BM210+BW210-O210)*BK210</f>
        <v>503428.32435726357</v>
      </c>
      <c r="BY210" s="5">
        <f t="shared" ref="BY210:BY217" si="457">BK210*(BN210+BW210-O210)</f>
        <v>212444.44849940762</v>
      </c>
      <c r="BZ210" s="5">
        <f t="shared" ref="BZ210:BZ217" si="458">SUM(J210:K210)</f>
        <v>1053211.1570000001</v>
      </c>
      <c r="CA210" s="5">
        <f t="shared" ref="CA210:CA217" si="459">SUM(BW210+BY210)</f>
        <v>644984.12182840053</v>
      </c>
      <c r="CC210" s="5">
        <f t="shared" ref="CC210:CC217" si="460">BR210</f>
        <v>18875918.079757113</v>
      </c>
      <c r="CD210" s="5" t="str">
        <f t="shared" ref="CD210:CD217" si="461">F210</f>
        <v>Maine</v>
      </c>
      <c r="CE210" s="5">
        <f t="shared" si="414"/>
        <v>0.81181615059660006</v>
      </c>
      <c r="CF210" s="10">
        <f t="shared" ref="CF210:CF217" si="462">AC210/CC210</f>
        <v>0.54260171864084461</v>
      </c>
    </row>
    <row r="211" spans="1:84" x14ac:dyDescent="0.2">
      <c r="A211">
        <v>20000000005201</v>
      </c>
      <c r="B211">
        <v>2016</v>
      </c>
      <c r="C211">
        <v>336</v>
      </c>
      <c r="D211" t="s">
        <v>398</v>
      </c>
      <c r="E211">
        <v>6</v>
      </c>
      <c r="F211" t="s">
        <v>399</v>
      </c>
      <c r="G211" t="s">
        <v>400</v>
      </c>
      <c r="H211" t="s">
        <v>401</v>
      </c>
      <c r="I211" t="b">
        <v>1</v>
      </c>
      <c r="J211">
        <v>203297</v>
      </c>
      <c r="K211">
        <v>882785</v>
      </c>
      <c r="M211">
        <v>81507</v>
      </c>
      <c r="N211">
        <v>30437</v>
      </c>
      <c r="O211">
        <v>744358</v>
      </c>
      <c r="Q211">
        <v>453668</v>
      </c>
      <c r="R211">
        <v>12616287</v>
      </c>
      <c r="S211">
        <v>13069955</v>
      </c>
      <c r="T211">
        <v>199213</v>
      </c>
      <c r="U211">
        <v>112478</v>
      </c>
      <c r="V211">
        <v>125524</v>
      </c>
      <c r="W211">
        <v>40541</v>
      </c>
      <c r="Y211">
        <v>8649</v>
      </c>
      <c r="Z211">
        <v>-6342</v>
      </c>
      <c r="AA211">
        <v>-281759</v>
      </c>
      <c r="AB211">
        <v>10242106</v>
      </c>
      <c r="AC211">
        <v>9960346</v>
      </c>
      <c r="AD211">
        <v>3109609</v>
      </c>
      <c r="AE211">
        <v>2374181</v>
      </c>
      <c r="AF211">
        <v>735428</v>
      </c>
      <c r="AG211">
        <v>1816435</v>
      </c>
      <c r="AH211">
        <v>0.10967251787154508</v>
      </c>
      <c r="AI211" t="b">
        <v>1</v>
      </c>
      <c r="AK211">
        <v>7.1249999999999994E-2</v>
      </c>
      <c r="AL211">
        <v>6.8750000000000006E-2</v>
      </c>
      <c r="AM211">
        <v>6.8750000000000006E-2</v>
      </c>
      <c r="AN211">
        <v>7.1249999999999994E-2</v>
      </c>
      <c r="AO211">
        <v>1</v>
      </c>
      <c r="AP211">
        <v>0</v>
      </c>
      <c r="AS211">
        <v>4714340</v>
      </c>
      <c r="AT211">
        <v>1768100</v>
      </c>
      <c r="AU211" t="s">
        <v>315</v>
      </c>
      <c r="AV211" t="s">
        <v>402</v>
      </c>
      <c r="BB211">
        <f t="shared" si="440"/>
        <v>0.76207959400013237</v>
      </c>
      <c r="BD211">
        <f t="shared" si="441"/>
        <v>1604731</v>
      </c>
      <c r="BE211">
        <f t="shared" si="442"/>
        <v>-1341509</v>
      </c>
      <c r="BF211">
        <f t="shared" si="443"/>
        <v>12.278014729201439</v>
      </c>
      <c r="BG211">
        <f t="shared" si="444"/>
        <v>-10.264067473835985</v>
      </c>
      <c r="BH211">
        <f t="shared" si="445"/>
        <v>11.271041101518712</v>
      </c>
      <c r="BI211">
        <f t="shared" si="446"/>
        <v>100.69736276827273</v>
      </c>
      <c r="BJ211">
        <f t="shared" si="447"/>
        <v>11</v>
      </c>
      <c r="BK211">
        <f>IF($BJ211&lt;=30,IF($B211=2015,VLOOKUP($BJ211,'Treasury Yields'!$C$5:$N$34,$E211,FALSE)/100,IF($B211=2016,VLOOKUP($BJ211,'Treasury Yields'!$C$40:$N$69,$E211,FALSE)/100,IF($B211=2017,VLOOKUP($BJ211,'Treasury Yields'!$C$75:$N$104,$E211,FALSE)/100,IF($B211=2018,VLOOKUP($BJ211,'Treasury Yields'!$C$110:$N$139,$E211,FALSE)/100,IF($B211=2019,VLOOKUP($BJ211,'Treasury Yields'!$C$145:$N$174,$E211,FALSE)/100,IF($B211=2020,VLOOKUP($BJ211,'Treasury Yields'!$C$180:$N$209,$E211,FALSE)/100,IF($B211=2021,VLOOKUP($BJ211,'Treasury Yields'!$C$215:$N$244,$E211,FALSE)/100,IF($B211=2022,VLOOKUP($BJ211,'Treasury Yields'!$C$250:$N$279,$E211,FALSE)/100)))))))),0)</f>
        <v>2.6258E-2</v>
      </c>
      <c r="BL211">
        <f t="shared" si="448"/>
        <v>1.4807346485497332</v>
      </c>
      <c r="BM211">
        <f t="shared" si="449"/>
        <v>18681373.296947569</v>
      </c>
      <c r="BN211">
        <f t="shared" si="450"/>
        <v>8439267.2969475687</v>
      </c>
      <c r="BP211">
        <f>IF($BJ211&lt;=30,IF($B211=2015,VLOOKUP($BJ211,'Treasury Yields'!$C$40:$N$69,$E211,FALSE)/100,IF($B211=2016,VLOOKUP($BJ211,'Treasury Yields'!$C$75:$N$104,$E211,FALSE)/100,IF($B211=2017,VLOOKUP($BJ211,'Treasury Yields'!$C$110:$N$139,$E211,FALSE)/100,IF($B211=2018,VLOOKUP($BJ211,'Treasury Yields'!$C$145:$N$174,$E211,FALSE)/100,IF($B211=2019,VLOOKUP($BJ211,'Treasury Yields'!$C$180:$N$209,$E211,FALSE)/100,IF($B211=2020,VLOOKUP($BJ211,'Treasury Yields'!$C$215:$N$244,$E211,FALSE)/100,IF($B211=2021,VLOOKUP($BJ211,'Treasury Yields'!$C$250:$N$279,$E211,FALSE)/100,IF($B211=2022,VLOOKUP($BJ211,'Treasury Yields'!$C$285:$N$314,$E211,FALSE)/100)))))))),0)</f>
        <v>1.6948000000000001E-2</v>
      </c>
      <c r="BQ211">
        <f t="shared" si="451"/>
        <v>1.6149887810986689</v>
      </c>
      <c r="BR211">
        <f t="shared" si="452"/>
        <v>21107830.694464453</v>
      </c>
      <c r="BS211">
        <f t="shared" si="453"/>
        <v>11147484.694464453</v>
      </c>
      <c r="BU211">
        <f t="shared" si="416"/>
        <v>14</v>
      </c>
      <c r="BV211">
        <f t="shared" si="454"/>
        <v>2.3408343451887199</v>
      </c>
      <c r="BW211">
        <f t="shared" si="455"/>
        <v>475884.5998738312</v>
      </c>
      <c r="BX211" s="5">
        <f t="shared" si="456"/>
        <v>483485.92549073626</v>
      </c>
      <c r="BY211" s="5">
        <f t="shared" si="457"/>
        <v>214548.70614273634</v>
      </c>
      <c r="BZ211" s="5">
        <f t="shared" si="458"/>
        <v>1086082</v>
      </c>
      <c r="CA211" s="5">
        <f t="shared" si="459"/>
        <v>690433.30601656751</v>
      </c>
      <c r="CC211" s="5">
        <f t="shared" si="460"/>
        <v>21107830.694464453</v>
      </c>
      <c r="CD211" s="5" t="str">
        <f t="shared" si="461"/>
        <v>Maine</v>
      </c>
      <c r="CE211" s="5">
        <f t="shared" si="414"/>
        <v>0.76207959400013237</v>
      </c>
      <c r="CF211" s="10">
        <f t="shared" si="462"/>
        <v>0.47187918759515679</v>
      </c>
    </row>
    <row r="212" spans="1:84" x14ac:dyDescent="0.2">
      <c r="A212">
        <v>20000000005201</v>
      </c>
      <c r="B212">
        <v>2017</v>
      </c>
      <c r="C212">
        <v>336</v>
      </c>
      <c r="D212" t="s">
        <v>398</v>
      </c>
      <c r="E212">
        <v>6</v>
      </c>
      <c r="F212" t="s">
        <v>399</v>
      </c>
      <c r="G212" t="s">
        <v>400</v>
      </c>
      <c r="H212" t="s">
        <v>401</v>
      </c>
      <c r="I212" t="b">
        <v>1</v>
      </c>
      <c r="J212">
        <v>213047</v>
      </c>
      <c r="K212">
        <v>886834</v>
      </c>
      <c r="L212">
        <v>0</v>
      </c>
      <c r="M212">
        <v>95208</v>
      </c>
      <c r="N212">
        <v>0</v>
      </c>
      <c r="O212">
        <v>780157</v>
      </c>
      <c r="Q212">
        <v>414932</v>
      </c>
      <c r="R212">
        <v>13069655</v>
      </c>
      <c r="S212">
        <v>13484887</v>
      </c>
      <c r="T212">
        <v>211037</v>
      </c>
      <c r="U212">
        <v>116080</v>
      </c>
      <c r="V212">
        <v>139464</v>
      </c>
      <c r="W212">
        <v>1256044</v>
      </c>
      <c r="Y212">
        <v>9216</v>
      </c>
      <c r="AA212">
        <v>932956</v>
      </c>
      <c r="AB212">
        <v>9960335</v>
      </c>
      <c r="AC212">
        <v>10893292</v>
      </c>
      <c r="AD212">
        <v>2591595</v>
      </c>
      <c r="AE212">
        <v>3109609</v>
      </c>
      <c r="AF212">
        <v>-518014</v>
      </c>
      <c r="AG212">
        <v>1860294</v>
      </c>
      <c r="AH212">
        <v>0.11344282140349858</v>
      </c>
      <c r="AI212" t="b">
        <v>1</v>
      </c>
      <c r="AK212">
        <v>6.88E-2</v>
      </c>
      <c r="AL212">
        <v>6.8750000000000006E-2</v>
      </c>
      <c r="AM212">
        <v>6.8750000000000006E-2</v>
      </c>
      <c r="AN212">
        <v>6.8750000000000006E-2</v>
      </c>
      <c r="AO212">
        <v>1</v>
      </c>
      <c r="AP212">
        <v>0</v>
      </c>
      <c r="AS212">
        <v>4247999</v>
      </c>
      <c r="AT212">
        <v>1227549</v>
      </c>
      <c r="AU212" t="s">
        <v>340</v>
      </c>
      <c r="AV212" t="s">
        <v>403</v>
      </c>
      <c r="BB212">
        <f t="shared" si="440"/>
        <v>0.80781485228611849</v>
      </c>
      <c r="BD212">
        <f t="shared" si="441"/>
        <v>1656404</v>
      </c>
      <c r="BE212">
        <f t="shared" si="442"/>
        <v>-1364046</v>
      </c>
      <c r="BF212">
        <f t="shared" si="443"/>
        <v>12.283410309630328</v>
      </c>
      <c r="BG212">
        <f t="shared" si="444"/>
        <v>-10.115368412060107</v>
      </c>
      <c r="BH212">
        <f t="shared" si="445"/>
        <v>11.199389360845219</v>
      </c>
      <c r="BI212">
        <f t="shared" si="446"/>
        <v>108.40209487851102</v>
      </c>
      <c r="BJ212">
        <f t="shared" si="447"/>
        <v>11</v>
      </c>
      <c r="BK212">
        <f>IF($BJ212&lt;=30,IF($B212=2015,VLOOKUP($BJ212,'Treasury Yields'!$C$5:$N$34,$E212,FALSE)/100,IF($B212=2016,VLOOKUP($BJ212,'Treasury Yields'!$C$40:$N$69,$E212,FALSE)/100,IF($B212=2017,VLOOKUP($BJ212,'Treasury Yields'!$C$75:$N$104,$E212,FALSE)/100,IF($B212=2018,VLOOKUP($BJ212,'Treasury Yields'!$C$110:$N$139,$E212,FALSE)/100,IF($B212=2019,VLOOKUP($BJ212,'Treasury Yields'!$C$145:$N$174,$E212,FALSE)/100,IF($B212=2020,VLOOKUP($BJ212,'Treasury Yields'!$C$180:$N$209,$E212,FALSE)/100,IF($B212=2021,VLOOKUP($BJ212,'Treasury Yields'!$C$215:$N$244,$E212,FALSE)/100,IF($B212=2022,VLOOKUP($BJ212,'Treasury Yields'!$C$250:$N$279,$E212,FALSE)/100)))))))),0)</f>
        <v>1.6948000000000001E-2</v>
      </c>
      <c r="BL212">
        <f t="shared" si="448"/>
        <v>1.582834214874504</v>
      </c>
      <c r="BM212">
        <f t="shared" si="449"/>
        <v>20687097.110605635</v>
      </c>
      <c r="BN212">
        <f t="shared" si="450"/>
        <v>10726762.110605635</v>
      </c>
      <c r="BP212">
        <f>IF($BJ212&lt;=30,IF($B212=2015,VLOOKUP($BJ212,'Treasury Yields'!$C$40:$N$69,$E212,FALSE)/100,IF($B212=2016,VLOOKUP($BJ212,'Treasury Yields'!$C$75:$N$104,$E212,FALSE)/100,IF($B212=2017,VLOOKUP($BJ212,'Treasury Yields'!$C$110:$N$139,$E212,FALSE)/100,IF($B212=2018,VLOOKUP($BJ212,'Treasury Yields'!$C$145:$N$174,$E212,FALSE)/100,IF($B212=2019,VLOOKUP($BJ212,'Treasury Yields'!$C$180:$N$209,$E212,FALSE)/100,IF($B212=2020,VLOOKUP($BJ212,'Treasury Yields'!$C$215:$N$244,$E212,FALSE)/100,IF($B212=2021,VLOOKUP($BJ212,'Treasury Yields'!$C$250:$N$279,$E212,FALSE)/100,IF($B212=2022,VLOOKUP($BJ212,'Treasury Yields'!$C$285:$N$314,$E212,FALSE)/100)))))))),0)</f>
        <v>2.5068799999999999E-2</v>
      </c>
      <c r="BQ212">
        <f t="shared" si="451"/>
        <v>1.4911108137823923</v>
      </c>
      <c r="BR212">
        <f t="shared" si="452"/>
        <v>20107460.828333601</v>
      </c>
      <c r="BS212">
        <f t="shared" si="453"/>
        <v>9214168.8283336014</v>
      </c>
      <c r="BU212">
        <f t="shared" si="416"/>
        <v>14</v>
      </c>
      <c r="BV212">
        <f t="shared" si="454"/>
        <v>2.5962700660799873</v>
      </c>
      <c r="BW212">
        <f t="shared" si="455"/>
        <v>553127.54876814305</v>
      </c>
      <c r="BX212" s="5">
        <f t="shared" si="456"/>
        <v>346757.22669106681</v>
      </c>
      <c r="BY212" s="5">
        <f t="shared" si="457"/>
        <v>177949.46911106678</v>
      </c>
      <c r="BZ212" s="5">
        <f t="shared" si="458"/>
        <v>1099881</v>
      </c>
      <c r="CA212" s="5">
        <f t="shared" si="459"/>
        <v>731077.01787920983</v>
      </c>
      <c r="CC212" s="5">
        <f t="shared" si="460"/>
        <v>20107460.828333601</v>
      </c>
      <c r="CD212" s="5" t="str">
        <f t="shared" si="461"/>
        <v>Maine</v>
      </c>
      <c r="CE212" s="5">
        <f t="shared" si="414"/>
        <v>0.80781485228611849</v>
      </c>
      <c r="CF212" s="10">
        <f t="shared" si="462"/>
        <v>0.54175373474557098</v>
      </c>
    </row>
    <row r="213" spans="1:84" x14ac:dyDescent="0.2">
      <c r="A213">
        <v>20000000005201</v>
      </c>
      <c r="B213">
        <v>2018</v>
      </c>
      <c r="C213">
        <v>336</v>
      </c>
      <c r="D213" t="s">
        <v>398</v>
      </c>
      <c r="E213">
        <v>6</v>
      </c>
      <c r="F213" t="s">
        <v>399</v>
      </c>
      <c r="G213" t="s">
        <v>400</v>
      </c>
      <c r="H213" t="s">
        <v>401</v>
      </c>
      <c r="I213" t="b">
        <v>1</v>
      </c>
      <c r="J213">
        <v>215826</v>
      </c>
      <c r="K213">
        <v>914536</v>
      </c>
      <c r="L213">
        <v>0</v>
      </c>
      <c r="M213">
        <v>34151</v>
      </c>
      <c r="N213">
        <v>191999</v>
      </c>
      <c r="O213">
        <v>810211</v>
      </c>
      <c r="Q213">
        <v>546301</v>
      </c>
      <c r="R213">
        <v>13484887</v>
      </c>
      <c r="S213">
        <v>14031188</v>
      </c>
      <c r="T213">
        <v>211251</v>
      </c>
      <c r="U213">
        <v>129422</v>
      </c>
      <c r="V213">
        <v>140845</v>
      </c>
      <c r="W213">
        <v>1077828</v>
      </c>
      <c r="Y213">
        <v>10076</v>
      </c>
      <c r="AA213">
        <v>738888</v>
      </c>
      <c r="AB213">
        <v>10893292</v>
      </c>
      <c r="AC213">
        <v>11632180</v>
      </c>
      <c r="AD213">
        <v>2399008</v>
      </c>
      <c r="AE213">
        <v>2591595</v>
      </c>
      <c r="AF213">
        <v>-192587</v>
      </c>
      <c r="AG213">
        <v>1808275</v>
      </c>
      <c r="AH213">
        <v>0.11682459802850784</v>
      </c>
      <c r="AI213" t="b">
        <v>1</v>
      </c>
      <c r="AK213">
        <v>6.88E-2</v>
      </c>
      <c r="AL213">
        <v>6.7500000000000004E-2</v>
      </c>
      <c r="AM213">
        <v>6.7500000000000004E-2</v>
      </c>
      <c r="AN213">
        <v>6.8750000000000006E-2</v>
      </c>
      <c r="AO213">
        <v>1</v>
      </c>
      <c r="AP213">
        <v>0</v>
      </c>
      <c r="AS213">
        <v>4118392</v>
      </c>
      <c r="AT213">
        <v>963018</v>
      </c>
      <c r="AU213" t="s">
        <v>404</v>
      </c>
      <c r="AV213" t="s">
        <v>405</v>
      </c>
      <c r="BB213">
        <f t="shared" si="440"/>
        <v>0.82902317323379893</v>
      </c>
      <c r="BD213">
        <f t="shared" si="441"/>
        <v>1719384</v>
      </c>
      <c r="BE213">
        <f t="shared" si="442"/>
        <v>-1435990</v>
      </c>
      <c r="BF213">
        <f t="shared" si="443"/>
        <v>12.254015839571105</v>
      </c>
      <c r="BG213">
        <f t="shared" si="444"/>
        <v>-10.234272393755967</v>
      </c>
      <c r="BH213">
        <f t="shared" si="445"/>
        <v>11.244144116663536</v>
      </c>
      <c r="BI213">
        <f t="shared" si="446"/>
        <v>100.98717229075685</v>
      </c>
      <c r="BJ213">
        <f t="shared" si="447"/>
        <v>11</v>
      </c>
      <c r="BK213">
        <f>IF($BJ213&lt;=30,IF($B213=2015,VLOOKUP($BJ213,'Treasury Yields'!$C$5:$N$34,$E213,FALSE)/100,IF($B213=2016,VLOOKUP($BJ213,'Treasury Yields'!$C$40:$N$69,$E213,FALSE)/100,IF($B213=2017,VLOOKUP($BJ213,'Treasury Yields'!$C$75:$N$104,$E213,FALSE)/100,IF($B213=2018,VLOOKUP($BJ213,'Treasury Yields'!$C$110:$N$139,$E213,FALSE)/100,IF($B213=2019,VLOOKUP($BJ213,'Treasury Yields'!$C$145:$N$174,$E213,FALSE)/100,IF($B213=2020,VLOOKUP($BJ213,'Treasury Yields'!$C$180:$N$209,$E213,FALSE)/100,IF($B213=2021,VLOOKUP($BJ213,'Treasury Yields'!$C$215:$N$244,$E213,FALSE)/100,IF($B213=2022,VLOOKUP($BJ213,'Treasury Yields'!$C$250:$N$279,$E213,FALSE)/100)))))))),0)</f>
        <v>2.5068799999999999E-2</v>
      </c>
      <c r="BL213">
        <f t="shared" si="448"/>
        <v>1.478902934576414</v>
      </c>
      <c r="BM213">
        <f t="shared" si="449"/>
        <v>19942838.956731334</v>
      </c>
      <c r="BN213">
        <f t="shared" si="450"/>
        <v>9049546.9567313343</v>
      </c>
      <c r="BP213">
        <f>IF($BJ213&lt;=30,IF($B213=2015,VLOOKUP($BJ213,'Treasury Yields'!$C$40:$N$69,$E213,FALSE)/100,IF($B213=2016,VLOOKUP($BJ213,'Treasury Yields'!$C$75:$N$104,$E213,FALSE)/100,IF($B213=2017,VLOOKUP($BJ213,'Treasury Yields'!$C$110:$N$139,$E213,FALSE)/100,IF($B213=2018,VLOOKUP($BJ213,'Treasury Yields'!$C$145:$N$174,$E213,FALSE)/100,IF($B213=2019,VLOOKUP($BJ213,'Treasury Yields'!$C$180:$N$209,$E213,FALSE)/100,IF($B213=2020,VLOOKUP($BJ213,'Treasury Yields'!$C$215:$N$244,$E213,FALSE)/100,IF($B213=2021,VLOOKUP($BJ213,'Treasury Yields'!$C$250:$N$279,$E213,FALSE)/100,IF($B213=2022,VLOOKUP($BJ213,'Treasury Yields'!$C$285:$N$314,$E213,FALSE)/100)))))))),0)</f>
        <v>2.9273236363636365E-2</v>
      </c>
      <c r="BQ213">
        <f t="shared" si="451"/>
        <v>1.4454408344539367</v>
      </c>
      <c r="BR213">
        <f t="shared" si="452"/>
        <v>20281252.091100063</v>
      </c>
      <c r="BS213">
        <f t="shared" si="453"/>
        <v>8649072.0911000632</v>
      </c>
      <c r="BU213">
        <f t="shared" si="416"/>
        <v>14</v>
      </c>
      <c r="BV213">
        <f t="shared" si="454"/>
        <v>2.2953828026911109</v>
      </c>
      <c r="BW213">
        <f t="shared" si="455"/>
        <v>495403.28877361171</v>
      </c>
      <c r="BX213" s="5">
        <f t="shared" si="456"/>
        <v>492051.18968731433</v>
      </c>
      <c r="BY213" s="5">
        <f t="shared" si="457"/>
        <v>218969.43119771438</v>
      </c>
      <c r="BZ213" s="5">
        <f t="shared" si="458"/>
        <v>1130362</v>
      </c>
      <c r="CA213" s="5">
        <f t="shared" si="459"/>
        <v>714372.71997132606</v>
      </c>
      <c r="CC213" s="5">
        <f t="shared" si="460"/>
        <v>20281252.091100063</v>
      </c>
      <c r="CD213" s="5" t="str">
        <f t="shared" si="461"/>
        <v>Maine</v>
      </c>
      <c r="CE213" s="5">
        <f t="shared" si="414"/>
        <v>0.82902317323379893</v>
      </c>
      <c r="CF213" s="10">
        <f t="shared" si="462"/>
        <v>0.57354348477846206</v>
      </c>
    </row>
    <row r="214" spans="1:84" x14ac:dyDescent="0.2">
      <c r="A214">
        <v>20000000005201</v>
      </c>
      <c r="B214">
        <v>2019</v>
      </c>
      <c r="C214">
        <v>336</v>
      </c>
      <c r="D214" t="s">
        <v>398</v>
      </c>
      <c r="E214">
        <v>6</v>
      </c>
      <c r="F214" t="s">
        <v>399</v>
      </c>
      <c r="G214" t="s">
        <v>400</v>
      </c>
      <c r="H214" t="s">
        <v>401</v>
      </c>
      <c r="I214" t="b">
        <v>1</v>
      </c>
      <c r="J214">
        <v>224775</v>
      </c>
      <c r="K214">
        <v>934010</v>
      </c>
      <c r="L214">
        <v>0</v>
      </c>
      <c r="M214">
        <v>208719</v>
      </c>
      <c r="N214">
        <v>0</v>
      </c>
      <c r="O214">
        <v>852469</v>
      </c>
      <c r="Q214">
        <v>516035</v>
      </c>
      <c r="R214">
        <v>14031188</v>
      </c>
      <c r="S214">
        <v>14547223</v>
      </c>
      <c r="T214">
        <v>218531</v>
      </c>
      <c r="U214">
        <v>132981</v>
      </c>
      <c r="V214">
        <v>146019</v>
      </c>
      <c r="W214">
        <v>768987</v>
      </c>
      <c r="Y214">
        <v>11801</v>
      </c>
      <c r="AA214">
        <v>403372</v>
      </c>
      <c r="AB214">
        <v>11632193</v>
      </c>
      <c r="AC214">
        <v>12035565</v>
      </c>
      <c r="AD214">
        <v>2511658</v>
      </c>
      <c r="AE214">
        <v>2399008</v>
      </c>
      <c r="AF214">
        <v>112650</v>
      </c>
      <c r="AG214">
        <v>1924007</v>
      </c>
      <c r="AH214">
        <v>0.11358118759443182</v>
      </c>
      <c r="AI214" t="b">
        <v>1</v>
      </c>
      <c r="AK214">
        <v>6.7500000000000004E-2</v>
      </c>
      <c r="AL214">
        <v>6.7500000000000004E-2</v>
      </c>
      <c r="AM214">
        <v>6.7500000000000004E-2</v>
      </c>
      <c r="AN214">
        <v>6.7500000000000004E-2</v>
      </c>
      <c r="AO214">
        <v>1</v>
      </c>
      <c r="AP214">
        <v>0</v>
      </c>
      <c r="AS214">
        <v>3914947</v>
      </c>
      <c r="AT214">
        <v>760663</v>
      </c>
      <c r="AV214" t="s">
        <v>406</v>
      </c>
      <c r="BB214">
        <f t="shared" si="440"/>
        <v>0.82734450417100225</v>
      </c>
      <c r="BD214">
        <f t="shared" si="441"/>
        <v>1403289</v>
      </c>
      <c r="BE214">
        <f t="shared" si="442"/>
        <v>-1750995</v>
      </c>
      <c r="BF214">
        <f t="shared" si="443"/>
        <v>9.6464390488823888</v>
      </c>
      <c r="BG214">
        <f t="shared" si="444"/>
        <v>-12.036627196819627</v>
      </c>
      <c r="BH214">
        <f t="shared" si="445"/>
        <v>10.841533122851008</v>
      </c>
      <c r="BI214">
        <f t="shared" si="446"/>
        <v>-119.50940739686192</v>
      </c>
      <c r="BJ214">
        <f t="shared" si="447"/>
        <v>11</v>
      </c>
      <c r="BK214">
        <f>IF($BJ214&lt;=30,IF($B214=2015,VLOOKUP($BJ214,'Treasury Yields'!$C$5:$N$34,$E214,FALSE)/100,IF($B214=2016,VLOOKUP($BJ214,'Treasury Yields'!$C$40:$N$69,$E214,FALSE)/100,IF($B214=2017,VLOOKUP($BJ214,'Treasury Yields'!$C$75:$N$104,$E214,FALSE)/100,IF($B214=2018,VLOOKUP($BJ214,'Treasury Yields'!$C$110:$N$139,$E214,FALSE)/100,IF($B214=2019,VLOOKUP($BJ214,'Treasury Yields'!$C$145:$N$174,$E214,FALSE)/100,IF($B214=2020,VLOOKUP($BJ214,'Treasury Yields'!$C$180:$N$209,$E214,FALSE)/100,IF($B214=2021,VLOOKUP($BJ214,'Treasury Yields'!$C$215:$N$244,$E214,FALSE)/100,IF($B214=2022,VLOOKUP($BJ214,'Treasury Yields'!$C$250:$N$279,$E214,FALSE)/100)))))))),0)</f>
        <v>2.9273236363636365E-2</v>
      </c>
      <c r="BL214">
        <f t="shared" si="448"/>
        <v>1.4158980096011433</v>
      </c>
      <c r="BM214">
        <f t="shared" si="449"/>
        <v>19866731.161539447</v>
      </c>
      <c r="BN214">
        <f t="shared" si="450"/>
        <v>8234538.1615394466</v>
      </c>
      <c r="BP214">
        <f>IF($BJ214&lt;=30,IF($B214=2015,VLOOKUP($BJ214,'Treasury Yields'!$C$40:$N$69,$E214,FALSE)/100,IF($B214=2016,VLOOKUP($BJ214,'Treasury Yields'!$C$75:$N$104,$E214,FALSE)/100,IF($B214=2017,VLOOKUP($BJ214,'Treasury Yields'!$C$110:$N$139,$E214,FALSE)/100,IF($B214=2018,VLOOKUP($BJ214,'Treasury Yields'!$C$145:$N$174,$E214,FALSE)/100,IF($B214=2019,VLOOKUP($BJ214,'Treasury Yields'!$C$180:$N$209,$E214,FALSE)/100,IF($B214=2020,VLOOKUP($BJ214,'Treasury Yields'!$C$215:$N$244,$E214,FALSE)/100,IF($B214=2021,VLOOKUP($BJ214,'Treasury Yields'!$C$250:$N$279,$E214,FALSE)/100,IF($B214=2022,VLOOKUP($BJ214,'Treasury Yields'!$C$285:$N$314,$E214,FALSE)/100)))))))),0)</f>
        <v>2.1722000000000002E-2</v>
      </c>
      <c r="BQ214">
        <f t="shared" si="451"/>
        <v>1.4983993285818735</v>
      </c>
      <c r="BR214">
        <f t="shared" si="452"/>
        <v>21797549.175930787</v>
      </c>
      <c r="BS214">
        <f t="shared" si="453"/>
        <v>9761984.1759307869</v>
      </c>
      <c r="BU214">
        <f t="shared" si="416"/>
        <v>14</v>
      </c>
      <c r="BV214">
        <f t="shared" si="454"/>
        <v>1.7749740559156963</v>
      </c>
      <c r="BW214">
        <f t="shared" si="455"/>
        <v>398969.79341845063</v>
      </c>
      <c r="BX214" s="5">
        <f t="shared" si="456"/>
        <v>568288.12759958103</v>
      </c>
      <c r="BY214" s="5">
        <f t="shared" si="457"/>
        <v>227776.19248314461</v>
      </c>
      <c r="BZ214" s="5">
        <f t="shared" si="458"/>
        <v>1158785</v>
      </c>
      <c r="CA214" s="5">
        <f t="shared" si="459"/>
        <v>626745.98590159521</v>
      </c>
      <c r="CC214" s="5">
        <f t="shared" si="460"/>
        <v>21797549.175930787</v>
      </c>
      <c r="CD214" s="5" t="str">
        <f t="shared" si="461"/>
        <v>Maine</v>
      </c>
      <c r="CE214" s="5">
        <f t="shared" si="414"/>
        <v>0.82734450417100225</v>
      </c>
      <c r="CF214" s="10">
        <f t="shared" si="462"/>
        <v>0.55215221229044731</v>
      </c>
    </row>
    <row r="215" spans="1:84" x14ac:dyDescent="0.2">
      <c r="A215">
        <v>20000000005201</v>
      </c>
      <c r="B215">
        <v>2020</v>
      </c>
      <c r="C215">
        <v>336</v>
      </c>
      <c r="D215" t="s">
        <v>398</v>
      </c>
      <c r="E215">
        <v>6</v>
      </c>
      <c r="F215" t="s">
        <v>399</v>
      </c>
      <c r="G215" t="s">
        <v>400</v>
      </c>
      <c r="H215" t="s">
        <v>401</v>
      </c>
      <c r="I215" t="b">
        <v>1</v>
      </c>
      <c r="J215">
        <v>231226</v>
      </c>
      <c r="K215">
        <v>968243</v>
      </c>
      <c r="L215">
        <v>1223</v>
      </c>
      <c r="M215">
        <v>162</v>
      </c>
      <c r="N215">
        <v>0</v>
      </c>
      <c r="O215">
        <v>882618</v>
      </c>
      <c r="Q215">
        <v>318237</v>
      </c>
      <c r="R215">
        <v>14547223</v>
      </c>
      <c r="S215">
        <v>14865460</v>
      </c>
      <c r="T215">
        <v>225469</v>
      </c>
      <c r="U215">
        <v>174530</v>
      </c>
      <c r="V215">
        <v>151439</v>
      </c>
      <c r="W215">
        <v>354273</v>
      </c>
      <c r="Y215">
        <v>11344</v>
      </c>
      <c r="AA215">
        <v>9354</v>
      </c>
      <c r="AB215">
        <v>12035565</v>
      </c>
      <c r="AC215">
        <v>12044919</v>
      </c>
      <c r="AD215">
        <v>2820542</v>
      </c>
      <c r="AE215">
        <v>2511658</v>
      </c>
      <c r="AF215">
        <v>308884</v>
      </c>
      <c r="AG215">
        <v>2003076</v>
      </c>
      <c r="AH215">
        <v>0.11256138059664236</v>
      </c>
      <c r="AI215" t="b">
        <v>1</v>
      </c>
      <c r="AK215">
        <v>6.7500000000000004E-2</v>
      </c>
      <c r="AL215">
        <v>6.7500000000000004E-2</v>
      </c>
      <c r="AM215">
        <v>6.7500000000000004E-2</v>
      </c>
      <c r="AN215">
        <v>6.7500000000000004E-2</v>
      </c>
      <c r="AO215">
        <v>1</v>
      </c>
      <c r="AP215">
        <v>0</v>
      </c>
      <c r="AS215">
        <v>4238894</v>
      </c>
      <c r="AT215">
        <v>1030188</v>
      </c>
      <c r="AU215" t="s">
        <v>407</v>
      </c>
      <c r="AV215" t="s">
        <v>408</v>
      </c>
      <c r="BB215">
        <f t="shared" si="440"/>
        <v>0.81026211096057577</v>
      </c>
      <c r="BD215">
        <f t="shared" si="441"/>
        <v>1418352</v>
      </c>
      <c r="BE215">
        <f t="shared" si="442"/>
        <v>-1790354</v>
      </c>
      <c r="BF215">
        <f t="shared" si="443"/>
        <v>9.541258729968666</v>
      </c>
      <c r="BG215">
        <f t="shared" si="444"/>
        <v>-12.043717449712286</v>
      </c>
      <c r="BH215">
        <f t="shared" si="445"/>
        <v>10.792488089840475</v>
      </c>
      <c r="BI215">
        <f t="shared" si="446"/>
        <v>-125.12293598718102</v>
      </c>
      <c r="BJ215">
        <f t="shared" si="447"/>
        <v>11</v>
      </c>
      <c r="BK215">
        <f>IF($BJ215&lt;=30,IF($B215=2015,VLOOKUP($BJ215,'Treasury Yields'!$C$5:$N$34,$E215,FALSE)/100,IF($B215=2016,VLOOKUP($BJ215,'Treasury Yields'!$C$40:$N$69,$E215,FALSE)/100,IF($B215=2017,VLOOKUP($BJ215,'Treasury Yields'!$C$75:$N$104,$E215,FALSE)/100,IF($B215=2018,VLOOKUP($BJ215,'Treasury Yields'!$C$110:$N$139,$E215,FALSE)/100,IF($B215=2019,VLOOKUP($BJ215,'Treasury Yields'!$C$145:$N$174,$E215,FALSE)/100,IF($B215=2020,VLOOKUP($BJ215,'Treasury Yields'!$C$180:$N$209,$E215,FALSE)/100,IF($B215=2021,VLOOKUP($BJ215,'Treasury Yields'!$C$215:$N$244,$E215,FALSE)/100,IF($B215=2022,VLOOKUP($BJ215,'Treasury Yields'!$C$250:$N$279,$E215,FALSE)/100)))))))),0)</f>
        <v>2.1722000000000002E-2</v>
      </c>
      <c r="BL215">
        <f t="shared" si="448"/>
        <v>1.4961541450607174</v>
      </c>
      <c r="BM215">
        <f t="shared" si="449"/>
        <v>21764887.990572605</v>
      </c>
      <c r="BN215">
        <f t="shared" si="450"/>
        <v>9729322.9905726053</v>
      </c>
      <c r="BP215">
        <f>IF($BJ215&lt;=30,IF($B215=2015,VLOOKUP($BJ215,'Treasury Yields'!$C$40:$N$69,$E215,FALSE)/100,IF($B215=2016,VLOOKUP($BJ215,'Treasury Yields'!$C$75:$N$104,$E215,FALSE)/100,IF($B215=2017,VLOOKUP($BJ215,'Treasury Yields'!$C$110:$N$139,$E215,FALSE)/100,IF($B215=2018,VLOOKUP($BJ215,'Treasury Yields'!$C$145:$N$174,$E215,FALSE)/100,IF($B215=2019,VLOOKUP($BJ215,'Treasury Yields'!$C$180:$N$209,$E215,FALSE)/100,IF($B215=2020,VLOOKUP($BJ215,'Treasury Yields'!$C$215:$N$244,$E215,FALSE)/100,IF($B215=2021,VLOOKUP($BJ215,'Treasury Yields'!$C$250:$N$279,$E215,FALSE)/100,IF($B215=2022,VLOOKUP($BJ215,'Treasury Yields'!$C$285:$N$314,$E215,FALSE)/100)))))))),0)</f>
        <v>1.4551090909090908E-2</v>
      </c>
      <c r="BQ215">
        <f t="shared" si="451"/>
        <v>1.5742540577075999</v>
      </c>
      <c r="BR215">
        <f t="shared" si="452"/>
        <v>23402010.724690016</v>
      </c>
      <c r="BS215">
        <f t="shared" si="453"/>
        <v>11357091.724690016</v>
      </c>
      <c r="BU215">
        <f t="shared" si="416"/>
        <v>14</v>
      </c>
      <c r="BV215">
        <f t="shared" si="454"/>
        <v>1.8727397315136676</v>
      </c>
      <c r="BW215">
        <f t="shared" si="455"/>
        <v>433026.11715897929</v>
      </c>
      <c r="BX215" s="5">
        <f t="shared" si="456"/>
        <v>463010.86205214553</v>
      </c>
      <c r="BY215" s="5">
        <f t="shared" si="457"/>
        <v>201574.31912214551</v>
      </c>
      <c r="BZ215" s="5">
        <f t="shared" si="458"/>
        <v>1199469</v>
      </c>
      <c r="CA215" s="5">
        <f t="shared" si="459"/>
        <v>634600.43628112483</v>
      </c>
      <c r="CC215" s="5">
        <f t="shared" si="460"/>
        <v>23402010.724690016</v>
      </c>
      <c r="CD215" s="5" t="str">
        <f t="shared" si="461"/>
        <v>Maine</v>
      </c>
      <c r="CE215" s="5">
        <f t="shared" si="414"/>
        <v>0.81026211096057577</v>
      </c>
      <c r="CF215" s="10">
        <f t="shared" si="462"/>
        <v>0.51469590120699116</v>
      </c>
    </row>
    <row r="216" spans="1:84" x14ac:dyDescent="0.2">
      <c r="A216">
        <v>20000000005201</v>
      </c>
      <c r="B216">
        <v>2021</v>
      </c>
      <c r="C216">
        <v>336</v>
      </c>
      <c r="D216" t="s">
        <v>398</v>
      </c>
      <c r="E216">
        <v>6</v>
      </c>
      <c r="F216" t="s">
        <v>399</v>
      </c>
      <c r="G216" t="s">
        <v>400</v>
      </c>
      <c r="H216" t="s">
        <v>401</v>
      </c>
      <c r="I216" t="b">
        <v>1</v>
      </c>
      <c r="J216">
        <v>238775</v>
      </c>
      <c r="K216">
        <v>989560</v>
      </c>
      <c r="L216">
        <v>0</v>
      </c>
      <c r="M216">
        <v>25575</v>
      </c>
      <c r="N216">
        <v>1175894</v>
      </c>
      <c r="O216">
        <v>902913</v>
      </c>
      <c r="Q216">
        <v>1526891</v>
      </c>
      <c r="R216">
        <v>14865460</v>
      </c>
      <c r="S216">
        <v>16392351</v>
      </c>
      <c r="T216">
        <v>239444</v>
      </c>
      <c r="U216">
        <v>179330</v>
      </c>
      <c r="V216">
        <v>159510</v>
      </c>
      <c r="W216">
        <v>3192036</v>
      </c>
      <c r="Y216">
        <v>11089</v>
      </c>
      <c r="AA216">
        <v>2855731</v>
      </c>
      <c r="AB216">
        <v>12044919</v>
      </c>
      <c r="AC216">
        <v>14900650</v>
      </c>
      <c r="AD216">
        <v>1491702</v>
      </c>
      <c r="AE216">
        <v>2820542</v>
      </c>
      <c r="AF216">
        <v>-1328840</v>
      </c>
      <c r="AG216">
        <v>2096365</v>
      </c>
      <c r="AI216" t="b">
        <v>1</v>
      </c>
      <c r="AK216">
        <v>6.7500000000000004E-2</v>
      </c>
      <c r="AL216">
        <v>6.5000000000000002E-2</v>
      </c>
      <c r="AM216">
        <v>6.5000000000000002E-2</v>
      </c>
      <c r="AN216">
        <v>6.7500000000000004E-2</v>
      </c>
      <c r="AS216">
        <v>3537630</v>
      </c>
      <c r="AT216">
        <v>-216518</v>
      </c>
      <c r="BB216">
        <f t="shared" si="440"/>
        <v>0.90900017941294697</v>
      </c>
      <c r="BD216">
        <f t="shared" si="441"/>
        <v>2045928</v>
      </c>
      <c r="BE216">
        <f t="shared" si="442"/>
        <v>-1708220</v>
      </c>
      <c r="BF216">
        <f t="shared" si="443"/>
        <v>12.480991896769414</v>
      </c>
      <c r="BG216">
        <f t="shared" si="444"/>
        <v>-10.420835913042614</v>
      </c>
      <c r="BH216">
        <f t="shared" si="445"/>
        <v>11.450913904906015</v>
      </c>
      <c r="BI216">
        <f t="shared" si="446"/>
        <v>103.00779918634001</v>
      </c>
      <c r="BJ216">
        <f t="shared" si="447"/>
        <v>11</v>
      </c>
      <c r="BK216">
        <f>IF($BJ216&lt;=30,IF($B216=2015,VLOOKUP($BJ216,'Treasury Yields'!$C$5:$N$34,$E216,FALSE)/100,IF($B216=2016,VLOOKUP($BJ216,'Treasury Yields'!$C$40:$N$69,$E216,FALSE)/100,IF($B216=2017,VLOOKUP($BJ216,'Treasury Yields'!$C$75:$N$104,$E216,FALSE)/100,IF($B216=2018,VLOOKUP($BJ216,'Treasury Yields'!$C$110:$N$139,$E216,FALSE)/100,IF($B216=2019,VLOOKUP($BJ216,'Treasury Yields'!$C$145:$N$174,$E216,FALSE)/100,IF($B216=2020,VLOOKUP($BJ216,'Treasury Yields'!$C$180:$N$209,$E216,FALSE)/100,IF($B216=2021,VLOOKUP($BJ216,'Treasury Yields'!$C$215:$N$244,$E216,FALSE)/100,IF($B216=2022,VLOOKUP($BJ216,'Treasury Yields'!$C$250:$N$279,$E216,FALSE)/100)))))))),0)</f>
        <v>1.4551090909090908E-2</v>
      </c>
      <c r="BL216">
        <f t="shared" si="448"/>
        <v>1.5802312070248934</v>
      </c>
      <c r="BM216">
        <f t="shared" si="449"/>
        <v>23490863.79878027</v>
      </c>
      <c r="BN216">
        <f t="shared" si="450"/>
        <v>11445944.79878027</v>
      </c>
      <c r="BP216">
        <f>IF($BJ216&lt;=30,IF($B216=2015,VLOOKUP($BJ216,'Treasury Yields'!$C$40:$N$69,$E216,FALSE)/100,IF($B216=2016,VLOOKUP($BJ216,'Treasury Yields'!$C$75:$N$104,$E216,FALSE)/100,IF($B216=2017,VLOOKUP($BJ216,'Treasury Yields'!$C$110:$N$139,$E216,FALSE)/100,IF($B216=2018,VLOOKUP($BJ216,'Treasury Yields'!$C$145:$N$174,$E216,FALSE)/100,IF($B216=2019,VLOOKUP($BJ216,'Treasury Yields'!$C$180:$N$209,$E216,FALSE)/100,IF($B216=2020,VLOOKUP($BJ216,'Treasury Yields'!$C$215:$N$244,$E216,FALSE)/100,IF($B216=2021,VLOOKUP($BJ216,'Treasury Yields'!$C$250:$N$279,$E216,FALSE)/100,IF($B216=2022,VLOOKUP($BJ216,'Treasury Yields'!$C$285:$N$314,$E216,FALSE)/100)))))))),0)</f>
        <v>2.1554272727272727E-2</v>
      </c>
      <c r="BQ216">
        <f t="shared" si="451"/>
        <v>1.528231577152912</v>
      </c>
      <c r="BR216">
        <f t="shared" si="452"/>
        <v>25051308.421974115</v>
      </c>
      <c r="BS216">
        <f t="shared" si="453"/>
        <v>10150658.421974115</v>
      </c>
      <c r="BU216">
        <f t="shared" si="416"/>
        <v>14</v>
      </c>
      <c r="BV216">
        <f t="shared" si="454"/>
        <v>2.6363894506421408</v>
      </c>
      <c r="BW216">
        <f t="shared" si="455"/>
        <v>629503.89107707713</v>
      </c>
      <c r="BX216" s="5">
        <f t="shared" si="456"/>
        <v>337839.29386981332</v>
      </c>
      <c r="BY216" s="5">
        <f t="shared" si="457"/>
        <v>162572.58250817694</v>
      </c>
      <c r="BZ216" s="5">
        <f t="shared" si="458"/>
        <v>1228335</v>
      </c>
      <c r="CA216" s="5">
        <f t="shared" si="459"/>
        <v>792076.47358525405</v>
      </c>
      <c r="CC216" s="5">
        <f t="shared" si="460"/>
        <v>25051308.421974115</v>
      </c>
      <c r="CD216" s="5" t="str">
        <f t="shared" si="461"/>
        <v>Maine</v>
      </c>
      <c r="CE216" s="5">
        <f t="shared" si="414"/>
        <v>0.90900017941294697</v>
      </c>
      <c r="CF216" s="10">
        <f t="shared" si="462"/>
        <v>0.59480525923067873</v>
      </c>
    </row>
    <row r="217" spans="1:84" x14ac:dyDescent="0.2">
      <c r="A217">
        <v>20000000005201</v>
      </c>
      <c r="B217">
        <v>2022</v>
      </c>
      <c r="C217">
        <v>336</v>
      </c>
      <c r="D217" t="s">
        <v>398</v>
      </c>
      <c r="E217">
        <v>6</v>
      </c>
      <c r="F217" t="s">
        <v>399</v>
      </c>
      <c r="G217" t="s">
        <v>400</v>
      </c>
      <c r="H217" t="s">
        <v>401</v>
      </c>
      <c r="I217" t="b">
        <v>1</v>
      </c>
      <c r="J217">
        <v>271707</v>
      </c>
      <c r="K217">
        <v>1052841</v>
      </c>
      <c r="L217">
        <v>104916</v>
      </c>
      <c r="M217">
        <v>107922</v>
      </c>
      <c r="N217">
        <v>0</v>
      </c>
      <c r="O217">
        <v>947944</v>
      </c>
      <c r="Q217">
        <v>589441</v>
      </c>
      <c r="R217">
        <v>16392351</v>
      </c>
      <c r="S217">
        <v>16981792</v>
      </c>
      <c r="T217">
        <v>348891</v>
      </c>
      <c r="U217">
        <v>194654</v>
      </c>
      <c r="V217">
        <v>164349</v>
      </c>
      <c r="W217">
        <v>-79390</v>
      </c>
      <c r="Y217">
        <v>11962</v>
      </c>
      <c r="AA217">
        <v>-331952</v>
      </c>
      <c r="AB217">
        <v>14900650</v>
      </c>
      <c r="AC217">
        <v>14568698</v>
      </c>
      <c r="AD217">
        <v>2413094</v>
      </c>
      <c r="AE217">
        <v>1491702</v>
      </c>
      <c r="AF217">
        <v>921392</v>
      </c>
      <c r="AG217">
        <v>2221410</v>
      </c>
      <c r="AI217" t="b">
        <v>1</v>
      </c>
      <c r="AK217">
        <v>6.5000000000000002E-2</v>
      </c>
      <c r="AL217">
        <v>6.5000000000000002E-2</v>
      </c>
      <c r="AM217">
        <v>6.5000000000000002E-2</v>
      </c>
      <c r="AN217">
        <v>6.5000000000000002E-2</v>
      </c>
      <c r="AS217">
        <v>4539860</v>
      </c>
      <c r="AT217">
        <v>668280</v>
      </c>
      <c r="AV217" t="s">
        <v>409</v>
      </c>
      <c r="BB217">
        <f t="shared" si="440"/>
        <v>0.85790109783466906</v>
      </c>
      <c r="BD217">
        <f t="shared" si="441"/>
        <v>2126766</v>
      </c>
      <c r="BE217">
        <f t="shared" si="442"/>
        <v>-1744814</v>
      </c>
      <c r="BF217">
        <f t="shared" si="443"/>
        <v>12.523801963891678</v>
      </c>
      <c r="BG217">
        <f t="shared" si="444"/>
        <v>-10.274616483348755</v>
      </c>
      <c r="BH217">
        <f t="shared" si="445"/>
        <v>11.399209223620216</v>
      </c>
      <c r="BI217">
        <f t="shared" si="446"/>
        <v>112.45927402714625</v>
      </c>
      <c r="BJ217">
        <f t="shared" si="447"/>
        <v>11</v>
      </c>
      <c r="BK217">
        <f>IF($BJ217&lt;=30,IF($B217=2015,VLOOKUP($BJ217,'Treasury Yields'!$C$5:$N$34,$E217,FALSE)/100,IF($B217=2016,VLOOKUP($BJ217,'Treasury Yields'!$C$40:$N$69,$E217,FALSE)/100,IF($B217=2017,VLOOKUP($BJ217,'Treasury Yields'!$C$75:$N$104,$E217,FALSE)/100,IF($B217=2018,VLOOKUP($BJ217,'Treasury Yields'!$C$110:$N$139,$E217,FALSE)/100,IF($B217=2019,VLOOKUP($BJ217,'Treasury Yields'!$C$145:$N$174,$E217,FALSE)/100,IF($B217=2020,VLOOKUP($BJ217,'Treasury Yields'!$C$180:$N$209,$E217,FALSE)/100,IF($B217=2021,VLOOKUP($BJ217,'Treasury Yields'!$C$215:$N$244,$E217,FALSE)/100,IF($B217=2022,VLOOKUP($BJ217,'Treasury Yields'!$C$250:$N$279,$E217,FALSE)/100)))))))),0)</f>
        <v>2.1554272727272727E-2</v>
      </c>
      <c r="BL217">
        <f t="shared" si="448"/>
        <v>1.4971344662724173</v>
      </c>
      <c r="BM217">
        <f t="shared" si="449"/>
        <v>24541553.665335126</v>
      </c>
      <c r="BN217">
        <f t="shared" si="450"/>
        <v>9640903.6653351262</v>
      </c>
      <c r="BP217">
        <f>IF($BJ217&lt;=30,IF($B217=2015,VLOOKUP($BJ217,'Treasury Yields'!$C$40:$N$69,$E217,FALSE)/100,IF($B217=2016,VLOOKUP($BJ217,'Treasury Yields'!$C$75:$N$104,$E217,FALSE)/100,IF($B217=2017,VLOOKUP($BJ217,'Treasury Yields'!$C$110:$N$139,$E217,FALSE)/100,IF($B217=2018,VLOOKUP($BJ217,'Treasury Yields'!$C$145:$N$174,$E217,FALSE)/100,IF($B217=2019,VLOOKUP($BJ217,'Treasury Yields'!$C$180:$N$209,$E217,FALSE)/100,IF($B217=2020,VLOOKUP($BJ217,'Treasury Yields'!$C$215:$N$244,$E217,FALSE)/100,IF($B217=2021,VLOOKUP($BJ217,'Treasury Yields'!$C$250:$N$279,$E217,FALSE)/100,IF($B217=2022,VLOOKUP($BJ217,'Treasury Yields'!$C$285:$N$314,$E217,FALSE)/100)))))))),0)</f>
        <v>3.1935909090909091E-2</v>
      </c>
      <c r="BQ217">
        <f t="shared" si="451"/>
        <v>1.3779977241691712</v>
      </c>
      <c r="BR217">
        <f t="shared" si="452"/>
        <v>23400870.72831424</v>
      </c>
      <c r="BS217">
        <f t="shared" si="453"/>
        <v>8832172.7283142395</v>
      </c>
      <c r="BU217">
        <f t="shared" si="416"/>
        <v>14</v>
      </c>
      <c r="BV217">
        <f t="shared" si="454"/>
        <v>2.3157575073810102</v>
      </c>
      <c r="BW217">
        <f t="shared" si="455"/>
        <v>629207.52505797218</v>
      </c>
      <c r="BX217" s="5">
        <f t="shared" si="456"/>
        <v>522105.20794460294</v>
      </c>
      <c r="BY217" s="5">
        <f t="shared" si="457"/>
        <v>200932.53403096658</v>
      </c>
      <c r="BZ217" s="5">
        <f t="shared" si="458"/>
        <v>1324548</v>
      </c>
      <c r="CA217" s="5">
        <f t="shared" si="459"/>
        <v>830140.05908893875</v>
      </c>
      <c r="CC217" s="5">
        <f t="shared" si="460"/>
        <v>23400870.72831424</v>
      </c>
      <c r="CD217" s="5" t="str">
        <f t="shared" si="461"/>
        <v>Maine</v>
      </c>
      <c r="CE217" s="5">
        <f t="shared" si="414"/>
        <v>0.85790109783466906</v>
      </c>
      <c r="CF217" s="10">
        <f t="shared" si="462"/>
        <v>0.62257076538491285</v>
      </c>
    </row>
    <row r="218" spans="1:84" x14ac:dyDescent="0.2">
      <c r="A218">
        <v>21000000020202</v>
      </c>
      <c r="B218">
        <v>2015</v>
      </c>
      <c r="C218">
        <v>342</v>
      </c>
      <c r="D218" t="s">
        <v>410</v>
      </c>
      <c r="E218">
        <v>6</v>
      </c>
      <c r="F218" t="s">
        <v>411</v>
      </c>
      <c r="G218" t="s">
        <v>412</v>
      </c>
      <c r="H218" t="s">
        <v>413</v>
      </c>
      <c r="I218" t="b">
        <v>1</v>
      </c>
      <c r="J218">
        <v>783603</v>
      </c>
      <c r="K218">
        <v>2811261</v>
      </c>
      <c r="L218">
        <v>0</v>
      </c>
      <c r="M218">
        <v>-476190</v>
      </c>
      <c r="N218">
        <v>753521</v>
      </c>
      <c r="O218">
        <v>1958092</v>
      </c>
      <c r="Q218">
        <v>1914103</v>
      </c>
      <c r="R218">
        <v>37324936</v>
      </c>
      <c r="S218">
        <v>39239039</v>
      </c>
      <c r="T218">
        <v>1063763</v>
      </c>
      <c r="V218">
        <v>454770</v>
      </c>
      <c r="W218">
        <v>727858</v>
      </c>
      <c r="Y218">
        <v>15735</v>
      </c>
      <c r="AA218">
        <v>272564</v>
      </c>
      <c r="AB218">
        <v>27491055</v>
      </c>
      <c r="AC218">
        <v>27763928</v>
      </c>
      <c r="AD218">
        <v>11475420</v>
      </c>
      <c r="AE218">
        <v>9833881</v>
      </c>
      <c r="AF218">
        <v>1641539</v>
      </c>
      <c r="AG218">
        <v>6470706</v>
      </c>
      <c r="AH218">
        <v>0.16439674434288931</v>
      </c>
      <c r="AI218" t="b">
        <v>1</v>
      </c>
      <c r="AK218">
        <v>7.6499999999999999E-2</v>
      </c>
      <c r="AL218">
        <v>7.5499999999999998E-2</v>
      </c>
      <c r="AM218">
        <v>7.5499999999999998E-2</v>
      </c>
      <c r="AN218">
        <v>7.6499999999999999E-2</v>
      </c>
      <c r="AO218">
        <v>1</v>
      </c>
      <c r="AP218">
        <v>0</v>
      </c>
      <c r="AS218">
        <v>16644282</v>
      </c>
      <c r="AT218">
        <v>7195377</v>
      </c>
      <c r="BB218">
        <f t="shared" ref="BB218:BB225" si="463">AC218/S218</f>
        <v>0.70755881661627851</v>
      </c>
      <c r="BD218">
        <f t="shared" ref="BD218:BD225" si="464">AS218-AD218</f>
        <v>5168862</v>
      </c>
      <c r="BE218">
        <f t="shared" ref="BE218:BE225" si="465">AT218-AD218</f>
        <v>-4280043</v>
      </c>
      <c r="BF218">
        <f t="shared" ref="BF218:BF225" si="466">BD218/S218*100</f>
        <v>13.172753797563697</v>
      </c>
      <c r="BG218">
        <f t="shared" ref="BG218:BG225" si="467">BE218/S218*100</f>
        <v>-10.907614225720462</v>
      </c>
      <c r="BH218">
        <f t="shared" ref="BH218:BH225" si="468">(BD218-BE218)/(2*S218)*100</f>
        <v>12.040184011642079</v>
      </c>
      <c r="BI218">
        <f t="shared" ref="BI218:BI225" si="469">(BD218+BE218)/(2*S218*(0.01^2))</f>
        <v>113.25697859216174</v>
      </c>
      <c r="BJ218">
        <f t="shared" ref="BJ218:BJ225" si="470">ROUND(BH218,0)</f>
        <v>12</v>
      </c>
      <c r="BK218">
        <f>IF($BJ218&lt;=30,IF($B218=2015,VLOOKUP($BJ218,'Treasury Yields'!$C$5:$N$34,$E218,FALSE)/100,IF($B218=2016,VLOOKUP($BJ218,'Treasury Yields'!$C$40:$N$69,$E218,FALSE)/100,IF($B218=2017,VLOOKUP($BJ218,'Treasury Yields'!$C$75:$N$104,$E218,FALSE)/100,IF($B218=2018,VLOOKUP($BJ218,'Treasury Yields'!$C$110:$N$139,$E218,FALSE)/100,IF($B218=2019,VLOOKUP($BJ218,'Treasury Yields'!$C$145:$N$174,$E218,FALSE)/100,IF($B218=2020,VLOOKUP($BJ218,'Treasury Yields'!$C$180:$N$209,$E218,FALSE)/100,IF($B218=2021,VLOOKUP($BJ218,'Treasury Yields'!$C$215:$N$244,$E218,FALSE)/100,IF($B218=2022,VLOOKUP($BJ218,'Treasury Yields'!$C$250:$N$279,$E218,FALSE)/100)))))))),0)</f>
        <v>2.9186E-2</v>
      </c>
      <c r="BL218">
        <f t="shared" ref="BL218:BL225" si="471">1+BH218*(AL218-BK218)+(AL218-BK218)^2</f>
        <v>1.559774068911191</v>
      </c>
      <c r="BM218">
        <f t="shared" ref="BM218:BM225" si="472">BL218*R218</f>
        <v>58218467.296569794</v>
      </c>
      <c r="BN218">
        <f t="shared" ref="BN218:BN225" si="473">BM218-AB218</f>
        <v>30727412.296569794</v>
      </c>
      <c r="BP218">
        <f>IF($BJ218&lt;=30,IF($B218=2015,VLOOKUP($BJ218,'Treasury Yields'!$C$40:$N$69,$E218,FALSE)/100,IF($B218=2016,VLOOKUP($BJ218,'Treasury Yields'!$C$75:$N$104,$E218,FALSE)/100,IF($B218=2017,VLOOKUP($BJ218,'Treasury Yields'!$C$110:$N$139,$E218,FALSE)/100,IF($B218=2018,VLOOKUP($BJ218,'Treasury Yields'!$C$145:$N$174,$E218,FALSE)/100,IF($B218=2019,VLOOKUP($BJ218,'Treasury Yields'!$C$180:$N$209,$E218,FALSE)/100,IF($B218=2020,VLOOKUP($BJ218,'Treasury Yields'!$C$215:$N$244,$E218,FALSE)/100,IF($B218=2021,VLOOKUP($BJ218,'Treasury Yields'!$C$250:$N$279,$E218,FALSE)/100,IF($B218=2022,VLOOKUP($BJ218,'Treasury Yields'!$C$285:$N$314,$E218,FALSE)/100)))))))),0)</f>
        <v>2.7045999999999997E-2</v>
      </c>
      <c r="BQ218">
        <f t="shared" ref="BQ218:BQ225" si="474">1+BH218*(AN218-BP218)+(AN218-BP218)^2</f>
        <v>1.5978809582277473</v>
      </c>
      <c r="BR218">
        <f t="shared" ref="BR218:BR225" si="475">BQ218*S218</f>
        <v>62699313.237255946</v>
      </c>
      <c r="BS218">
        <f t="shared" ref="BS218:BS225" si="476">BR218-AC218</f>
        <v>34935385.237255946</v>
      </c>
      <c r="BU218">
        <f t="shared" si="416"/>
        <v>15</v>
      </c>
      <c r="BV218">
        <f t="shared" ref="BV218:BV225" si="477">1+(BH218+BU218)*(AN218-BK218)+(AN218-BK218)^2*BI218</f>
        <v>2.5329179917021056</v>
      </c>
      <c r="BW218">
        <f t="shared" ref="BW218:BW225" si="478">BV218*J218</f>
        <v>1984802.1370517451</v>
      </c>
      <c r="BX218" s="5">
        <f t="shared" ref="BX218:BX225" si="479">(BM218+BW218-O218)*BK218</f>
        <v>1699943.7485776783</v>
      </c>
      <c r="BY218" s="5">
        <f t="shared" ref="BY218:BY225" si="480">BK218*(BN218+BW218-O218)</f>
        <v>897589.81734767824</v>
      </c>
      <c r="BZ218" s="5">
        <f t="shared" ref="BZ218:BZ225" si="481">SUM(J218:K218)</f>
        <v>3594864</v>
      </c>
      <c r="CA218" s="5">
        <f t="shared" ref="CA218:CA225" si="482">SUM(BW218+BY218)</f>
        <v>2882391.9543994232</v>
      </c>
      <c r="CC218" s="5">
        <f t="shared" ref="CC218:CC225" si="483">BR218</f>
        <v>62699313.237255946</v>
      </c>
      <c r="CD218" s="5" t="str">
        <f t="shared" ref="CD218:CD225" si="484">F218</f>
        <v>Maryland</v>
      </c>
      <c r="CE218" s="5">
        <f t="shared" si="414"/>
        <v>0.70755881661627851</v>
      </c>
      <c r="CF218" s="10">
        <f t="shared" ref="CF218:CF225" si="485">AC218/CC218</f>
        <v>0.44281071939242023</v>
      </c>
    </row>
    <row r="219" spans="1:84" x14ac:dyDescent="0.2">
      <c r="A219">
        <v>21000000020202</v>
      </c>
      <c r="B219">
        <v>2016</v>
      </c>
      <c r="C219">
        <v>342</v>
      </c>
      <c r="D219" t="s">
        <v>410</v>
      </c>
      <c r="E219">
        <v>6</v>
      </c>
      <c r="F219" t="s">
        <v>411</v>
      </c>
      <c r="G219" t="s">
        <v>412</v>
      </c>
      <c r="H219" t="s">
        <v>413</v>
      </c>
      <c r="I219" t="b">
        <v>1</v>
      </c>
      <c r="J219">
        <v>763578</v>
      </c>
      <c r="K219">
        <v>2914637</v>
      </c>
      <c r="M219">
        <v>-327577</v>
      </c>
      <c r="O219">
        <v>2056256</v>
      </c>
      <c r="Q219">
        <v>1294382</v>
      </c>
      <c r="R219">
        <v>39239039</v>
      </c>
      <c r="S219">
        <v>40533421</v>
      </c>
      <c r="T219">
        <v>1084049</v>
      </c>
      <c r="V219">
        <v>464470</v>
      </c>
      <c r="W219">
        <v>301774</v>
      </c>
      <c r="X219">
        <v>-163</v>
      </c>
      <c r="Y219">
        <v>15589</v>
      </c>
      <c r="AA219">
        <v>-221715</v>
      </c>
      <c r="AB219">
        <v>27763928</v>
      </c>
      <c r="AC219">
        <v>27542213</v>
      </c>
      <c r="AD219">
        <v>12991208</v>
      </c>
      <c r="AE219">
        <v>11475111</v>
      </c>
      <c r="AF219">
        <v>1516097</v>
      </c>
      <c r="AG219">
        <v>6611038</v>
      </c>
      <c r="AH219">
        <v>0.16397561169668062</v>
      </c>
      <c r="AI219" t="b">
        <v>1</v>
      </c>
      <c r="AK219">
        <v>7.5499999999999998E-2</v>
      </c>
      <c r="AL219">
        <v>7.5499999999999998E-2</v>
      </c>
      <c r="AM219">
        <v>7.5499999999999998E-2</v>
      </c>
      <c r="AN219">
        <v>7.5499999999999998E-2</v>
      </c>
      <c r="AO219">
        <v>1</v>
      </c>
      <c r="AP219">
        <v>0</v>
      </c>
      <c r="AS219">
        <v>18305762</v>
      </c>
      <c r="AT219">
        <v>8597434</v>
      </c>
      <c r="AU219" t="s">
        <v>152</v>
      </c>
      <c r="AV219" t="s">
        <v>414</v>
      </c>
      <c r="BB219">
        <f t="shared" si="463"/>
        <v>0.67949391688404492</v>
      </c>
      <c r="BD219">
        <f t="shared" si="464"/>
        <v>5314554</v>
      </c>
      <c r="BE219">
        <f t="shared" si="465"/>
        <v>-4393774</v>
      </c>
      <c r="BF219">
        <f t="shared" si="466"/>
        <v>13.111535786727698</v>
      </c>
      <c r="BG219">
        <f t="shared" si="467"/>
        <v>-10.839879515721112</v>
      </c>
      <c r="BH219">
        <f t="shared" si="468"/>
        <v>11.975707651224406</v>
      </c>
      <c r="BI219">
        <f t="shared" si="469"/>
        <v>113.58281355032923</v>
      </c>
      <c r="BJ219">
        <f t="shared" si="470"/>
        <v>12</v>
      </c>
      <c r="BK219">
        <f>IF($BJ219&lt;=30,IF($B219=2015,VLOOKUP($BJ219,'Treasury Yields'!$C$5:$N$34,$E219,FALSE)/100,IF($B219=2016,VLOOKUP($BJ219,'Treasury Yields'!$C$40:$N$69,$E219,FALSE)/100,IF($B219=2017,VLOOKUP($BJ219,'Treasury Yields'!$C$75:$N$104,$E219,FALSE)/100,IF($B219=2018,VLOOKUP($BJ219,'Treasury Yields'!$C$110:$N$139,$E219,FALSE)/100,IF($B219=2019,VLOOKUP($BJ219,'Treasury Yields'!$C$145:$N$174,$E219,FALSE)/100,IF($B219=2020,VLOOKUP($BJ219,'Treasury Yields'!$C$180:$N$209,$E219,FALSE)/100,IF($B219=2021,VLOOKUP($BJ219,'Treasury Yields'!$C$215:$N$244,$E219,FALSE)/100,IF($B219=2022,VLOOKUP($BJ219,'Treasury Yields'!$C$250:$N$279,$E219,FALSE)/100)))))))),0)</f>
        <v>2.7045999999999997E-2</v>
      </c>
      <c r="BL219">
        <f t="shared" si="471"/>
        <v>1.5826187286484275</v>
      </c>
      <c r="BM219">
        <f t="shared" si="472"/>
        <v>62100438.015566058</v>
      </c>
      <c r="BN219">
        <f t="shared" si="473"/>
        <v>34336510.015566058</v>
      </c>
      <c r="BP219">
        <f>IF($BJ219&lt;=30,IF($B219=2015,VLOOKUP($BJ219,'Treasury Yields'!$C$40:$N$69,$E219,FALSE)/100,IF($B219=2016,VLOOKUP($BJ219,'Treasury Yields'!$C$75:$N$104,$E219,FALSE)/100,IF($B219=2017,VLOOKUP($BJ219,'Treasury Yields'!$C$110:$N$139,$E219,FALSE)/100,IF($B219=2018,VLOOKUP($BJ219,'Treasury Yields'!$C$145:$N$174,$E219,FALSE)/100,IF($B219=2019,VLOOKUP($BJ219,'Treasury Yields'!$C$180:$N$209,$E219,FALSE)/100,IF($B219=2020,VLOOKUP($BJ219,'Treasury Yields'!$C$215:$N$244,$E219,FALSE)/100,IF($B219=2021,VLOOKUP($BJ219,'Treasury Yields'!$C$250:$N$279,$E219,FALSE)/100,IF($B219=2022,VLOOKUP($BJ219,'Treasury Yields'!$C$285:$N$314,$E219,FALSE)/100)))))))),0)</f>
        <v>1.7546000000000003E-2</v>
      </c>
      <c r="BQ219">
        <f t="shared" si="474"/>
        <v>1.6973988273350593</v>
      </c>
      <c r="BR219">
        <f t="shared" si="475"/>
        <v>68801381.273278266</v>
      </c>
      <c r="BS219">
        <f t="shared" si="476"/>
        <v>41259168.273278266</v>
      </c>
      <c r="BU219">
        <f t="shared" si="416"/>
        <v>15</v>
      </c>
      <c r="BV219">
        <f t="shared" si="477"/>
        <v>2.5737495455333605</v>
      </c>
      <c r="BW219">
        <f t="shared" si="478"/>
        <v>1965258.5304792724</v>
      </c>
      <c r="BX219" s="5">
        <f t="shared" si="479"/>
        <v>1677107.329008342</v>
      </c>
      <c r="BY219" s="5">
        <f t="shared" si="480"/>
        <v>926204.132320342</v>
      </c>
      <c r="BZ219" s="5">
        <f t="shared" si="481"/>
        <v>3678215</v>
      </c>
      <c r="CA219" s="5">
        <f t="shared" si="482"/>
        <v>2891462.6627996145</v>
      </c>
      <c r="CC219" s="5">
        <f t="shared" si="483"/>
        <v>68801381.273278266</v>
      </c>
      <c r="CD219" s="5" t="str">
        <f t="shared" si="484"/>
        <v>Maryland</v>
      </c>
      <c r="CE219" s="5">
        <f t="shared" si="414"/>
        <v>0.67949391688404492</v>
      </c>
      <c r="CF219" s="10">
        <f t="shared" si="485"/>
        <v>0.40031482639284027</v>
      </c>
    </row>
    <row r="220" spans="1:84" x14ac:dyDescent="0.2">
      <c r="A220">
        <v>21000000020202</v>
      </c>
      <c r="B220">
        <v>2017</v>
      </c>
      <c r="C220">
        <v>342</v>
      </c>
      <c r="D220" t="s">
        <v>410</v>
      </c>
      <c r="E220">
        <v>6</v>
      </c>
      <c r="F220" t="s">
        <v>411</v>
      </c>
      <c r="G220" t="s">
        <v>412</v>
      </c>
      <c r="H220" t="s">
        <v>413</v>
      </c>
      <c r="I220" t="b">
        <v>1</v>
      </c>
      <c r="J220">
        <v>777084</v>
      </c>
      <c r="K220">
        <v>3010496</v>
      </c>
      <c r="M220">
        <v>-644543</v>
      </c>
      <c r="N220">
        <v>76937</v>
      </c>
      <c r="O220">
        <v>2120119</v>
      </c>
      <c r="Q220">
        <v>1099855</v>
      </c>
      <c r="R220">
        <v>40533421</v>
      </c>
      <c r="S220">
        <v>41633276</v>
      </c>
      <c r="T220">
        <v>1137472</v>
      </c>
      <c r="V220">
        <v>477194</v>
      </c>
      <c r="W220">
        <v>2710602</v>
      </c>
      <c r="X220">
        <v>-157</v>
      </c>
      <c r="AA220">
        <v>2188979</v>
      </c>
      <c r="AB220">
        <v>27542213</v>
      </c>
      <c r="AC220">
        <v>29731192</v>
      </c>
      <c r="AD220">
        <v>11902084</v>
      </c>
      <c r="AE220">
        <v>12991208</v>
      </c>
      <c r="AF220">
        <v>-1089124</v>
      </c>
      <c r="AG220">
        <v>6780838</v>
      </c>
      <c r="AH220">
        <v>0.16774799810878832</v>
      </c>
      <c r="AI220" t="b">
        <v>1</v>
      </c>
      <c r="AK220">
        <v>7.5499999999999998E-2</v>
      </c>
      <c r="AL220">
        <v>7.4999999999999997E-2</v>
      </c>
      <c r="AM220">
        <v>7.4999999999999997E-2</v>
      </c>
      <c r="AN220">
        <v>7.5499999999999998E-2</v>
      </c>
      <c r="AO220">
        <v>1</v>
      </c>
      <c r="AP220">
        <v>0</v>
      </c>
      <c r="AS220">
        <v>17361391</v>
      </c>
      <c r="AT220">
        <v>7381277</v>
      </c>
      <c r="AU220" t="s">
        <v>203</v>
      </c>
      <c r="AV220" t="s">
        <v>415</v>
      </c>
      <c r="BB220">
        <f t="shared" si="463"/>
        <v>0.71412088734021317</v>
      </c>
      <c r="BD220">
        <f t="shared" si="464"/>
        <v>5459307</v>
      </c>
      <c r="BE220">
        <f t="shared" si="465"/>
        <v>-4520807</v>
      </c>
      <c r="BF220">
        <f t="shared" si="466"/>
        <v>13.11284511937038</v>
      </c>
      <c r="BG220">
        <f t="shared" si="467"/>
        <v>-10.858638652408713</v>
      </c>
      <c r="BH220">
        <f t="shared" si="468"/>
        <v>11.985741885889546</v>
      </c>
      <c r="BI220">
        <f t="shared" si="469"/>
        <v>112.71032334808338</v>
      </c>
      <c r="BJ220">
        <f t="shared" si="470"/>
        <v>12</v>
      </c>
      <c r="BK220">
        <f>IF($BJ220&lt;=30,IF($B220=2015,VLOOKUP($BJ220,'Treasury Yields'!$C$5:$N$34,$E220,FALSE)/100,IF($B220=2016,VLOOKUP($BJ220,'Treasury Yields'!$C$40:$N$69,$E220,FALSE)/100,IF($B220=2017,VLOOKUP($BJ220,'Treasury Yields'!$C$75:$N$104,$E220,FALSE)/100,IF($B220=2018,VLOOKUP($BJ220,'Treasury Yields'!$C$110:$N$139,$E220,FALSE)/100,IF($B220=2019,VLOOKUP($BJ220,'Treasury Yields'!$C$145:$N$174,$E220,FALSE)/100,IF($B220=2020,VLOOKUP($BJ220,'Treasury Yields'!$C$180:$N$209,$E220,FALSE)/100,IF($B220=2021,VLOOKUP($BJ220,'Treasury Yields'!$C$215:$N$244,$E220,FALSE)/100,IF($B220=2022,VLOOKUP($BJ220,'Treasury Yields'!$C$250:$N$279,$E220,FALSE)/100)))))))),0)</f>
        <v>1.7546000000000003E-2</v>
      </c>
      <c r="BL220">
        <f t="shared" si="471"/>
        <v>1.691929776427898</v>
      </c>
      <c r="BM220">
        <f t="shared" si="472"/>
        <v>68579701.930387869</v>
      </c>
      <c r="BN220">
        <f t="shared" si="473"/>
        <v>41037488.930387869</v>
      </c>
      <c r="BP220">
        <f>IF($BJ220&lt;=30,IF($B220=2015,VLOOKUP($BJ220,'Treasury Yields'!$C$40:$N$69,$E220,FALSE)/100,IF($B220=2016,VLOOKUP($BJ220,'Treasury Yields'!$C$75:$N$104,$E220,FALSE)/100,IF($B220=2017,VLOOKUP($BJ220,'Treasury Yields'!$C$110:$N$139,$E220,FALSE)/100,IF($B220=2018,VLOOKUP($BJ220,'Treasury Yields'!$C$145:$N$174,$E220,FALSE)/100,IF($B220=2019,VLOOKUP($BJ220,'Treasury Yields'!$C$180:$N$209,$E220,FALSE)/100,IF($B220=2020,VLOOKUP($BJ220,'Treasury Yields'!$C$215:$N$244,$E220,FALSE)/100,IF($B220=2021,VLOOKUP($BJ220,'Treasury Yields'!$C$250:$N$279,$E220,FALSE)/100,IF($B220=2022,VLOOKUP($BJ220,'Treasury Yields'!$C$285:$N$314,$E220,FALSE)/100)))))))),0)</f>
        <v>2.5467599999999993E-2</v>
      </c>
      <c r="BQ220">
        <f t="shared" si="474"/>
        <v>1.6021786733813403</v>
      </c>
      <c r="BR220">
        <f t="shared" si="475"/>
        <v>66703946.910199195</v>
      </c>
      <c r="BS220">
        <f t="shared" si="476"/>
        <v>36972754.910199195</v>
      </c>
      <c r="BU220">
        <f t="shared" si="416"/>
        <v>15</v>
      </c>
      <c r="BV220">
        <f t="shared" si="477"/>
        <v>2.9424880292074533</v>
      </c>
      <c r="BW220">
        <f t="shared" si="478"/>
        <v>2286560.3676886447</v>
      </c>
      <c r="BX220" s="5">
        <f t="shared" si="479"/>
        <v>1206219.8303080506</v>
      </c>
      <c r="BY220" s="5">
        <f t="shared" si="480"/>
        <v>722964.16101005056</v>
      </c>
      <c r="BZ220" s="5">
        <f t="shared" si="481"/>
        <v>3787580</v>
      </c>
      <c r="CA220" s="5">
        <f t="shared" si="482"/>
        <v>3009524.5286986954</v>
      </c>
      <c r="CC220" s="5">
        <f t="shared" si="483"/>
        <v>66703946.910199195</v>
      </c>
      <c r="CD220" s="5" t="str">
        <f t="shared" si="484"/>
        <v>Maryland</v>
      </c>
      <c r="CE220" s="5">
        <f t="shared" si="414"/>
        <v>0.71412088734021317</v>
      </c>
      <c r="CF220" s="10">
        <f t="shared" si="485"/>
        <v>0.44571863251249422</v>
      </c>
    </row>
    <row r="221" spans="1:84" x14ac:dyDescent="0.2">
      <c r="A221">
        <v>21000000020202</v>
      </c>
      <c r="B221">
        <v>2018</v>
      </c>
      <c r="C221">
        <v>342</v>
      </c>
      <c r="D221" t="s">
        <v>410</v>
      </c>
      <c r="E221">
        <v>6</v>
      </c>
      <c r="F221" t="s">
        <v>411</v>
      </c>
      <c r="G221" t="s">
        <v>412</v>
      </c>
      <c r="H221" t="s">
        <v>413</v>
      </c>
      <c r="I221" t="b">
        <v>1</v>
      </c>
      <c r="J221">
        <v>791979</v>
      </c>
      <c r="K221">
        <v>3070454</v>
      </c>
      <c r="M221">
        <v>-466863</v>
      </c>
      <c r="N221">
        <v>92669</v>
      </c>
      <c r="O221">
        <v>2205310</v>
      </c>
      <c r="Q221">
        <v>1282929</v>
      </c>
      <c r="R221">
        <v>41633276</v>
      </c>
      <c r="S221">
        <v>42916205</v>
      </c>
      <c r="T221">
        <v>1122986</v>
      </c>
      <c r="V221">
        <v>484923</v>
      </c>
      <c r="W221">
        <v>2364521</v>
      </c>
      <c r="X221">
        <v>229</v>
      </c>
      <c r="AA221">
        <v>1749260</v>
      </c>
      <c r="AB221">
        <v>29731192</v>
      </c>
      <c r="AC221">
        <v>31480452</v>
      </c>
      <c r="AD221">
        <v>11435753</v>
      </c>
      <c r="AE221">
        <v>11902084</v>
      </c>
      <c r="AF221">
        <v>-466331</v>
      </c>
      <c r="AG221">
        <v>6941097</v>
      </c>
      <c r="AH221">
        <v>0.16178797097922706</v>
      </c>
      <c r="AI221" t="b">
        <v>1</v>
      </c>
      <c r="AK221">
        <v>7.4499999999999997E-2</v>
      </c>
      <c r="AL221">
        <v>7.4499999999999997E-2</v>
      </c>
      <c r="AM221">
        <v>7.4499999999999997E-2</v>
      </c>
      <c r="AN221">
        <v>7.4999999999999997E-2</v>
      </c>
      <c r="AO221">
        <v>1</v>
      </c>
      <c r="AP221">
        <v>0</v>
      </c>
      <c r="AS221">
        <v>17042311</v>
      </c>
      <c r="AT221">
        <v>6792637</v>
      </c>
      <c r="AU221" t="s">
        <v>216</v>
      </c>
      <c r="AV221" t="s">
        <v>414</v>
      </c>
      <c r="BB221">
        <f t="shared" si="463"/>
        <v>0.73353298596648986</v>
      </c>
      <c r="BD221">
        <f t="shared" si="464"/>
        <v>5606558</v>
      </c>
      <c r="BE221">
        <f t="shared" si="465"/>
        <v>-4643116</v>
      </c>
      <c r="BF221">
        <f t="shared" si="466"/>
        <v>13.063964998769112</v>
      </c>
      <c r="BG221">
        <f t="shared" si="467"/>
        <v>-10.819027451285592</v>
      </c>
      <c r="BH221">
        <f t="shared" si="468"/>
        <v>11.941496225027352</v>
      </c>
      <c r="BI221">
        <f t="shared" si="469"/>
        <v>112.24687737417602</v>
      </c>
      <c r="BJ221">
        <f t="shared" si="470"/>
        <v>12</v>
      </c>
      <c r="BK221">
        <f>IF($BJ221&lt;=30,IF($B221=2015,VLOOKUP($BJ221,'Treasury Yields'!$C$5:$N$34,$E221,FALSE)/100,IF($B221=2016,VLOOKUP($BJ221,'Treasury Yields'!$C$40:$N$69,$E221,FALSE)/100,IF($B221=2017,VLOOKUP($BJ221,'Treasury Yields'!$C$75:$N$104,$E221,FALSE)/100,IF($B221=2018,VLOOKUP($BJ221,'Treasury Yields'!$C$110:$N$139,$E221,FALSE)/100,IF($B221=2019,VLOOKUP($BJ221,'Treasury Yields'!$C$145:$N$174,$E221,FALSE)/100,IF($B221=2020,VLOOKUP($BJ221,'Treasury Yields'!$C$180:$N$209,$E221,FALSE)/100,IF($B221=2021,VLOOKUP($BJ221,'Treasury Yields'!$C$215:$N$244,$E221,FALSE)/100,IF($B221=2022,VLOOKUP($BJ221,'Treasury Yields'!$C$250:$N$279,$E221,FALSE)/100)))))))),0)</f>
        <v>2.5467599999999993E-2</v>
      </c>
      <c r="BL221">
        <f t="shared" si="471"/>
        <v>1.5879243957537912</v>
      </c>
      <c r="BM221">
        <f t="shared" si="472"/>
        <v>66110494.635550819</v>
      </c>
      <c r="BN221">
        <f t="shared" si="473"/>
        <v>36379302.635550819</v>
      </c>
      <c r="BP221">
        <f>IF($BJ221&lt;=30,IF($B221=2015,VLOOKUP($BJ221,'Treasury Yields'!$C$40:$N$69,$E221,FALSE)/100,IF($B221=2016,VLOOKUP($BJ221,'Treasury Yields'!$C$75:$N$104,$E221,FALSE)/100,IF($B221=2017,VLOOKUP($BJ221,'Treasury Yields'!$C$110:$N$139,$E221,FALSE)/100,IF($B221=2018,VLOOKUP($BJ221,'Treasury Yields'!$C$145:$N$174,$E221,FALSE)/100,IF($B221=2019,VLOOKUP($BJ221,'Treasury Yields'!$C$180:$N$209,$E221,FALSE)/100,IF($B221=2020,VLOOKUP($BJ221,'Treasury Yields'!$C$215:$N$244,$E221,FALSE)/100,IF($B221=2021,VLOOKUP($BJ221,'Treasury Yields'!$C$250:$N$279,$E221,FALSE)/100,IF($B221=2022,VLOOKUP($BJ221,'Treasury Yields'!$C$285:$N$314,$E221,FALSE)/100)))))))),0)</f>
        <v>2.8906472727272727E-2</v>
      </c>
      <c r="BQ221">
        <f t="shared" si="474"/>
        <v>1.5525502951819095</v>
      </c>
      <c r="BR221">
        <f t="shared" si="475"/>
        <v>66629566.740837336</v>
      </c>
      <c r="BS221">
        <f t="shared" si="476"/>
        <v>35149114.740837336</v>
      </c>
      <c r="BU221">
        <f t="shared" si="416"/>
        <v>15</v>
      </c>
      <c r="BV221">
        <f t="shared" si="477"/>
        <v>2.6098700398187669</v>
      </c>
      <c r="BW221">
        <f t="shared" si="478"/>
        <v>2066962.2642656271</v>
      </c>
      <c r="BX221" s="5">
        <f t="shared" si="479"/>
        <v>1680152.2483857651</v>
      </c>
      <c r="BY221" s="5">
        <f t="shared" si="480"/>
        <v>922970.14300656505</v>
      </c>
      <c r="BZ221" s="5">
        <f t="shared" si="481"/>
        <v>3862433</v>
      </c>
      <c r="CA221" s="5">
        <f t="shared" si="482"/>
        <v>2989932.4072721922</v>
      </c>
      <c r="CC221" s="5">
        <f t="shared" si="483"/>
        <v>66629566.740837336</v>
      </c>
      <c r="CD221" s="5" t="str">
        <f t="shared" si="484"/>
        <v>Maryland</v>
      </c>
      <c r="CE221" s="5">
        <f t="shared" si="414"/>
        <v>0.73353298596648986</v>
      </c>
      <c r="CF221" s="10">
        <f t="shared" si="485"/>
        <v>0.47246970886733375</v>
      </c>
    </row>
    <row r="222" spans="1:84" x14ac:dyDescent="0.2">
      <c r="A222">
        <v>21000000020202</v>
      </c>
      <c r="B222">
        <v>2019</v>
      </c>
      <c r="C222">
        <v>342</v>
      </c>
      <c r="D222" t="s">
        <v>410</v>
      </c>
      <c r="E222">
        <v>6</v>
      </c>
      <c r="F222" t="s">
        <v>411</v>
      </c>
      <c r="G222" t="s">
        <v>412</v>
      </c>
      <c r="H222" t="s">
        <v>413</v>
      </c>
      <c r="I222" t="b">
        <v>1</v>
      </c>
      <c r="J222">
        <v>814019</v>
      </c>
      <c r="K222">
        <v>3143018</v>
      </c>
      <c r="M222">
        <v>-189803</v>
      </c>
      <c r="N222">
        <v>-897464</v>
      </c>
      <c r="O222">
        <v>2296744</v>
      </c>
      <c r="Q222">
        <v>573026</v>
      </c>
      <c r="R222">
        <v>42916205</v>
      </c>
      <c r="S222">
        <v>43489231</v>
      </c>
      <c r="T222">
        <v>1143584</v>
      </c>
      <c r="V222">
        <v>494698</v>
      </c>
      <c r="W222">
        <v>1999261</v>
      </c>
      <c r="X222">
        <v>495</v>
      </c>
      <c r="AA222">
        <v>1322474</v>
      </c>
      <c r="AB222">
        <v>31480452</v>
      </c>
      <c r="AC222">
        <v>32802926</v>
      </c>
      <c r="AD222">
        <v>10686305</v>
      </c>
      <c r="AE222">
        <v>11435753</v>
      </c>
      <c r="AF222">
        <v>-749448</v>
      </c>
      <c r="AG222">
        <v>7153063</v>
      </c>
      <c r="AH222">
        <v>0.15987332978893098</v>
      </c>
      <c r="AI222" t="b">
        <v>1</v>
      </c>
      <c r="AK222">
        <v>7.4499999999999997E-2</v>
      </c>
      <c r="AL222">
        <v>7.3999999999999996E-2</v>
      </c>
      <c r="AM222">
        <v>7.3999999999999996E-2</v>
      </c>
      <c r="AN222">
        <v>7.4499999999999997E-2</v>
      </c>
      <c r="AO222">
        <v>1</v>
      </c>
      <c r="AP222">
        <v>0</v>
      </c>
      <c r="AS222">
        <v>16183187</v>
      </c>
      <c r="AT222">
        <v>6113779</v>
      </c>
      <c r="AU222" t="s">
        <v>216</v>
      </c>
      <c r="AV222" t="s">
        <v>416</v>
      </c>
      <c r="BB222">
        <f t="shared" si="463"/>
        <v>0.75427698411130795</v>
      </c>
      <c r="BD222">
        <f t="shared" si="464"/>
        <v>5496882</v>
      </c>
      <c r="BE222">
        <f t="shared" si="465"/>
        <v>-4572526</v>
      </c>
      <c r="BF222">
        <f t="shared" si="466"/>
        <v>12.639639454650279</v>
      </c>
      <c r="BG222">
        <f t="shared" si="467"/>
        <v>-10.514156941519614</v>
      </c>
      <c r="BH222">
        <f t="shared" si="468"/>
        <v>11.576898198084946</v>
      </c>
      <c r="BI222">
        <f t="shared" si="469"/>
        <v>106.27412565653323</v>
      </c>
      <c r="BJ222">
        <f t="shared" si="470"/>
        <v>12</v>
      </c>
      <c r="BK222">
        <f>IF($BJ222&lt;=30,IF($B222=2015,VLOOKUP($BJ222,'Treasury Yields'!$C$5:$N$34,$E222,FALSE)/100,IF($B222=2016,VLOOKUP($BJ222,'Treasury Yields'!$C$40:$N$69,$E222,FALSE)/100,IF($B222=2017,VLOOKUP($BJ222,'Treasury Yields'!$C$75:$N$104,$E222,FALSE)/100,IF($B222=2018,VLOOKUP($BJ222,'Treasury Yields'!$C$110:$N$139,$E222,FALSE)/100,IF($B222=2019,VLOOKUP($BJ222,'Treasury Yields'!$C$145:$N$174,$E222,FALSE)/100,IF($B222=2020,VLOOKUP($BJ222,'Treasury Yields'!$C$180:$N$209,$E222,FALSE)/100,IF($B222=2021,VLOOKUP($BJ222,'Treasury Yields'!$C$215:$N$244,$E222,FALSE)/100,IF($B222=2022,VLOOKUP($BJ222,'Treasury Yields'!$C$250:$N$279,$E222,FALSE)/100)))))))),0)</f>
        <v>2.8906472727272727E-2</v>
      </c>
      <c r="BL222">
        <f t="shared" si="471"/>
        <v>1.5240766008308269</v>
      </c>
      <c r="BM222">
        <f t="shared" si="472"/>
        <v>65407583.836958937</v>
      </c>
      <c r="BN222">
        <f t="shared" si="473"/>
        <v>33927131.836958937</v>
      </c>
      <c r="BP222">
        <f>IF($BJ222&lt;=30,IF($B222=2015,VLOOKUP($BJ222,'Treasury Yields'!$C$40:$N$69,$E222,FALSE)/100,IF($B222=2016,VLOOKUP($BJ222,'Treasury Yields'!$C$75:$N$104,$E222,FALSE)/100,IF($B222=2017,VLOOKUP($BJ222,'Treasury Yields'!$C$110:$N$139,$E222,FALSE)/100,IF($B222=2018,VLOOKUP($BJ222,'Treasury Yields'!$C$145:$N$174,$E222,FALSE)/100,IF($B222=2019,VLOOKUP($BJ222,'Treasury Yields'!$C$180:$N$209,$E222,FALSE)/100,IF($B222=2020,VLOOKUP($BJ222,'Treasury Yields'!$C$215:$N$244,$E222,FALSE)/100,IF($B222=2021,VLOOKUP($BJ222,'Treasury Yields'!$C$250:$N$279,$E222,FALSE)/100,IF($B222=2022,VLOOKUP($BJ222,'Treasury Yields'!$C$285:$N$314,$E222,FALSE)/100)))))))),0)</f>
        <v>2.2184000000000002E-2</v>
      </c>
      <c r="BQ222">
        <f t="shared" si="474"/>
        <v>1.608393969987012</v>
      </c>
      <c r="BR222">
        <f t="shared" si="475"/>
        <v>69947816.899772227</v>
      </c>
      <c r="BS222">
        <f t="shared" si="476"/>
        <v>37144890.899772227</v>
      </c>
      <c r="BU222">
        <f t="shared" si="416"/>
        <v>15</v>
      </c>
      <c r="BV222">
        <f t="shared" si="477"/>
        <v>2.4326539682275783</v>
      </c>
      <c r="BW222">
        <f t="shared" si="478"/>
        <v>1980226.5505626451</v>
      </c>
      <c r="BX222" s="5">
        <f t="shared" si="479"/>
        <v>1881553.135319991</v>
      </c>
      <c r="BY222" s="5">
        <f t="shared" si="480"/>
        <v>971564.30813977285</v>
      </c>
      <c r="BZ222" s="5">
        <f t="shared" si="481"/>
        <v>3957037</v>
      </c>
      <c r="CA222" s="5">
        <f t="shared" si="482"/>
        <v>2951790.8587024179</v>
      </c>
      <c r="CC222" s="5">
        <f t="shared" si="483"/>
        <v>69947816.899772227</v>
      </c>
      <c r="CD222" s="5" t="str">
        <f t="shared" si="484"/>
        <v>Maryland</v>
      </c>
      <c r="CE222" s="5">
        <f t="shared" si="414"/>
        <v>0.75427698411130795</v>
      </c>
      <c r="CF222" s="10">
        <f t="shared" si="485"/>
        <v>0.46896282763196312</v>
      </c>
    </row>
    <row r="223" spans="1:84" x14ac:dyDescent="0.2">
      <c r="A223">
        <v>21000000020202</v>
      </c>
      <c r="B223">
        <v>2020</v>
      </c>
      <c r="C223">
        <v>342</v>
      </c>
      <c r="D223" t="s">
        <v>410</v>
      </c>
      <c r="E223">
        <v>6</v>
      </c>
      <c r="F223" t="s">
        <v>411</v>
      </c>
      <c r="G223" t="s">
        <v>412</v>
      </c>
      <c r="H223" t="s">
        <v>413</v>
      </c>
      <c r="I223" t="b">
        <v>1</v>
      </c>
      <c r="J223">
        <v>848896</v>
      </c>
      <c r="K223">
        <v>3162069</v>
      </c>
      <c r="M223">
        <v>-125435</v>
      </c>
      <c r="N223">
        <v>0</v>
      </c>
      <c r="O223">
        <v>2393609</v>
      </c>
      <c r="Q223">
        <v>1491921</v>
      </c>
      <c r="R223">
        <v>43489231</v>
      </c>
      <c r="S223">
        <v>44981152</v>
      </c>
      <c r="T223">
        <v>1170248</v>
      </c>
      <c r="V223">
        <v>499884</v>
      </c>
      <c r="W223">
        <v>1133679</v>
      </c>
      <c r="X223">
        <v>24743</v>
      </c>
      <c r="AA223">
        <v>412086</v>
      </c>
      <c r="AB223">
        <v>32802925</v>
      </c>
      <c r="AC223">
        <v>33215011</v>
      </c>
      <c r="AD223">
        <v>11766141</v>
      </c>
      <c r="AE223">
        <v>10686305</v>
      </c>
      <c r="AF223">
        <v>1079836</v>
      </c>
      <c r="AG223">
        <v>7492465</v>
      </c>
      <c r="AI223" t="b">
        <v>1</v>
      </c>
      <c r="AK223">
        <v>7.3999999999999996E-2</v>
      </c>
      <c r="AL223">
        <v>7.3999999999999996E-2</v>
      </c>
      <c r="AM223">
        <v>7.3999999999999996E-2</v>
      </c>
      <c r="AN223">
        <v>7.3999999999999996E-2</v>
      </c>
      <c r="AO223">
        <v>1</v>
      </c>
      <c r="AP223">
        <v>0</v>
      </c>
      <c r="AS223">
        <v>17477411</v>
      </c>
      <c r="AT223">
        <v>7016124</v>
      </c>
      <c r="AU223" t="s">
        <v>216</v>
      </c>
      <c r="AV223" t="s">
        <v>417</v>
      </c>
      <c r="BB223">
        <f t="shared" si="463"/>
        <v>0.73842063893783783</v>
      </c>
      <c r="BD223">
        <f t="shared" si="464"/>
        <v>5711270</v>
      </c>
      <c r="BE223">
        <f t="shared" si="465"/>
        <v>-4750017</v>
      </c>
      <c r="BF223">
        <f t="shared" si="466"/>
        <v>12.697029191248815</v>
      </c>
      <c r="BG223">
        <f t="shared" si="467"/>
        <v>-10.560016337509543</v>
      </c>
      <c r="BH223">
        <f t="shared" si="468"/>
        <v>11.628522764379179</v>
      </c>
      <c r="BI223">
        <f t="shared" si="469"/>
        <v>106.85064268696364</v>
      </c>
      <c r="BJ223">
        <f t="shared" si="470"/>
        <v>12</v>
      </c>
      <c r="BK223">
        <f>IF($BJ223&lt;=30,IF($B223=2015,VLOOKUP($BJ223,'Treasury Yields'!$C$5:$N$34,$E223,FALSE)/100,IF($B223=2016,VLOOKUP($BJ223,'Treasury Yields'!$C$40:$N$69,$E223,FALSE)/100,IF($B223=2017,VLOOKUP($BJ223,'Treasury Yields'!$C$75:$N$104,$E223,FALSE)/100,IF($B223=2018,VLOOKUP($BJ223,'Treasury Yields'!$C$110:$N$139,$E223,FALSE)/100,IF($B223=2019,VLOOKUP($BJ223,'Treasury Yields'!$C$145:$N$174,$E223,FALSE)/100,IF($B223=2020,VLOOKUP($BJ223,'Treasury Yields'!$C$180:$N$209,$E223,FALSE)/100,IF($B223=2021,VLOOKUP($BJ223,'Treasury Yields'!$C$215:$N$244,$E223,FALSE)/100,IF($B223=2022,VLOOKUP($BJ223,'Treasury Yields'!$C$250:$N$279,$E223,FALSE)/100)))))))),0)</f>
        <v>2.2184000000000002E-2</v>
      </c>
      <c r="BL223">
        <f t="shared" si="471"/>
        <v>1.6052284334150715</v>
      </c>
      <c r="BM223">
        <f t="shared" si="472"/>
        <v>69810150.148556158</v>
      </c>
      <c r="BN223">
        <f t="shared" si="473"/>
        <v>37007225.148556158</v>
      </c>
      <c r="BP223">
        <f>IF($BJ223&lt;=30,IF($B223=2015,VLOOKUP($BJ223,'Treasury Yields'!$C$40:$N$69,$E223,FALSE)/100,IF($B223=2016,VLOOKUP($BJ223,'Treasury Yields'!$C$75:$N$104,$E223,FALSE)/100,IF($B223=2017,VLOOKUP($BJ223,'Treasury Yields'!$C$110:$N$139,$E223,FALSE)/100,IF($B223=2018,VLOOKUP($BJ223,'Treasury Yields'!$C$145:$N$174,$E223,FALSE)/100,IF($B223=2019,VLOOKUP($BJ223,'Treasury Yields'!$C$180:$N$209,$E223,FALSE)/100,IF($B223=2020,VLOOKUP($BJ223,'Treasury Yields'!$C$215:$N$244,$E223,FALSE)/100,IF($B223=2021,VLOOKUP($BJ223,'Treasury Yields'!$C$250:$N$279,$E223,FALSE)/100,IF($B223=2022,VLOOKUP($BJ223,'Treasury Yields'!$C$285:$N$314,$E223,FALSE)/100)))))))),0)</f>
        <v>1.3689454545454545E-2</v>
      </c>
      <c r="BQ223">
        <f t="shared" si="474"/>
        <v>1.7049599126433317</v>
      </c>
      <c r="BR223">
        <f t="shared" si="475"/>
        <v>76691060.984516427</v>
      </c>
      <c r="BS223">
        <f t="shared" si="476"/>
        <v>43476049.984516427</v>
      </c>
      <c r="BU223">
        <f t="shared" si="416"/>
        <v>15</v>
      </c>
      <c r="BV223">
        <f t="shared" si="477"/>
        <v>2.6666665970215222</v>
      </c>
      <c r="BW223">
        <f t="shared" si="478"/>
        <v>2263722.6075451821</v>
      </c>
      <c r="BX223" s="5">
        <f t="shared" si="479"/>
        <v>1545786.9711653523</v>
      </c>
      <c r="BY223" s="5">
        <f t="shared" si="480"/>
        <v>818086.88296535227</v>
      </c>
      <c r="BZ223" s="5">
        <f t="shared" si="481"/>
        <v>4010965</v>
      </c>
      <c r="CA223" s="5">
        <f t="shared" si="482"/>
        <v>3081809.4905105345</v>
      </c>
      <c r="CC223" s="5">
        <f t="shared" si="483"/>
        <v>76691060.984516427</v>
      </c>
      <c r="CD223" s="5" t="str">
        <f t="shared" si="484"/>
        <v>Maryland</v>
      </c>
      <c r="CE223" s="5">
        <f t="shared" si="414"/>
        <v>0.73842063893783783</v>
      </c>
      <c r="CF223" s="10">
        <f t="shared" si="485"/>
        <v>0.43310146676293809</v>
      </c>
    </row>
    <row r="224" spans="1:84" x14ac:dyDescent="0.2">
      <c r="A224">
        <v>21000000020202</v>
      </c>
      <c r="B224">
        <v>2021</v>
      </c>
      <c r="C224">
        <v>342</v>
      </c>
      <c r="D224" t="s">
        <v>410</v>
      </c>
      <c r="E224">
        <v>6</v>
      </c>
      <c r="F224" t="s">
        <v>411</v>
      </c>
      <c r="G224" t="s">
        <v>412</v>
      </c>
      <c r="H224" t="s">
        <v>413</v>
      </c>
      <c r="I224" t="b">
        <v>1</v>
      </c>
      <c r="J224">
        <v>858844</v>
      </c>
      <c r="K224">
        <v>3270226</v>
      </c>
      <c r="M224">
        <v>-563443</v>
      </c>
      <c r="N224">
        <v>2065188</v>
      </c>
      <c r="O224">
        <v>2462312</v>
      </c>
      <c r="Q224">
        <v>3168613</v>
      </c>
      <c r="R224">
        <v>44981150</v>
      </c>
      <c r="S224">
        <v>48149763</v>
      </c>
      <c r="T224">
        <v>1153208</v>
      </c>
      <c r="V224">
        <v>531931</v>
      </c>
      <c r="W224">
        <v>8699680</v>
      </c>
      <c r="X224">
        <v>6907</v>
      </c>
      <c r="AA224">
        <v>7905769</v>
      </c>
      <c r="AB224">
        <v>33215011</v>
      </c>
      <c r="AC224">
        <v>41120780</v>
      </c>
      <c r="AD224">
        <v>7028983</v>
      </c>
      <c r="AE224">
        <v>11766141</v>
      </c>
      <c r="AF224">
        <v>-4737158</v>
      </c>
      <c r="AG224">
        <v>7688846</v>
      </c>
      <c r="AI224" t="b">
        <v>1</v>
      </c>
      <c r="AK224">
        <v>7.3999999999999996E-2</v>
      </c>
      <c r="AL224">
        <v>6.8000000000000005E-2</v>
      </c>
      <c r="AM224">
        <v>6.8000000000000005E-2</v>
      </c>
      <c r="AN224">
        <v>7.3999999999999996E-2</v>
      </c>
      <c r="AS224">
        <v>13340491</v>
      </c>
      <c r="AT224">
        <v>1803499</v>
      </c>
      <c r="BB224">
        <f t="shared" si="463"/>
        <v>0.85401832611304862</v>
      </c>
      <c r="BD224">
        <f t="shared" si="464"/>
        <v>6311508</v>
      </c>
      <c r="BE224">
        <f t="shared" si="465"/>
        <v>-5225484</v>
      </c>
      <c r="BF224">
        <f t="shared" si="466"/>
        <v>13.108076980565823</v>
      </c>
      <c r="BG224">
        <f t="shared" si="467"/>
        <v>-10.852564321033107</v>
      </c>
      <c r="BH224">
        <f t="shared" si="468"/>
        <v>11.980320650799465</v>
      </c>
      <c r="BI224">
        <f t="shared" si="469"/>
        <v>112.77563297663583</v>
      </c>
      <c r="BJ224">
        <f t="shared" si="470"/>
        <v>12</v>
      </c>
      <c r="BK224">
        <f>IF($BJ224&lt;=30,IF($B224=2015,VLOOKUP($BJ224,'Treasury Yields'!$C$5:$N$34,$E224,FALSE)/100,IF($B224=2016,VLOOKUP($BJ224,'Treasury Yields'!$C$40:$N$69,$E224,FALSE)/100,IF($B224=2017,VLOOKUP($BJ224,'Treasury Yields'!$C$75:$N$104,$E224,FALSE)/100,IF($B224=2018,VLOOKUP($BJ224,'Treasury Yields'!$C$110:$N$139,$E224,FALSE)/100,IF($B224=2019,VLOOKUP($BJ224,'Treasury Yields'!$C$145:$N$174,$E224,FALSE)/100,IF($B224=2020,VLOOKUP($BJ224,'Treasury Yields'!$C$180:$N$209,$E224,FALSE)/100,IF($B224=2021,VLOOKUP($BJ224,'Treasury Yields'!$C$215:$N$244,$E224,FALSE)/100,IF($B224=2022,VLOOKUP($BJ224,'Treasury Yields'!$C$250:$N$279,$E224,FALSE)/100)))))))),0)</f>
        <v>1.3689454545454545E-2</v>
      </c>
      <c r="BL224">
        <f t="shared" si="471"/>
        <v>1.6536073846128443</v>
      </c>
      <c r="BM224">
        <f t="shared" si="472"/>
        <v>74381161.808378041</v>
      </c>
      <c r="BN224">
        <f t="shared" si="473"/>
        <v>41166150.808378041</v>
      </c>
      <c r="BP224">
        <f>IF($BJ224&lt;=30,IF($B224=2015,VLOOKUP($BJ224,'Treasury Yields'!$C$40:$N$69,$E224,FALSE)/100,IF($B224=2016,VLOOKUP($BJ224,'Treasury Yields'!$C$75:$N$104,$E224,FALSE)/100,IF($B224=2017,VLOOKUP($BJ224,'Treasury Yields'!$C$110:$N$139,$E224,FALSE)/100,IF($B224=2018,VLOOKUP($BJ224,'Treasury Yields'!$C$145:$N$174,$E224,FALSE)/100,IF($B224=2019,VLOOKUP($BJ224,'Treasury Yields'!$C$180:$N$209,$E224,FALSE)/100,IF($B224=2020,VLOOKUP($BJ224,'Treasury Yields'!$C$215:$N$244,$E224,FALSE)/100,IF($B224=2021,VLOOKUP($BJ224,'Treasury Yields'!$C$250:$N$279,$E224,FALSE)/100,IF($B224=2022,VLOOKUP($BJ224,'Treasury Yields'!$C$285:$N$314,$E224,FALSE)/100)))))))),0)</f>
        <v>2.1085818181818185E-2</v>
      </c>
      <c r="BQ224">
        <f t="shared" si="474"/>
        <v>1.6367287757940088</v>
      </c>
      <c r="BR224">
        <f t="shared" si="475"/>
        <v>78808102.649761662</v>
      </c>
      <c r="BS224">
        <f t="shared" si="476"/>
        <v>37687322.649761662</v>
      </c>
      <c r="BU224">
        <f t="shared" si="416"/>
        <v>15</v>
      </c>
      <c r="BV224">
        <f t="shared" si="477"/>
        <v>3.0374036448392179</v>
      </c>
      <c r="BW224">
        <f t="shared" si="478"/>
        <v>2608655.8959482932</v>
      </c>
      <c r="BX224" s="5">
        <f t="shared" si="479"/>
        <v>1020240.9017254796</v>
      </c>
      <c r="BY224" s="5">
        <f t="shared" si="480"/>
        <v>565545.51841420692</v>
      </c>
      <c r="BZ224" s="5">
        <f t="shared" si="481"/>
        <v>4129070</v>
      </c>
      <c r="CA224" s="5">
        <f t="shared" si="482"/>
        <v>3174201.4143625</v>
      </c>
      <c r="CC224" s="5">
        <f t="shared" si="483"/>
        <v>78808102.649761662</v>
      </c>
      <c r="CD224" s="5" t="str">
        <f t="shared" si="484"/>
        <v>Maryland</v>
      </c>
      <c r="CE224" s="5">
        <f t="shared" si="414"/>
        <v>0.85401832611304862</v>
      </c>
      <c r="CF224" s="10">
        <f t="shared" si="485"/>
        <v>0.5217836569768548</v>
      </c>
    </row>
    <row r="225" spans="1:84" x14ac:dyDescent="0.2">
      <c r="A225">
        <v>21000000020202</v>
      </c>
      <c r="B225">
        <v>2022</v>
      </c>
      <c r="C225">
        <v>342</v>
      </c>
      <c r="D225" t="s">
        <v>410</v>
      </c>
      <c r="E225">
        <v>6</v>
      </c>
      <c r="F225" t="s">
        <v>411</v>
      </c>
      <c r="G225" t="s">
        <v>412</v>
      </c>
      <c r="H225" t="s">
        <v>413</v>
      </c>
      <c r="I225" t="b">
        <v>1</v>
      </c>
      <c r="J225">
        <v>964482</v>
      </c>
      <c r="K225">
        <v>3221143</v>
      </c>
      <c r="M225">
        <v>-549388</v>
      </c>
      <c r="N225">
        <v>0</v>
      </c>
      <c r="O225">
        <v>2550604</v>
      </c>
      <c r="Q225">
        <v>1085633</v>
      </c>
      <c r="R225">
        <v>48149763</v>
      </c>
      <c r="S225">
        <v>49235396</v>
      </c>
      <c r="T225">
        <v>1202102</v>
      </c>
      <c r="V225">
        <v>554537</v>
      </c>
      <c r="W225">
        <v>-1179567</v>
      </c>
      <c r="X225">
        <v>2431</v>
      </c>
      <c r="AA225">
        <v>-1994601</v>
      </c>
      <c r="AB225">
        <v>41120780</v>
      </c>
      <c r="AC225">
        <v>39126178</v>
      </c>
      <c r="AD225">
        <v>10109218</v>
      </c>
      <c r="AE225">
        <v>7028983</v>
      </c>
      <c r="AF225">
        <v>3080235</v>
      </c>
      <c r="AG225">
        <v>7957775</v>
      </c>
      <c r="AI225" t="b">
        <v>1</v>
      </c>
      <c r="AK225">
        <v>6.8000000000000005E-2</v>
      </c>
      <c r="AL225">
        <v>6.8000000000000005E-2</v>
      </c>
      <c r="AM225">
        <v>6.8000000000000005E-2</v>
      </c>
      <c r="AN225">
        <v>6.8000000000000005E-2</v>
      </c>
      <c r="AS225">
        <v>16526639</v>
      </c>
      <c r="AT225">
        <v>4794807</v>
      </c>
      <c r="AV225" t="s">
        <v>418</v>
      </c>
      <c r="BB225">
        <f t="shared" si="463"/>
        <v>0.79467580599940746</v>
      </c>
      <c r="BD225">
        <f t="shared" si="464"/>
        <v>6417421</v>
      </c>
      <c r="BE225">
        <f t="shared" si="465"/>
        <v>-5314411</v>
      </c>
      <c r="BF225">
        <f t="shared" si="466"/>
        <v>13.034161439465217</v>
      </c>
      <c r="BG225">
        <f t="shared" si="467"/>
        <v>-10.793882921140717</v>
      </c>
      <c r="BH225">
        <f t="shared" si="468"/>
        <v>11.914022180302968</v>
      </c>
      <c r="BI225">
        <f t="shared" si="469"/>
        <v>112.01392591622499</v>
      </c>
      <c r="BJ225">
        <f t="shared" si="470"/>
        <v>12</v>
      </c>
      <c r="BK225">
        <f>IF($BJ225&lt;=30,IF($B225=2015,VLOOKUP($BJ225,'Treasury Yields'!$C$5:$N$34,$E225,FALSE)/100,IF($B225=2016,VLOOKUP($BJ225,'Treasury Yields'!$C$40:$N$69,$E225,FALSE)/100,IF($B225=2017,VLOOKUP($BJ225,'Treasury Yields'!$C$75:$N$104,$E225,FALSE)/100,IF($B225=2018,VLOOKUP($BJ225,'Treasury Yields'!$C$110:$N$139,$E225,FALSE)/100,IF($B225=2019,VLOOKUP($BJ225,'Treasury Yields'!$C$145:$N$174,$E225,FALSE)/100,IF($B225=2020,VLOOKUP($BJ225,'Treasury Yields'!$C$180:$N$209,$E225,FALSE)/100,IF($B225=2021,VLOOKUP($BJ225,'Treasury Yields'!$C$215:$N$244,$E225,FALSE)/100,IF($B225=2022,VLOOKUP($BJ225,'Treasury Yields'!$C$250:$N$279,$E225,FALSE)/100)))))))),0)</f>
        <v>2.1085818181818185E-2</v>
      </c>
      <c r="BL225">
        <f t="shared" si="471"/>
        <v>1.5611375432082537</v>
      </c>
      <c r="BM225">
        <f t="shared" si="472"/>
        <v>75168402.715879679</v>
      </c>
      <c r="BN225">
        <f t="shared" si="473"/>
        <v>34047622.715879679</v>
      </c>
      <c r="BP225">
        <f>IF($BJ225&lt;=30,IF($B225=2015,VLOOKUP($BJ225,'Treasury Yields'!$C$40:$N$69,$E225,FALSE)/100,IF($B225=2016,VLOOKUP($BJ225,'Treasury Yields'!$C$75:$N$104,$E225,FALSE)/100,IF($B225=2017,VLOOKUP($BJ225,'Treasury Yields'!$C$110:$N$139,$E225,FALSE)/100,IF($B225=2018,VLOOKUP($BJ225,'Treasury Yields'!$C$145:$N$174,$E225,FALSE)/100,IF($B225=2019,VLOOKUP($BJ225,'Treasury Yields'!$C$180:$N$209,$E225,FALSE)/100,IF($B225=2020,VLOOKUP($BJ225,'Treasury Yields'!$C$215:$N$244,$E225,FALSE)/100,IF($B225=2021,VLOOKUP($BJ225,'Treasury Yields'!$C$250:$N$279,$E225,FALSE)/100,IF($B225=2022,VLOOKUP($BJ225,'Treasury Yields'!$C$285:$N$314,$E225,FALSE)/100)))))))),0)</f>
        <v>3.2402272727272724E-2</v>
      </c>
      <c r="BQ225">
        <f t="shared" si="474"/>
        <v>1.4253793104826322</v>
      </c>
      <c r="BR225">
        <f t="shared" si="475"/>
        <v>70179114.801819354</v>
      </c>
      <c r="BS225">
        <f t="shared" si="476"/>
        <v>31052936.801819354</v>
      </c>
      <c r="BU225">
        <f t="shared" si="416"/>
        <v>15</v>
      </c>
      <c r="BV225">
        <f t="shared" si="477"/>
        <v>2.5091853111726889</v>
      </c>
      <c r="BW225">
        <f t="shared" si="478"/>
        <v>2420064.0672904574</v>
      </c>
      <c r="BX225" s="5">
        <f t="shared" si="479"/>
        <v>1582234.7313981468</v>
      </c>
      <c r="BY225" s="5">
        <f t="shared" si="480"/>
        <v>715169.44082360133</v>
      </c>
      <c r="BZ225" s="5">
        <f t="shared" si="481"/>
        <v>4185625</v>
      </c>
      <c r="CA225" s="5">
        <f t="shared" si="482"/>
        <v>3135233.5081140585</v>
      </c>
      <c r="CC225" s="5">
        <f t="shared" si="483"/>
        <v>70179114.801819354</v>
      </c>
      <c r="CD225" s="5" t="str">
        <f t="shared" si="484"/>
        <v>Maryland</v>
      </c>
      <c r="CE225" s="5">
        <f t="shared" si="414"/>
        <v>0.79467580599940746</v>
      </c>
      <c r="CF225" s="10">
        <f t="shared" si="485"/>
        <v>0.5575188303598505</v>
      </c>
    </row>
    <row r="226" spans="1:84" x14ac:dyDescent="0.2">
      <c r="A226">
        <v>23000000000711</v>
      </c>
      <c r="B226">
        <v>2015</v>
      </c>
      <c r="C226">
        <v>485</v>
      </c>
      <c r="D226" t="s">
        <v>419</v>
      </c>
      <c r="E226">
        <v>9</v>
      </c>
      <c r="F226" t="s">
        <v>420</v>
      </c>
      <c r="G226" t="s">
        <v>421</v>
      </c>
      <c r="H226" t="s">
        <v>422</v>
      </c>
      <c r="I226" t="b">
        <v>1</v>
      </c>
      <c r="J226">
        <v>674943</v>
      </c>
      <c r="K226">
        <v>5137527</v>
      </c>
      <c r="M226">
        <v>-75932</v>
      </c>
      <c r="O226">
        <v>4555349</v>
      </c>
      <c r="Q226">
        <v>1181189</v>
      </c>
      <c r="R226">
        <v>66174798</v>
      </c>
      <c r="S226">
        <v>67355988</v>
      </c>
      <c r="T226">
        <v>1967611</v>
      </c>
      <c r="V226">
        <v>395722</v>
      </c>
      <c r="W226">
        <v>938143</v>
      </c>
      <c r="Y226">
        <v>24487</v>
      </c>
      <c r="Z226">
        <v>-112468</v>
      </c>
      <c r="AA226">
        <v>-1390828</v>
      </c>
      <c r="AB226">
        <v>43773189</v>
      </c>
      <c r="AC226">
        <v>42382361</v>
      </c>
      <c r="AD226">
        <v>24973627</v>
      </c>
      <c r="AE226">
        <v>22401609</v>
      </c>
      <c r="AF226">
        <v>2572018</v>
      </c>
      <c r="AG226">
        <v>8426755</v>
      </c>
      <c r="AH226">
        <v>0.23349569318201371</v>
      </c>
      <c r="AI226" t="b">
        <v>1</v>
      </c>
      <c r="AK226">
        <v>0.08</v>
      </c>
      <c r="AL226">
        <v>0.08</v>
      </c>
      <c r="AM226">
        <v>0.08</v>
      </c>
      <c r="AN226">
        <v>0.08</v>
      </c>
      <c r="AO226">
        <v>1</v>
      </c>
      <c r="AP226">
        <v>0</v>
      </c>
      <c r="AS226">
        <v>32133813</v>
      </c>
      <c r="AT226">
        <v>18935384</v>
      </c>
      <c r="BB226">
        <f t="shared" ref="BB226:BB233" si="486">AC226/S226</f>
        <v>0.62922929732691324</v>
      </c>
      <c r="BD226">
        <f t="shared" ref="BD226:BD233" si="487">AS226-AD226</f>
        <v>7160186</v>
      </c>
      <c r="BE226">
        <f t="shared" ref="BE226:BE233" si="488">AT226-AD226</f>
        <v>-6038243</v>
      </c>
      <c r="BF226">
        <f t="shared" ref="BF226:BF233" si="489">BD226/S226*100</f>
        <v>10.630362960454235</v>
      </c>
      <c r="BG226">
        <f t="shared" ref="BG226:BG233" si="490">BE226/S226*100</f>
        <v>-8.9646714112485437</v>
      </c>
      <c r="BH226">
        <f t="shared" ref="BH226:BH233" si="491">(BD226-BE226)/(2*S226)*100</f>
        <v>9.7975171858513903</v>
      </c>
      <c r="BI226">
        <f t="shared" ref="BI226:BI233" si="492">(BD226+BE226)/(2*S226*(0.01^2))</f>
        <v>83.284577460284595</v>
      </c>
      <c r="BJ226">
        <f t="shared" ref="BJ226:BJ233" si="493">ROUND(BH226,0)</f>
        <v>10</v>
      </c>
      <c r="BK226">
        <f>IF($BJ226&lt;=30,IF($B226=2015,VLOOKUP($BJ226,'Treasury Yields'!$C$5:$N$34,$E226,FALSE)/100,IF($B226=2016,VLOOKUP($BJ226,'Treasury Yields'!$C$40:$N$69,$E226,FALSE)/100,IF($B226=2017,VLOOKUP($BJ226,'Treasury Yields'!$C$75:$N$104,$E226,FALSE)/100,IF($B226=2018,VLOOKUP($BJ226,'Treasury Yields'!$C$110:$N$139,$E226,FALSE)/100,IF($B226=2019,VLOOKUP($BJ226,'Treasury Yields'!$C$145:$N$174,$E226,FALSE)/100,IF($B226=2020,VLOOKUP($BJ226,'Treasury Yields'!$C$180:$N$209,$E226,FALSE)/100,IF($B226=2021,VLOOKUP($BJ226,'Treasury Yields'!$C$215:$N$244,$E226,FALSE)/100,IF($B226=2022,VLOOKUP($BJ226,'Treasury Yields'!$C$250:$N$279,$E226,FALSE)/100)))))))),0)</f>
        <v>2.6720000000000001E-2</v>
      </c>
      <c r="BL226">
        <f t="shared" ref="BL226:BL233" si="494">1+BH226*(AL226-BK226)+(AL226-BK226)^2</f>
        <v>1.524850474062162</v>
      </c>
      <c r="BM226">
        <f t="shared" ref="BM226:BM233" si="495">BL226*R226</f>
        <v>100906672.10126781</v>
      </c>
      <c r="BN226">
        <f t="shared" ref="BN226:BN233" si="496">BM226-AB226</f>
        <v>57133483.101267815</v>
      </c>
      <c r="BP226">
        <f>IF($BJ226&lt;=30,IF($B226=2015,VLOOKUP($BJ226,'Treasury Yields'!$C$40:$N$69,$E226,FALSE)/100,IF($B226=2016,VLOOKUP($BJ226,'Treasury Yields'!$C$75:$N$104,$E226,FALSE)/100,IF($B226=2017,VLOOKUP($BJ226,'Treasury Yields'!$C$110:$N$139,$E226,FALSE)/100,IF($B226=2018,VLOOKUP($BJ226,'Treasury Yields'!$C$145:$N$174,$E226,FALSE)/100,IF($B226=2019,VLOOKUP($BJ226,'Treasury Yields'!$C$180:$N$209,$E226,FALSE)/100,IF($B226=2020,VLOOKUP($BJ226,'Treasury Yields'!$C$215:$N$244,$E226,FALSE)/100,IF($B226=2021,VLOOKUP($BJ226,'Treasury Yields'!$C$250:$N$279,$E226,FALSE)/100,IF($B226=2022,VLOOKUP($BJ226,'Treasury Yields'!$C$285:$N$314,$E226,FALSE)/100)))))))),0)</f>
        <v>2.2109999999999998E-2</v>
      </c>
      <c r="BQ226">
        <f t="shared" ref="BQ226:BQ233" si="497">1+BH226*(AN226-BP226)+(AN226-BP226)^2</f>
        <v>1.5705295219889372</v>
      </c>
      <c r="BR226">
        <f t="shared" ref="BR226:BR233" si="498">BQ226*S226</f>
        <v>105784567.63673259</v>
      </c>
      <c r="BS226">
        <f t="shared" ref="BS226:BS233" si="499">BR226-AC226</f>
        <v>63402206.636732593</v>
      </c>
      <c r="BU226">
        <f t="shared" si="416"/>
        <v>13</v>
      </c>
      <c r="BV226">
        <f t="shared" ref="BV226:BV233" si="500">1+(BH226+BU226)*(AN226-BK226)+(AN226-BK226)^2*BI226</f>
        <v>2.4510765095179958</v>
      </c>
      <c r="BW226">
        <f t="shared" ref="BW226:BW233" si="501">BV226*J226</f>
        <v>1654336.9325636046</v>
      </c>
      <c r="BX226" s="5">
        <f t="shared" ref="BX226:BX233" si="502">(BM226+BW226-O226)*BK226</f>
        <v>2618711.2361039757</v>
      </c>
      <c r="BY226" s="5">
        <f t="shared" ref="BY226:BY233" si="503">BK226*(BN226+BW226-O226)</f>
        <v>1449091.6260239754</v>
      </c>
      <c r="BZ226" s="5">
        <f t="shared" ref="BZ226:BZ233" si="504">SUM(J226:K226)</f>
        <v>5812470</v>
      </c>
      <c r="CA226" s="5">
        <f t="shared" ref="CA226:CA233" si="505">SUM(BW226+BY226)</f>
        <v>3103428.55858758</v>
      </c>
      <c r="CC226" s="5">
        <f t="shared" ref="CC226:CC233" si="506">BR226</f>
        <v>105784567.63673259</v>
      </c>
      <c r="CD226" s="5" t="str">
        <f t="shared" ref="CD226:CD233" si="507">F226</f>
        <v>Michigan</v>
      </c>
      <c r="CE226" s="5">
        <f t="shared" si="414"/>
        <v>0.62922929732691324</v>
      </c>
      <c r="CF226" s="10">
        <f t="shared" ref="CF226:CF233" si="508">AC226/CC226</f>
        <v>0.40064786335888153</v>
      </c>
    </row>
    <row r="227" spans="1:84" x14ac:dyDescent="0.2">
      <c r="A227">
        <v>23000000000711</v>
      </c>
      <c r="B227">
        <v>2016</v>
      </c>
      <c r="C227">
        <v>485</v>
      </c>
      <c r="D227" t="s">
        <v>419</v>
      </c>
      <c r="E227">
        <v>9</v>
      </c>
      <c r="F227" t="s">
        <v>420</v>
      </c>
      <c r="G227" t="s">
        <v>421</v>
      </c>
      <c r="H227" t="s">
        <v>422</v>
      </c>
      <c r="I227" t="b">
        <v>1</v>
      </c>
      <c r="J227">
        <v>682608</v>
      </c>
      <c r="K227">
        <v>5226021</v>
      </c>
      <c r="M227">
        <v>401202</v>
      </c>
      <c r="O227">
        <v>4695818</v>
      </c>
      <c r="Q227">
        <v>1614013</v>
      </c>
      <c r="R227">
        <v>67355988</v>
      </c>
      <c r="S227">
        <v>68970001</v>
      </c>
      <c r="T227">
        <v>2308657</v>
      </c>
      <c r="V227">
        <v>398893</v>
      </c>
      <c r="W227">
        <v>3095178</v>
      </c>
      <c r="Y227">
        <v>26213</v>
      </c>
      <c r="Z227">
        <v>-2479</v>
      </c>
      <c r="AA227">
        <v>1078218</v>
      </c>
      <c r="AB227">
        <v>42382361</v>
      </c>
      <c r="AC227">
        <v>43460579</v>
      </c>
      <c r="AD227">
        <v>25509422</v>
      </c>
      <c r="AE227">
        <v>24973627</v>
      </c>
      <c r="AF227">
        <v>535795</v>
      </c>
      <c r="AG227">
        <v>8510200</v>
      </c>
      <c r="AH227">
        <v>0.27128116848017675</v>
      </c>
      <c r="AI227" t="b">
        <v>1</v>
      </c>
      <c r="AK227">
        <v>0.08</v>
      </c>
      <c r="AL227">
        <v>0.08</v>
      </c>
      <c r="AM227">
        <v>0.08</v>
      </c>
      <c r="AN227">
        <v>0.08</v>
      </c>
      <c r="AO227">
        <v>1</v>
      </c>
      <c r="AP227">
        <v>0</v>
      </c>
      <c r="AS227">
        <v>32782914</v>
      </c>
      <c r="AT227">
        <v>19375168</v>
      </c>
      <c r="AU227" t="s">
        <v>315</v>
      </c>
      <c r="AV227" t="s">
        <v>423</v>
      </c>
      <c r="BB227">
        <f t="shared" si="486"/>
        <v>0.63013742743022438</v>
      </c>
      <c r="BD227">
        <f t="shared" si="487"/>
        <v>7273492</v>
      </c>
      <c r="BE227">
        <f t="shared" si="488"/>
        <v>-6134254</v>
      </c>
      <c r="BF227">
        <f t="shared" si="489"/>
        <v>10.545877765030045</v>
      </c>
      <c r="BG227">
        <f t="shared" si="490"/>
        <v>-8.894090055182108</v>
      </c>
      <c r="BH227">
        <f t="shared" si="491"/>
        <v>9.7199839101060768</v>
      </c>
      <c r="BI227">
        <f t="shared" si="492"/>
        <v>82.5893854923969</v>
      </c>
      <c r="BJ227">
        <f t="shared" si="493"/>
        <v>10</v>
      </c>
      <c r="BK227">
        <f>IF($BJ227&lt;=30,IF($B227=2015,VLOOKUP($BJ227,'Treasury Yields'!$C$5:$N$34,$E227,FALSE)/100,IF($B227=2016,VLOOKUP($BJ227,'Treasury Yields'!$C$40:$N$69,$E227,FALSE)/100,IF($B227=2017,VLOOKUP($BJ227,'Treasury Yields'!$C$75:$N$104,$E227,FALSE)/100,IF($B227=2018,VLOOKUP($BJ227,'Treasury Yields'!$C$110:$N$139,$E227,FALSE)/100,IF($B227=2019,VLOOKUP($BJ227,'Treasury Yields'!$C$145:$N$174,$E227,FALSE)/100,IF($B227=2020,VLOOKUP($BJ227,'Treasury Yields'!$C$180:$N$209,$E227,FALSE)/100,IF($B227=2021,VLOOKUP($BJ227,'Treasury Yields'!$C$215:$N$244,$E227,FALSE)/100,IF($B227=2022,VLOOKUP($BJ227,'Treasury Yields'!$C$250:$N$279,$E227,FALSE)/100)))))))),0)</f>
        <v>2.2109999999999998E-2</v>
      </c>
      <c r="BL227">
        <f t="shared" si="494"/>
        <v>1.566041120656041</v>
      </c>
      <c r="BM227">
        <f t="shared" si="495"/>
        <v>105482246.93041484</v>
      </c>
      <c r="BN227">
        <f t="shared" si="496"/>
        <v>63099885.930414841</v>
      </c>
      <c r="BP227">
        <f>IF($BJ227&lt;=30,IF($B227=2015,VLOOKUP($BJ227,'Treasury Yields'!$C$40:$N$69,$E227,FALSE)/100,IF($B227=2016,VLOOKUP($BJ227,'Treasury Yields'!$C$75:$N$104,$E227,FALSE)/100,IF($B227=2017,VLOOKUP($BJ227,'Treasury Yields'!$C$110:$N$139,$E227,FALSE)/100,IF($B227=2018,VLOOKUP($BJ227,'Treasury Yields'!$C$145:$N$174,$E227,FALSE)/100,IF($B227=2019,VLOOKUP($BJ227,'Treasury Yields'!$C$180:$N$209,$E227,FALSE)/100,IF($B227=2020,VLOOKUP($BJ227,'Treasury Yields'!$C$215:$N$244,$E227,FALSE)/100,IF($B227=2021,VLOOKUP($BJ227,'Treasury Yields'!$C$250:$N$279,$E227,FALSE)/100,IF($B227=2022,VLOOKUP($BJ227,'Treasury Yields'!$C$285:$N$314,$E227,FALSE)/100)))))))),0)</f>
        <v>1.7729999999999999E-2</v>
      </c>
      <c r="BQ227">
        <f t="shared" si="497"/>
        <v>1.6091409509823054</v>
      </c>
      <c r="BR227">
        <f t="shared" si="498"/>
        <v>110982452.99839056</v>
      </c>
      <c r="BS227">
        <f t="shared" si="499"/>
        <v>67521873.998390555</v>
      </c>
      <c r="BU227">
        <f t="shared" si="416"/>
        <v>13</v>
      </c>
      <c r="BV227">
        <f t="shared" si="500"/>
        <v>2.5920377201251452</v>
      </c>
      <c r="BW227">
        <f t="shared" si="501"/>
        <v>1769345.6840591852</v>
      </c>
      <c r="BX227" s="5">
        <f t="shared" si="502"/>
        <v>2267508.1767260204</v>
      </c>
      <c r="BY227" s="5">
        <f t="shared" si="503"/>
        <v>1330434.1750160207</v>
      </c>
      <c r="BZ227" s="5">
        <f t="shared" si="504"/>
        <v>5908629</v>
      </c>
      <c r="CA227" s="5">
        <f t="shared" si="505"/>
        <v>3099779.8590752059</v>
      </c>
      <c r="CC227" s="5">
        <f t="shared" si="506"/>
        <v>110982452.99839056</v>
      </c>
      <c r="CD227" s="5" t="str">
        <f t="shared" si="507"/>
        <v>Michigan</v>
      </c>
      <c r="CE227" s="5">
        <f t="shared" si="414"/>
        <v>0.63013742743022438</v>
      </c>
      <c r="CF227" s="10">
        <f t="shared" si="508"/>
        <v>0.39159865209169831</v>
      </c>
    </row>
    <row r="228" spans="1:84" x14ac:dyDescent="0.2">
      <c r="A228">
        <v>23000000000711</v>
      </c>
      <c r="B228">
        <v>2017</v>
      </c>
      <c r="C228">
        <v>485</v>
      </c>
      <c r="D228" t="s">
        <v>419</v>
      </c>
      <c r="E228">
        <v>9</v>
      </c>
      <c r="F228" t="s">
        <v>420</v>
      </c>
      <c r="G228" t="s">
        <v>421</v>
      </c>
      <c r="H228" t="s">
        <v>422</v>
      </c>
      <c r="I228" t="b">
        <v>1</v>
      </c>
      <c r="J228">
        <v>675804</v>
      </c>
      <c r="K228">
        <v>5348515</v>
      </c>
      <c r="M228">
        <v>-120998</v>
      </c>
      <c r="N228">
        <v>3461025</v>
      </c>
      <c r="O228">
        <v>4833050</v>
      </c>
      <c r="Q228">
        <v>4531295</v>
      </c>
      <c r="R228">
        <v>68970001</v>
      </c>
      <c r="S228">
        <v>73501296</v>
      </c>
      <c r="T228">
        <v>2398950</v>
      </c>
      <c r="V228">
        <v>427988</v>
      </c>
      <c r="W228">
        <v>5583469</v>
      </c>
      <c r="Y228">
        <v>26133</v>
      </c>
      <c r="Z228">
        <v>-20</v>
      </c>
      <c r="AA228">
        <v>3551204</v>
      </c>
      <c r="AB228">
        <v>43460579</v>
      </c>
      <c r="AC228">
        <v>47011783</v>
      </c>
      <c r="AD228">
        <v>26489513</v>
      </c>
      <c r="AE228">
        <v>25509422</v>
      </c>
      <c r="AF228">
        <v>980091</v>
      </c>
      <c r="AG228">
        <v>8452983</v>
      </c>
      <c r="AH228">
        <v>0.28379922212075903</v>
      </c>
      <c r="AI228" t="b">
        <v>1</v>
      </c>
      <c r="AK228">
        <v>0.08</v>
      </c>
      <c r="AL228">
        <v>7.4999999999999997E-2</v>
      </c>
      <c r="AM228">
        <v>7.4999999999999997E-2</v>
      </c>
      <c r="AN228">
        <v>0.08</v>
      </c>
      <c r="AO228">
        <v>1</v>
      </c>
      <c r="AP228">
        <v>0</v>
      </c>
      <c r="AS228">
        <v>34432594</v>
      </c>
      <c r="AT228">
        <v>19799831</v>
      </c>
      <c r="AU228" t="s">
        <v>322</v>
      </c>
      <c r="AV228" t="s">
        <v>424</v>
      </c>
      <c r="BB228">
        <f t="shared" si="486"/>
        <v>0.63960481730825536</v>
      </c>
      <c r="BD228">
        <f t="shared" si="487"/>
        <v>7943081</v>
      </c>
      <c r="BE228">
        <f t="shared" si="488"/>
        <v>-6689682</v>
      </c>
      <c r="BF228">
        <f t="shared" si="489"/>
        <v>10.806722373983717</v>
      </c>
      <c r="BG228">
        <f t="shared" si="490"/>
        <v>-9.1014476805959994</v>
      </c>
      <c r="BH228">
        <f t="shared" si="491"/>
        <v>9.9540850272898584</v>
      </c>
      <c r="BI228">
        <f t="shared" si="492"/>
        <v>85.263734669385968</v>
      </c>
      <c r="BJ228">
        <f t="shared" si="493"/>
        <v>10</v>
      </c>
      <c r="BK228">
        <f>IF($BJ228&lt;=30,IF($B228=2015,VLOOKUP($BJ228,'Treasury Yields'!$C$5:$N$34,$E228,FALSE)/100,IF($B228=2016,VLOOKUP($BJ228,'Treasury Yields'!$C$40:$N$69,$E228,FALSE)/100,IF($B228=2017,VLOOKUP($BJ228,'Treasury Yields'!$C$75:$N$104,$E228,FALSE)/100,IF($B228=2018,VLOOKUP($BJ228,'Treasury Yields'!$C$110:$N$139,$E228,FALSE)/100,IF($B228=2019,VLOOKUP($BJ228,'Treasury Yields'!$C$145:$N$174,$E228,FALSE)/100,IF($B228=2020,VLOOKUP($BJ228,'Treasury Yields'!$C$180:$N$209,$E228,FALSE)/100,IF($B228=2021,VLOOKUP($BJ228,'Treasury Yields'!$C$215:$N$244,$E228,FALSE)/100,IF($B228=2022,VLOOKUP($BJ228,'Treasury Yields'!$C$250:$N$279,$E228,FALSE)/100)))))))),0)</f>
        <v>1.7729999999999999E-2</v>
      </c>
      <c r="BL228">
        <f t="shared" si="494"/>
        <v>1.5733503024128903</v>
      </c>
      <c r="BM228">
        <f t="shared" si="495"/>
        <v>108513971.93076734</v>
      </c>
      <c r="BN228">
        <f t="shared" si="496"/>
        <v>65053392.930767342</v>
      </c>
      <c r="BP228">
        <f>IF($BJ228&lt;=30,IF($B228=2015,VLOOKUP($BJ228,'Treasury Yields'!$C$40:$N$69,$E228,FALSE)/100,IF($B228=2016,VLOOKUP($BJ228,'Treasury Yields'!$C$75:$N$104,$E228,FALSE)/100,IF($B228=2017,VLOOKUP($BJ228,'Treasury Yields'!$C$110:$N$139,$E228,FALSE)/100,IF($B228=2018,VLOOKUP($BJ228,'Treasury Yields'!$C$145:$N$174,$E228,FALSE)/100,IF($B228=2019,VLOOKUP($BJ228,'Treasury Yields'!$C$180:$N$209,$E228,FALSE)/100,IF($B228=2020,VLOOKUP($BJ228,'Treasury Yields'!$C$215:$N$244,$E228,FALSE)/100,IF($B228=2021,VLOOKUP($BJ228,'Treasury Yields'!$C$250:$N$279,$E228,FALSE)/100,IF($B228=2022,VLOOKUP($BJ228,'Treasury Yields'!$C$285:$N$314,$E228,FALSE)/100)))))))),0)</f>
        <v>2.4629999999999999E-2</v>
      </c>
      <c r="BQ228">
        <f t="shared" si="497"/>
        <v>1.5542235248610397</v>
      </c>
      <c r="BR228">
        <f t="shared" si="498"/>
        <v>114237443.35097463</v>
      </c>
      <c r="BS228">
        <f t="shared" si="499"/>
        <v>67225660.350974634</v>
      </c>
      <c r="BU228">
        <f t="shared" si="416"/>
        <v>13</v>
      </c>
      <c r="BV228">
        <f t="shared" si="500"/>
        <v>2.7599655162814476</v>
      </c>
      <c r="BW228">
        <f t="shared" si="501"/>
        <v>1865195.7357650674</v>
      </c>
      <c r="BX228" s="5">
        <f t="shared" si="502"/>
        <v>1871332.6662276196</v>
      </c>
      <c r="BY228" s="5">
        <f t="shared" si="503"/>
        <v>1100776.6005576197</v>
      </c>
      <c r="BZ228" s="5">
        <f t="shared" si="504"/>
        <v>6024319</v>
      </c>
      <c r="CA228" s="5">
        <f t="shared" si="505"/>
        <v>2965972.3363226871</v>
      </c>
      <c r="CC228" s="5">
        <f t="shared" si="506"/>
        <v>114237443.35097463</v>
      </c>
      <c r="CD228" s="5" t="str">
        <f t="shared" si="507"/>
        <v>Michigan</v>
      </c>
      <c r="CE228" s="5">
        <f t="shared" si="414"/>
        <v>0.63960481730825536</v>
      </c>
      <c r="CF228" s="10">
        <f t="shared" si="508"/>
        <v>0.41152691815383585</v>
      </c>
    </row>
    <row r="229" spans="1:84" x14ac:dyDescent="0.2">
      <c r="A229">
        <v>23000000000711</v>
      </c>
      <c r="B229">
        <v>2018</v>
      </c>
      <c r="C229">
        <v>485</v>
      </c>
      <c r="D229" t="s">
        <v>419</v>
      </c>
      <c r="E229">
        <v>9</v>
      </c>
      <c r="F229" t="s">
        <v>420</v>
      </c>
      <c r="G229" t="s">
        <v>421</v>
      </c>
      <c r="H229" t="s">
        <v>422</v>
      </c>
      <c r="I229" t="b">
        <v>1</v>
      </c>
      <c r="J229">
        <v>752589</v>
      </c>
      <c r="K229">
        <v>5352730</v>
      </c>
      <c r="M229">
        <v>-187289</v>
      </c>
      <c r="N229">
        <v>6588286</v>
      </c>
      <c r="O229">
        <v>4963271</v>
      </c>
      <c r="Q229">
        <v>7543045</v>
      </c>
      <c r="R229">
        <v>73501296</v>
      </c>
      <c r="S229">
        <v>81044431</v>
      </c>
      <c r="T229">
        <v>2791509</v>
      </c>
      <c r="V229">
        <v>393059</v>
      </c>
      <c r="W229">
        <v>5135866</v>
      </c>
      <c r="Y229">
        <v>25952</v>
      </c>
      <c r="Z229">
        <v>504</v>
      </c>
      <c r="AA229">
        <v>3331715</v>
      </c>
      <c r="AB229">
        <v>47011783</v>
      </c>
      <c r="AC229">
        <v>50343498</v>
      </c>
      <c r="AD229">
        <v>30700843</v>
      </c>
      <c r="AE229">
        <v>26489513</v>
      </c>
      <c r="AF229">
        <v>4211330</v>
      </c>
      <c r="AG229">
        <v>8583695</v>
      </c>
      <c r="AH229">
        <v>0.32521064646402276</v>
      </c>
      <c r="AI229" t="b">
        <v>1</v>
      </c>
      <c r="AK229">
        <v>7.4999999999999997E-2</v>
      </c>
      <c r="AL229">
        <v>7.0499999999999993E-2</v>
      </c>
      <c r="AM229">
        <v>7.0499999999999993E-2</v>
      </c>
      <c r="AN229">
        <v>7.4999999999999997E-2</v>
      </c>
      <c r="AO229">
        <v>1</v>
      </c>
      <c r="AP229">
        <v>0</v>
      </c>
      <c r="AS229">
        <v>40224284</v>
      </c>
      <c r="AT229">
        <v>22785822</v>
      </c>
      <c r="AV229" t="s">
        <v>425</v>
      </c>
      <c r="BB229">
        <f t="shared" si="486"/>
        <v>0.62118392810975498</v>
      </c>
      <c r="BD229">
        <f t="shared" si="487"/>
        <v>9523441</v>
      </c>
      <c r="BE229">
        <f t="shared" si="488"/>
        <v>-7915021</v>
      </c>
      <c r="BF229">
        <f t="shared" si="489"/>
        <v>11.750888842689266</v>
      </c>
      <c r="BG229">
        <f t="shared" si="490"/>
        <v>-9.7662737616110835</v>
      </c>
      <c r="BH229">
        <f t="shared" si="491"/>
        <v>10.758581302150175</v>
      </c>
      <c r="BI229">
        <f t="shared" si="492"/>
        <v>99.23075405390901</v>
      </c>
      <c r="BJ229">
        <f t="shared" si="493"/>
        <v>11</v>
      </c>
      <c r="BK229">
        <f>IF($BJ229&lt;=30,IF($B229=2015,VLOOKUP($BJ229,'Treasury Yields'!$C$5:$N$34,$E229,FALSE)/100,IF($B229=2016,VLOOKUP($BJ229,'Treasury Yields'!$C$40:$N$69,$E229,FALSE)/100,IF($B229=2017,VLOOKUP($BJ229,'Treasury Yields'!$C$75:$N$104,$E229,FALSE)/100,IF($B229=2018,VLOOKUP($BJ229,'Treasury Yields'!$C$110:$N$139,$E229,FALSE)/100,IF($B229=2019,VLOOKUP($BJ229,'Treasury Yields'!$C$145:$N$174,$E229,FALSE)/100,IF($B229=2020,VLOOKUP($BJ229,'Treasury Yields'!$C$180:$N$209,$E229,FALSE)/100,IF($B229=2021,VLOOKUP($BJ229,'Treasury Yields'!$C$215:$N$244,$E229,FALSE)/100,IF($B229=2022,VLOOKUP($BJ229,'Treasury Yields'!$C$250:$N$279,$E229,FALSE)/100)))))))),0)</f>
        <v>2.4957600000000003E-2</v>
      </c>
      <c r="BL229">
        <f t="shared" si="494"/>
        <v>1.4920457232928039</v>
      </c>
      <c r="BM229">
        <f t="shared" si="495"/>
        <v>109667294.35327847</v>
      </c>
      <c r="BN229">
        <f t="shared" si="496"/>
        <v>62655511.353278473</v>
      </c>
      <c r="BP229">
        <f>IF($BJ229&lt;=30,IF($B229=2015,VLOOKUP($BJ229,'Treasury Yields'!$C$40:$N$69,$E229,FALSE)/100,IF($B229=2016,VLOOKUP($BJ229,'Treasury Yields'!$C$75:$N$104,$E229,FALSE)/100,IF($B229=2017,VLOOKUP($BJ229,'Treasury Yields'!$C$110:$N$139,$E229,FALSE)/100,IF($B229=2018,VLOOKUP($BJ229,'Treasury Yields'!$C$145:$N$174,$E229,FALSE)/100,IF($B229=2019,VLOOKUP($BJ229,'Treasury Yields'!$C$180:$N$209,$E229,FALSE)/100,IF($B229=2020,VLOOKUP($BJ229,'Treasury Yields'!$C$215:$N$244,$E229,FALSE)/100,IF($B229=2021,VLOOKUP($BJ229,'Treasury Yields'!$C$250:$N$279,$E229,FALSE)/100,IF($B229=2022,VLOOKUP($BJ229,'Treasury Yields'!$C$285:$N$314,$E229,FALSE)/100)))))))),0)</f>
        <v>3.1272727272727271E-2</v>
      </c>
      <c r="BQ229">
        <f t="shared" si="497"/>
        <v>1.4723554931378229</v>
      </c>
      <c r="BR229">
        <f t="shared" si="498"/>
        <v>119326213.17107926</v>
      </c>
      <c r="BS229">
        <f t="shared" si="499"/>
        <v>68982715.171079263</v>
      </c>
      <c r="BU229">
        <f t="shared" si="416"/>
        <v>14</v>
      </c>
      <c r="BV229">
        <f t="shared" si="500"/>
        <v>2.4874766308797613</v>
      </c>
      <c r="BW229">
        <f t="shared" si="501"/>
        <v>1872047.5501571686</v>
      </c>
      <c r="BX229" s="5">
        <f t="shared" si="502"/>
        <v>2659882.9471795857</v>
      </c>
      <c r="BY229" s="5">
        <f t="shared" si="503"/>
        <v>1486581.6717787855</v>
      </c>
      <c r="BZ229" s="5">
        <f t="shared" si="504"/>
        <v>6105319</v>
      </c>
      <c r="CA229" s="5">
        <f t="shared" si="505"/>
        <v>3358629.2219359539</v>
      </c>
      <c r="CC229" s="5">
        <f t="shared" si="506"/>
        <v>119326213.17107926</v>
      </c>
      <c r="CD229" s="5" t="str">
        <f t="shared" si="507"/>
        <v>Michigan</v>
      </c>
      <c r="CE229" s="5">
        <f t="shared" si="414"/>
        <v>0.62118392810975498</v>
      </c>
      <c r="CF229" s="10">
        <f t="shared" si="508"/>
        <v>0.42189806130713281</v>
      </c>
    </row>
    <row r="230" spans="1:84" x14ac:dyDescent="0.2">
      <c r="A230">
        <v>23000000000711</v>
      </c>
      <c r="B230">
        <v>2019</v>
      </c>
      <c r="C230">
        <v>485</v>
      </c>
      <c r="D230" t="s">
        <v>419</v>
      </c>
      <c r="E230">
        <v>9</v>
      </c>
      <c r="F230" t="s">
        <v>420</v>
      </c>
      <c r="G230" t="s">
        <v>421</v>
      </c>
      <c r="H230" t="s">
        <v>422</v>
      </c>
      <c r="I230" t="b">
        <v>1</v>
      </c>
      <c r="J230">
        <v>779545</v>
      </c>
      <c r="K230">
        <v>5561469</v>
      </c>
      <c r="M230">
        <v>119391</v>
      </c>
      <c r="N230">
        <v>2226621</v>
      </c>
      <c r="O230">
        <v>5087969</v>
      </c>
      <c r="Q230">
        <v>3599058</v>
      </c>
      <c r="R230">
        <v>81044431</v>
      </c>
      <c r="S230">
        <v>84643399</v>
      </c>
      <c r="T230">
        <v>2706713</v>
      </c>
      <c r="V230">
        <v>403147</v>
      </c>
      <c r="W230">
        <v>2519320</v>
      </c>
      <c r="Y230">
        <v>27741</v>
      </c>
      <c r="Z230">
        <v>202</v>
      </c>
      <c r="AA230">
        <v>513672</v>
      </c>
      <c r="AB230">
        <v>50343498</v>
      </c>
      <c r="AC230">
        <v>50857170</v>
      </c>
      <c r="AD230">
        <v>33786229</v>
      </c>
      <c r="AE230">
        <v>30700933</v>
      </c>
      <c r="AF230">
        <v>3085296</v>
      </c>
      <c r="AG230">
        <v>8958777</v>
      </c>
      <c r="AH230">
        <v>0.30212974382552438</v>
      </c>
      <c r="AI230" t="b">
        <v>1</v>
      </c>
      <c r="AK230">
        <v>7.0499999999999993E-2</v>
      </c>
      <c r="AL230">
        <v>6.8000000000000005E-2</v>
      </c>
      <c r="AM230">
        <v>6.8000000000000005E-2</v>
      </c>
      <c r="AN230">
        <v>7.0499999999999993E-2</v>
      </c>
      <c r="AO230">
        <v>1</v>
      </c>
      <c r="AP230">
        <v>0</v>
      </c>
      <c r="AS230">
        <v>43842151</v>
      </c>
      <c r="AT230">
        <v>25446801</v>
      </c>
      <c r="AV230" t="s">
        <v>426</v>
      </c>
      <c r="BB230">
        <f t="shared" si="486"/>
        <v>0.60084035613928977</v>
      </c>
      <c r="BD230">
        <f t="shared" si="487"/>
        <v>10055922</v>
      </c>
      <c r="BE230">
        <f t="shared" si="488"/>
        <v>-8339428</v>
      </c>
      <c r="BF230">
        <f t="shared" si="489"/>
        <v>11.880338123</v>
      </c>
      <c r="BG230">
        <f t="shared" si="490"/>
        <v>-9.8524257042182342</v>
      </c>
      <c r="BH230">
        <f t="shared" si="491"/>
        <v>10.866381913609116</v>
      </c>
      <c r="BI230">
        <f t="shared" si="492"/>
        <v>101.39562093908822</v>
      </c>
      <c r="BJ230">
        <f t="shared" si="493"/>
        <v>11</v>
      </c>
      <c r="BK230">
        <f>IF($BJ230&lt;=30,IF($B230=2015,VLOOKUP($BJ230,'Treasury Yields'!$C$5:$N$34,$E230,FALSE)/100,IF($B230=2016,VLOOKUP($BJ230,'Treasury Yields'!$C$40:$N$69,$E230,FALSE)/100,IF($B230=2017,VLOOKUP($BJ230,'Treasury Yields'!$C$75:$N$104,$E230,FALSE)/100,IF($B230=2018,VLOOKUP($BJ230,'Treasury Yields'!$C$110:$N$139,$E230,FALSE)/100,IF($B230=2019,VLOOKUP($BJ230,'Treasury Yields'!$C$145:$N$174,$E230,FALSE)/100,IF($B230=2020,VLOOKUP($BJ230,'Treasury Yields'!$C$180:$N$209,$E230,FALSE)/100,IF($B230=2021,VLOOKUP($BJ230,'Treasury Yields'!$C$215:$N$244,$E230,FALSE)/100,IF($B230=2022,VLOOKUP($BJ230,'Treasury Yields'!$C$250:$N$279,$E230,FALSE)/100)))))))),0)</f>
        <v>3.1272727272727271E-2</v>
      </c>
      <c r="BL230">
        <f t="shared" si="494"/>
        <v>1.4004414646618093</v>
      </c>
      <c r="BM230">
        <f t="shared" si="495"/>
        <v>113497981.65232295</v>
      </c>
      <c r="BN230">
        <f t="shared" si="496"/>
        <v>63154483.652322948</v>
      </c>
      <c r="BP230">
        <f>IF($BJ230&lt;=30,IF($B230=2015,VLOOKUP($BJ230,'Treasury Yields'!$C$40:$N$69,$E230,FALSE)/100,IF($B230=2016,VLOOKUP($BJ230,'Treasury Yields'!$C$75:$N$104,$E230,FALSE)/100,IF($B230=2017,VLOOKUP($BJ230,'Treasury Yields'!$C$110:$N$139,$E230,FALSE)/100,IF($B230=2018,VLOOKUP($BJ230,'Treasury Yields'!$C$145:$N$174,$E230,FALSE)/100,IF($B230=2019,VLOOKUP($BJ230,'Treasury Yields'!$C$180:$N$209,$E230,FALSE)/100,IF($B230=2020,VLOOKUP($BJ230,'Treasury Yields'!$C$215:$N$244,$E230,FALSE)/100,IF($B230=2021,VLOOKUP($BJ230,'Treasury Yields'!$C$250:$N$279,$E230,FALSE)/100,IF($B230=2022,VLOOKUP($BJ230,'Treasury Yields'!$C$285:$N$314,$E230,FALSE)/100)))))))),0)</f>
        <v>1.8252000000000001E-2</v>
      </c>
      <c r="BQ230">
        <f t="shared" si="497"/>
        <v>1.5704765757262489</v>
      </c>
      <c r="BR230">
        <f t="shared" si="498"/>
        <v>132930475.41935059</v>
      </c>
      <c r="BS230">
        <f t="shared" si="499"/>
        <v>82073305.419350594</v>
      </c>
      <c r="BU230">
        <f t="shared" si="416"/>
        <v>14</v>
      </c>
      <c r="BV230">
        <f t="shared" si="500"/>
        <v>2.1314657897168727</v>
      </c>
      <c r="BW230">
        <f t="shared" si="501"/>
        <v>1661573.4990448395</v>
      </c>
      <c r="BX230" s="5">
        <f t="shared" si="502"/>
        <v>3442238.6941882288</v>
      </c>
      <c r="BY230" s="5">
        <f t="shared" si="503"/>
        <v>1867860.2112791382</v>
      </c>
      <c r="BZ230" s="5">
        <f t="shared" si="504"/>
        <v>6341014</v>
      </c>
      <c r="CA230" s="5">
        <f t="shared" si="505"/>
        <v>3529433.7103239777</v>
      </c>
      <c r="CC230" s="5">
        <f t="shared" si="506"/>
        <v>132930475.41935059</v>
      </c>
      <c r="CD230" s="5" t="str">
        <f t="shared" si="507"/>
        <v>Michigan</v>
      </c>
      <c r="CE230" s="5">
        <f t="shared" si="414"/>
        <v>0.60084035613928977</v>
      </c>
      <c r="CF230" s="10">
        <f t="shared" si="508"/>
        <v>0.3825847296458007</v>
      </c>
    </row>
    <row r="231" spans="1:84" x14ac:dyDescent="0.2">
      <c r="A231">
        <v>23000000000711</v>
      </c>
      <c r="B231">
        <v>2020</v>
      </c>
      <c r="C231">
        <v>485</v>
      </c>
      <c r="D231" t="s">
        <v>419</v>
      </c>
      <c r="E231">
        <v>9</v>
      </c>
      <c r="F231" t="s">
        <v>420</v>
      </c>
      <c r="G231" t="s">
        <v>421</v>
      </c>
      <c r="H231" t="s">
        <v>422</v>
      </c>
      <c r="I231" t="b">
        <v>1</v>
      </c>
      <c r="J231">
        <v>854272</v>
      </c>
      <c r="K231">
        <v>5607512</v>
      </c>
      <c r="M231">
        <v>596200</v>
      </c>
      <c r="N231">
        <v>0</v>
      </c>
      <c r="O231">
        <v>5211046</v>
      </c>
      <c r="Q231">
        <v>1846938</v>
      </c>
      <c r="R231">
        <v>84643399</v>
      </c>
      <c r="S231">
        <v>86490336</v>
      </c>
      <c r="T231">
        <v>2808839</v>
      </c>
      <c r="V231">
        <v>401626</v>
      </c>
      <c r="W231">
        <v>2545231</v>
      </c>
      <c r="Y231">
        <v>23119</v>
      </c>
      <c r="Z231">
        <v>77526</v>
      </c>
      <c r="AA231">
        <v>599058</v>
      </c>
      <c r="AB231">
        <v>50857170</v>
      </c>
      <c r="AC231">
        <v>51456229</v>
      </c>
      <c r="AD231">
        <v>35034108</v>
      </c>
      <c r="AE231">
        <v>33786229</v>
      </c>
      <c r="AF231">
        <v>1247879</v>
      </c>
      <c r="AG231">
        <v>9087724</v>
      </c>
      <c r="AH231">
        <v>0.30908057947182377</v>
      </c>
      <c r="AI231" t="b">
        <v>1</v>
      </c>
      <c r="AK231">
        <v>6.8000000000000005E-2</v>
      </c>
      <c r="AL231">
        <v>6.8000000000000005E-2</v>
      </c>
      <c r="AM231">
        <v>6.8000000000000005E-2</v>
      </c>
      <c r="AN231">
        <v>6.8000000000000005E-2</v>
      </c>
      <c r="AO231">
        <v>1</v>
      </c>
      <c r="AP231">
        <v>0</v>
      </c>
      <c r="AS231">
        <v>45262114</v>
      </c>
      <c r="AT231">
        <v>26554550</v>
      </c>
      <c r="AU231" t="s">
        <v>277</v>
      </c>
      <c r="AV231" t="s">
        <v>427</v>
      </c>
      <c r="BB231">
        <f t="shared" si="486"/>
        <v>0.5949361672036978</v>
      </c>
      <c r="BD231">
        <f t="shared" si="487"/>
        <v>10228006</v>
      </c>
      <c r="BE231">
        <f t="shared" si="488"/>
        <v>-8479558</v>
      </c>
      <c r="BF231">
        <f t="shared" si="489"/>
        <v>11.825605579795644</v>
      </c>
      <c r="BG231">
        <f t="shared" si="490"/>
        <v>-9.8040525591205938</v>
      </c>
      <c r="BH231">
        <f t="shared" si="491"/>
        <v>10.814829069458117</v>
      </c>
      <c r="BI231">
        <f t="shared" si="492"/>
        <v>101.07765103375247</v>
      </c>
      <c r="BJ231">
        <f t="shared" si="493"/>
        <v>11</v>
      </c>
      <c r="BK231">
        <f>IF($BJ231&lt;=30,IF($B231=2015,VLOOKUP($BJ231,'Treasury Yields'!$C$5:$N$34,$E231,FALSE)/100,IF($B231=2016,VLOOKUP($BJ231,'Treasury Yields'!$C$40:$N$69,$E231,FALSE)/100,IF($B231=2017,VLOOKUP($BJ231,'Treasury Yields'!$C$75:$N$104,$E231,FALSE)/100,IF($B231=2018,VLOOKUP($BJ231,'Treasury Yields'!$C$110:$N$139,$E231,FALSE)/100,IF($B231=2019,VLOOKUP($BJ231,'Treasury Yields'!$C$145:$N$174,$E231,FALSE)/100,IF($B231=2020,VLOOKUP($BJ231,'Treasury Yields'!$C$180:$N$209,$E231,FALSE)/100,IF($B231=2021,VLOOKUP($BJ231,'Treasury Yields'!$C$215:$N$244,$E231,FALSE)/100,IF($B231=2022,VLOOKUP($BJ231,'Treasury Yields'!$C$250:$N$279,$E231,FALSE)/100)))))))),0)</f>
        <v>1.8252000000000001E-2</v>
      </c>
      <c r="BL231">
        <f t="shared" si="494"/>
        <v>1.5404909800514024</v>
      </c>
      <c r="BM231">
        <f t="shared" si="495"/>
        <v>130392392.68039189</v>
      </c>
      <c r="BN231">
        <f t="shared" si="496"/>
        <v>79535222.680391893</v>
      </c>
      <c r="BP231">
        <f>IF($BJ231&lt;=30,IF($B231=2015,VLOOKUP($BJ231,'Treasury Yields'!$C$40:$N$69,$E231,FALSE)/100,IF($B231=2016,VLOOKUP($BJ231,'Treasury Yields'!$C$75:$N$104,$E231,FALSE)/100,IF($B231=2017,VLOOKUP($BJ231,'Treasury Yields'!$C$110:$N$139,$E231,FALSE)/100,IF($B231=2018,VLOOKUP($BJ231,'Treasury Yields'!$C$145:$N$174,$E231,FALSE)/100,IF($B231=2019,VLOOKUP($BJ231,'Treasury Yields'!$C$180:$N$209,$E231,FALSE)/100,IF($B231=2020,VLOOKUP($BJ231,'Treasury Yields'!$C$215:$N$244,$E231,FALSE)/100,IF($B231=2021,VLOOKUP($BJ231,'Treasury Yields'!$C$250:$N$279,$E231,FALSE)/100,IF($B231=2022,VLOOKUP($BJ231,'Treasury Yields'!$C$285:$N$314,$E231,FALSE)/100)))))))),0)</f>
        <v>1.4154090909090908E-2</v>
      </c>
      <c r="BQ231">
        <f t="shared" si="497"/>
        <v>1.5852336848335893</v>
      </c>
      <c r="BR231">
        <f t="shared" si="498"/>
        <v>137107394.03977525</v>
      </c>
      <c r="BS231">
        <f t="shared" si="499"/>
        <v>85651165.039775252</v>
      </c>
      <c r="BU231">
        <f t="shared" si="416"/>
        <v>14</v>
      </c>
      <c r="BV231">
        <f t="shared" si="500"/>
        <v>2.4846415061608846</v>
      </c>
      <c r="BW231">
        <f t="shared" si="501"/>
        <v>2122559.6687510712</v>
      </c>
      <c r="BX231" s="5">
        <f t="shared" si="502"/>
        <v>2323550.8986845575</v>
      </c>
      <c r="BY231" s="5">
        <f t="shared" si="503"/>
        <v>1395305.8318445575</v>
      </c>
      <c r="BZ231" s="5">
        <f t="shared" si="504"/>
        <v>6461784</v>
      </c>
      <c r="CA231" s="5">
        <f t="shared" si="505"/>
        <v>3517865.5005956287</v>
      </c>
      <c r="CC231" s="5">
        <f t="shared" si="506"/>
        <v>137107394.03977525</v>
      </c>
      <c r="CD231" s="5" t="str">
        <f t="shared" si="507"/>
        <v>Michigan</v>
      </c>
      <c r="CE231" s="5">
        <f t="shared" si="414"/>
        <v>0.5949361672036978</v>
      </c>
      <c r="CF231" s="10">
        <f t="shared" si="508"/>
        <v>0.37529871645778928</v>
      </c>
    </row>
    <row r="232" spans="1:84" x14ac:dyDescent="0.2">
      <c r="A232">
        <v>23000000000711</v>
      </c>
      <c r="B232">
        <v>2021</v>
      </c>
      <c r="C232">
        <v>485</v>
      </c>
      <c r="D232" t="s">
        <v>419</v>
      </c>
      <c r="E232">
        <v>9</v>
      </c>
      <c r="F232" t="s">
        <v>420</v>
      </c>
      <c r="G232" t="s">
        <v>421</v>
      </c>
      <c r="H232" t="s">
        <v>422</v>
      </c>
      <c r="I232" t="b">
        <v>1</v>
      </c>
      <c r="J232">
        <v>850016</v>
      </c>
      <c r="K232">
        <v>5728433</v>
      </c>
      <c r="M232">
        <v>-163121</v>
      </c>
      <c r="N232">
        <v>0</v>
      </c>
      <c r="O232">
        <v>5336242</v>
      </c>
      <c r="Q232">
        <v>1079086</v>
      </c>
      <c r="R232">
        <v>86490336</v>
      </c>
      <c r="S232">
        <v>87569423</v>
      </c>
      <c r="T232">
        <v>3081014</v>
      </c>
      <c r="V232">
        <v>413531</v>
      </c>
      <c r="W232">
        <v>13740731</v>
      </c>
      <c r="Y232">
        <v>23239</v>
      </c>
      <c r="Z232">
        <v>132</v>
      </c>
      <c r="AA232">
        <v>11875927</v>
      </c>
      <c r="AB232">
        <v>51456229</v>
      </c>
      <c r="AC232">
        <v>63332155</v>
      </c>
      <c r="AD232">
        <v>24237267</v>
      </c>
      <c r="AE232">
        <v>35034108</v>
      </c>
      <c r="AF232">
        <v>-10796841</v>
      </c>
      <c r="AG232">
        <v>9269004</v>
      </c>
      <c r="AI232" t="b">
        <v>1</v>
      </c>
      <c r="AK232">
        <v>6.8000000000000005E-2</v>
      </c>
      <c r="AL232">
        <v>6.8000000000000005E-2</v>
      </c>
      <c r="AM232">
        <v>6.8000000000000005E-2</v>
      </c>
      <c r="AN232">
        <v>6.8000000000000005E-2</v>
      </c>
      <c r="AS232">
        <v>34524489</v>
      </c>
      <c r="AT232">
        <v>15705695</v>
      </c>
      <c r="BB232">
        <f t="shared" si="486"/>
        <v>0.72322224847821592</v>
      </c>
      <c r="BD232">
        <f t="shared" si="487"/>
        <v>10287222</v>
      </c>
      <c r="BE232">
        <f t="shared" si="488"/>
        <v>-8531572</v>
      </c>
      <c r="BF232">
        <f t="shared" si="489"/>
        <v>11.747504605574482</v>
      </c>
      <c r="BG232">
        <f t="shared" si="490"/>
        <v>-9.7426381352312887</v>
      </c>
      <c r="BH232">
        <f t="shared" si="491"/>
        <v>10.745071370402886</v>
      </c>
      <c r="BI232">
        <f t="shared" si="492"/>
        <v>100.24332351715962</v>
      </c>
      <c r="BJ232">
        <f t="shared" si="493"/>
        <v>11</v>
      </c>
      <c r="BK232">
        <f>IF($BJ232&lt;=30,IF($B232=2015,VLOOKUP($BJ232,'Treasury Yields'!$C$5:$N$34,$E232,FALSE)/100,IF($B232=2016,VLOOKUP($BJ232,'Treasury Yields'!$C$40:$N$69,$E232,FALSE)/100,IF($B232=2017,VLOOKUP($BJ232,'Treasury Yields'!$C$75:$N$104,$E232,FALSE)/100,IF($B232=2018,VLOOKUP($BJ232,'Treasury Yields'!$C$110:$N$139,$E232,FALSE)/100,IF($B232=2019,VLOOKUP($BJ232,'Treasury Yields'!$C$145:$N$174,$E232,FALSE)/100,IF($B232=2020,VLOOKUP($BJ232,'Treasury Yields'!$C$180:$N$209,$E232,FALSE)/100,IF($B232=2021,VLOOKUP($BJ232,'Treasury Yields'!$C$215:$N$244,$E232,FALSE)/100,IF($B232=2022,VLOOKUP($BJ232,'Treasury Yields'!$C$250:$N$279,$E232,FALSE)/100)))))))),0)</f>
        <v>1.4154090909090908E-2</v>
      </c>
      <c r="BL232">
        <f t="shared" si="494"/>
        <v>1.5814775181118703</v>
      </c>
      <c r="BM232">
        <f t="shared" si="495"/>
        <v>136782521.91794175</v>
      </c>
      <c r="BN232">
        <f t="shared" si="496"/>
        <v>85326292.917941749</v>
      </c>
      <c r="BP232">
        <f>IF($BJ232&lt;=30,IF($B232=2015,VLOOKUP($BJ232,'Treasury Yields'!$C$40:$N$69,$E232,FALSE)/100,IF($B232=2016,VLOOKUP($BJ232,'Treasury Yields'!$C$75:$N$104,$E232,FALSE)/100,IF($B232=2017,VLOOKUP($BJ232,'Treasury Yields'!$C$110:$N$139,$E232,FALSE)/100,IF($B232=2018,VLOOKUP($BJ232,'Treasury Yields'!$C$145:$N$174,$E232,FALSE)/100,IF($B232=2019,VLOOKUP($BJ232,'Treasury Yields'!$C$180:$N$209,$E232,FALSE)/100,IF($B232=2020,VLOOKUP($BJ232,'Treasury Yields'!$C$215:$N$244,$E232,FALSE)/100,IF($B232=2021,VLOOKUP($BJ232,'Treasury Yields'!$C$250:$N$279,$E232,FALSE)/100,IF($B232=2022,VLOOKUP($BJ232,'Treasury Yields'!$C$285:$N$314,$E232,FALSE)/100)))))))),0)</f>
        <v>1.9555454545454546E-2</v>
      </c>
      <c r="BQ232">
        <f t="shared" si="497"/>
        <v>1.5228869724001153</v>
      </c>
      <c r="BR232">
        <f t="shared" si="498"/>
        <v>133358333.46729502</v>
      </c>
      <c r="BS232">
        <f t="shared" si="499"/>
        <v>70026178.467295021</v>
      </c>
      <c r="BU232">
        <f t="shared" si="416"/>
        <v>14</v>
      </c>
      <c r="BV232">
        <f t="shared" si="500"/>
        <v>2.6230645438491971</v>
      </c>
      <c r="BW232">
        <f t="shared" si="501"/>
        <v>2229646.831304519</v>
      </c>
      <c r="BX232" s="5">
        <f t="shared" si="502"/>
        <v>1892061.2195658088</v>
      </c>
      <c r="BY232" s="5">
        <f t="shared" si="503"/>
        <v>1163745.0764608087</v>
      </c>
      <c r="BZ232" s="5">
        <f t="shared" si="504"/>
        <v>6578449</v>
      </c>
      <c r="CA232" s="5">
        <f t="shared" si="505"/>
        <v>3393391.907765328</v>
      </c>
      <c r="CC232" s="5">
        <f t="shared" si="506"/>
        <v>133358333.46729502</v>
      </c>
      <c r="CD232" s="5" t="str">
        <f t="shared" si="507"/>
        <v>Michigan</v>
      </c>
      <c r="CE232" s="5">
        <f t="shared" si="414"/>
        <v>0.72322224847821592</v>
      </c>
      <c r="CF232" s="10">
        <f t="shared" si="508"/>
        <v>0.47490211787575815</v>
      </c>
    </row>
    <row r="233" spans="1:84" x14ac:dyDescent="0.2">
      <c r="A233">
        <v>23000000000711</v>
      </c>
      <c r="B233">
        <v>2022</v>
      </c>
      <c r="C233">
        <v>485</v>
      </c>
      <c r="D233" t="s">
        <v>419</v>
      </c>
      <c r="E233">
        <v>9</v>
      </c>
      <c r="F233" t="s">
        <v>420</v>
      </c>
      <c r="G233" t="s">
        <v>421</v>
      </c>
      <c r="H233" t="s">
        <v>422</v>
      </c>
      <c r="I233" t="b">
        <v>1</v>
      </c>
      <c r="J233">
        <v>859233</v>
      </c>
      <c r="K233">
        <v>5797601</v>
      </c>
      <c r="M233">
        <v>217098</v>
      </c>
      <c r="N233">
        <v>8139135</v>
      </c>
      <c r="O233">
        <v>5457513</v>
      </c>
      <c r="Q233">
        <v>9555553</v>
      </c>
      <c r="R233">
        <v>87569423</v>
      </c>
      <c r="S233">
        <v>97124976</v>
      </c>
      <c r="T233">
        <v>3843216</v>
      </c>
      <c r="V233">
        <v>434411</v>
      </c>
      <c r="W233">
        <v>-2932020</v>
      </c>
      <c r="Y233">
        <v>23784</v>
      </c>
      <c r="Z233">
        <v>89</v>
      </c>
      <c r="AA233">
        <v>-4135601</v>
      </c>
      <c r="AB233">
        <v>63332155</v>
      </c>
      <c r="AC233">
        <v>59196555</v>
      </c>
      <c r="AD233">
        <v>37928421</v>
      </c>
      <c r="AE233">
        <v>24237267</v>
      </c>
      <c r="AF233">
        <v>13691154</v>
      </c>
      <c r="AG233">
        <v>9962787</v>
      </c>
      <c r="AI233" t="b">
        <v>1</v>
      </c>
      <c r="AK233">
        <v>6.8000000000000005E-2</v>
      </c>
      <c r="AL233">
        <v>0.06</v>
      </c>
      <c r="AM233">
        <v>0.06</v>
      </c>
      <c r="AN233">
        <v>6.8000000000000005E-2</v>
      </c>
      <c r="AS233">
        <v>50074907</v>
      </c>
      <c r="AT233">
        <v>27916048</v>
      </c>
      <c r="AV233" t="s">
        <v>428</v>
      </c>
      <c r="BB233">
        <f t="shared" si="486"/>
        <v>0.60948849037553432</v>
      </c>
      <c r="BD233">
        <f t="shared" si="487"/>
        <v>12146486</v>
      </c>
      <c r="BE233">
        <f t="shared" si="488"/>
        <v>-10012373</v>
      </c>
      <c r="BF233">
        <f t="shared" si="489"/>
        <v>12.506037581929494</v>
      </c>
      <c r="BG233">
        <f t="shared" si="490"/>
        <v>-10.308752096885975</v>
      </c>
      <c r="BH233">
        <f t="shared" si="491"/>
        <v>11.407394839407733</v>
      </c>
      <c r="BI233">
        <f t="shared" si="492"/>
        <v>109.86427425217587</v>
      </c>
      <c r="BJ233">
        <f t="shared" si="493"/>
        <v>11</v>
      </c>
      <c r="BK233">
        <f>IF($BJ233&lt;=30,IF($B233=2015,VLOOKUP($BJ233,'Treasury Yields'!$C$5:$N$34,$E233,FALSE)/100,IF($B233=2016,VLOOKUP($BJ233,'Treasury Yields'!$C$40:$N$69,$E233,FALSE)/100,IF($B233=2017,VLOOKUP($BJ233,'Treasury Yields'!$C$75:$N$104,$E233,FALSE)/100,IF($B233=2018,VLOOKUP($BJ233,'Treasury Yields'!$C$110:$N$139,$E233,FALSE)/100,IF($B233=2019,VLOOKUP($BJ233,'Treasury Yields'!$C$145:$N$174,$E233,FALSE)/100,IF($B233=2020,VLOOKUP($BJ233,'Treasury Yields'!$C$180:$N$209,$E233,FALSE)/100,IF($B233=2021,VLOOKUP($BJ233,'Treasury Yields'!$C$215:$N$244,$E233,FALSE)/100,IF($B233=2022,VLOOKUP($BJ233,'Treasury Yields'!$C$250:$N$279,$E233,FALSE)/100)))))))),0)</f>
        <v>1.9555454545454546E-2</v>
      </c>
      <c r="BL233">
        <f t="shared" si="494"/>
        <v>1.463002660357398</v>
      </c>
      <c r="BM233">
        <f t="shared" si="495"/>
        <v>128114298.81496231</v>
      </c>
      <c r="BN233">
        <f t="shared" si="496"/>
        <v>64782143.814962313</v>
      </c>
      <c r="BP233">
        <f>IF($BJ233&lt;=30,IF($B233=2015,VLOOKUP($BJ233,'Treasury Yields'!$C$40:$N$69,$E233,FALSE)/100,IF($B233=2016,VLOOKUP($BJ233,'Treasury Yields'!$C$75:$N$104,$E233,FALSE)/100,IF($B233=2017,VLOOKUP($BJ233,'Treasury Yields'!$C$110:$N$139,$E233,FALSE)/100,IF($B233=2018,VLOOKUP($BJ233,'Treasury Yields'!$C$145:$N$174,$E233,FALSE)/100,IF($B233=2019,VLOOKUP($BJ233,'Treasury Yields'!$C$180:$N$209,$E233,FALSE)/100,IF($B233=2020,VLOOKUP($BJ233,'Treasury Yields'!$C$215:$N$244,$E233,FALSE)/100,IF($B233=2021,VLOOKUP($BJ233,'Treasury Yields'!$C$250:$N$279,$E233,FALSE)/100,IF($B233=2022,VLOOKUP($BJ233,'Treasury Yields'!$C$285:$N$314,$E233,FALSE)/100)))))))),0)</f>
        <v>3.5134090909090906E-2</v>
      </c>
      <c r="BQ233">
        <f t="shared" si="497"/>
        <v>1.375994569736452</v>
      </c>
      <c r="BR233">
        <f t="shared" si="498"/>
        <v>133643439.56178322</v>
      </c>
      <c r="BS233">
        <f t="shared" si="499"/>
        <v>74446884.561783224</v>
      </c>
      <c r="BU233">
        <f t="shared" si="416"/>
        <v>14</v>
      </c>
      <c r="BV233">
        <f t="shared" si="500"/>
        <v>2.4886873012254309</v>
      </c>
      <c r="BW233">
        <f t="shared" si="501"/>
        <v>2138362.2558938307</v>
      </c>
      <c r="BX233" s="5">
        <f t="shared" si="502"/>
        <v>2440425.8455928969</v>
      </c>
      <c r="BY233" s="5">
        <f t="shared" si="503"/>
        <v>1201936.7672247151</v>
      </c>
      <c r="BZ233" s="5">
        <f t="shared" si="504"/>
        <v>6656834</v>
      </c>
      <c r="CA233" s="5">
        <f t="shared" si="505"/>
        <v>3340299.0231185458</v>
      </c>
      <c r="CC233" s="5">
        <f t="shared" si="506"/>
        <v>133643439.56178322</v>
      </c>
      <c r="CD233" s="5" t="str">
        <f t="shared" si="507"/>
        <v>Michigan</v>
      </c>
      <c r="CE233" s="5">
        <f t="shared" si="414"/>
        <v>0.60948849037553432</v>
      </c>
      <c r="CF233" s="10">
        <f t="shared" si="508"/>
        <v>0.44294396488226789</v>
      </c>
    </row>
    <row r="234" spans="1:84" x14ac:dyDescent="0.2">
      <c r="A234">
        <v>25000000006601</v>
      </c>
      <c r="B234">
        <v>2015</v>
      </c>
      <c r="C234">
        <v>479</v>
      </c>
      <c r="D234" t="s">
        <v>429</v>
      </c>
      <c r="E234">
        <v>6</v>
      </c>
      <c r="F234" t="s">
        <v>430</v>
      </c>
      <c r="G234" t="s">
        <v>431</v>
      </c>
      <c r="H234" t="s">
        <v>432</v>
      </c>
      <c r="I234" t="b">
        <v>1</v>
      </c>
      <c r="J234">
        <v>673626</v>
      </c>
      <c r="K234">
        <v>2867679</v>
      </c>
      <c r="L234">
        <v>0</v>
      </c>
      <c r="M234">
        <v>325351</v>
      </c>
      <c r="N234">
        <v>1821236</v>
      </c>
      <c r="O234">
        <v>2219240</v>
      </c>
      <c r="P234">
        <v>119356</v>
      </c>
      <c r="Q234">
        <v>3349296</v>
      </c>
      <c r="R234">
        <v>37015288</v>
      </c>
      <c r="S234">
        <v>40364584</v>
      </c>
      <c r="T234">
        <v>996478</v>
      </c>
      <c r="V234">
        <v>557909</v>
      </c>
      <c r="W234">
        <v>827666</v>
      </c>
      <c r="Y234">
        <v>13524</v>
      </c>
      <c r="Z234">
        <v>-496</v>
      </c>
      <c r="AA234">
        <v>29437</v>
      </c>
      <c r="AB234">
        <v>24877119</v>
      </c>
      <c r="AC234">
        <v>24906556</v>
      </c>
      <c r="AD234">
        <v>15458028</v>
      </c>
      <c r="AE234">
        <v>12138169</v>
      </c>
      <c r="AF234">
        <v>3319859</v>
      </c>
      <c r="AG234">
        <v>5904827</v>
      </c>
      <c r="AH234">
        <v>0.16875651056330693</v>
      </c>
      <c r="AI234" t="b">
        <v>1</v>
      </c>
      <c r="AK234">
        <v>0.08</v>
      </c>
      <c r="AL234">
        <v>7.7499999999999999E-2</v>
      </c>
      <c r="AM234">
        <v>7.7499999999999999E-2</v>
      </c>
      <c r="AN234">
        <v>0.08</v>
      </c>
      <c r="AO234">
        <v>1</v>
      </c>
      <c r="AP234">
        <v>0</v>
      </c>
      <c r="AS234">
        <v>20375097</v>
      </c>
      <c r="AT234">
        <v>11377780</v>
      </c>
      <c r="BB234">
        <f t="shared" ref="BB234:BB241" si="509">AC234/S234</f>
        <v>0.61703982877663255</v>
      </c>
      <c r="BD234">
        <f t="shared" ref="BD234:BD241" si="510">AS234-AD234</f>
        <v>4917069</v>
      </c>
      <c r="BE234">
        <f t="shared" ref="BE234:BE241" si="511">AT234-AD234</f>
        <v>-4080248</v>
      </c>
      <c r="BF234">
        <f t="shared" ref="BF234:BF241" si="512">BD234/S234*100</f>
        <v>12.181641708483854</v>
      </c>
      <c r="BG234">
        <f t="shared" ref="BG234:BG241" si="513">BE234/S234*100</f>
        <v>-10.108485200788889</v>
      </c>
      <c r="BH234">
        <f t="shared" ref="BH234:BH241" si="514">(BD234-BE234)/(2*S234)*100</f>
        <v>11.145063454636372</v>
      </c>
      <c r="BI234">
        <f t="shared" ref="BI234:BI241" si="515">(BD234+BE234)/(2*S234*(0.01^2))</f>
        <v>103.65782538474818</v>
      </c>
      <c r="BJ234">
        <f t="shared" ref="BJ234:BJ241" si="516">ROUND(BH234,0)</f>
        <v>11</v>
      </c>
      <c r="BK234">
        <f>IF($BJ234&lt;=30,IF($B234=2015,VLOOKUP($BJ234,'Treasury Yields'!$C$5:$N$34,$E234,FALSE)/100,IF($B234=2016,VLOOKUP($BJ234,'Treasury Yields'!$C$40:$N$69,$E234,FALSE)/100,IF($B234=2017,VLOOKUP($BJ234,'Treasury Yields'!$C$75:$N$104,$E234,FALSE)/100,IF($B234=2018,VLOOKUP($BJ234,'Treasury Yields'!$C$110:$N$139,$E234,FALSE)/100,IF($B234=2019,VLOOKUP($BJ234,'Treasury Yields'!$C$145:$N$174,$E234,FALSE)/100,IF($B234=2020,VLOOKUP($BJ234,'Treasury Yields'!$C$180:$N$209,$E234,FALSE)/100,IF($B234=2021,VLOOKUP($BJ234,'Treasury Yields'!$C$215:$N$244,$E234,FALSE)/100,IF($B234=2022,VLOOKUP($BJ234,'Treasury Yields'!$C$250:$N$279,$E234,FALSE)/100)))))))),0)</f>
        <v>2.8147999999999999E-2</v>
      </c>
      <c r="BL234">
        <f t="shared" ref="BL234:BL241" si="517">1+BH234*(AL234-BK234)+(AL234-BK234)^2</f>
        <v>1.5524667915172143</v>
      </c>
      <c r="BM234">
        <f t="shared" ref="BM234:BM241" si="518">BL234*R234</f>
        <v>57465005.398445643</v>
      </c>
      <c r="BN234">
        <f t="shared" ref="BN234:BN241" si="519">BM234-AB234</f>
        <v>32587886.398445643</v>
      </c>
      <c r="BP234">
        <f>IF($BJ234&lt;=30,IF($B234=2015,VLOOKUP($BJ234,'Treasury Yields'!$C$40:$N$69,$E234,FALSE)/100,IF($B234=2016,VLOOKUP($BJ234,'Treasury Yields'!$C$75:$N$104,$E234,FALSE)/100,IF($B234=2017,VLOOKUP($BJ234,'Treasury Yields'!$C$110:$N$139,$E234,FALSE)/100,IF($B234=2018,VLOOKUP($BJ234,'Treasury Yields'!$C$145:$N$174,$E234,FALSE)/100,IF($B234=2019,VLOOKUP($BJ234,'Treasury Yields'!$C$180:$N$209,$E234,FALSE)/100,IF($B234=2020,VLOOKUP($BJ234,'Treasury Yields'!$C$215:$N$244,$E234,FALSE)/100,IF($B234=2021,VLOOKUP($BJ234,'Treasury Yields'!$C$250:$N$279,$E234,FALSE)/100,IF($B234=2022,VLOOKUP($BJ234,'Treasury Yields'!$C$285:$N$314,$E234,FALSE)/100)))))))),0)</f>
        <v>2.6258E-2</v>
      </c>
      <c r="BQ234">
        <f t="shared" ref="BQ234:BQ241" si="520">1+BH234*(AN234-BP234)+(AN234-BP234)^2</f>
        <v>1.601846202743068</v>
      </c>
      <c r="BR234">
        <f t="shared" ref="BR234:BR241" si="521">BQ234*S234</f>
        <v>64657855.6057036</v>
      </c>
      <c r="BS234">
        <f t="shared" ref="BS234:BS241" si="522">BR234-AC234</f>
        <v>39751299.6057036</v>
      </c>
      <c r="BU234">
        <f t="shared" si="416"/>
        <v>14</v>
      </c>
      <c r="BV234">
        <f t="shared" ref="BV234:BV241" si="523">1+(BH234+BU234)*(AN234-BK234)+(AN234-BK234)^2*BI234</f>
        <v>2.5825193593628493</v>
      </c>
      <c r="BW234">
        <f t="shared" ref="BW234:BW241" si="524">BV234*J234</f>
        <v>1739652.1859701588</v>
      </c>
      <c r="BX234" s="5">
        <f t="shared" ref="BX234:BX241" si="525">(BM234+BW234-O234)*BK234</f>
        <v>1604025.5341661358</v>
      </c>
      <c r="BY234" s="5">
        <f t="shared" ref="BY234:BY241" si="526">BK234*(BN234+BW234-O234)</f>
        <v>903784.38855413592</v>
      </c>
      <c r="BZ234" s="5">
        <f t="shared" ref="BZ234:BZ241" si="527">SUM(J234:K234)</f>
        <v>3541305</v>
      </c>
      <c r="CA234" s="5">
        <f t="shared" ref="CA234:CA241" si="528">SUM(BW234+BY234)</f>
        <v>2643436.5745242946</v>
      </c>
      <c r="CC234" s="5">
        <f t="shared" ref="CC234:CC241" si="529">BR234</f>
        <v>64657855.6057036</v>
      </c>
      <c r="CD234" s="5" t="str">
        <f t="shared" ref="CD234:CD241" si="530">F234</f>
        <v>Mississippi</v>
      </c>
      <c r="CE234" s="5">
        <f t="shared" si="414"/>
        <v>0.61703982877663255</v>
      </c>
      <c r="CF234" s="10">
        <f t="shared" ref="CF234:CF241" si="531">AC234/CC234</f>
        <v>0.38520541342857251</v>
      </c>
    </row>
    <row r="235" spans="1:84" x14ac:dyDescent="0.2">
      <c r="A235">
        <v>25000000006601</v>
      </c>
      <c r="B235">
        <v>2016</v>
      </c>
      <c r="C235">
        <v>479</v>
      </c>
      <c r="D235" t="s">
        <v>429</v>
      </c>
      <c r="E235">
        <v>6</v>
      </c>
      <c r="F235" t="s">
        <v>430</v>
      </c>
      <c r="G235" t="s">
        <v>431</v>
      </c>
      <c r="H235" t="s">
        <v>432</v>
      </c>
      <c r="I235" t="b">
        <v>1</v>
      </c>
      <c r="J235">
        <v>734545</v>
      </c>
      <c r="K235">
        <v>3032131</v>
      </c>
      <c r="M235">
        <v>413494</v>
      </c>
      <c r="N235">
        <v>-66606</v>
      </c>
      <c r="O235">
        <v>2367709</v>
      </c>
      <c r="P235">
        <v>112926</v>
      </c>
      <c r="Q235">
        <v>1632929</v>
      </c>
      <c r="R235">
        <v>40364584</v>
      </c>
      <c r="S235">
        <v>41997513</v>
      </c>
      <c r="T235">
        <v>1021261</v>
      </c>
      <c r="V235">
        <v>572574</v>
      </c>
      <c r="W235">
        <v>130900</v>
      </c>
      <c r="Y235">
        <v>15166</v>
      </c>
      <c r="Z235">
        <v>-474</v>
      </c>
      <c r="AA235">
        <v>-771540</v>
      </c>
      <c r="AB235">
        <v>24906556</v>
      </c>
      <c r="AC235">
        <v>24135016</v>
      </c>
      <c r="AD235">
        <v>17862497</v>
      </c>
      <c r="AE235">
        <v>15458028</v>
      </c>
      <c r="AF235">
        <v>2404469</v>
      </c>
      <c r="AG235">
        <v>6022533</v>
      </c>
      <c r="AH235">
        <v>0.16957333401078914</v>
      </c>
      <c r="AI235" t="b">
        <v>1</v>
      </c>
      <c r="AK235">
        <v>7.7499999999999999E-2</v>
      </c>
      <c r="AL235">
        <v>7.7499999999999999E-2</v>
      </c>
      <c r="AM235">
        <v>7.7499999999999999E-2</v>
      </c>
      <c r="AN235">
        <v>7.7499999999999999E-2</v>
      </c>
      <c r="AO235">
        <v>1</v>
      </c>
      <c r="AP235">
        <v>0</v>
      </c>
      <c r="AS235">
        <v>22903726</v>
      </c>
      <c r="AT235">
        <v>13679911</v>
      </c>
      <c r="AU235" t="s">
        <v>184</v>
      </c>
      <c r="AV235" t="s">
        <v>433</v>
      </c>
      <c r="BB235">
        <f t="shared" si="509"/>
        <v>0.57467726719913148</v>
      </c>
      <c r="BD235">
        <f t="shared" si="510"/>
        <v>5041229</v>
      </c>
      <c r="BE235">
        <f t="shared" si="511"/>
        <v>-4182586</v>
      </c>
      <c r="BF235">
        <f t="shared" si="512"/>
        <v>12.003636977265773</v>
      </c>
      <c r="BG235">
        <f t="shared" si="513"/>
        <v>-9.9591278178781675</v>
      </c>
      <c r="BH235">
        <f t="shared" si="514"/>
        <v>10.98138239757197</v>
      </c>
      <c r="BI235">
        <f t="shared" si="515"/>
        <v>102.22545796938023</v>
      </c>
      <c r="BJ235">
        <f t="shared" si="516"/>
        <v>11</v>
      </c>
      <c r="BK235">
        <f>IF($BJ235&lt;=30,IF($B235=2015,VLOOKUP($BJ235,'Treasury Yields'!$C$5:$N$34,$E235,FALSE)/100,IF($B235=2016,VLOOKUP($BJ235,'Treasury Yields'!$C$40:$N$69,$E235,FALSE)/100,IF($B235=2017,VLOOKUP($BJ235,'Treasury Yields'!$C$75:$N$104,$E235,FALSE)/100,IF($B235=2018,VLOOKUP($BJ235,'Treasury Yields'!$C$110:$N$139,$E235,FALSE)/100,IF($B235=2019,VLOOKUP($BJ235,'Treasury Yields'!$C$145:$N$174,$E235,FALSE)/100,IF($B235=2020,VLOOKUP($BJ235,'Treasury Yields'!$C$180:$N$209,$E235,FALSE)/100,IF($B235=2021,VLOOKUP($BJ235,'Treasury Yields'!$C$215:$N$244,$E235,FALSE)/100,IF($B235=2022,VLOOKUP($BJ235,'Treasury Yields'!$C$250:$N$279,$E235,FALSE)/100)))))))),0)</f>
        <v>2.6258E-2</v>
      </c>
      <c r="BL235">
        <f t="shared" si="517"/>
        <v>1.5653337393803828</v>
      </c>
      <c r="BM235">
        <f t="shared" si="518"/>
        <v>63184045.211253569</v>
      </c>
      <c r="BN235">
        <f t="shared" si="519"/>
        <v>38277489.211253569</v>
      </c>
      <c r="BP235">
        <f>IF($BJ235&lt;=30,IF($B235=2015,VLOOKUP($BJ235,'Treasury Yields'!$C$40:$N$69,$E235,FALSE)/100,IF($B235=2016,VLOOKUP($BJ235,'Treasury Yields'!$C$75:$N$104,$E235,FALSE)/100,IF($B235=2017,VLOOKUP($BJ235,'Treasury Yields'!$C$110:$N$139,$E235,FALSE)/100,IF($B235=2018,VLOOKUP($BJ235,'Treasury Yields'!$C$145:$N$174,$E235,FALSE)/100,IF($B235=2019,VLOOKUP($BJ235,'Treasury Yields'!$C$180:$N$209,$E235,FALSE)/100,IF($B235=2020,VLOOKUP($BJ235,'Treasury Yields'!$C$215:$N$244,$E235,FALSE)/100,IF($B235=2021,VLOOKUP($BJ235,'Treasury Yields'!$C$250:$N$279,$E235,FALSE)/100,IF($B235=2022,VLOOKUP($BJ235,'Treasury Yields'!$C$285:$N$314,$E235,FALSE)/100)))))))),0)</f>
        <v>1.6948000000000001E-2</v>
      </c>
      <c r="BQ235">
        <f t="shared" si="520"/>
        <v>1.6686112116417779</v>
      </c>
      <c r="BR235">
        <f t="shared" si="521"/>
        <v>70077521.052871317</v>
      </c>
      <c r="BS235">
        <f t="shared" si="522"/>
        <v>45942505.052871317</v>
      </c>
      <c r="BU235">
        <f t="shared" si="416"/>
        <v>14</v>
      </c>
      <c r="BV235">
        <f t="shared" si="523"/>
        <v>2.548513732930977</v>
      </c>
      <c r="BW235">
        <f t="shared" si="524"/>
        <v>1871998.0199557845</v>
      </c>
      <c r="BX235" s="5">
        <f t="shared" si="525"/>
        <v>1646070.2802430952</v>
      </c>
      <c r="BY235" s="5">
        <f t="shared" si="526"/>
        <v>992073.93279509514</v>
      </c>
      <c r="BZ235" s="5">
        <f t="shared" si="527"/>
        <v>3766676</v>
      </c>
      <c r="CA235" s="5">
        <f t="shared" si="528"/>
        <v>2864071.9527508798</v>
      </c>
      <c r="CC235" s="5">
        <f t="shared" si="529"/>
        <v>70077521.052871317</v>
      </c>
      <c r="CD235" s="5" t="str">
        <f t="shared" si="530"/>
        <v>Mississippi</v>
      </c>
      <c r="CE235" s="5">
        <f t="shared" si="414"/>
        <v>0.57467726719913148</v>
      </c>
      <c r="CF235" s="10">
        <f t="shared" si="531"/>
        <v>0.34440453425558359</v>
      </c>
    </row>
    <row r="236" spans="1:84" x14ac:dyDescent="0.2">
      <c r="A236">
        <v>25000000006601</v>
      </c>
      <c r="B236">
        <v>2017</v>
      </c>
      <c r="C236">
        <v>479</v>
      </c>
      <c r="D236" t="s">
        <v>429</v>
      </c>
      <c r="E236">
        <v>6</v>
      </c>
      <c r="F236" t="s">
        <v>430</v>
      </c>
      <c r="G236" t="s">
        <v>431</v>
      </c>
      <c r="H236" t="s">
        <v>432</v>
      </c>
      <c r="I236" t="b">
        <v>1</v>
      </c>
      <c r="J236">
        <v>754552</v>
      </c>
      <c r="K236">
        <v>3154382</v>
      </c>
      <c r="M236">
        <v>-172476</v>
      </c>
      <c r="N236">
        <v>24141</v>
      </c>
      <c r="O236">
        <v>2477914</v>
      </c>
      <c r="P236">
        <v>113707</v>
      </c>
      <c r="Q236">
        <v>1168978</v>
      </c>
      <c r="R236">
        <v>41997513</v>
      </c>
      <c r="S236">
        <v>43166491</v>
      </c>
      <c r="T236">
        <v>1019084</v>
      </c>
      <c r="V236">
        <v>570066</v>
      </c>
      <c r="W236">
        <v>3436144</v>
      </c>
      <c r="Y236">
        <v>17056</v>
      </c>
      <c r="Z236">
        <v>-8536</v>
      </c>
      <c r="AA236">
        <v>2408081</v>
      </c>
      <c r="AB236">
        <v>24135016</v>
      </c>
      <c r="AC236">
        <v>26543097</v>
      </c>
      <c r="AD236">
        <v>16623394</v>
      </c>
      <c r="AE236">
        <v>17862497</v>
      </c>
      <c r="AF236">
        <v>-1239103</v>
      </c>
      <c r="AG236">
        <v>6038229</v>
      </c>
      <c r="AH236">
        <v>0.16877200251928173</v>
      </c>
      <c r="AI236" t="b">
        <v>1</v>
      </c>
      <c r="AK236">
        <v>7.7499999999999999E-2</v>
      </c>
      <c r="AL236">
        <v>7.7499999999999999E-2</v>
      </c>
      <c r="AM236">
        <v>7.7499999999999999E-2</v>
      </c>
      <c r="AN236">
        <v>7.7499999999999999E-2</v>
      </c>
      <c r="AO236">
        <v>1</v>
      </c>
      <c r="AP236">
        <v>0</v>
      </c>
      <c r="AS236">
        <v>21802691</v>
      </c>
      <c r="AT236">
        <v>12323452</v>
      </c>
      <c r="AU236" t="s">
        <v>184</v>
      </c>
      <c r="AV236" t="s">
        <v>434</v>
      </c>
      <c r="BB236">
        <f t="shared" si="509"/>
        <v>0.61490050233640714</v>
      </c>
      <c r="BD236">
        <f t="shared" si="510"/>
        <v>5179297</v>
      </c>
      <c r="BE236">
        <f t="shared" si="511"/>
        <v>-4299942</v>
      </c>
      <c r="BF236">
        <f t="shared" si="512"/>
        <v>11.998420256119498</v>
      </c>
      <c r="BG236">
        <f t="shared" si="513"/>
        <v>-9.9612961359309935</v>
      </c>
      <c r="BH236">
        <f t="shared" si="514"/>
        <v>10.979858196025246</v>
      </c>
      <c r="BI236">
        <f t="shared" si="515"/>
        <v>101.85620600942522</v>
      </c>
      <c r="BJ236">
        <f t="shared" si="516"/>
        <v>11</v>
      </c>
      <c r="BK236">
        <f>IF($BJ236&lt;=30,IF($B236=2015,VLOOKUP($BJ236,'Treasury Yields'!$C$5:$N$34,$E236,FALSE)/100,IF($B236=2016,VLOOKUP($BJ236,'Treasury Yields'!$C$40:$N$69,$E236,FALSE)/100,IF($B236=2017,VLOOKUP($BJ236,'Treasury Yields'!$C$75:$N$104,$E236,FALSE)/100,IF($B236=2018,VLOOKUP($BJ236,'Treasury Yields'!$C$110:$N$139,$E236,FALSE)/100,IF($B236=2019,VLOOKUP($BJ236,'Treasury Yields'!$C$145:$N$174,$E236,FALSE)/100,IF($B236=2020,VLOOKUP($BJ236,'Treasury Yields'!$C$180:$N$209,$E236,FALSE)/100,IF($B236=2021,VLOOKUP($BJ236,'Treasury Yields'!$C$215:$N$244,$E236,FALSE)/100,IF($B236=2022,VLOOKUP($BJ236,'Treasury Yields'!$C$250:$N$279,$E236,FALSE)/100)))))))),0)</f>
        <v>1.6948000000000001E-2</v>
      </c>
      <c r="BL236">
        <f t="shared" si="517"/>
        <v>1.6685189181897209</v>
      </c>
      <c r="BM236">
        <f t="shared" si="518"/>
        <v>70073644.95741874</v>
      </c>
      <c r="BN236">
        <f t="shared" si="519"/>
        <v>45938628.95741874</v>
      </c>
      <c r="BP236">
        <f>IF($BJ236&lt;=30,IF($B236=2015,VLOOKUP($BJ236,'Treasury Yields'!$C$40:$N$69,$E236,FALSE)/100,IF($B236=2016,VLOOKUP($BJ236,'Treasury Yields'!$C$75:$N$104,$E236,FALSE)/100,IF($B236=2017,VLOOKUP($BJ236,'Treasury Yields'!$C$110:$N$139,$E236,FALSE)/100,IF($B236=2018,VLOOKUP($BJ236,'Treasury Yields'!$C$145:$N$174,$E236,FALSE)/100,IF($B236=2019,VLOOKUP($BJ236,'Treasury Yields'!$C$180:$N$209,$E236,FALSE)/100,IF($B236=2020,VLOOKUP($BJ236,'Treasury Yields'!$C$215:$N$244,$E236,FALSE)/100,IF($B236=2021,VLOOKUP($BJ236,'Treasury Yields'!$C$250:$N$279,$E236,FALSE)/100,IF($B236=2022,VLOOKUP($BJ236,'Treasury Yields'!$C$285:$N$314,$E236,FALSE)/100)))))))),0)</f>
        <v>2.5068799999999999E-2</v>
      </c>
      <c r="BQ236">
        <f t="shared" si="520"/>
        <v>1.5784361717808788</v>
      </c>
      <c r="BR236">
        <f t="shared" si="521"/>
        <v>68135550.803253755</v>
      </c>
      <c r="BS236">
        <f t="shared" si="522"/>
        <v>41592453.803253755</v>
      </c>
      <c r="BU236">
        <f t="shared" si="416"/>
        <v>14</v>
      </c>
      <c r="BV236">
        <f t="shared" si="523"/>
        <v>2.8860407061991111</v>
      </c>
      <c r="BW236">
        <f t="shared" si="524"/>
        <v>2177667.7869439516</v>
      </c>
      <c r="BX236" s="5">
        <f t="shared" si="525"/>
        <v>1182519.5619194591</v>
      </c>
      <c r="BY236" s="5">
        <f t="shared" si="526"/>
        <v>773479.31075145886</v>
      </c>
      <c r="BZ236" s="5">
        <f t="shared" si="527"/>
        <v>3908934</v>
      </c>
      <c r="CA236" s="5">
        <f t="shared" si="528"/>
        <v>2951147.0976954103</v>
      </c>
      <c r="CC236" s="5">
        <f t="shared" si="529"/>
        <v>68135550.803253755</v>
      </c>
      <c r="CD236" s="5" t="str">
        <f t="shared" si="530"/>
        <v>Mississippi</v>
      </c>
      <c r="CE236" s="5">
        <f t="shared" si="414"/>
        <v>0.61490050233640714</v>
      </c>
      <c r="CF236" s="10">
        <f t="shared" si="531"/>
        <v>0.38956310893625973</v>
      </c>
    </row>
    <row r="237" spans="1:84" x14ac:dyDescent="0.2">
      <c r="A237">
        <v>25000000006601</v>
      </c>
      <c r="B237">
        <v>2018</v>
      </c>
      <c r="C237">
        <v>479</v>
      </c>
      <c r="D237" t="s">
        <v>429</v>
      </c>
      <c r="E237">
        <v>6</v>
      </c>
      <c r="F237" t="s">
        <v>430</v>
      </c>
      <c r="G237" t="s">
        <v>431</v>
      </c>
      <c r="H237" t="s">
        <v>432</v>
      </c>
      <c r="I237" t="b">
        <v>1</v>
      </c>
      <c r="J237">
        <v>702559</v>
      </c>
      <c r="K237">
        <v>3239471</v>
      </c>
      <c r="M237">
        <v>21361</v>
      </c>
      <c r="N237">
        <v>0</v>
      </c>
      <c r="O237">
        <v>2609415</v>
      </c>
      <c r="P237">
        <v>124306</v>
      </c>
      <c r="Q237">
        <v>1229670</v>
      </c>
      <c r="R237">
        <v>43166491</v>
      </c>
      <c r="S237">
        <v>44396161</v>
      </c>
      <c r="T237">
        <v>1018163</v>
      </c>
      <c r="V237">
        <v>570807</v>
      </c>
      <c r="W237">
        <v>2385913</v>
      </c>
      <c r="Y237">
        <v>16264</v>
      </c>
      <c r="Z237">
        <v>-4805</v>
      </c>
      <c r="AA237">
        <v>1220093</v>
      </c>
      <c r="AB237">
        <v>26543097</v>
      </c>
      <c r="AC237">
        <v>27763190</v>
      </c>
      <c r="AD237">
        <v>16632971</v>
      </c>
      <c r="AE237">
        <v>16623394</v>
      </c>
      <c r="AF237">
        <v>9577</v>
      </c>
      <c r="AG237">
        <v>5999231</v>
      </c>
      <c r="AH237">
        <v>0.16971558521417163</v>
      </c>
      <c r="AI237" t="b">
        <v>1</v>
      </c>
      <c r="AK237">
        <v>7.7499999999999999E-2</v>
      </c>
      <c r="AL237">
        <v>7.7499999999999999E-2</v>
      </c>
      <c r="AM237">
        <v>7.7499999999999999E-2</v>
      </c>
      <c r="AN237">
        <v>7.7499999999999999E-2</v>
      </c>
      <c r="AO237">
        <v>1</v>
      </c>
      <c r="AP237">
        <v>0</v>
      </c>
      <c r="AS237">
        <v>21900850</v>
      </c>
      <c r="AT237">
        <v>12254668</v>
      </c>
      <c r="AU237" t="s">
        <v>184</v>
      </c>
      <c r="AV237" t="s">
        <v>435</v>
      </c>
      <c r="BB237">
        <f t="shared" si="509"/>
        <v>0.62535114241071432</v>
      </c>
      <c r="BD237">
        <f t="shared" si="510"/>
        <v>5267879</v>
      </c>
      <c r="BE237">
        <f t="shared" si="511"/>
        <v>-4378303</v>
      </c>
      <c r="BF237">
        <f t="shared" si="512"/>
        <v>11.865618290734641</v>
      </c>
      <c r="BG237">
        <f t="shared" si="513"/>
        <v>-9.8618954913691752</v>
      </c>
      <c r="BH237">
        <f t="shared" si="514"/>
        <v>10.863756891051908</v>
      </c>
      <c r="BI237">
        <f t="shared" si="515"/>
        <v>100.18613996827338</v>
      </c>
      <c r="BJ237">
        <f t="shared" si="516"/>
        <v>11</v>
      </c>
      <c r="BK237">
        <f>IF($BJ237&lt;=30,IF($B237=2015,VLOOKUP($BJ237,'Treasury Yields'!$C$5:$N$34,$E237,FALSE)/100,IF($B237=2016,VLOOKUP($BJ237,'Treasury Yields'!$C$40:$N$69,$E237,FALSE)/100,IF($B237=2017,VLOOKUP($BJ237,'Treasury Yields'!$C$75:$N$104,$E237,FALSE)/100,IF($B237=2018,VLOOKUP($BJ237,'Treasury Yields'!$C$110:$N$139,$E237,FALSE)/100,IF($B237=2019,VLOOKUP($BJ237,'Treasury Yields'!$C$145:$N$174,$E237,FALSE)/100,IF($B237=2020,VLOOKUP($BJ237,'Treasury Yields'!$C$180:$N$209,$E237,FALSE)/100,IF($B237=2021,VLOOKUP($BJ237,'Treasury Yields'!$C$215:$N$244,$E237,FALSE)/100,IF($B237=2022,VLOOKUP($BJ237,'Treasury Yields'!$C$250:$N$279,$E237,FALSE)/100)))))))),0)</f>
        <v>2.5068799999999999E-2</v>
      </c>
      <c r="BL237">
        <f t="shared" si="517"/>
        <v>1.5723488410395607</v>
      </c>
      <c r="BM237">
        <f t="shared" si="518"/>
        <v>67872782.09559463</v>
      </c>
      <c r="BN237">
        <f t="shared" si="519"/>
        <v>41329685.09559463</v>
      </c>
      <c r="BP237">
        <f>IF($BJ237&lt;=30,IF($B237=2015,VLOOKUP($BJ237,'Treasury Yields'!$C$40:$N$69,$E237,FALSE)/100,IF($B237=2016,VLOOKUP($BJ237,'Treasury Yields'!$C$75:$N$104,$E237,FALSE)/100,IF($B237=2017,VLOOKUP($BJ237,'Treasury Yields'!$C$110:$N$139,$E237,FALSE)/100,IF($B237=2018,VLOOKUP($BJ237,'Treasury Yields'!$C$145:$N$174,$E237,FALSE)/100,IF($B237=2019,VLOOKUP($BJ237,'Treasury Yields'!$C$180:$N$209,$E237,FALSE)/100,IF($B237=2020,VLOOKUP($BJ237,'Treasury Yields'!$C$215:$N$244,$E237,FALSE)/100,IF($B237=2021,VLOOKUP($BJ237,'Treasury Yields'!$C$250:$N$279,$E237,FALSE)/100,IF($B237=2022,VLOOKUP($BJ237,'Treasury Yields'!$C$285:$N$314,$E237,FALSE)/100)))))))),0)</f>
        <v>2.9273236363636365E-2</v>
      </c>
      <c r="BQ237">
        <f t="shared" si="520"/>
        <v>1.5262496565185146</v>
      </c>
      <c r="BR237">
        <f t="shared" si="521"/>
        <v>67759625.47699067</v>
      </c>
      <c r="BS237">
        <f t="shared" si="522"/>
        <v>39996435.47699067</v>
      </c>
      <c r="BU237">
        <f t="shared" si="416"/>
        <v>14</v>
      </c>
      <c r="BV237">
        <f t="shared" si="523"/>
        <v>2.5790513881436254</v>
      </c>
      <c r="BW237">
        <f t="shared" si="524"/>
        <v>1811935.7642027973</v>
      </c>
      <c r="BX237" s="5">
        <f t="shared" si="525"/>
        <v>1681497.3523316898</v>
      </c>
      <c r="BY237" s="5">
        <f t="shared" si="526"/>
        <v>1016093.7622580896</v>
      </c>
      <c r="BZ237" s="5">
        <f t="shared" si="527"/>
        <v>3942030</v>
      </c>
      <c r="CA237" s="5">
        <f t="shared" si="528"/>
        <v>2828029.5264608869</v>
      </c>
      <c r="CC237" s="5">
        <f t="shared" si="529"/>
        <v>67759625.47699067</v>
      </c>
      <c r="CD237" s="5" t="str">
        <f t="shared" si="530"/>
        <v>Mississippi</v>
      </c>
      <c r="CE237" s="5">
        <f t="shared" si="414"/>
        <v>0.62535114241071432</v>
      </c>
      <c r="CF237" s="10">
        <f t="shared" si="531"/>
        <v>0.40973057044755401</v>
      </c>
    </row>
    <row r="238" spans="1:84" x14ac:dyDescent="0.2">
      <c r="A238">
        <v>25000000006601</v>
      </c>
      <c r="B238">
        <v>2019</v>
      </c>
      <c r="C238">
        <v>479</v>
      </c>
      <c r="D238" t="s">
        <v>429</v>
      </c>
      <c r="E238">
        <v>6</v>
      </c>
      <c r="F238" t="s">
        <v>430</v>
      </c>
      <c r="G238" t="s">
        <v>431</v>
      </c>
      <c r="H238" t="s">
        <v>432</v>
      </c>
      <c r="I238" t="b">
        <v>1</v>
      </c>
      <c r="J238">
        <v>696445</v>
      </c>
      <c r="K238">
        <v>3330054</v>
      </c>
      <c r="M238">
        <v>0</v>
      </c>
      <c r="N238">
        <v>231354</v>
      </c>
      <c r="O238">
        <v>2747397</v>
      </c>
      <c r="P238">
        <v>108042</v>
      </c>
      <c r="Q238">
        <v>1402414</v>
      </c>
      <c r="R238">
        <v>44396161</v>
      </c>
      <c r="S238">
        <v>45798575</v>
      </c>
      <c r="T238">
        <v>1038108</v>
      </c>
      <c r="V238">
        <v>580941</v>
      </c>
      <c r="W238">
        <v>1701321</v>
      </c>
      <c r="Y238">
        <v>16905</v>
      </c>
      <c r="Z238">
        <v>-4614</v>
      </c>
      <c r="AA238">
        <v>443412</v>
      </c>
      <c r="AB238">
        <v>27763190</v>
      </c>
      <c r="AC238">
        <v>28206602</v>
      </c>
      <c r="AD238">
        <v>17591973</v>
      </c>
      <c r="AE238">
        <v>16632971</v>
      </c>
      <c r="AF238">
        <v>959002</v>
      </c>
      <c r="AG238">
        <v>6144916</v>
      </c>
      <c r="AH238">
        <v>0.16893770394908572</v>
      </c>
      <c r="AI238" t="b">
        <v>1</v>
      </c>
      <c r="AK238">
        <v>7.7499999999999999E-2</v>
      </c>
      <c r="AL238">
        <v>7.7499999999999999E-2</v>
      </c>
      <c r="AM238">
        <v>7.7499999999999999E-2</v>
      </c>
      <c r="AN238">
        <v>7.7499999999999999E-2</v>
      </c>
      <c r="AO238">
        <v>1</v>
      </c>
      <c r="AP238">
        <v>0</v>
      </c>
      <c r="AS238">
        <v>23125258</v>
      </c>
      <c r="AT238">
        <v>13024743</v>
      </c>
      <c r="AV238" t="s">
        <v>436</v>
      </c>
      <c r="BB238">
        <f t="shared" si="509"/>
        <v>0.61588383481363773</v>
      </c>
      <c r="BD238">
        <f t="shared" si="510"/>
        <v>5533285</v>
      </c>
      <c r="BE238">
        <f t="shared" si="511"/>
        <v>-4567230</v>
      </c>
      <c r="BF238">
        <f t="shared" si="512"/>
        <v>12.081784203984512</v>
      </c>
      <c r="BG238">
        <f t="shared" si="513"/>
        <v>-9.9724281814445099</v>
      </c>
      <c r="BH238">
        <f t="shared" si="514"/>
        <v>11.027106192714511</v>
      </c>
      <c r="BI238">
        <f t="shared" si="515"/>
        <v>105.46780112700013</v>
      </c>
      <c r="BJ238">
        <f t="shared" si="516"/>
        <v>11</v>
      </c>
      <c r="BK238">
        <f>IF($BJ238&lt;=30,IF($B238=2015,VLOOKUP($BJ238,'Treasury Yields'!$C$5:$N$34,$E238,FALSE)/100,IF($B238=2016,VLOOKUP($BJ238,'Treasury Yields'!$C$40:$N$69,$E238,FALSE)/100,IF($B238=2017,VLOOKUP($BJ238,'Treasury Yields'!$C$75:$N$104,$E238,FALSE)/100,IF($B238=2018,VLOOKUP($BJ238,'Treasury Yields'!$C$110:$N$139,$E238,FALSE)/100,IF($B238=2019,VLOOKUP($BJ238,'Treasury Yields'!$C$145:$N$174,$E238,FALSE)/100,IF($B238=2020,VLOOKUP($BJ238,'Treasury Yields'!$C$180:$N$209,$E238,FALSE)/100,IF($B238=2021,VLOOKUP($BJ238,'Treasury Yields'!$C$215:$N$244,$E238,FALSE)/100,IF($B238=2022,VLOOKUP($BJ238,'Treasury Yields'!$C$250:$N$279,$E238,FALSE)/100)))))))),0)</f>
        <v>2.9273236363636365E-2</v>
      </c>
      <c r="BL238">
        <f t="shared" si="517"/>
        <v>1.5341274646799621</v>
      </c>
      <c r="BM238">
        <f t="shared" si="518"/>
        <v>68109369.916453406</v>
      </c>
      <c r="BN238">
        <f t="shared" si="519"/>
        <v>40346179.916453406</v>
      </c>
      <c r="BP238">
        <f>IF($BJ238&lt;=30,IF($B238=2015,VLOOKUP($BJ238,'Treasury Yields'!$C$40:$N$69,$E238,FALSE)/100,IF($B238=2016,VLOOKUP($BJ238,'Treasury Yields'!$C$75:$N$104,$E238,FALSE)/100,IF($B238=2017,VLOOKUP($BJ238,'Treasury Yields'!$C$110:$N$139,$E238,FALSE)/100,IF($B238=2018,VLOOKUP($BJ238,'Treasury Yields'!$C$145:$N$174,$E238,FALSE)/100,IF($B238=2019,VLOOKUP($BJ238,'Treasury Yields'!$C$180:$N$209,$E238,FALSE)/100,IF($B238=2020,VLOOKUP($BJ238,'Treasury Yields'!$C$215:$N$244,$E238,FALSE)/100,IF($B238=2021,VLOOKUP($BJ238,'Treasury Yields'!$C$250:$N$279,$E238,FALSE)/100,IF($B238=2022,VLOOKUP($BJ238,'Treasury Yields'!$C$285:$N$314,$E238,FALSE)/100)))))))),0)</f>
        <v>2.1722000000000002E-2</v>
      </c>
      <c r="BQ238">
        <f t="shared" si="520"/>
        <v>1.6181811145012299</v>
      </c>
      <c r="BR238">
        <f t="shared" si="521"/>
        <v>74110389.136068165</v>
      </c>
      <c r="BS238">
        <f t="shared" si="522"/>
        <v>45903787.136068165</v>
      </c>
      <c r="BU238">
        <f t="shared" si="416"/>
        <v>14</v>
      </c>
      <c r="BV238">
        <f t="shared" si="523"/>
        <v>2.4522755331552584</v>
      </c>
      <c r="BW238">
        <f t="shared" si="524"/>
        <v>1707875.033688314</v>
      </c>
      <c r="BX238" s="5">
        <f t="shared" si="525"/>
        <v>1963351.5119176502</v>
      </c>
      <c r="BY238" s="5">
        <f t="shared" si="526"/>
        <v>1150633.0888391051</v>
      </c>
      <c r="BZ238" s="5">
        <f t="shared" si="527"/>
        <v>4026499</v>
      </c>
      <c r="CA238" s="5">
        <f t="shared" si="528"/>
        <v>2858508.1225274191</v>
      </c>
      <c r="CC238" s="5">
        <f t="shared" si="529"/>
        <v>74110389.136068165</v>
      </c>
      <c r="CD238" s="5" t="str">
        <f t="shared" si="530"/>
        <v>Mississippi</v>
      </c>
      <c r="CE238" s="5">
        <f t="shared" si="414"/>
        <v>0.61588383481363773</v>
      </c>
      <c r="CF238" s="10">
        <f t="shared" si="531"/>
        <v>0.38060253533701072</v>
      </c>
    </row>
    <row r="239" spans="1:84" x14ac:dyDescent="0.2">
      <c r="A239">
        <v>25000000006601</v>
      </c>
      <c r="B239">
        <v>2020</v>
      </c>
      <c r="C239">
        <v>479</v>
      </c>
      <c r="D239" t="s">
        <v>429</v>
      </c>
      <c r="E239">
        <v>6</v>
      </c>
      <c r="F239" t="s">
        <v>430</v>
      </c>
      <c r="G239" t="s">
        <v>431</v>
      </c>
      <c r="H239" t="s">
        <v>432</v>
      </c>
      <c r="I239" t="b">
        <v>1</v>
      </c>
      <c r="J239">
        <v>712354</v>
      </c>
      <c r="K239">
        <v>3433801</v>
      </c>
      <c r="M239">
        <v>224426</v>
      </c>
      <c r="N239">
        <v>0</v>
      </c>
      <c r="O239">
        <v>2878073</v>
      </c>
      <c r="P239">
        <v>104851</v>
      </c>
      <c r="Q239">
        <v>1387657</v>
      </c>
      <c r="R239">
        <v>45798575</v>
      </c>
      <c r="S239">
        <v>47186232</v>
      </c>
      <c r="T239">
        <v>1171805</v>
      </c>
      <c r="V239">
        <v>594711</v>
      </c>
      <c r="W239">
        <v>856935</v>
      </c>
      <c r="Y239">
        <v>19757</v>
      </c>
      <c r="Z239">
        <v>22</v>
      </c>
      <c r="AA239">
        <v>-379208</v>
      </c>
      <c r="AB239">
        <v>28206602</v>
      </c>
      <c r="AC239">
        <v>27827394</v>
      </c>
      <c r="AD239">
        <v>19358838</v>
      </c>
      <c r="AE239">
        <v>17591973</v>
      </c>
      <c r="AF239">
        <v>1766865</v>
      </c>
      <c r="AG239">
        <v>6287441</v>
      </c>
      <c r="AH239">
        <v>0.18637232540233778</v>
      </c>
      <c r="AI239" t="b">
        <v>1</v>
      </c>
      <c r="AK239">
        <v>7.7499999999999999E-2</v>
      </c>
      <c r="AL239">
        <v>7.7499999999999999E-2</v>
      </c>
      <c r="AM239">
        <v>7.7499999999999999E-2</v>
      </c>
      <c r="AN239">
        <v>7.7499999999999999E-2</v>
      </c>
      <c r="AO239">
        <v>1</v>
      </c>
      <c r="AP239">
        <v>0</v>
      </c>
      <c r="AS239">
        <v>25057637</v>
      </c>
      <c r="AT239">
        <v>14655039</v>
      </c>
      <c r="AU239" t="s">
        <v>277</v>
      </c>
      <c r="AV239" t="s">
        <v>437</v>
      </c>
      <c r="BB239">
        <f t="shared" si="509"/>
        <v>0.58973545503696922</v>
      </c>
      <c r="BD239">
        <f t="shared" si="510"/>
        <v>5698799</v>
      </c>
      <c r="BE239">
        <f t="shared" si="511"/>
        <v>-4703799</v>
      </c>
      <c r="BF239">
        <f t="shared" si="512"/>
        <v>12.077249567204264</v>
      </c>
      <c r="BG239">
        <f t="shared" si="513"/>
        <v>-9.9685836326155481</v>
      </c>
      <c r="BH239">
        <f t="shared" si="514"/>
        <v>11.022916599909905</v>
      </c>
      <c r="BI239">
        <f t="shared" si="515"/>
        <v>105.43329672943582</v>
      </c>
      <c r="BJ239">
        <f t="shared" si="516"/>
        <v>11</v>
      </c>
      <c r="BK239">
        <f>IF($BJ239&lt;=30,IF($B239=2015,VLOOKUP($BJ239,'Treasury Yields'!$C$5:$N$34,$E239,FALSE)/100,IF($B239=2016,VLOOKUP($BJ239,'Treasury Yields'!$C$40:$N$69,$E239,FALSE)/100,IF($B239=2017,VLOOKUP($BJ239,'Treasury Yields'!$C$75:$N$104,$E239,FALSE)/100,IF($B239=2018,VLOOKUP($BJ239,'Treasury Yields'!$C$110:$N$139,$E239,FALSE)/100,IF($B239=2019,VLOOKUP($BJ239,'Treasury Yields'!$C$145:$N$174,$E239,FALSE)/100,IF($B239=2020,VLOOKUP($BJ239,'Treasury Yields'!$C$180:$N$209,$E239,FALSE)/100,IF($B239=2021,VLOOKUP($BJ239,'Treasury Yields'!$C$215:$N$244,$E239,FALSE)/100,IF($B239=2022,VLOOKUP($BJ239,'Treasury Yields'!$C$250:$N$279,$E239,FALSE)/100)))))))),0)</f>
        <v>2.1722000000000002E-2</v>
      </c>
      <c r="BL239">
        <f t="shared" si="517"/>
        <v>1.6179474273937746</v>
      </c>
      <c r="BM239">
        <f t="shared" si="518"/>
        <v>74099686.599550843</v>
      </c>
      <c r="BN239">
        <f t="shared" si="519"/>
        <v>45893084.599550843</v>
      </c>
      <c r="BP239">
        <f>IF($BJ239&lt;=30,IF($B239=2015,VLOOKUP($BJ239,'Treasury Yields'!$C$40:$N$69,$E239,FALSE)/100,IF($B239=2016,VLOOKUP($BJ239,'Treasury Yields'!$C$75:$N$104,$E239,FALSE)/100,IF($B239=2017,VLOOKUP($BJ239,'Treasury Yields'!$C$110:$N$139,$E239,FALSE)/100,IF($B239=2018,VLOOKUP($BJ239,'Treasury Yields'!$C$145:$N$174,$E239,FALSE)/100,IF($B239=2019,VLOOKUP($BJ239,'Treasury Yields'!$C$180:$N$209,$E239,FALSE)/100,IF($B239=2020,VLOOKUP($BJ239,'Treasury Yields'!$C$215:$N$244,$E239,FALSE)/100,IF($B239=2021,VLOOKUP($BJ239,'Treasury Yields'!$C$250:$N$279,$E239,FALSE)/100,IF($B239=2022,VLOOKUP($BJ239,'Treasury Yields'!$C$285:$N$314,$E239,FALSE)/100)))))))),0)</f>
        <v>1.4551090909090908E-2</v>
      </c>
      <c r="BQ239">
        <f t="shared" si="520"/>
        <v>1.697843140120137</v>
      </c>
      <c r="BR239">
        <f t="shared" si="521"/>
        <v>80114820.309317291</v>
      </c>
      <c r="BS239">
        <f t="shared" si="522"/>
        <v>52287426.309317291</v>
      </c>
      <c r="BU239">
        <f t="shared" si="416"/>
        <v>14</v>
      </c>
      <c r="BV239">
        <f t="shared" si="523"/>
        <v>2.7237507633380007</v>
      </c>
      <c r="BW239">
        <f t="shared" si="524"/>
        <v>1940274.7512668781</v>
      </c>
      <c r="BX239" s="5">
        <f t="shared" si="525"/>
        <v>1589222.5387564627</v>
      </c>
      <c r="BY239" s="5">
        <f t="shared" si="526"/>
        <v>976518.73011246265</v>
      </c>
      <c r="BZ239" s="5">
        <f t="shared" si="527"/>
        <v>4146155</v>
      </c>
      <c r="CA239" s="5">
        <f t="shared" si="528"/>
        <v>2916793.4813793409</v>
      </c>
      <c r="CC239" s="5">
        <f t="shared" si="529"/>
        <v>80114820.309317291</v>
      </c>
      <c r="CD239" s="5" t="str">
        <f t="shared" si="530"/>
        <v>Mississippi</v>
      </c>
      <c r="CE239" s="5">
        <f t="shared" si="414"/>
        <v>0.58973545503696922</v>
      </c>
      <c r="CF239" s="10">
        <f t="shared" si="531"/>
        <v>0.34734389832693285</v>
      </c>
    </row>
    <row r="240" spans="1:84" x14ac:dyDescent="0.2">
      <c r="A240">
        <v>25000000006601</v>
      </c>
      <c r="B240">
        <v>2021</v>
      </c>
      <c r="C240">
        <v>479</v>
      </c>
      <c r="D240" t="s">
        <v>429</v>
      </c>
      <c r="E240">
        <v>6</v>
      </c>
      <c r="F240" t="s">
        <v>430</v>
      </c>
      <c r="G240" t="s">
        <v>431</v>
      </c>
      <c r="H240" t="s">
        <v>432</v>
      </c>
      <c r="I240" t="b">
        <v>1</v>
      </c>
      <c r="J240">
        <v>719623</v>
      </c>
      <c r="K240">
        <v>3536951</v>
      </c>
      <c r="M240">
        <v>181270</v>
      </c>
      <c r="N240">
        <v>1469257</v>
      </c>
      <c r="O240">
        <v>2995255</v>
      </c>
      <c r="P240">
        <v>101044</v>
      </c>
      <c r="Q240">
        <v>2810802</v>
      </c>
      <c r="R240">
        <v>47186232</v>
      </c>
      <c r="S240">
        <v>49997034</v>
      </c>
      <c r="T240">
        <v>1169679</v>
      </c>
      <c r="V240">
        <v>594876</v>
      </c>
      <c r="W240">
        <v>8736632</v>
      </c>
      <c r="Y240">
        <v>15691</v>
      </c>
      <c r="Z240">
        <v>6</v>
      </c>
      <c r="AA240">
        <v>7389203</v>
      </c>
      <c r="AB240">
        <v>27827394</v>
      </c>
      <c r="AC240">
        <v>35216597</v>
      </c>
      <c r="AD240">
        <v>14780437</v>
      </c>
      <c r="AE240">
        <v>19358838</v>
      </c>
      <c r="AF240">
        <v>-4578401</v>
      </c>
      <c r="AG240">
        <v>6246077</v>
      </c>
      <c r="AI240" t="b">
        <v>1</v>
      </c>
      <c r="AK240">
        <v>7.7499999999999999E-2</v>
      </c>
      <c r="AL240">
        <v>7.5499999999999998E-2</v>
      </c>
      <c r="AM240">
        <v>7.5499999999999998E-2</v>
      </c>
      <c r="AN240">
        <v>7.7499999999999999E-2</v>
      </c>
      <c r="AS240">
        <v>20932564</v>
      </c>
      <c r="AT240">
        <v>9710595</v>
      </c>
      <c r="BB240">
        <f t="shared" si="509"/>
        <v>0.70437372344927496</v>
      </c>
      <c r="BD240">
        <f t="shared" si="510"/>
        <v>6152127</v>
      </c>
      <c r="BE240">
        <f t="shared" si="511"/>
        <v>-5069842</v>
      </c>
      <c r="BF240">
        <f t="shared" si="512"/>
        <v>12.304983931646825</v>
      </c>
      <c r="BG240">
        <f t="shared" si="513"/>
        <v>-10.14028552173715</v>
      </c>
      <c r="BH240">
        <f t="shared" si="514"/>
        <v>11.222634726691988</v>
      </c>
      <c r="BI240">
        <f t="shared" si="515"/>
        <v>108.23492049548379</v>
      </c>
      <c r="BJ240">
        <f t="shared" si="516"/>
        <v>11</v>
      </c>
      <c r="BK240">
        <f>IF($BJ240&lt;=30,IF($B240=2015,VLOOKUP($BJ240,'Treasury Yields'!$C$5:$N$34,$E240,FALSE)/100,IF($B240=2016,VLOOKUP($BJ240,'Treasury Yields'!$C$40:$N$69,$E240,FALSE)/100,IF($B240=2017,VLOOKUP($BJ240,'Treasury Yields'!$C$75:$N$104,$E240,FALSE)/100,IF($B240=2018,VLOOKUP($BJ240,'Treasury Yields'!$C$110:$N$139,$E240,FALSE)/100,IF($B240=2019,VLOOKUP($BJ240,'Treasury Yields'!$C$145:$N$174,$E240,FALSE)/100,IF($B240=2020,VLOOKUP($BJ240,'Treasury Yields'!$C$180:$N$209,$E240,FALSE)/100,IF($B240=2021,VLOOKUP($BJ240,'Treasury Yields'!$C$215:$N$244,$E240,FALSE)/100,IF($B240=2022,VLOOKUP($BJ240,'Treasury Yields'!$C$250:$N$279,$E240,FALSE)/100)))))))),0)</f>
        <v>1.4551090909090908E-2</v>
      </c>
      <c r="BL240">
        <f t="shared" si="517"/>
        <v>1.6877221132370013</v>
      </c>
      <c r="BM240">
        <f t="shared" si="518"/>
        <v>79637247.186731413</v>
      </c>
      <c r="BN240">
        <f t="shared" si="519"/>
        <v>51809853.186731413</v>
      </c>
      <c r="BP240">
        <f>IF($BJ240&lt;=30,IF($B240=2015,VLOOKUP($BJ240,'Treasury Yields'!$C$40:$N$69,$E240,FALSE)/100,IF($B240=2016,VLOOKUP($BJ240,'Treasury Yields'!$C$75:$N$104,$E240,FALSE)/100,IF($B240=2017,VLOOKUP($BJ240,'Treasury Yields'!$C$110:$N$139,$E240,FALSE)/100,IF($B240=2018,VLOOKUP($BJ240,'Treasury Yields'!$C$145:$N$174,$E240,FALSE)/100,IF($B240=2019,VLOOKUP($BJ240,'Treasury Yields'!$C$180:$N$209,$E240,FALSE)/100,IF($B240=2020,VLOOKUP($BJ240,'Treasury Yields'!$C$215:$N$244,$E240,FALSE)/100,IF($B240=2021,VLOOKUP($BJ240,'Treasury Yields'!$C$250:$N$279,$E240,FALSE)/100,IF($B240=2022,VLOOKUP($BJ240,'Treasury Yields'!$C$285:$N$314,$E240,FALSE)/100)))))))),0)</f>
        <v>2.1554272727272727E-2</v>
      </c>
      <c r="BQ240">
        <f t="shared" si="520"/>
        <v>1.6309883861010224</v>
      </c>
      <c r="BR240">
        <f t="shared" si="521"/>
        <v>81544581.79349795</v>
      </c>
      <c r="BS240">
        <f t="shared" si="522"/>
        <v>46327984.79349795</v>
      </c>
      <c r="BU240">
        <f t="shared" si="416"/>
        <v>14</v>
      </c>
      <c r="BV240">
        <f t="shared" si="523"/>
        <v>3.0166252650329506</v>
      </c>
      <c r="BW240">
        <f t="shared" si="524"/>
        <v>2170832.9230988072</v>
      </c>
      <c r="BX240" s="5">
        <f t="shared" si="525"/>
        <v>1146812.582975422</v>
      </c>
      <c r="BY240" s="5">
        <f t="shared" si="526"/>
        <v>741893.64311833133</v>
      </c>
      <c r="BZ240" s="5">
        <f t="shared" si="527"/>
        <v>4256574</v>
      </c>
      <c r="CA240" s="5">
        <f t="shared" si="528"/>
        <v>2912726.5662171384</v>
      </c>
      <c r="CC240" s="5">
        <f t="shared" si="529"/>
        <v>81544581.79349795</v>
      </c>
      <c r="CD240" s="5" t="str">
        <f t="shared" si="530"/>
        <v>Mississippi</v>
      </c>
      <c r="CE240" s="5">
        <f t="shared" si="414"/>
        <v>0.70437372344927496</v>
      </c>
      <c r="CF240" s="10">
        <f t="shared" si="531"/>
        <v>0.43186924533112309</v>
      </c>
    </row>
    <row r="241" spans="1:84" x14ac:dyDescent="0.2">
      <c r="A241">
        <v>25000000006601</v>
      </c>
      <c r="B241">
        <v>2022</v>
      </c>
      <c r="C241">
        <v>479</v>
      </c>
      <c r="D241" t="s">
        <v>429</v>
      </c>
      <c r="E241">
        <v>6</v>
      </c>
      <c r="F241" t="s">
        <v>430</v>
      </c>
      <c r="G241" t="s">
        <v>431</v>
      </c>
      <c r="H241" t="s">
        <v>432</v>
      </c>
      <c r="I241" t="b">
        <v>1</v>
      </c>
      <c r="J241">
        <v>758601</v>
      </c>
      <c r="K241">
        <v>3651875</v>
      </c>
      <c r="M241">
        <v>222910</v>
      </c>
      <c r="N241">
        <v>0</v>
      </c>
      <c r="O241">
        <v>3134859</v>
      </c>
      <c r="P241">
        <v>120807</v>
      </c>
      <c r="Q241">
        <v>1377720</v>
      </c>
      <c r="R241">
        <v>49997034</v>
      </c>
      <c r="S241">
        <v>51374754</v>
      </c>
      <c r="T241">
        <v>1211004</v>
      </c>
      <c r="V241">
        <v>615421</v>
      </c>
      <c r="W241">
        <v>-2980325</v>
      </c>
      <c r="Y241">
        <v>15925</v>
      </c>
      <c r="Z241">
        <v>10</v>
      </c>
      <c r="AA241">
        <v>-4425481</v>
      </c>
      <c r="AB241">
        <v>35216597</v>
      </c>
      <c r="AC241">
        <v>30791116</v>
      </c>
      <c r="AD241">
        <v>20583638</v>
      </c>
      <c r="AE241">
        <v>14780437</v>
      </c>
      <c r="AF241">
        <v>5803201</v>
      </c>
      <c r="AG241">
        <v>6454276</v>
      </c>
      <c r="AI241" t="b">
        <v>1</v>
      </c>
      <c r="AK241">
        <v>7.5499999999999998E-2</v>
      </c>
      <c r="AL241">
        <v>7.5499999999999998E-2</v>
      </c>
      <c r="AM241">
        <v>7.5499999999999998E-2</v>
      </c>
      <c r="AN241">
        <v>7.5499999999999998E-2</v>
      </c>
      <c r="AS241">
        <v>26863751</v>
      </c>
      <c r="AT241">
        <v>15406006</v>
      </c>
      <c r="AV241" t="s">
        <v>438</v>
      </c>
      <c r="BB241">
        <f t="shared" si="509"/>
        <v>0.59934332726926531</v>
      </c>
      <c r="BD241">
        <f t="shared" si="510"/>
        <v>6280113</v>
      </c>
      <c r="BE241">
        <f t="shared" si="511"/>
        <v>-5177632</v>
      </c>
      <c r="BF241">
        <f t="shared" si="512"/>
        <v>12.224122766602443</v>
      </c>
      <c r="BG241">
        <f t="shared" si="513"/>
        <v>-10.07816407257152</v>
      </c>
      <c r="BH241">
        <f t="shared" si="514"/>
        <v>11.151143419586983</v>
      </c>
      <c r="BI241">
        <f t="shared" si="515"/>
        <v>107.29793470154621</v>
      </c>
      <c r="BJ241">
        <f t="shared" si="516"/>
        <v>11</v>
      </c>
      <c r="BK241">
        <f>IF($BJ241&lt;=30,IF($B241=2015,VLOOKUP($BJ241,'Treasury Yields'!$C$5:$N$34,$E241,FALSE)/100,IF($B241=2016,VLOOKUP($BJ241,'Treasury Yields'!$C$40:$N$69,$E241,FALSE)/100,IF($B241=2017,VLOOKUP($BJ241,'Treasury Yields'!$C$75:$N$104,$E241,FALSE)/100,IF($B241=2018,VLOOKUP($BJ241,'Treasury Yields'!$C$110:$N$139,$E241,FALSE)/100,IF($B241=2019,VLOOKUP($BJ241,'Treasury Yields'!$C$145:$N$174,$E241,FALSE)/100,IF($B241=2020,VLOOKUP($BJ241,'Treasury Yields'!$C$180:$N$209,$E241,FALSE)/100,IF($B241=2021,VLOOKUP($BJ241,'Treasury Yields'!$C$215:$N$244,$E241,FALSE)/100,IF($B241=2022,VLOOKUP($BJ241,'Treasury Yields'!$C$250:$N$279,$E241,FALSE)/100)))))))),0)</f>
        <v>2.1554272727272727E-2</v>
      </c>
      <c r="BL241">
        <f t="shared" si="517"/>
        <v>1.6044666831830903</v>
      </c>
      <c r="BM241">
        <f t="shared" si="518"/>
        <v>80218575.310972199</v>
      </c>
      <c r="BN241">
        <f t="shared" si="519"/>
        <v>45001978.310972199</v>
      </c>
      <c r="BP241">
        <f>IF($BJ241&lt;=30,IF($B241=2015,VLOOKUP($BJ241,'Treasury Yields'!$C$40:$N$69,$E241,FALSE)/100,IF($B241=2016,VLOOKUP($BJ241,'Treasury Yields'!$C$75:$N$104,$E241,FALSE)/100,IF($B241=2017,VLOOKUP($BJ241,'Treasury Yields'!$C$110:$N$139,$E241,FALSE)/100,IF($B241=2018,VLOOKUP($BJ241,'Treasury Yields'!$C$145:$N$174,$E241,FALSE)/100,IF($B241=2019,VLOOKUP($BJ241,'Treasury Yields'!$C$180:$N$209,$E241,FALSE)/100,IF($B241=2020,VLOOKUP($BJ241,'Treasury Yields'!$C$215:$N$244,$E241,FALSE)/100,IF($B241=2021,VLOOKUP($BJ241,'Treasury Yields'!$C$250:$N$279,$E241,FALSE)/100,IF($B241=2022,VLOOKUP($BJ241,'Treasury Yields'!$C$285:$N$314,$E241,FALSE)/100)))))))),0)</f>
        <v>3.1935909090909091E-2</v>
      </c>
      <c r="BQ241">
        <f t="shared" si="520"/>
        <v>1.4876872556879339</v>
      </c>
      <c r="BR241">
        <f t="shared" si="521"/>
        <v>76429566.789902702</v>
      </c>
      <c r="BS241">
        <f t="shared" si="522"/>
        <v>45638450.789902702</v>
      </c>
      <c r="BU241">
        <f t="shared" si="416"/>
        <v>14</v>
      </c>
      <c r="BV241">
        <f t="shared" si="523"/>
        <v>2.669048895182093</v>
      </c>
      <c r="BW241">
        <f t="shared" si="524"/>
        <v>2024743.160934031</v>
      </c>
      <c r="BX241" s="5">
        <f t="shared" si="525"/>
        <v>1705125.3104918683</v>
      </c>
      <c r="BY241" s="5">
        <f t="shared" si="526"/>
        <v>946057.17422741372</v>
      </c>
      <c r="BZ241" s="5">
        <f t="shared" si="527"/>
        <v>4410476</v>
      </c>
      <c r="CA241" s="5">
        <f t="shared" si="528"/>
        <v>2970800.3351614447</v>
      </c>
      <c r="CC241" s="5">
        <f t="shared" si="529"/>
        <v>76429566.789902702</v>
      </c>
      <c r="CD241" s="5" t="str">
        <f t="shared" si="530"/>
        <v>Mississippi</v>
      </c>
      <c r="CE241" s="5">
        <f t="shared" si="414"/>
        <v>0.59934332726926531</v>
      </c>
      <c r="CF241" s="10">
        <f t="shared" si="531"/>
        <v>0.40286916821917523</v>
      </c>
    </row>
    <row r="242" spans="1:84" x14ac:dyDescent="0.2">
      <c r="A242">
        <v>26000000003801</v>
      </c>
      <c r="B242">
        <v>2015</v>
      </c>
      <c r="C242">
        <v>487</v>
      </c>
      <c r="D242" t="s">
        <v>439</v>
      </c>
      <c r="E242">
        <v>6</v>
      </c>
      <c r="F242" t="s">
        <v>440</v>
      </c>
      <c r="G242" t="s">
        <v>441</v>
      </c>
      <c r="H242" t="s">
        <v>442</v>
      </c>
      <c r="I242" t="b">
        <v>1</v>
      </c>
      <c r="J242">
        <v>836085.15099999995</v>
      </c>
      <c r="K242">
        <v>3019050.25</v>
      </c>
      <c r="L242">
        <v>0</v>
      </c>
      <c r="M242">
        <v>598417.05599999998</v>
      </c>
      <c r="N242">
        <v>0</v>
      </c>
      <c r="O242">
        <v>2326196.773</v>
      </c>
      <c r="Q242">
        <v>2127355.6839999999</v>
      </c>
      <c r="R242">
        <v>38483183.931999996</v>
      </c>
      <c r="S242">
        <v>40610539.615999997</v>
      </c>
      <c r="T242">
        <v>656924.89899999998</v>
      </c>
      <c r="V242">
        <v>689187.21499999997</v>
      </c>
      <c r="W242">
        <v>1447169.2050000001</v>
      </c>
      <c r="Y242">
        <v>10013.601000000001</v>
      </c>
      <c r="AA242">
        <v>457070.94500000001</v>
      </c>
      <c r="AB242">
        <v>34380608.560000002</v>
      </c>
      <c r="AC242">
        <v>34837679.505000003</v>
      </c>
      <c r="AD242">
        <v>5772860.1109999996</v>
      </c>
      <c r="AE242">
        <v>4102575.3719999939</v>
      </c>
      <c r="AF242">
        <v>1670284.7390000056</v>
      </c>
      <c r="AG242">
        <v>4508242</v>
      </c>
      <c r="AH242">
        <v>0.14571642316450625</v>
      </c>
      <c r="AI242" t="b">
        <v>1</v>
      </c>
      <c r="AK242">
        <v>0.08</v>
      </c>
      <c r="AL242">
        <v>0.08</v>
      </c>
      <c r="AM242">
        <v>0.08</v>
      </c>
      <c r="AN242">
        <v>0.08</v>
      </c>
      <c r="AO242">
        <v>1</v>
      </c>
      <c r="AP242">
        <v>0</v>
      </c>
      <c r="AS242">
        <v>10617339.855</v>
      </c>
      <c r="AT242">
        <v>1704037.041</v>
      </c>
      <c r="BB242">
        <f t="shared" ref="BB242:BB249" si="532">AC242/S242</f>
        <v>0.85784822941073247</v>
      </c>
      <c r="BD242">
        <f t="shared" ref="BD242:BD249" si="533">AS242-AD242</f>
        <v>4844479.7440000009</v>
      </c>
      <c r="BE242">
        <f t="shared" ref="BE242:BE249" si="534">AT242-AD242</f>
        <v>-4068823.0699999994</v>
      </c>
      <c r="BF242">
        <f t="shared" ref="BF242:BF249" si="535">BD242/S242*100</f>
        <v>11.929119361150626</v>
      </c>
      <c r="BG242">
        <f t="shared" ref="BG242:BG249" si="536">BE242/S242*100</f>
        <v>-10.019130768695668</v>
      </c>
      <c r="BH242">
        <f t="shared" ref="BH242:BH249" si="537">(BD242-BE242)/(2*S242)*100</f>
        <v>10.974125064923147</v>
      </c>
      <c r="BI242">
        <f t="shared" ref="BI242:BI249" si="538">(BD242+BE242)/(2*S242*(0.01^2))</f>
        <v>95.499429622747911</v>
      </c>
      <c r="BJ242">
        <f t="shared" ref="BJ242:BJ249" si="539">ROUND(BH242,0)</f>
        <v>11</v>
      </c>
      <c r="BK242">
        <f>IF($BJ242&lt;=30,IF($B242=2015,VLOOKUP($BJ242,'Treasury Yields'!$C$5:$N$34,$E242,FALSE)/100,IF($B242=2016,VLOOKUP($BJ242,'Treasury Yields'!$C$40:$N$69,$E242,FALSE)/100,IF($B242=2017,VLOOKUP($BJ242,'Treasury Yields'!$C$75:$N$104,$E242,FALSE)/100,IF($B242=2018,VLOOKUP($BJ242,'Treasury Yields'!$C$110:$N$139,$E242,FALSE)/100,IF($B242=2019,VLOOKUP($BJ242,'Treasury Yields'!$C$145:$N$174,$E242,FALSE)/100,IF($B242=2020,VLOOKUP($BJ242,'Treasury Yields'!$C$180:$N$209,$E242,FALSE)/100,IF($B242=2021,VLOOKUP($BJ242,'Treasury Yields'!$C$215:$N$244,$E242,FALSE)/100,IF($B242=2022,VLOOKUP($BJ242,'Treasury Yields'!$C$250:$N$279,$E242,FALSE)/100)))))))),0)</f>
        <v>2.8147999999999999E-2</v>
      </c>
      <c r="BL242">
        <f t="shared" ref="BL242:BL249" si="540">1+BH242*(AL242-BK242)+(AL242-BK242)^2</f>
        <v>1.5717189627703951</v>
      </c>
      <c r="BM242">
        <f t="shared" ref="BM242:BM249" si="541">BL242*R242</f>
        <v>60484749.933705367</v>
      </c>
      <c r="BN242">
        <f t="shared" ref="BN242:BN249" si="542">BM242-AB242</f>
        <v>26104141.373705365</v>
      </c>
      <c r="BP242">
        <f>IF($BJ242&lt;=30,IF($B242=2015,VLOOKUP($BJ242,'Treasury Yields'!$C$40:$N$69,$E242,FALSE)/100,IF($B242=2016,VLOOKUP($BJ242,'Treasury Yields'!$C$75:$N$104,$E242,FALSE)/100,IF($B242=2017,VLOOKUP($BJ242,'Treasury Yields'!$C$110:$N$139,$E242,FALSE)/100,IF($B242=2018,VLOOKUP($BJ242,'Treasury Yields'!$C$145:$N$174,$E242,FALSE)/100,IF($B242=2019,VLOOKUP($BJ242,'Treasury Yields'!$C$180:$N$209,$E242,FALSE)/100,IF($B242=2020,VLOOKUP($BJ242,'Treasury Yields'!$C$215:$N$244,$E242,FALSE)/100,IF($B242=2021,VLOOKUP($BJ242,'Treasury Yields'!$C$250:$N$279,$E242,FALSE)/100,IF($B242=2022,VLOOKUP($BJ242,'Treasury Yields'!$C$285:$N$314,$E242,FALSE)/100)))))))),0)</f>
        <v>2.6258E-2</v>
      </c>
      <c r="BQ242">
        <f t="shared" ref="BQ242:BQ249" si="543">1+BH242*(AN242-BP242)+(AN242-BP242)^2</f>
        <v>1.5926596318030997</v>
      </c>
      <c r="BR242">
        <f t="shared" ref="BR242:BR249" si="544">BQ242*S242</f>
        <v>64678767.072143748</v>
      </c>
      <c r="BS242">
        <f t="shared" ref="BS242:BS249" si="545">BR242-AC242</f>
        <v>29841087.567143746</v>
      </c>
      <c r="BU242">
        <f t="shared" si="416"/>
        <v>14</v>
      </c>
      <c r="BV242">
        <f t="shared" ref="BV242:BV249" si="546">1+(BH242+BU242)*(AN242-BK242)+(AN242-BK242)^2*BI242</f>
        <v>2.5517209551650586</v>
      </c>
      <c r="BW242">
        <f t="shared" ref="BW242:BW249" si="547">BV242*J242</f>
        <v>2133456.000109042</v>
      </c>
      <c r="BX242" s="5">
        <f t="shared" ref="BX242:BX249" si="548">(BM242+BW242-O242)*BK242</f>
        <v>1697099.4738586037</v>
      </c>
      <c r="BY242" s="5">
        <f t="shared" ref="BY242:BY249" si="549">BK242*(BN242+BW242-O242)</f>
        <v>729354.10411172395</v>
      </c>
      <c r="BZ242" s="5">
        <f t="shared" ref="BZ242:BZ249" si="550">SUM(J242:K242)</f>
        <v>3855135.4010000001</v>
      </c>
      <c r="CA242" s="5">
        <f t="shared" ref="CA242:CA249" si="551">SUM(BW242+BY242)</f>
        <v>2862810.1042207661</v>
      </c>
      <c r="CC242" s="5">
        <f t="shared" ref="CC242:CC249" si="552">BR242</f>
        <v>64678767.072143748</v>
      </c>
      <c r="CD242" s="5" t="str">
        <f t="shared" ref="CD242:CD249" si="553">F242</f>
        <v>Missouri</v>
      </c>
      <c r="CE242" s="5">
        <f t="shared" si="414"/>
        <v>0.85784822941073247</v>
      </c>
      <c r="CF242" s="10">
        <f t="shared" ref="CF242:CF249" si="554">AC242/CC242</f>
        <v>0.53862621509376463</v>
      </c>
    </row>
    <row r="243" spans="1:84" x14ac:dyDescent="0.2">
      <c r="A243">
        <v>26000000003801</v>
      </c>
      <c r="B243">
        <v>2016</v>
      </c>
      <c r="C243">
        <v>487</v>
      </c>
      <c r="D243" t="s">
        <v>439</v>
      </c>
      <c r="E243">
        <v>6</v>
      </c>
      <c r="F243" t="s">
        <v>440</v>
      </c>
      <c r="G243" t="s">
        <v>441</v>
      </c>
      <c r="H243" t="s">
        <v>442</v>
      </c>
      <c r="I243" t="b">
        <v>1</v>
      </c>
      <c r="J243">
        <v>842548</v>
      </c>
      <c r="K243">
        <v>3263288</v>
      </c>
      <c r="M243">
        <v>-641099</v>
      </c>
      <c r="N243">
        <v>100248</v>
      </c>
      <c r="O243">
        <v>2430907</v>
      </c>
      <c r="Q243">
        <v>1134079</v>
      </c>
      <c r="R243">
        <v>40610540</v>
      </c>
      <c r="S243">
        <v>41744619</v>
      </c>
      <c r="T243">
        <v>670794</v>
      </c>
      <c r="V243">
        <v>704786</v>
      </c>
      <c r="W243">
        <v>533180</v>
      </c>
      <c r="Y243">
        <v>11563</v>
      </c>
      <c r="AA243">
        <v>-533710</v>
      </c>
      <c r="AB243">
        <v>34837680</v>
      </c>
      <c r="AC243">
        <v>34303970</v>
      </c>
      <c r="AD243">
        <v>7440649</v>
      </c>
      <c r="AE243">
        <v>5772860</v>
      </c>
      <c r="AF243">
        <v>1667789</v>
      </c>
      <c r="AG243">
        <v>4556137</v>
      </c>
      <c r="AH243">
        <v>0.14722867200876533</v>
      </c>
      <c r="AI243" t="b">
        <v>1</v>
      </c>
      <c r="AK243">
        <v>0.08</v>
      </c>
      <c r="AL243">
        <v>7.7499999999999999E-2</v>
      </c>
      <c r="AM243">
        <v>7.7499999999999999E-2</v>
      </c>
      <c r="AN243">
        <v>0.08</v>
      </c>
      <c r="AO243">
        <v>1</v>
      </c>
      <c r="AP243">
        <v>0</v>
      </c>
      <c r="AS243">
        <v>12622753</v>
      </c>
      <c r="AT243">
        <v>3125760</v>
      </c>
      <c r="AU243" t="s">
        <v>203</v>
      </c>
      <c r="AV243" t="s">
        <v>443</v>
      </c>
      <c r="BB243">
        <f t="shared" si="532"/>
        <v>0.82175788932221416</v>
      </c>
      <c r="BD243">
        <f t="shared" si="533"/>
        <v>5182104</v>
      </c>
      <c r="BE243">
        <f t="shared" si="534"/>
        <v>-4314889</v>
      </c>
      <c r="BF243">
        <f t="shared" si="535"/>
        <v>12.413825120789818</v>
      </c>
      <c r="BG243">
        <f t="shared" si="536"/>
        <v>-10.336395692101059</v>
      </c>
      <c r="BH243">
        <f t="shared" si="537"/>
        <v>11.375110406445438</v>
      </c>
      <c r="BI243">
        <f t="shared" si="538"/>
        <v>103.87147143443805</v>
      </c>
      <c r="BJ243">
        <f t="shared" si="539"/>
        <v>11</v>
      </c>
      <c r="BK243">
        <f>IF($BJ243&lt;=30,IF($B243=2015,VLOOKUP($BJ243,'Treasury Yields'!$C$5:$N$34,$E243,FALSE)/100,IF($B243=2016,VLOOKUP($BJ243,'Treasury Yields'!$C$40:$N$69,$E243,FALSE)/100,IF($B243=2017,VLOOKUP($BJ243,'Treasury Yields'!$C$75:$N$104,$E243,FALSE)/100,IF($B243=2018,VLOOKUP($BJ243,'Treasury Yields'!$C$110:$N$139,$E243,FALSE)/100,IF($B243=2019,VLOOKUP($BJ243,'Treasury Yields'!$C$145:$N$174,$E243,FALSE)/100,IF($B243=2020,VLOOKUP($BJ243,'Treasury Yields'!$C$180:$N$209,$E243,FALSE)/100,IF($B243=2021,VLOOKUP($BJ243,'Treasury Yields'!$C$215:$N$244,$E243,FALSE)/100,IF($B243=2022,VLOOKUP($BJ243,'Treasury Yields'!$C$250:$N$279,$E243,FALSE)/100)))))))),0)</f>
        <v>2.6258E-2</v>
      </c>
      <c r="BL243">
        <f t="shared" si="540"/>
        <v>1.5855091500110772</v>
      </c>
      <c r="BM243">
        <f t="shared" si="541"/>
        <v>64388382.756890848</v>
      </c>
      <c r="BN243">
        <f t="shared" si="542"/>
        <v>29550702.756890848</v>
      </c>
      <c r="BP243">
        <f>IF($BJ243&lt;=30,IF($B243=2015,VLOOKUP($BJ243,'Treasury Yields'!$C$40:$N$69,$E243,FALSE)/100,IF($B243=2016,VLOOKUP($BJ243,'Treasury Yields'!$C$75:$N$104,$E243,FALSE)/100,IF($B243=2017,VLOOKUP($BJ243,'Treasury Yields'!$C$110:$N$139,$E243,FALSE)/100,IF($B243=2018,VLOOKUP($BJ243,'Treasury Yields'!$C$145:$N$174,$E243,FALSE)/100,IF($B243=2019,VLOOKUP($BJ243,'Treasury Yields'!$C$180:$N$209,$E243,FALSE)/100,IF($B243=2020,VLOOKUP($BJ243,'Treasury Yields'!$C$215:$N$244,$E243,FALSE)/100,IF($B243=2021,VLOOKUP($BJ243,'Treasury Yields'!$C$250:$N$279,$E243,FALSE)/100,IF($B243=2022,VLOOKUP($BJ243,'Treasury Yields'!$C$285:$N$314,$E243,FALSE)/100)))))))),0)</f>
        <v>1.6948000000000001E-2</v>
      </c>
      <c r="BQ243">
        <f t="shared" si="543"/>
        <v>1.7211990160511976</v>
      </c>
      <c r="BR243">
        <f t="shared" si="544"/>
        <v>71850797.148232132</v>
      </c>
      <c r="BS243">
        <f t="shared" si="545"/>
        <v>37546827.148232132</v>
      </c>
      <c r="BU243">
        <f t="shared" si="416"/>
        <v>14</v>
      </c>
      <c r="BV243">
        <f t="shared" si="546"/>
        <v>2.663711033586587</v>
      </c>
      <c r="BW243">
        <f t="shared" si="547"/>
        <v>2244304.4039263115</v>
      </c>
      <c r="BX243" s="5">
        <f t="shared" si="548"/>
        <v>1685810.343462737</v>
      </c>
      <c r="BY243" s="5">
        <f t="shared" si="549"/>
        <v>771042.54202273698</v>
      </c>
      <c r="BZ243" s="5">
        <f t="shared" si="550"/>
        <v>4105836</v>
      </c>
      <c r="CA243" s="5">
        <f t="shared" si="551"/>
        <v>3015346.9459490487</v>
      </c>
      <c r="CC243" s="5">
        <f t="shared" si="552"/>
        <v>71850797.148232132</v>
      </c>
      <c r="CD243" s="5" t="str">
        <f t="shared" si="553"/>
        <v>Missouri</v>
      </c>
      <c r="CE243" s="5">
        <f t="shared" si="414"/>
        <v>0.82175788932221416</v>
      </c>
      <c r="CF243" s="10">
        <f t="shared" si="554"/>
        <v>0.47743339477819613</v>
      </c>
    </row>
    <row r="244" spans="1:84" x14ac:dyDescent="0.2">
      <c r="A244">
        <v>26000000003801</v>
      </c>
      <c r="B244">
        <v>2017</v>
      </c>
      <c r="C244">
        <v>487</v>
      </c>
      <c r="D244" t="s">
        <v>439</v>
      </c>
      <c r="E244">
        <v>6</v>
      </c>
      <c r="F244" t="s">
        <v>440</v>
      </c>
      <c r="G244" t="s">
        <v>441</v>
      </c>
      <c r="H244" t="s">
        <v>442</v>
      </c>
      <c r="I244" t="b">
        <v>1</v>
      </c>
      <c r="J244">
        <v>740177</v>
      </c>
      <c r="K244">
        <v>3198060</v>
      </c>
      <c r="M244">
        <v>60942</v>
      </c>
      <c r="N244">
        <v>1279806</v>
      </c>
      <c r="O244">
        <v>2521832</v>
      </c>
      <c r="Q244">
        <v>2757153</v>
      </c>
      <c r="R244">
        <v>41744619</v>
      </c>
      <c r="S244">
        <v>44501771</v>
      </c>
      <c r="T244">
        <v>684858</v>
      </c>
      <c r="V244">
        <v>719625</v>
      </c>
      <c r="W244">
        <v>4104123</v>
      </c>
      <c r="Y244">
        <v>10498</v>
      </c>
      <c r="AA244">
        <v>2976276</v>
      </c>
      <c r="AB244">
        <v>34303970</v>
      </c>
      <c r="AC244">
        <v>37280246</v>
      </c>
      <c r="AD244">
        <v>7221525</v>
      </c>
      <c r="AE244">
        <v>7440649</v>
      </c>
      <c r="AF244">
        <v>-219124</v>
      </c>
      <c r="AG244">
        <v>4655169</v>
      </c>
      <c r="AH244">
        <v>0.14711775233079616</v>
      </c>
      <c r="AI244" t="b">
        <v>1</v>
      </c>
      <c r="AK244">
        <v>7.7499999999999999E-2</v>
      </c>
      <c r="AL244">
        <v>7.5999999999999998E-2</v>
      </c>
      <c r="AM244">
        <v>7.5999999999999998E-2</v>
      </c>
      <c r="AN244">
        <v>7.7499999999999999E-2</v>
      </c>
      <c r="AO244">
        <v>1</v>
      </c>
      <c r="AP244">
        <v>0</v>
      </c>
      <c r="AS244">
        <v>12825829</v>
      </c>
      <c r="AT244">
        <v>2562314</v>
      </c>
      <c r="AU244" t="s">
        <v>203</v>
      </c>
      <c r="AV244" t="s">
        <v>444</v>
      </c>
      <c r="BB244">
        <f t="shared" si="532"/>
        <v>0.83772499750627905</v>
      </c>
      <c r="BD244">
        <f t="shared" si="533"/>
        <v>5604304</v>
      </c>
      <c r="BE244">
        <f t="shared" si="534"/>
        <v>-4659211</v>
      </c>
      <c r="BF244">
        <f t="shared" si="535"/>
        <v>12.593440382406355</v>
      </c>
      <c r="BG244">
        <f t="shared" si="536"/>
        <v>-10.469720407306935</v>
      </c>
      <c r="BH244">
        <f t="shared" si="537"/>
        <v>11.531580394856645</v>
      </c>
      <c r="BI244">
        <f t="shared" si="538"/>
        <v>106.1859987549709</v>
      </c>
      <c r="BJ244">
        <f t="shared" si="539"/>
        <v>12</v>
      </c>
      <c r="BK244">
        <f>IF($BJ244&lt;=30,IF($B244=2015,VLOOKUP($BJ244,'Treasury Yields'!$C$5:$N$34,$E244,FALSE)/100,IF($B244=2016,VLOOKUP($BJ244,'Treasury Yields'!$C$40:$N$69,$E244,FALSE)/100,IF($B244=2017,VLOOKUP($BJ244,'Treasury Yields'!$C$75:$N$104,$E244,FALSE)/100,IF($B244=2018,VLOOKUP($BJ244,'Treasury Yields'!$C$110:$N$139,$E244,FALSE)/100,IF($B244=2019,VLOOKUP($BJ244,'Treasury Yields'!$C$145:$N$174,$E244,FALSE)/100,IF($B244=2020,VLOOKUP($BJ244,'Treasury Yields'!$C$180:$N$209,$E244,FALSE)/100,IF($B244=2021,VLOOKUP($BJ244,'Treasury Yields'!$C$215:$N$244,$E244,FALSE)/100,IF($B244=2022,VLOOKUP($BJ244,'Treasury Yields'!$C$250:$N$279,$E244,FALSE)/100)))))))),0)</f>
        <v>1.7546000000000003E-2</v>
      </c>
      <c r="BL244">
        <f t="shared" si="540"/>
        <v>1.6774838705169504</v>
      </c>
      <c r="BM244">
        <f t="shared" si="541"/>
        <v>70025925.053375423</v>
      </c>
      <c r="BN244">
        <f t="shared" si="542"/>
        <v>35721955.053375423</v>
      </c>
      <c r="BP244">
        <f>IF($BJ244&lt;=30,IF($B244=2015,VLOOKUP($BJ244,'Treasury Yields'!$C$40:$N$69,$E244,FALSE)/100,IF($B244=2016,VLOOKUP($BJ244,'Treasury Yields'!$C$75:$N$104,$E244,FALSE)/100,IF($B244=2017,VLOOKUP($BJ244,'Treasury Yields'!$C$110:$N$139,$E244,FALSE)/100,IF($B244=2018,VLOOKUP($BJ244,'Treasury Yields'!$C$145:$N$174,$E244,FALSE)/100,IF($B244=2019,VLOOKUP($BJ244,'Treasury Yields'!$C$180:$N$209,$E244,FALSE)/100,IF($B244=2020,VLOOKUP($BJ244,'Treasury Yields'!$C$215:$N$244,$E244,FALSE)/100,IF($B244=2021,VLOOKUP($BJ244,'Treasury Yields'!$C$250:$N$279,$E244,FALSE)/100,IF($B244=2022,VLOOKUP($BJ244,'Treasury Yields'!$C$285:$N$314,$E244,FALSE)/100)))))))),0)</f>
        <v>2.5467599999999993E-2</v>
      </c>
      <c r="BQ244">
        <f t="shared" si="543"/>
        <v>1.6027231743870989</v>
      </c>
      <c r="BR244">
        <f t="shared" si="544"/>
        <v>71324019.682967737</v>
      </c>
      <c r="BS244">
        <f t="shared" si="545"/>
        <v>34043773.682967737</v>
      </c>
      <c r="BU244">
        <f t="shared" si="416"/>
        <v>15</v>
      </c>
      <c r="BV244">
        <f t="shared" si="546"/>
        <v>2.9723580444875761</v>
      </c>
      <c r="BW244">
        <f t="shared" si="547"/>
        <v>2200071.0602946808</v>
      </c>
      <c r="BX244" s="5">
        <f t="shared" si="548"/>
        <v>1223029.2635384561</v>
      </c>
      <c r="BY244" s="5">
        <f t="shared" si="549"/>
        <v>621131.80591845571</v>
      </c>
      <c r="BZ244" s="5">
        <f t="shared" si="550"/>
        <v>3938237</v>
      </c>
      <c r="CA244" s="5">
        <f t="shared" si="551"/>
        <v>2821202.8662131364</v>
      </c>
      <c r="CC244" s="5">
        <f t="shared" si="552"/>
        <v>71324019.682967737</v>
      </c>
      <c r="CD244" s="5" t="str">
        <f t="shared" si="553"/>
        <v>Missouri</v>
      </c>
      <c r="CE244" s="5">
        <f t="shared" si="414"/>
        <v>0.83772499750627905</v>
      </c>
      <c r="CF244" s="10">
        <f t="shared" si="554"/>
        <v>0.52268851595450061</v>
      </c>
    </row>
    <row r="245" spans="1:84" x14ac:dyDescent="0.2">
      <c r="A245">
        <v>26000000003801</v>
      </c>
      <c r="B245">
        <v>2018</v>
      </c>
      <c r="C245">
        <v>487</v>
      </c>
      <c r="D245" t="s">
        <v>439</v>
      </c>
      <c r="E245">
        <v>6</v>
      </c>
      <c r="F245" t="s">
        <v>440</v>
      </c>
      <c r="G245" t="s">
        <v>441</v>
      </c>
      <c r="H245" t="s">
        <v>442</v>
      </c>
      <c r="I245" t="b">
        <v>1</v>
      </c>
      <c r="J245">
        <v>792276</v>
      </c>
      <c r="K245">
        <v>3346221</v>
      </c>
      <c r="M245">
        <v>137516</v>
      </c>
      <c r="N245">
        <v>531202</v>
      </c>
      <c r="O245">
        <v>2607985</v>
      </c>
      <c r="Q245">
        <v>2200231</v>
      </c>
      <c r="R245">
        <v>44501771</v>
      </c>
      <c r="S245">
        <v>46702002</v>
      </c>
      <c r="T245">
        <v>696970</v>
      </c>
      <c r="V245">
        <v>726996</v>
      </c>
      <c r="W245">
        <v>3173736</v>
      </c>
      <c r="Y245">
        <v>11418</v>
      </c>
      <c r="AA245">
        <v>1979299</v>
      </c>
      <c r="AB245">
        <v>37280246</v>
      </c>
      <c r="AC245">
        <v>39259545</v>
      </c>
      <c r="AD245">
        <v>7442456</v>
      </c>
      <c r="AE245">
        <v>7221525</v>
      </c>
      <c r="AF245">
        <v>220931</v>
      </c>
      <c r="AG245">
        <v>4759665</v>
      </c>
      <c r="AH245">
        <v>0.14643257456144498</v>
      </c>
      <c r="AI245" t="b">
        <v>1</v>
      </c>
      <c r="AK245">
        <v>7.5999999999999998E-2</v>
      </c>
      <c r="AL245">
        <v>7.4999999999999997E-2</v>
      </c>
      <c r="AM245">
        <v>7.4999999999999997E-2</v>
      </c>
      <c r="AN245">
        <v>7.5999999999999998E-2</v>
      </c>
      <c r="AO245">
        <v>1</v>
      </c>
      <c r="AP245">
        <v>0</v>
      </c>
      <c r="AS245">
        <v>13341160</v>
      </c>
      <c r="AT245">
        <v>2540019</v>
      </c>
      <c r="AU245" t="s">
        <v>216</v>
      </c>
      <c r="AV245" t="s">
        <v>445</v>
      </c>
      <c r="BB245">
        <f t="shared" si="532"/>
        <v>0.84063944410777081</v>
      </c>
      <c r="BD245">
        <f t="shared" si="533"/>
        <v>5898704</v>
      </c>
      <c r="BE245">
        <f t="shared" si="534"/>
        <v>-4902437</v>
      </c>
      <c r="BF245">
        <f t="shared" si="535"/>
        <v>12.630516353453114</v>
      </c>
      <c r="BG245">
        <f t="shared" si="536"/>
        <v>-10.497273757129298</v>
      </c>
      <c r="BH245">
        <f t="shared" si="537"/>
        <v>11.563895055291205</v>
      </c>
      <c r="BI245">
        <f t="shared" si="538"/>
        <v>106.66212981619074</v>
      </c>
      <c r="BJ245">
        <f t="shared" si="539"/>
        <v>12</v>
      </c>
      <c r="BK245">
        <f>IF($BJ245&lt;=30,IF($B245=2015,VLOOKUP($BJ245,'Treasury Yields'!$C$5:$N$34,$E245,FALSE)/100,IF($B245=2016,VLOOKUP($BJ245,'Treasury Yields'!$C$40:$N$69,$E245,FALSE)/100,IF($B245=2017,VLOOKUP($BJ245,'Treasury Yields'!$C$75:$N$104,$E245,FALSE)/100,IF($B245=2018,VLOOKUP($BJ245,'Treasury Yields'!$C$110:$N$139,$E245,FALSE)/100,IF($B245=2019,VLOOKUP($BJ245,'Treasury Yields'!$C$145:$N$174,$E245,FALSE)/100,IF($B245=2020,VLOOKUP($BJ245,'Treasury Yields'!$C$180:$N$209,$E245,FALSE)/100,IF($B245=2021,VLOOKUP($BJ245,'Treasury Yields'!$C$215:$N$244,$E245,FALSE)/100,IF($B245=2022,VLOOKUP($BJ245,'Treasury Yields'!$C$250:$N$279,$E245,FALSE)/100)))))))),0)</f>
        <v>2.5467599999999993E-2</v>
      </c>
      <c r="BL245">
        <f t="shared" si="540"/>
        <v>1.5752409340864661</v>
      </c>
      <c r="BM245">
        <f t="shared" si="541"/>
        <v>70101011.318542004</v>
      </c>
      <c r="BN245">
        <f t="shared" si="542"/>
        <v>32820765.318542004</v>
      </c>
      <c r="BP245">
        <f>IF($BJ245&lt;=30,IF($B245=2015,VLOOKUP($BJ245,'Treasury Yields'!$C$40:$N$69,$E245,FALSE)/100,IF($B245=2016,VLOOKUP($BJ245,'Treasury Yields'!$C$75:$N$104,$E245,FALSE)/100,IF($B245=2017,VLOOKUP($BJ245,'Treasury Yields'!$C$110:$N$139,$E245,FALSE)/100,IF($B245=2018,VLOOKUP($BJ245,'Treasury Yields'!$C$145:$N$174,$E245,FALSE)/100,IF($B245=2019,VLOOKUP($BJ245,'Treasury Yields'!$C$180:$N$209,$E245,FALSE)/100,IF($B245=2020,VLOOKUP($BJ245,'Treasury Yields'!$C$215:$N$244,$E245,FALSE)/100,IF($B245=2021,VLOOKUP($BJ245,'Treasury Yields'!$C$250:$N$279,$E245,FALSE)/100,IF($B245=2022,VLOOKUP($BJ245,'Treasury Yields'!$C$285:$N$314,$E245,FALSE)/100)))))))),0)</f>
        <v>2.8906472727272727E-2</v>
      </c>
      <c r="BQ245">
        <f t="shared" si="543"/>
        <v>1.5468024074762994</v>
      </c>
      <c r="BR245">
        <f t="shared" si="544"/>
        <v>72238769.127562955</v>
      </c>
      <c r="BS245">
        <f t="shared" si="545"/>
        <v>32979224.127562955</v>
      </c>
      <c r="BU245">
        <f t="shared" si="416"/>
        <v>15</v>
      </c>
      <c r="BV245">
        <f t="shared" si="546"/>
        <v>2.6147016201789861</v>
      </c>
      <c r="BW245">
        <f t="shared" si="547"/>
        <v>2071565.3408289263</v>
      </c>
      <c r="BX245" s="5">
        <f t="shared" si="548"/>
        <v>1771643.1945441945</v>
      </c>
      <c r="BY245" s="5">
        <f t="shared" si="549"/>
        <v>822204.80151459482</v>
      </c>
      <c r="BZ245" s="5">
        <f t="shared" si="550"/>
        <v>4138497</v>
      </c>
      <c r="CA245" s="5">
        <f t="shared" si="551"/>
        <v>2893770.1423435211</v>
      </c>
      <c r="CC245" s="5">
        <f t="shared" si="552"/>
        <v>72238769.127562955</v>
      </c>
      <c r="CD245" s="5" t="str">
        <f t="shared" si="553"/>
        <v>Missouri</v>
      </c>
      <c r="CE245" s="5">
        <f t="shared" si="414"/>
        <v>0.84063944410777081</v>
      </c>
      <c r="CF245" s="10">
        <f t="shared" si="554"/>
        <v>0.5434691852331186</v>
      </c>
    </row>
    <row r="246" spans="1:84" x14ac:dyDescent="0.2">
      <c r="A246">
        <v>26000000003801</v>
      </c>
      <c r="B246">
        <v>2019</v>
      </c>
      <c r="C246">
        <v>487</v>
      </c>
      <c r="D246" t="s">
        <v>439</v>
      </c>
      <c r="E246">
        <v>6</v>
      </c>
      <c r="F246" t="s">
        <v>440</v>
      </c>
      <c r="G246" t="s">
        <v>441</v>
      </c>
      <c r="H246" t="s">
        <v>442</v>
      </c>
      <c r="I246" t="b">
        <v>1</v>
      </c>
      <c r="J246">
        <v>830084</v>
      </c>
      <c r="K246">
        <v>3466456</v>
      </c>
      <c r="M246">
        <v>-314439</v>
      </c>
      <c r="N246">
        <v>0</v>
      </c>
      <c r="O246">
        <v>2710274</v>
      </c>
      <c r="Q246">
        <v>1271827</v>
      </c>
      <c r="R246">
        <v>46702002</v>
      </c>
      <c r="S246">
        <v>47973829</v>
      </c>
      <c r="T246">
        <v>712545</v>
      </c>
      <c r="V246">
        <v>747403</v>
      </c>
      <c r="W246">
        <v>2595866</v>
      </c>
      <c r="Y246">
        <v>11326</v>
      </c>
      <c r="AA246">
        <v>1334213</v>
      </c>
      <c r="AB246">
        <v>39259545</v>
      </c>
      <c r="AC246">
        <v>40593759</v>
      </c>
      <c r="AD246">
        <v>7380070</v>
      </c>
      <c r="AE246">
        <v>7442457</v>
      </c>
      <c r="AF246">
        <v>-62387</v>
      </c>
      <c r="AG246">
        <v>4844249</v>
      </c>
      <c r="AH246">
        <v>0.14709091130534371</v>
      </c>
      <c r="AI246" t="b">
        <v>1</v>
      </c>
      <c r="AK246">
        <v>7.4999999999999997E-2</v>
      </c>
      <c r="AL246">
        <v>7.4999999999999997E-2</v>
      </c>
      <c r="AM246">
        <v>7.4999999999999997E-2</v>
      </c>
      <c r="AN246">
        <v>7.4999999999999997E-2</v>
      </c>
      <c r="AO246">
        <v>1</v>
      </c>
      <c r="AP246">
        <v>0</v>
      </c>
      <c r="AS246">
        <v>13425639</v>
      </c>
      <c r="AT246">
        <v>2354969</v>
      </c>
      <c r="AV246" t="s">
        <v>446</v>
      </c>
      <c r="BB246">
        <f t="shared" si="532"/>
        <v>0.84616466615579089</v>
      </c>
      <c r="BD246">
        <f t="shared" si="533"/>
        <v>6045569</v>
      </c>
      <c r="BE246">
        <f t="shared" si="534"/>
        <v>-5025101</v>
      </c>
      <c r="BF246">
        <f t="shared" si="535"/>
        <v>12.601806289008117</v>
      </c>
      <c r="BG246">
        <f t="shared" si="536"/>
        <v>-10.474671513086854</v>
      </c>
      <c r="BH246">
        <f t="shared" si="537"/>
        <v>11.538238901047485</v>
      </c>
      <c r="BI246">
        <f t="shared" si="538"/>
        <v>106.35673879606315</v>
      </c>
      <c r="BJ246">
        <f t="shared" si="539"/>
        <v>12</v>
      </c>
      <c r="BK246">
        <f>IF($BJ246&lt;=30,IF($B246=2015,VLOOKUP($BJ246,'Treasury Yields'!$C$5:$N$34,$E246,FALSE)/100,IF($B246=2016,VLOOKUP($BJ246,'Treasury Yields'!$C$40:$N$69,$E246,FALSE)/100,IF($B246=2017,VLOOKUP($BJ246,'Treasury Yields'!$C$75:$N$104,$E246,FALSE)/100,IF($B246=2018,VLOOKUP($BJ246,'Treasury Yields'!$C$110:$N$139,$E246,FALSE)/100,IF($B246=2019,VLOOKUP($BJ246,'Treasury Yields'!$C$145:$N$174,$E246,FALSE)/100,IF($B246=2020,VLOOKUP($BJ246,'Treasury Yields'!$C$180:$N$209,$E246,FALSE)/100,IF($B246=2021,VLOOKUP($BJ246,'Treasury Yields'!$C$215:$N$244,$E246,FALSE)/100,IF($B246=2022,VLOOKUP($BJ246,'Treasury Yields'!$C$250:$N$279,$E246,FALSE)/100)))))))),0)</f>
        <v>2.8906472727272727E-2</v>
      </c>
      <c r="BL246">
        <f t="shared" si="540"/>
        <v>1.5339627427211167</v>
      </c>
      <c r="BM246">
        <f t="shared" si="541"/>
        <v>71639131.078487068</v>
      </c>
      <c r="BN246">
        <f t="shared" si="542"/>
        <v>32379586.078487068</v>
      </c>
      <c r="BP246">
        <f>IF($BJ246&lt;=30,IF($B246=2015,VLOOKUP($BJ246,'Treasury Yields'!$C$40:$N$69,$E246,FALSE)/100,IF($B246=2016,VLOOKUP($BJ246,'Treasury Yields'!$C$75:$N$104,$E246,FALSE)/100,IF($B246=2017,VLOOKUP($BJ246,'Treasury Yields'!$C$110:$N$139,$E246,FALSE)/100,IF($B246=2018,VLOOKUP($BJ246,'Treasury Yields'!$C$145:$N$174,$E246,FALSE)/100,IF($B246=2019,VLOOKUP($BJ246,'Treasury Yields'!$C$180:$N$209,$E246,FALSE)/100,IF($B246=2020,VLOOKUP($BJ246,'Treasury Yields'!$C$215:$N$244,$E246,FALSE)/100,IF($B246=2021,VLOOKUP($BJ246,'Treasury Yields'!$C$250:$N$279,$E246,FALSE)/100,IF($B246=2022,VLOOKUP($BJ246,'Treasury Yields'!$C$285:$N$314,$E246,FALSE)/100)))))))),0)</f>
        <v>2.2184000000000002E-2</v>
      </c>
      <c r="BQ246">
        <f t="shared" si="543"/>
        <v>1.6121931556537237</v>
      </c>
      <c r="BR246">
        <f t="shared" si="544"/>
        <v>77343078.76430212</v>
      </c>
      <c r="BS246">
        <f t="shared" si="545"/>
        <v>36749319.76430212</v>
      </c>
      <c r="BU246">
        <f t="shared" si="416"/>
        <v>15</v>
      </c>
      <c r="BV246">
        <f t="shared" si="546"/>
        <v>2.4492079757136018</v>
      </c>
      <c r="BW246">
        <f t="shared" si="547"/>
        <v>2033048.3533122495</v>
      </c>
      <c r="BX246" s="5">
        <f t="shared" si="548"/>
        <v>2051258.3840396134</v>
      </c>
      <c r="BY246" s="5">
        <f t="shared" si="549"/>
        <v>916403.41721197695</v>
      </c>
      <c r="BZ246" s="5">
        <f t="shared" si="550"/>
        <v>4296540</v>
      </c>
      <c r="CA246" s="5">
        <f t="shared" si="551"/>
        <v>2949451.7705242266</v>
      </c>
      <c r="CC246" s="5">
        <f t="shared" si="552"/>
        <v>77343078.76430212</v>
      </c>
      <c r="CD246" s="5" t="str">
        <f t="shared" si="553"/>
        <v>Missouri</v>
      </c>
      <c r="CE246" s="5">
        <f t="shared" si="414"/>
        <v>0.84616466615579089</v>
      </c>
      <c r="CF246" s="10">
        <f t="shared" si="554"/>
        <v>0.52485315620427753</v>
      </c>
    </row>
    <row r="247" spans="1:84" x14ac:dyDescent="0.2">
      <c r="A247">
        <v>26000000003801</v>
      </c>
      <c r="B247">
        <v>2020</v>
      </c>
      <c r="C247">
        <v>487</v>
      </c>
      <c r="D247" t="s">
        <v>439</v>
      </c>
      <c r="E247">
        <v>6</v>
      </c>
      <c r="F247" t="s">
        <v>440</v>
      </c>
      <c r="G247" t="s">
        <v>441</v>
      </c>
      <c r="H247" t="s">
        <v>442</v>
      </c>
      <c r="I247" t="b">
        <v>1</v>
      </c>
      <c r="J247">
        <v>845284</v>
      </c>
      <c r="K247">
        <v>3559152</v>
      </c>
      <c r="M247">
        <v>75988</v>
      </c>
      <c r="N247">
        <v>0</v>
      </c>
      <c r="O247">
        <v>2813232</v>
      </c>
      <c r="Q247">
        <v>1667191</v>
      </c>
      <c r="R247">
        <v>47973829</v>
      </c>
      <c r="S247">
        <v>49641020</v>
      </c>
      <c r="T247">
        <v>724995</v>
      </c>
      <c r="V247">
        <v>757917</v>
      </c>
      <c r="W247">
        <v>1457518</v>
      </c>
      <c r="Y247">
        <v>10653</v>
      </c>
      <c r="AA247">
        <v>116545</v>
      </c>
      <c r="AB247">
        <v>40593759</v>
      </c>
      <c r="AC247">
        <v>40710304</v>
      </c>
      <c r="AD247">
        <v>8930716</v>
      </c>
      <c r="AE247">
        <v>7380070</v>
      </c>
      <c r="AF247">
        <v>1550646</v>
      </c>
      <c r="AG247">
        <v>4919286</v>
      </c>
      <c r="AH247">
        <v>0.14737809511380309</v>
      </c>
      <c r="AI247" t="b">
        <v>1</v>
      </c>
      <c r="AK247">
        <v>7.4999999999999997E-2</v>
      </c>
      <c r="AL247">
        <v>7.4999999999999997E-2</v>
      </c>
      <c r="AM247">
        <v>7.4999999999999997E-2</v>
      </c>
      <c r="AN247">
        <v>7.4999999999999997E-2</v>
      </c>
      <c r="AO247">
        <v>1</v>
      </c>
      <c r="AP247">
        <v>0</v>
      </c>
      <c r="AS247">
        <v>15154947</v>
      </c>
      <c r="AT247">
        <v>3754470</v>
      </c>
      <c r="AU247" t="s">
        <v>315</v>
      </c>
      <c r="AV247" t="s">
        <v>447</v>
      </c>
      <c r="BB247">
        <f t="shared" si="532"/>
        <v>0.82009402707680057</v>
      </c>
      <c r="BD247">
        <f t="shared" si="533"/>
        <v>6224231</v>
      </c>
      <c r="BE247">
        <f t="shared" si="534"/>
        <v>-5176246</v>
      </c>
      <c r="BF247">
        <f t="shared" si="535"/>
        <v>12.538483294662358</v>
      </c>
      <c r="BG247">
        <f t="shared" si="536"/>
        <v>-10.427356246910318</v>
      </c>
      <c r="BH247">
        <f t="shared" si="537"/>
        <v>11.482919770786337</v>
      </c>
      <c r="BI247">
        <f t="shared" si="538"/>
        <v>105.55635238760203</v>
      </c>
      <c r="BJ247">
        <f t="shared" si="539"/>
        <v>11</v>
      </c>
      <c r="BK247">
        <f>IF($BJ247&lt;=30,IF($B247=2015,VLOOKUP($BJ247,'Treasury Yields'!$C$5:$N$34,$E247,FALSE)/100,IF($B247=2016,VLOOKUP($BJ247,'Treasury Yields'!$C$40:$N$69,$E247,FALSE)/100,IF($B247=2017,VLOOKUP($BJ247,'Treasury Yields'!$C$75:$N$104,$E247,FALSE)/100,IF($B247=2018,VLOOKUP($BJ247,'Treasury Yields'!$C$110:$N$139,$E247,FALSE)/100,IF($B247=2019,VLOOKUP($BJ247,'Treasury Yields'!$C$145:$N$174,$E247,FALSE)/100,IF($B247=2020,VLOOKUP($BJ247,'Treasury Yields'!$C$180:$N$209,$E247,FALSE)/100,IF($B247=2021,VLOOKUP($BJ247,'Treasury Yields'!$C$215:$N$244,$E247,FALSE)/100,IF($B247=2022,VLOOKUP($BJ247,'Treasury Yields'!$C$250:$N$279,$E247,FALSE)/100)))))))),0)</f>
        <v>2.1722000000000002E-2</v>
      </c>
      <c r="BL247">
        <f t="shared" si="540"/>
        <v>1.6146255448319544</v>
      </c>
      <c r="BM247">
        <f t="shared" si="541"/>
        <v>77459769.786800012</v>
      </c>
      <c r="BN247">
        <f t="shared" si="542"/>
        <v>36866010.786800012</v>
      </c>
      <c r="BP247">
        <f>IF($BJ247&lt;=30,IF($B247=2015,VLOOKUP($BJ247,'Treasury Yields'!$C$40:$N$69,$E247,FALSE)/100,IF($B247=2016,VLOOKUP($BJ247,'Treasury Yields'!$C$75:$N$104,$E247,FALSE)/100,IF($B247=2017,VLOOKUP($BJ247,'Treasury Yields'!$C$110:$N$139,$E247,FALSE)/100,IF($B247=2018,VLOOKUP($BJ247,'Treasury Yields'!$C$145:$N$174,$E247,FALSE)/100,IF($B247=2019,VLOOKUP($BJ247,'Treasury Yields'!$C$180:$N$209,$E247,FALSE)/100,IF($B247=2020,VLOOKUP($BJ247,'Treasury Yields'!$C$215:$N$244,$E247,FALSE)/100,IF($B247=2021,VLOOKUP($BJ247,'Treasury Yields'!$C$250:$N$279,$E247,FALSE)/100,IF($B247=2022,VLOOKUP($BJ247,'Treasury Yields'!$C$285:$N$314,$E247,FALSE)/100)))))))),0)</f>
        <v>1.4551090909090908E-2</v>
      </c>
      <c r="BQ247">
        <f t="shared" si="543"/>
        <v>1.697784043932747</v>
      </c>
      <c r="BR247">
        <f t="shared" si="544"/>
        <v>84279731.680546373</v>
      </c>
      <c r="BS247">
        <f t="shared" si="545"/>
        <v>43569427.680546373</v>
      </c>
      <c r="BU247">
        <f t="shared" si="416"/>
        <v>14</v>
      </c>
      <c r="BV247">
        <f t="shared" si="546"/>
        <v>2.6573054858140246</v>
      </c>
      <c r="BW247">
        <f t="shared" si="547"/>
        <v>2246177.8102708221</v>
      </c>
      <c r="BX247" s="5">
        <f t="shared" si="548"/>
        <v>1670263.5681995726</v>
      </c>
      <c r="BY247" s="5">
        <f t="shared" si="549"/>
        <v>788485.93520157272</v>
      </c>
      <c r="BZ247" s="5">
        <f t="shared" si="550"/>
        <v>4404436</v>
      </c>
      <c r="CA247" s="5">
        <f t="shared" si="551"/>
        <v>3034663.7454723949</v>
      </c>
      <c r="CC247" s="5">
        <f t="shared" si="552"/>
        <v>84279731.680546373</v>
      </c>
      <c r="CD247" s="5" t="str">
        <f t="shared" si="553"/>
        <v>Missouri</v>
      </c>
      <c r="CE247" s="5">
        <f t="shared" si="414"/>
        <v>0.82009402707680057</v>
      </c>
      <c r="CF247" s="10">
        <f t="shared" si="554"/>
        <v>0.4830378928389118</v>
      </c>
    </row>
    <row r="248" spans="1:84" x14ac:dyDescent="0.2">
      <c r="A248">
        <v>26000000003801</v>
      </c>
      <c r="B248">
        <v>2021</v>
      </c>
      <c r="C248">
        <v>487</v>
      </c>
      <c r="D248" t="s">
        <v>439</v>
      </c>
      <c r="E248">
        <v>6</v>
      </c>
      <c r="F248" t="s">
        <v>440</v>
      </c>
      <c r="G248" t="s">
        <v>441</v>
      </c>
      <c r="H248" t="s">
        <v>442</v>
      </c>
      <c r="I248" t="b">
        <v>1</v>
      </c>
      <c r="J248">
        <v>859538</v>
      </c>
      <c r="K248">
        <v>3682226</v>
      </c>
      <c r="M248">
        <v>957100</v>
      </c>
      <c r="N248">
        <v>590572</v>
      </c>
      <c r="O248">
        <v>2896160</v>
      </c>
      <c r="Q248">
        <v>3193276</v>
      </c>
      <c r="R248">
        <v>49641020</v>
      </c>
      <c r="S248">
        <v>52834297</v>
      </c>
      <c r="T248">
        <v>745638</v>
      </c>
      <c r="V248">
        <v>779834</v>
      </c>
      <c r="W248">
        <v>11291721</v>
      </c>
      <c r="Y248">
        <v>10819</v>
      </c>
      <c r="AA248">
        <v>9910215</v>
      </c>
      <c r="AB248">
        <v>40710304</v>
      </c>
      <c r="AC248">
        <v>50620519</v>
      </c>
      <c r="AD248">
        <v>2213778</v>
      </c>
      <c r="AE248">
        <v>8930716</v>
      </c>
      <c r="AF248">
        <v>-6716938</v>
      </c>
      <c r="AG248">
        <v>5039838</v>
      </c>
      <c r="AI248" t="b">
        <v>1</v>
      </c>
      <c r="AK248">
        <v>7.4999999999999997E-2</v>
      </c>
      <c r="AL248">
        <v>7.2999999999999995E-2</v>
      </c>
      <c r="AM248">
        <v>7.2999999999999995E-2</v>
      </c>
      <c r="AN248">
        <v>7.4999999999999997E-2</v>
      </c>
      <c r="AS248">
        <v>8912503</v>
      </c>
      <c r="AT248">
        <v>-3332426</v>
      </c>
      <c r="BB248">
        <f t="shared" si="532"/>
        <v>0.9580996033693796</v>
      </c>
      <c r="BD248">
        <f t="shared" si="533"/>
        <v>6698725</v>
      </c>
      <c r="BE248">
        <f t="shared" si="534"/>
        <v>-5546204</v>
      </c>
      <c r="BF248">
        <f t="shared" si="535"/>
        <v>12.678743506325068</v>
      </c>
      <c r="BG248">
        <f t="shared" si="536"/>
        <v>-10.497355534038807</v>
      </c>
      <c r="BH248">
        <f t="shared" si="537"/>
        <v>11.588049520181938</v>
      </c>
      <c r="BI248">
        <f t="shared" si="538"/>
        <v>109.06939861431296</v>
      </c>
      <c r="BJ248">
        <f t="shared" si="539"/>
        <v>12</v>
      </c>
      <c r="BK248">
        <f>IF($BJ248&lt;=30,IF($B248=2015,VLOOKUP($BJ248,'Treasury Yields'!$C$5:$N$34,$E248,FALSE)/100,IF($B248=2016,VLOOKUP($BJ248,'Treasury Yields'!$C$40:$N$69,$E248,FALSE)/100,IF($B248=2017,VLOOKUP($BJ248,'Treasury Yields'!$C$75:$N$104,$E248,FALSE)/100,IF($B248=2018,VLOOKUP($BJ248,'Treasury Yields'!$C$110:$N$139,$E248,FALSE)/100,IF($B248=2019,VLOOKUP($BJ248,'Treasury Yields'!$C$145:$N$174,$E248,FALSE)/100,IF($B248=2020,VLOOKUP($BJ248,'Treasury Yields'!$C$180:$N$209,$E248,FALSE)/100,IF($B248=2021,VLOOKUP($BJ248,'Treasury Yields'!$C$215:$N$244,$E248,FALSE)/100,IF($B248=2022,VLOOKUP($BJ248,'Treasury Yields'!$C$250:$N$279,$E248,FALSE)/100)))))))),0)</f>
        <v>1.3689454545454545E-2</v>
      </c>
      <c r="BL248">
        <f t="shared" si="540"/>
        <v>1.6908112785983902</v>
      </c>
      <c r="BM248">
        <f t="shared" si="541"/>
        <v>83933596.497128263</v>
      </c>
      <c r="BN248">
        <f t="shared" si="542"/>
        <v>43223292.497128263</v>
      </c>
      <c r="BP248">
        <f>IF($BJ248&lt;=30,IF($B248=2015,VLOOKUP($BJ248,'Treasury Yields'!$C$40:$N$69,$E248,FALSE)/100,IF($B248=2016,VLOOKUP($BJ248,'Treasury Yields'!$C$75:$N$104,$E248,FALSE)/100,IF($B248=2017,VLOOKUP($BJ248,'Treasury Yields'!$C$110:$N$139,$E248,FALSE)/100,IF($B248=2018,VLOOKUP($BJ248,'Treasury Yields'!$C$145:$N$174,$E248,FALSE)/100,IF($B248=2019,VLOOKUP($BJ248,'Treasury Yields'!$C$180:$N$209,$E248,FALSE)/100,IF($B248=2020,VLOOKUP($BJ248,'Treasury Yields'!$C$215:$N$244,$E248,FALSE)/100,IF($B248=2021,VLOOKUP($BJ248,'Treasury Yields'!$C$250:$N$279,$E248,FALSE)/100,IF($B248=2022,VLOOKUP($BJ248,'Treasury Yields'!$C$285:$N$314,$E248,FALSE)/100)))))))),0)</f>
        <v>2.1085818181818185E-2</v>
      </c>
      <c r="BQ248">
        <f t="shared" si="543"/>
        <v>1.6276669477503074</v>
      </c>
      <c r="BR248">
        <f t="shared" si="544"/>
        <v>85996638.934523225</v>
      </c>
      <c r="BS248">
        <f t="shared" si="545"/>
        <v>35376119.934523225</v>
      </c>
      <c r="BU248">
        <f t="shared" si="416"/>
        <v>15</v>
      </c>
      <c r="BV248">
        <f t="shared" si="546"/>
        <v>3.0401178321139248</v>
      </c>
      <c r="BW248">
        <f t="shared" si="547"/>
        <v>2613096.8011795389</v>
      </c>
      <c r="BX248" s="5">
        <f t="shared" si="548"/>
        <v>1145130.1732902166</v>
      </c>
      <c r="BY248" s="5">
        <f t="shared" si="549"/>
        <v>587828.31715058011</v>
      </c>
      <c r="BZ248" s="5">
        <f t="shared" si="550"/>
        <v>4541764</v>
      </c>
      <c r="CA248" s="5">
        <f t="shared" si="551"/>
        <v>3200925.1183301192</v>
      </c>
      <c r="CC248" s="5">
        <f t="shared" si="552"/>
        <v>85996638.934523225</v>
      </c>
      <c r="CD248" s="5" t="str">
        <f t="shared" si="553"/>
        <v>Missouri</v>
      </c>
      <c r="CE248" s="5">
        <f t="shared" si="414"/>
        <v>0.9580996033693796</v>
      </c>
      <c r="CF248" s="10">
        <f t="shared" si="554"/>
        <v>0.58863369112067088</v>
      </c>
    </row>
    <row r="249" spans="1:84" x14ac:dyDescent="0.2">
      <c r="A249">
        <v>26000000003801</v>
      </c>
      <c r="B249">
        <v>2022</v>
      </c>
      <c r="C249">
        <v>487</v>
      </c>
      <c r="D249" t="s">
        <v>439</v>
      </c>
      <c r="E249">
        <v>6</v>
      </c>
      <c r="F249" t="s">
        <v>440</v>
      </c>
      <c r="G249" t="s">
        <v>441</v>
      </c>
      <c r="H249" t="s">
        <v>442</v>
      </c>
      <c r="I249" t="b">
        <v>1</v>
      </c>
      <c r="J249">
        <v>859684</v>
      </c>
      <c r="K249">
        <v>3811621</v>
      </c>
      <c r="M249">
        <v>958074</v>
      </c>
      <c r="N249">
        <v>0</v>
      </c>
      <c r="O249">
        <v>3058416</v>
      </c>
      <c r="Q249">
        <v>2570963</v>
      </c>
      <c r="R249">
        <v>52834297</v>
      </c>
      <c r="S249">
        <v>55405260</v>
      </c>
      <c r="T249">
        <v>764348</v>
      </c>
      <c r="V249">
        <v>807546</v>
      </c>
      <c r="W249">
        <v>-1451264</v>
      </c>
      <c r="Y249">
        <v>11679</v>
      </c>
      <c r="AA249">
        <v>-2949465</v>
      </c>
      <c r="AB249">
        <v>50620519</v>
      </c>
      <c r="AC249">
        <v>47671054</v>
      </c>
      <c r="AD249">
        <v>7734205</v>
      </c>
      <c r="AE249">
        <v>2213778</v>
      </c>
      <c r="AF249">
        <v>5520427</v>
      </c>
      <c r="AG249">
        <v>5140286</v>
      </c>
      <c r="AI249" t="b">
        <v>1</v>
      </c>
      <c r="AK249">
        <v>7.2999999999999995E-2</v>
      </c>
      <c r="AL249">
        <v>7.2999999999999995E-2</v>
      </c>
      <c r="AM249">
        <v>7.2999999999999995E-2</v>
      </c>
      <c r="AN249">
        <v>7.2999999999999995E-2</v>
      </c>
      <c r="AS249">
        <v>14695437</v>
      </c>
      <c r="AT249">
        <v>1697993</v>
      </c>
      <c r="AV249" t="s">
        <v>448</v>
      </c>
      <c r="BB249">
        <f t="shared" si="532"/>
        <v>0.86040664731110372</v>
      </c>
      <c r="BD249">
        <f t="shared" si="533"/>
        <v>6961232</v>
      </c>
      <c r="BE249">
        <f t="shared" si="534"/>
        <v>-6036212</v>
      </c>
      <c r="BF249">
        <f t="shared" si="535"/>
        <v>12.564207802652671</v>
      </c>
      <c r="BG249">
        <f t="shared" si="536"/>
        <v>-10.894655128411996</v>
      </c>
      <c r="BH249">
        <f t="shared" si="537"/>
        <v>11.729431465532333</v>
      </c>
      <c r="BI249">
        <f t="shared" si="538"/>
        <v>83.477633712033835</v>
      </c>
      <c r="BJ249">
        <f t="shared" si="539"/>
        <v>12</v>
      </c>
      <c r="BK249">
        <f>IF($BJ249&lt;=30,IF($B249=2015,VLOOKUP($BJ249,'Treasury Yields'!$C$5:$N$34,$E249,FALSE)/100,IF($B249=2016,VLOOKUP($BJ249,'Treasury Yields'!$C$40:$N$69,$E249,FALSE)/100,IF($B249=2017,VLOOKUP($BJ249,'Treasury Yields'!$C$75:$N$104,$E249,FALSE)/100,IF($B249=2018,VLOOKUP($BJ249,'Treasury Yields'!$C$110:$N$139,$E249,FALSE)/100,IF($B249=2019,VLOOKUP($BJ249,'Treasury Yields'!$C$145:$N$174,$E249,FALSE)/100,IF($B249=2020,VLOOKUP($BJ249,'Treasury Yields'!$C$180:$N$209,$E249,FALSE)/100,IF($B249=2021,VLOOKUP($BJ249,'Treasury Yields'!$C$215:$N$244,$E249,FALSE)/100,IF($B249=2022,VLOOKUP($BJ249,'Treasury Yields'!$C$250:$N$279,$E249,FALSE)/100)))))))),0)</f>
        <v>2.1085818181818185E-2</v>
      </c>
      <c r="BL249">
        <f t="shared" si="540"/>
        <v>1.6116189199993995</v>
      </c>
      <c r="BM249">
        <f t="shared" si="541"/>
        <v>85148752.670067519</v>
      </c>
      <c r="BN249">
        <f t="shared" si="542"/>
        <v>34528233.670067519</v>
      </c>
      <c r="BP249">
        <f>IF($BJ249&lt;=30,IF($B249=2015,VLOOKUP($BJ249,'Treasury Yields'!$C$40:$N$69,$E249,FALSE)/100,IF($B249=2016,VLOOKUP($BJ249,'Treasury Yields'!$C$75:$N$104,$E249,FALSE)/100,IF($B249=2017,VLOOKUP($BJ249,'Treasury Yields'!$C$110:$N$139,$E249,FALSE)/100,IF($B249=2018,VLOOKUP($BJ249,'Treasury Yields'!$C$145:$N$174,$E249,FALSE)/100,IF($B249=2019,VLOOKUP($BJ249,'Treasury Yields'!$C$180:$N$209,$E249,FALSE)/100,IF($B249=2020,VLOOKUP($BJ249,'Treasury Yields'!$C$215:$N$244,$E249,FALSE)/100,IF($B249=2021,VLOOKUP($BJ249,'Treasury Yields'!$C$250:$N$279,$E249,FALSE)/100,IF($B249=2022,VLOOKUP($BJ249,'Treasury Yields'!$C$285:$N$314,$E249,FALSE)/100)))))))),0)</f>
        <v>3.2402272727272724E-2</v>
      </c>
      <c r="BQ249">
        <f t="shared" si="543"/>
        <v>1.4778364351615383</v>
      </c>
      <c r="BR249">
        <f t="shared" si="544"/>
        <v>81879911.927598163</v>
      </c>
      <c r="BS249">
        <f t="shared" si="545"/>
        <v>34208857.927598163</v>
      </c>
      <c r="BU249">
        <f t="shared" si="416"/>
        <v>15</v>
      </c>
      <c r="BV249">
        <f t="shared" si="546"/>
        <v>2.6126156558786242</v>
      </c>
      <c r="BW249">
        <f t="shared" si="547"/>
        <v>2246023.877508359</v>
      </c>
      <c r="BX249" s="5">
        <f t="shared" si="548"/>
        <v>1778301.1646224493</v>
      </c>
      <c r="BY249" s="5">
        <f t="shared" si="549"/>
        <v>710926.10471917642</v>
      </c>
      <c r="BZ249" s="5">
        <f t="shared" si="550"/>
        <v>4671305</v>
      </c>
      <c r="CA249" s="5">
        <f t="shared" si="551"/>
        <v>2956949.9822275355</v>
      </c>
      <c r="CC249" s="5">
        <f t="shared" si="552"/>
        <v>81879911.927598163</v>
      </c>
      <c r="CD249" s="5" t="str">
        <f t="shared" si="553"/>
        <v>Missouri</v>
      </c>
      <c r="CE249" s="5">
        <f t="shared" si="414"/>
        <v>0.86040664731110372</v>
      </c>
      <c r="CF249" s="10">
        <f t="shared" si="554"/>
        <v>0.58220695256918265</v>
      </c>
    </row>
    <row r="250" spans="1:84" x14ac:dyDescent="0.2">
      <c r="A250">
        <v>27000000000704</v>
      </c>
      <c r="B250">
        <v>2015</v>
      </c>
      <c r="C250">
        <v>369</v>
      </c>
      <c r="D250" t="s">
        <v>449</v>
      </c>
      <c r="E250">
        <v>6</v>
      </c>
      <c r="F250" t="s">
        <v>450</v>
      </c>
      <c r="G250" t="s">
        <v>451</v>
      </c>
      <c r="H250" t="s">
        <v>69</v>
      </c>
      <c r="I250" t="b">
        <v>1</v>
      </c>
      <c r="J250">
        <v>73820.437999999995</v>
      </c>
      <c r="K250">
        <v>390555.87900000002</v>
      </c>
      <c r="L250">
        <v>0</v>
      </c>
      <c r="M250">
        <v>9660.152</v>
      </c>
      <c r="N250">
        <v>-4670.5529999999999</v>
      </c>
      <c r="O250">
        <v>303675.3</v>
      </c>
      <c r="P250">
        <v>5368.3590000000004</v>
      </c>
      <c r="Q250">
        <v>160322.25700000001</v>
      </c>
      <c r="R250">
        <v>5191069.3420000002</v>
      </c>
      <c r="S250">
        <v>5351391.5990000004</v>
      </c>
      <c r="T250">
        <v>87290.862999999998</v>
      </c>
      <c r="U250">
        <v>43389.534</v>
      </c>
      <c r="V250">
        <v>72215.797000000006</v>
      </c>
      <c r="W250">
        <v>165684.95300000001</v>
      </c>
      <c r="Y250">
        <v>2035.0809999999999</v>
      </c>
      <c r="Z250">
        <v>-141</v>
      </c>
      <c r="AA250">
        <v>57389.072999999997</v>
      </c>
      <c r="AB250">
        <v>3652220.2650000001</v>
      </c>
      <c r="AC250">
        <v>3708385.838</v>
      </c>
      <c r="AD250">
        <v>1643005.7609999999</v>
      </c>
      <c r="AE250">
        <v>1538849.077</v>
      </c>
      <c r="AF250">
        <v>104156.68399999989</v>
      </c>
      <c r="AG250">
        <v>768719</v>
      </c>
      <c r="AH250">
        <v>0.11355366915608954</v>
      </c>
      <c r="AI250" t="b">
        <v>1</v>
      </c>
      <c r="AK250">
        <v>7.7499999999999999E-2</v>
      </c>
      <c r="AL250">
        <v>7.7499999999999999E-2</v>
      </c>
      <c r="AM250">
        <v>7.7499999999999999E-2</v>
      </c>
      <c r="AN250">
        <v>7.7499999999999999E-2</v>
      </c>
      <c r="AO250">
        <v>1</v>
      </c>
      <c r="AP250">
        <v>0</v>
      </c>
      <c r="AS250">
        <v>2257357.65</v>
      </c>
      <c r="AT250">
        <v>1126063.8729999999</v>
      </c>
      <c r="BB250">
        <f t="shared" ref="BB250:BB257" si="555">AC250/S250</f>
        <v>0.69297598005964944</v>
      </c>
      <c r="BD250">
        <f t="shared" ref="BD250:BD257" si="556">AS250-AD250</f>
        <v>614351.88899999997</v>
      </c>
      <c r="BE250">
        <f t="shared" ref="BE250:BE257" si="557">AT250-AD250</f>
        <v>-516941.88800000004</v>
      </c>
      <c r="BF250">
        <f t="shared" ref="BF250:BF257" si="558">BD250/S250*100</f>
        <v>11.480226734197553</v>
      </c>
      <c r="BG250">
        <f t="shared" ref="BG250:BG257" si="559">BE250/S250*100</f>
        <v>-9.659952527051086</v>
      </c>
      <c r="BH250">
        <f t="shared" ref="BH250:BH257" si="560">(BD250-BE250)/(2*S250)*100</f>
        <v>10.57008963062432</v>
      </c>
      <c r="BI250">
        <f t="shared" ref="BI250:BI257" si="561">(BD250+BE250)/(2*S250*(0.01^2))</f>
        <v>91.013710357323376</v>
      </c>
      <c r="BJ250">
        <f t="shared" ref="BJ250:BJ257" si="562">ROUND(BH250,0)</f>
        <v>11</v>
      </c>
      <c r="BK250">
        <f>IF($BJ250&lt;=30,IF($B250=2015,VLOOKUP($BJ250,'Treasury Yields'!$C$5:$N$34,$E250,FALSE)/100,IF($B250=2016,VLOOKUP($BJ250,'Treasury Yields'!$C$40:$N$69,$E250,FALSE)/100,IF($B250=2017,VLOOKUP($BJ250,'Treasury Yields'!$C$75:$N$104,$E250,FALSE)/100,IF($B250=2018,VLOOKUP($BJ250,'Treasury Yields'!$C$110:$N$139,$E250,FALSE)/100,IF($B250=2019,VLOOKUP($BJ250,'Treasury Yields'!$C$145:$N$174,$E250,FALSE)/100,IF($B250=2020,VLOOKUP($BJ250,'Treasury Yields'!$C$180:$N$209,$E250,FALSE)/100,IF($B250=2021,VLOOKUP($BJ250,'Treasury Yields'!$C$215:$N$244,$E250,FALSE)/100,IF($B250=2022,VLOOKUP($BJ250,'Treasury Yields'!$C$250:$N$279,$E250,FALSE)/100)))))))),0)</f>
        <v>2.8147999999999999E-2</v>
      </c>
      <c r="BL250">
        <f t="shared" ref="BL250:BL257" si="563">1+BH250*(AL250-BK250)+(AL250-BK250)^2</f>
        <v>1.5240906833545715</v>
      </c>
      <c r="BM250">
        <f t="shared" ref="BM250:BM257" si="564">BL250*R250</f>
        <v>7911660.4207897466</v>
      </c>
      <c r="BN250">
        <f t="shared" ref="BN250:BN257" si="565">BM250-AB250</f>
        <v>4259440.155789746</v>
      </c>
      <c r="BP250">
        <f>IF($BJ250&lt;=30,IF($B250=2015,VLOOKUP($BJ250,'Treasury Yields'!$C$40:$N$69,$E250,FALSE)/100,IF($B250=2016,VLOOKUP($BJ250,'Treasury Yields'!$C$75:$N$104,$E250,FALSE)/100,IF($B250=2017,VLOOKUP($BJ250,'Treasury Yields'!$C$110:$N$139,$E250,FALSE)/100,IF($B250=2018,VLOOKUP($BJ250,'Treasury Yields'!$C$145:$N$174,$E250,FALSE)/100,IF($B250=2019,VLOOKUP($BJ250,'Treasury Yields'!$C$180:$N$209,$E250,FALSE)/100,IF($B250=2020,VLOOKUP($BJ250,'Treasury Yields'!$C$215:$N$244,$E250,FALSE)/100,IF($B250=2021,VLOOKUP($BJ250,'Treasury Yields'!$C$250:$N$279,$E250,FALSE)/100,IF($B250=2022,VLOOKUP($BJ250,'Treasury Yields'!$C$285:$N$314,$E250,FALSE)/100)))))))),0)</f>
        <v>2.6258E-2</v>
      </c>
      <c r="BQ250">
        <f t="shared" ref="BQ250:BQ257" si="566">1+BH250*(AN250-BP250)+(AN250-BP250)^2</f>
        <v>1.5442582754164513</v>
      </c>
      <c r="BR250">
        <f t="shared" ref="BR250:BR257" si="567">BQ250*S250</f>
        <v>8263930.7617498264</v>
      </c>
      <c r="BS250">
        <f t="shared" ref="BS250:BS257" si="568">BR250-AC250</f>
        <v>4555544.9237498268</v>
      </c>
      <c r="BU250">
        <f t="shared" si="416"/>
        <v>14</v>
      </c>
      <c r="BV250">
        <f t="shared" ref="BV250:BV257" si="569">1+(BH250+BU250)*(AN250-BK250)+(AN250-BK250)^2*BI250</f>
        <v>2.4342578679337592</v>
      </c>
      <c r="BW250">
        <f t="shared" ref="BW250:BW257" si="570">BV250*J250</f>
        <v>179697.98201581623</v>
      </c>
      <c r="BX250" s="5">
        <f t="shared" ref="BX250:BX257" si="571">(BM250+BW250-O250)*BK250</f>
        <v>219207.70397777099</v>
      </c>
      <c r="BY250" s="5">
        <f t="shared" ref="BY250:BY257" si="572">BK250*(BN250+BW250-O250)</f>
        <v>116405.00795855098</v>
      </c>
      <c r="BZ250" s="5">
        <f t="shared" ref="BZ250:BZ257" si="573">SUM(J250:K250)</f>
        <v>464376.31700000004</v>
      </c>
      <c r="CA250" s="5">
        <f t="shared" ref="CA250:CA257" si="574">SUM(BW250+BY250)</f>
        <v>296102.9899743672</v>
      </c>
      <c r="CC250" s="5">
        <f t="shared" ref="CC250:CC257" si="575">BR250</f>
        <v>8263930.7617498264</v>
      </c>
      <c r="CD250" s="5" t="str">
        <f t="shared" ref="CD250:CD257" si="576">F250</f>
        <v>Montana</v>
      </c>
      <c r="CE250" s="5">
        <f t="shared" si="414"/>
        <v>0.69297598005964944</v>
      </c>
      <c r="CF250" s="10">
        <f t="shared" ref="CF250:CF257" si="577">AC250/CC250</f>
        <v>0.44874357553484351</v>
      </c>
    </row>
    <row r="251" spans="1:84" x14ac:dyDescent="0.2">
      <c r="A251">
        <v>27000000000704</v>
      </c>
      <c r="B251">
        <v>2016</v>
      </c>
      <c r="C251">
        <v>369</v>
      </c>
      <c r="D251" t="s">
        <v>449</v>
      </c>
      <c r="E251">
        <v>6</v>
      </c>
      <c r="F251" t="s">
        <v>450</v>
      </c>
      <c r="G251" t="s">
        <v>451</v>
      </c>
      <c r="H251" t="s">
        <v>69</v>
      </c>
      <c r="I251" t="b">
        <v>1</v>
      </c>
      <c r="J251">
        <v>73531</v>
      </c>
      <c r="K251">
        <v>402340</v>
      </c>
      <c r="M251">
        <v>-5246</v>
      </c>
      <c r="N251">
        <v>-12446</v>
      </c>
      <c r="O251">
        <v>320810</v>
      </c>
      <c r="P251">
        <v>5087</v>
      </c>
      <c r="Q251">
        <v>132282</v>
      </c>
      <c r="R251">
        <v>5351392</v>
      </c>
      <c r="S251">
        <v>5483674</v>
      </c>
      <c r="T251">
        <v>88644</v>
      </c>
      <c r="U251">
        <v>43903</v>
      </c>
      <c r="V251">
        <v>72741</v>
      </c>
      <c r="W251">
        <v>71488</v>
      </c>
      <c r="Y251">
        <v>2319</v>
      </c>
      <c r="Z251">
        <v>-143</v>
      </c>
      <c r="AA251">
        <v>-51555</v>
      </c>
      <c r="AB251">
        <v>3708386</v>
      </c>
      <c r="AC251">
        <v>3656831</v>
      </c>
      <c r="AD251">
        <v>1826843</v>
      </c>
      <c r="AE251">
        <v>1643005.7609999999</v>
      </c>
      <c r="AF251">
        <v>183837.23900000006</v>
      </c>
      <c r="AG251">
        <v>795921</v>
      </c>
      <c r="AH251">
        <v>0.11137286238207059</v>
      </c>
      <c r="AI251" t="b">
        <v>1</v>
      </c>
      <c r="AK251">
        <v>7.7499999999999999E-2</v>
      </c>
      <c r="AL251">
        <v>7.7499999999999999E-2</v>
      </c>
      <c r="AM251">
        <v>7.7499999999999999E-2</v>
      </c>
      <c r="AN251">
        <v>7.7499999999999999E-2</v>
      </c>
      <c r="AO251">
        <v>1</v>
      </c>
      <c r="AP251">
        <v>0</v>
      </c>
      <c r="AS251">
        <v>2451116</v>
      </c>
      <c r="AT251">
        <v>1301274</v>
      </c>
      <c r="AU251" t="s">
        <v>452</v>
      </c>
      <c r="AV251" t="s">
        <v>453</v>
      </c>
      <c r="BB251">
        <f t="shared" si="555"/>
        <v>0.66685784019983685</v>
      </c>
      <c r="BD251">
        <f t="shared" si="556"/>
        <v>624273</v>
      </c>
      <c r="BE251">
        <f t="shared" si="557"/>
        <v>-525569</v>
      </c>
      <c r="BF251">
        <f t="shared" si="558"/>
        <v>11.384210658766367</v>
      </c>
      <c r="BG251">
        <f t="shared" si="559"/>
        <v>-9.5842495378098711</v>
      </c>
      <c r="BH251">
        <f t="shared" si="560"/>
        <v>10.484230098288117</v>
      </c>
      <c r="BI251">
        <f t="shared" si="561"/>
        <v>89.998056047824875</v>
      </c>
      <c r="BJ251">
        <f t="shared" si="562"/>
        <v>10</v>
      </c>
      <c r="BK251">
        <f>IF($BJ251&lt;=30,IF($B251=2015,VLOOKUP($BJ251,'Treasury Yields'!$C$5:$N$34,$E251,FALSE)/100,IF($B251=2016,VLOOKUP($BJ251,'Treasury Yields'!$C$40:$N$69,$E251,FALSE)/100,IF($B251=2017,VLOOKUP($BJ251,'Treasury Yields'!$C$75:$N$104,$E251,FALSE)/100,IF($B251=2018,VLOOKUP($BJ251,'Treasury Yields'!$C$110:$N$139,$E251,FALSE)/100,IF($B251=2019,VLOOKUP($BJ251,'Treasury Yields'!$C$145:$N$174,$E251,FALSE)/100,IF($B251=2020,VLOOKUP($BJ251,'Treasury Yields'!$C$180:$N$209,$E251,FALSE)/100,IF($B251=2021,VLOOKUP($BJ251,'Treasury Yields'!$C$215:$N$244,$E251,FALSE)/100,IF($B251=2022,VLOOKUP($BJ251,'Treasury Yields'!$C$250:$N$279,$E251,FALSE)/100)))))))),0)</f>
        <v>2.5470000000000003E-2</v>
      </c>
      <c r="BL251">
        <f t="shared" si="563"/>
        <v>1.5482016129139307</v>
      </c>
      <c r="BM251">
        <f t="shared" si="564"/>
        <v>8285033.7257347051</v>
      </c>
      <c r="BN251">
        <f t="shared" si="565"/>
        <v>4576647.7257347051</v>
      </c>
      <c r="BP251">
        <f>IF($BJ251&lt;=30,IF($B251=2015,VLOOKUP($BJ251,'Treasury Yields'!$C$40:$N$69,$E251,FALSE)/100,IF($B251=2016,VLOOKUP($BJ251,'Treasury Yields'!$C$75:$N$104,$E251,FALSE)/100,IF($B251=2017,VLOOKUP($BJ251,'Treasury Yields'!$C$110:$N$139,$E251,FALSE)/100,IF($B251=2018,VLOOKUP($BJ251,'Treasury Yields'!$C$145:$N$174,$E251,FALSE)/100,IF($B251=2019,VLOOKUP($BJ251,'Treasury Yields'!$C$180:$N$209,$E251,FALSE)/100,IF($B251=2020,VLOOKUP($BJ251,'Treasury Yields'!$C$215:$N$244,$E251,FALSE)/100,IF($B251=2021,VLOOKUP($BJ251,'Treasury Yields'!$C$250:$N$279,$E251,FALSE)/100,IF($B251=2022,VLOOKUP($BJ251,'Treasury Yields'!$C$285:$N$314,$E251,FALSE)/100)))))))),0)</f>
        <v>1.635E-2</v>
      </c>
      <c r="BQ251">
        <f t="shared" si="566"/>
        <v>1.6448499930103182</v>
      </c>
      <c r="BR251">
        <f t="shared" si="567"/>
        <v>9019821.1405708641</v>
      </c>
      <c r="BS251">
        <f t="shared" si="568"/>
        <v>5362990.1405708641</v>
      </c>
      <c r="BU251">
        <f t="shared" si="416"/>
        <v>13</v>
      </c>
      <c r="BV251">
        <f t="shared" si="569"/>
        <v>2.4655201105003681</v>
      </c>
      <c r="BW251">
        <f t="shared" si="570"/>
        <v>181292.15924520258</v>
      </c>
      <c r="BX251" s="5">
        <f t="shared" si="571"/>
        <v>207466.28959043827</v>
      </c>
      <c r="BY251" s="5">
        <f t="shared" si="572"/>
        <v>113013.69817043825</v>
      </c>
      <c r="BZ251" s="5">
        <f t="shared" si="573"/>
        <v>475871</v>
      </c>
      <c r="CA251" s="5">
        <f t="shared" si="574"/>
        <v>294305.85741564084</v>
      </c>
      <c r="CC251" s="5">
        <f t="shared" si="575"/>
        <v>9019821.1405708641</v>
      </c>
      <c r="CD251" s="5" t="str">
        <f t="shared" si="576"/>
        <v>Montana</v>
      </c>
      <c r="CE251" s="5">
        <f t="shared" si="414"/>
        <v>0.66685784019983685</v>
      </c>
      <c r="CF251" s="10">
        <f t="shared" si="577"/>
        <v>0.40542167555315395</v>
      </c>
    </row>
    <row r="252" spans="1:84" x14ac:dyDescent="0.2">
      <c r="A252">
        <v>27000000000704</v>
      </c>
      <c r="B252">
        <v>2017</v>
      </c>
      <c r="C252">
        <v>369</v>
      </c>
      <c r="D252" t="s">
        <v>449</v>
      </c>
      <c r="E252">
        <v>6</v>
      </c>
      <c r="F252" t="s">
        <v>450</v>
      </c>
      <c r="G252" t="s">
        <v>451</v>
      </c>
      <c r="H252" t="s">
        <v>69</v>
      </c>
      <c r="I252" t="b">
        <v>1</v>
      </c>
      <c r="J252">
        <v>71429</v>
      </c>
      <c r="K252">
        <v>417307</v>
      </c>
      <c r="M252">
        <v>5421</v>
      </c>
      <c r="N252">
        <v>0</v>
      </c>
      <c r="O252">
        <v>333634</v>
      </c>
      <c r="P252">
        <v>7355</v>
      </c>
      <c r="Q252">
        <v>153168</v>
      </c>
      <c r="R252">
        <v>5483674</v>
      </c>
      <c r="S252">
        <v>5636842</v>
      </c>
      <c r="T252">
        <v>91854</v>
      </c>
      <c r="U252">
        <v>44414</v>
      </c>
      <c r="V252">
        <v>74253</v>
      </c>
      <c r="W252">
        <v>427042</v>
      </c>
      <c r="Y252">
        <v>2459</v>
      </c>
      <c r="Z252">
        <v>-212</v>
      </c>
      <c r="AA252">
        <v>293931</v>
      </c>
      <c r="AB252">
        <v>3656831</v>
      </c>
      <c r="AC252">
        <v>3950761</v>
      </c>
      <c r="AD252">
        <v>1686080</v>
      </c>
      <c r="AE252">
        <v>1826843</v>
      </c>
      <c r="AF252">
        <v>-140763</v>
      </c>
      <c r="AG252">
        <v>818123</v>
      </c>
      <c r="AH252">
        <v>0.11227407125823378</v>
      </c>
      <c r="AI252" t="b">
        <v>1</v>
      </c>
      <c r="AK252">
        <v>7.7499999999999999E-2</v>
      </c>
      <c r="AL252">
        <v>7.7499999999999999E-2</v>
      </c>
      <c r="AM252">
        <v>7.7499999999999999E-2</v>
      </c>
      <c r="AN252">
        <v>7.7499999999999999E-2</v>
      </c>
      <c r="AO252">
        <v>1</v>
      </c>
      <c r="AP252">
        <v>0</v>
      </c>
      <c r="AS252">
        <v>2323471</v>
      </c>
      <c r="AT252">
        <v>1149264</v>
      </c>
      <c r="AU252" t="s">
        <v>452</v>
      </c>
      <c r="AV252" t="s">
        <v>454</v>
      </c>
      <c r="BB252">
        <f t="shared" si="555"/>
        <v>0.70088198320974759</v>
      </c>
      <c r="BD252">
        <f t="shared" si="556"/>
        <v>637391</v>
      </c>
      <c r="BE252">
        <f t="shared" si="557"/>
        <v>-536816</v>
      </c>
      <c r="BF252">
        <f t="shared" si="558"/>
        <v>11.307590313867234</v>
      </c>
      <c r="BG252">
        <f t="shared" si="559"/>
        <v>-9.5233465830690314</v>
      </c>
      <c r="BH252">
        <f t="shared" si="560"/>
        <v>10.415468448468133</v>
      </c>
      <c r="BI252">
        <f t="shared" si="561"/>
        <v>89.212186539910107</v>
      </c>
      <c r="BJ252">
        <f t="shared" si="562"/>
        <v>10</v>
      </c>
      <c r="BK252">
        <f>IF($BJ252&lt;=30,IF($B252=2015,VLOOKUP($BJ252,'Treasury Yields'!$C$5:$N$34,$E252,FALSE)/100,IF($B252=2016,VLOOKUP($BJ252,'Treasury Yields'!$C$40:$N$69,$E252,FALSE)/100,IF($B252=2017,VLOOKUP($BJ252,'Treasury Yields'!$C$75:$N$104,$E252,FALSE)/100,IF($B252=2018,VLOOKUP($BJ252,'Treasury Yields'!$C$110:$N$139,$E252,FALSE)/100,IF($B252=2019,VLOOKUP($BJ252,'Treasury Yields'!$C$145:$N$174,$E252,FALSE)/100,IF($B252=2020,VLOOKUP($BJ252,'Treasury Yields'!$C$180:$N$209,$E252,FALSE)/100,IF($B252=2021,VLOOKUP($BJ252,'Treasury Yields'!$C$215:$N$244,$E252,FALSE)/100,IF($B252=2022,VLOOKUP($BJ252,'Treasury Yields'!$C$250:$N$279,$E252,FALSE)/100)))))))),0)</f>
        <v>1.635E-2</v>
      </c>
      <c r="BL252">
        <f t="shared" si="563"/>
        <v>1.6406452181238262</v>
      </c>
      <c r="BM252">
        <f t="shared" si="564"/>
        <v>8996763.5258499552</v>
      </c>
      <c r="BN252">
        <f t="shared" si="565"/>
        <v>5339932.5258499552</v>
      </c>
      <c r="BP252">
        <f>IF($BJ252&lt;=30,IF($B252=2015,VLOOKUP($BJ252,'Treasury Yields'!$C$40:$N$69,$E252,FALSE)/100,IF($B252=2016,VLOOKUP($BJ252,'Treasury Yields'!$C$75:$N$104,$E252,FALSE)/100,IF($B252=2017,VLOOKUP($BJ252,'Treasury Yields'!$C$110:$N$139,$E252,FALSE)/100,IF($B252=2018,VLOOKUP($BJ252,'Treasury Yields'!$C$145:$N$174,$E252,FALSE)/100,IF($B252=2019,VLOOKUP($BJ252,'Treasury Yields'!$C$180:$N$209,$E252,FALSE)/100,IF($B252=2020,VLOOKUP($BJ252,'Treasury Yields'!$C$215:$N$244,$E252,FALSE)/100,IF($B252=2021,VLOOKUP($BJ252,'Treasury Yields'!$C$250:$N$279,$E252,FALSE)/100,IF($B252=2022,VLOOKUP($BJ252,'Treasury Yields'!$C$285:$N$314,$E252,FALSE)/100)))))))),0)</f>
        <v>2.4670000000000001E-2</v>
      </c>
      <c r="BQ252">
        <f t="shared" si="566"/>
        <v>1.5530402070325715</v>
      </c>
      <c r="BR252">
        <f t="shared" si="567"/>
        <v>8754242.2666898947</v>
      </c>
      <c r="BS252">
        <f t="shared" si="568"/>
        <v>4803481.2666898947</v>
      </c>
      <c r="BU252">
        <f t="shared" si="416"/>
        <v>13</v>
      </c>
      <c r="BV252">
        <f t="shared" si="569"/>
        <v>2.7654490320267091</v>
      </c>
      <c r="BW252">
        <f t="shared" si="570"/>
        <v>197533.25890863579</v>
      </c>
      <c r="BX252" s="5">
        <f t="shared" si="571"/>
        <v>144871.83653080295</v>
      </c>
      <c r="BY252" s="5">
        <f t="shared" si="572"/>
        <v>85082.649680802962</v>
      </c>
      <c r="BZ252" s="5">
        <f t="shared" si="573"/>
        <v>488736</v>
      </c>
      <c r="CA252" s="5">
        <f t="shared" si="574"/>
        <v>282615.90858943877</v>
      </c>
      <c r="CC252" s="5">
        <f t="shared" si="575"/>
        <v>8754242.2666898947</v>
      </c>
      <c r="CD252" s="5" t="str">
        <f t="shared" si="576"/>
        <v>Montana</v>
      </c>
      <c r="CE252" s="5">
        <f t="shared" si="414"/>
        <v>0.70088198320974759</v>
      </c>
      <c r="CF252" s="10">
        <f t="shared" si="577"/>
        <v>0.45129674044237295</v>
      </c>
    </row>
    <row r="253" spans="1:84" x14ac:dyDescent="0.2">
      <c r="A253">
        <v>27000000000704</v>
      </c>
      <c r="B253">
        <v>2018</v>
      </c>
      <c r="C253">
        <v>369</v>
      </c>
      <c r="D253" t="s">
        <v>449</v>
      </c>
      <c r="E253">
        <v>6</v>
      </c>
      <c r="F253" t="s">
        <v>450</v>
      </c>
      <c r="G253" t="s">
        <v>451</v>
      </c>
      <c r="H253" t="s">
        <v>69</v>
      </c>
      <c r="I253" t="b">
        <v>1</v>
      </c>
      <c r="J253">
        <v>76010</v>
      </c>
      <c r="K253">
        <v>428867</v>
      </c>
      <c r="M253">
        <v>14571</v>
      </c>
      <c r="N253">
        <v>206321</v>
      </c>
      <c r="O253">
        <v>352854</v>
      </c>
      <c r="P253">
        <v>5323</v>
      </c>
      <c r="Q253">
        <v>367592</v>
      </c>
      <c r="R253">
        <v>5636842</v>
      </c>
      <c r="S253">
        <v>6004434</v>
      </c>
      <c r="T253">
        <v>94233</v>
      </c>
      <c r="U253">
        <v>45006</v>
      </c>
      <c r="V253">
        <v>75594</v>
      </c>
      <c r="W253">
        <v>343721</v>
      </c>
      <c r="Y253">
        <v>2850</v>
      </c>
      <c r="Z253">
        <v>-158</v>
      </c>
      <c r="AA253">
        <v>197402</v>
      </c>
      <c r="AB253">
        <v>3950761</v>
      </c>
      <c r="AC253">
        <v>4148324</v>
      </c>
      <c r="AD253">
        <v>1856110</v>
      </c>
      <c r="AE253">
        <v>1686080</v>
      </c>
      <c r="AF253">
        <v>170030</v>
      </c>
      <c r="AG253">
        <v>829709</v>
      </c>
      <c r="AH253">
        <v>0.11357355410149823</v>
      </c>
      <c r="AI253" t="b">
        <v>1</v>
      </c>
      <c r="AK253">
        <v>7.7499999999999999E-2</v>
      </c>
      <c r="AL253">
        <v>7.4999999999999997E-2</v>
      </c>
      <c r="AM253">
        <v>7.4999999999999997E-2</v>
      </c>
      <c r="AN253">
        <v>7.7499999999999999E-2</v>
      </c>
      <c r="AO253">
        <v>1</v>
      </c>
      <c r="AP253">
        <v>0</v>
      </c>
      <c r="AS253">
        <v>2552207</v>
      </c>
      <c r="AT253">
        <v>1273073</v>
      </c>
      <c r="AU253" t="s">
        <v>452</v>
      </c>
      <c r="AV253" t="s">
        <v>455</v>
      </c>
      <c r="BB253">
        <f t="shared" si="555"/>
        <v>0.69087677539631542</v>
      </c>
      <c r="BD253">
        <f t="shared" si="556"/>
        <v>696097</v>
      </c>
      <c r="BE253">
        <f t="shared" si="557"/>
        <v>-583037</v>
      </c>
      <c r="BF253">
        <f t="shared" si="558"/>
        <v>11.593049403157734</v>
      </c>
      <c r="BG253">
        <f t="shared" si="559"/>
        <v>-9.7101075638436534</v>
      </c>
      <c r="BH253">
        <f t="shared" si="560"/>
        <v>10.651578483500693</v>
      </c>
      <c r="BI253">
        <f t="shared" si="561"/>
        <v>94.147091965704007</v>
      </c>
      <c r="BJ253">
        <f t="shared" si="562"/>
        <v>11</v>
      </c>
      <c r="BK253">
        <f>IF($BJ253&lt;=30,IF($B253=2015,VLOOKUP($BJ253,'Treasury Yields'!$C$5:$N$34,$E253,FALSE)/100,IF($B253=2016,VLOOKUP($BJ253,'Treasury Yields'!$C$40:$N$69,$E253,FALSE)/100,IF($B253=2017,VLOOKUP($BJ253,'Treasury Yields'!$C$75:$N$104,$E253,FALSE)/100,IF($B253=2018,VLOOKUP($BJ253,'Treasury Yields'!$C$110:$N$139,$E253,FALSE)/100,IF($B253=2019,VLOOKUP($BJ253,'Treasury Yields'!$C$145:$N$174,$E253,FALSE)/100,IF($B253=2020,VLOOKUP($BJ253,'Treasury Yields'!$C$180:$N$209,$E253,FALSE)/100,IF($B253=2021,VLOOKUP($BJ253,'Treasury Yields'!$C$215:$N$244,$E253,FALSE)/100,IF($B253=2022,VLOOKUP($BJ253,'Treasury Yields'!$C$250:$N$279,$E253,FALSE)/100)))))))),0)</f>
        <v>2.5068799999999999E-2</v>
      </c>
      <c r="BL253">
        <f t="shared" si="563"/>
        <v>1.5343392203088098</v>
      </c>
      <c r="BM253">
        <f t="shared" si="564"/>
        <v>8648827.7592839524</v>
      </c>
      <c r="BN253">
        <f t="shared" si="565"/>
        <v>4698066.7592839524</v>
      </c>
      <c r="BP253">
        <f>IF($BJ253&lt;=30,IF($B253=2015,VLOOKUP($BJ253,'Treasury Yields'!$C$40:$N$69,$E253,FALSE)/100,IF($B253=2016,VLOOKUP($BJ253,'Treasury Yields'!$C$75:$N$104,$E253,FALSE)/100,IF($B253=2017,VLOOKUP($BJ253,'Treasury Yields'!$C$110:$N$139,$E253,FALSE)/100,IF($B253=2018,VLOOKUP($BJ253,'Treasury Yields'!$C$145:$N$174,$E253,FALSE)/100,IF($B253=2019,VLOOKUP($BJ253,'Treasury Yields'!$C$180:$N$209,$E253,FALSE)/100,IF($B253=2020,VLOOKUP($BJ253,'Treasury Yields'!$C$215:$N$244,$E253,FALSE)/100,IF($B253=2021,VLOOKUP($BJ253,'Treasury Yields'!$C$250:$N$279,$E253,FALSE)/100,IF($B253=2022,VLOOKUP($BJ253,'Treasury Yields'!$C$285:$N$314,$E253,FALSE)/100)))))))),0)</f>
        <v>2.9273236363636365E-2</v>
      </c>
      <c r="BQ253">
        <f t="shared" si="566"/>
        <v>1.5160169786088022</v>
      </c>
      <c r="BR253">
        <f t="shared" si="567"/>
        <v>9102823.8909359649</v>
      </c>
      <c r="BS253">
        <f t="shared" si="568"/>
        <v>4954499.8909359649</v>
      </c>
      <c r="BU253">
        <f t="shared" si="416"/>
        <v>14</v>
      </c>
      <c r="BV253">
        <f t="shared" si="569"/>
        <v>2.5513250910618441</v>
      </c>
      <c r="BW253">
        <f t="shared" si="570"/>
        <v>193926.22017161077</v>
      </c>
      <c r="BX253" s="5">
        <f t="shared" si="571"/>
        <v>212831.60460497558</v>
      </c>
      <c r="BY253" s="5">
        <f t="shared" si="572"/>
        <v>113790.76724817562</v>
      </c>
      <c r="BZ253" s="5">
        <f t="shared" si="573"/>
        <v>504877</v>
      </c>
      <c r="CA253" s="5">
        <f t="shared" si="574"/>
        <v>307716.9874197864</v>
      </c>
      <c r="CC253" s="5">
        <f t="shared" si="575"/>
        <v>9102823.8909359649</v>
      </c>
      <c r="CD253" s="5" t="str">
        <f t="shared" si="576"/>
        <v>Montana</v>
      </c>
      <c r="CE253" s="5">
        <f t="shared" si="414"/>
        <v>0.69087677539631542</v>
      </c>
      <c r="CF253" s="10">
        <f t="shared" si="577"/>
        <v>0.45571836275231548</v>
      </c>
    </row>
    <row r="254" spans="1:84" x14ac:dyDescent="0.2">
      <c r="A254">
        <v>27000000000704</v>
      </c>
      <c r="B254">
        <v>2019</v>
      </c>
      <c r="C254">
        <v>369</v>
      </c>
      <c r="D254" t="s">
        <v>449</v>
      </c>
      <c r="E254">
        <v>6</v>
      </c>
      <c r="F254" t="s">
        <v>450</v>
      </c>
      <c r="G254" t="s">
        <v>451</v>
      </c>
      <c r="H254" t="s">
        <v>69</v>
      </c>
      <c r="I254" t="b">
        <v>1</v>
      </c>
      <c r="J254">
        <v>75237</v>
      </c>
      <c r="K254">
        <v>441958</v>
      </c>
      <c r="M254">
        <v>6775</v>
      </c>
      <c r="N254">
        <v>-6059</v>
      </c>
      <c r="O254">
        <v>367780</v>
      </c>
      <c r="P254">
        <v>6008</v>
      </c>
      <c r="Q254">
        <v>144122</v>
      </c>
      <c r="R254">
        <v>6004434</v>
      </c>
      <c r="S254">
        <v>6148556</v>
      </c>
      <c r="T254">
        <v>97303</v>
      </c>
      <c r="U254">
        <v>45495</v>
      </c>
      <c r="V254">
        <v>78151</v>
      </c>
      <c r="W254">
        <v>227892</v>
      </c>
      <c r="Y254">
        <v>2947</v>
      </c>
      <c r="Z254">
        <v>-175</v>
      </c>
      <c r="AA254">
        <v>71963</v>
      </c>
      <c r="AB254">
        <v>4148324</v>
      </c>
      <c r="AC254">
        <v>4220286</v>
      </c>
      <c r="AD254">
        <v>1928271</v>
      </c>
      <c r="AE254">
        <v>1856110</v>
      </c>
      <c r="AF254">
        <v>72161</v>
      </c>
      <c r="AG254">
        <v>857468</v>
      </c>
      <c r="AH254">
        <v>0.11347712101209607</v>
      </c>
      <c r="AI254" t="b">
        <v>1</v>
      </c>
      <c r="AK254">
        <v>7.4999999999999997E-2</v>
      </c>
      <c r="AL254">
        <v>7.4999999999999997E-2</v>
      </c>
      <c r="AM254">
        <v>7.4999999999999997E-2</v>
      </c>
      <c r="AN254">
        <v>7.4999999999999997E-2</v>
      </c>
      <c r="AO254">
        <v>1</v>
      </c>
      <c r="AP254">
        <v>0</v>
      </c>
      <c r="AS254">
        <v>2637387</v>
      </c>
      <c r="AT254">
        <v>1334147</v>
      </c>
      <c r="AV254" t="s">
        <v>456</v>
      </c>
      <c r="BB254">
        <f t="shared" si="555"/>
        <v>0.68638652717808868</v>
      </c>
      <c r="BD254">
        <f t="shared" si="556"/>
        <v>709116</v>
      </c>
      <c r="BE254">
        <f t="shared" si="557"/>
        <v>-594124</v>
      </c>
      <c r="BF254">
        <f t="shared" si="558"/>
        <v>11.533049385904592</v>
      </c>
      <c r="BG254">
        <f t="shared" si="559"/>
        <v>-9.6628216446268045</v>
      </c>
      <c r="BH254">
        <f t="shared" si="560"/>
        <v>10.597935515265698</v>
      </c>
      <c r="BI254">
        <f t="shared" si="561"/>
        <v>93.511387063889472</v>
      </c>
      <c r="BJ254">
        <f t="shared" si="562"/>
        <v>11</v>
      </c>
      <c r="BK254">
        <f>IF($BJ254&lt;=30,IF($B254=2015,VLOOKUP($BJ254,'Treasury Yields'!$C$5:$N$34,$E254,FALSE)/100,IF($B254=2016,VLOOKUP($BJ254,'Treasury Yields'!$C$40:$N$69,$E254,FALSE)/100,IF($B254=2017,VLOOKUP($BJ254,'Treasury Yields'!$C$75:$N$104,$E254,FALSE)/100,IF($B254=2018,VLOOKUP($BJ254,'Treasury Yields'!$C$110:$N$139,$E254,FALSE)/100,IF($B254=2019,VLOOKUP($BJ254,'Treasury Yields'!$C$145:$N$174,$E254,FALSE)/100,IF($B254=2020,VLOOKUP($BJ254,'Treasury Yields'!$C$180:$N$209,$E254,FALSE)/100,IF($B254=2021,VLOOKUP($BJ254,'Treasury Yields'!$C$215:$N$244,$E254,FALSE)/100,IF($B254=2022,VLOOKUP($BJ254,'Treasury Yields'!$C$250:$N$279,$E254,FALSE)/100)))))))),0)</f>
        <v>2.9273236363636365E-2</v>
      </c>
      <c r="BL254">
        <f t="shared" si="563"/>
        <v>1.4867002292526341</v>
      </c>
      <c r="BM254">
        <f t="shared" si="564"/>
        <v>8926793.4043323118</v>
      </c>
      <c r="BN254">
        <f t="shared" si="565"/>
        <v>4778469.4043323118</v>
      </c>
      <c r="BP254">
        <f>IF($BJ254&lt;=30,IF($B254=2015,VLOOKUP($BJ254,'Treasury Yields'!$C$40:$N$69,$E254,FALSE)/100,IF($B254=2016,VLOOKUP($BJ254,'Treasury Yields'!$C$75:$N$104,$E254,FALSE)/100,IF($B254=2017,VLOOKUP($BJ254,'Treasury Yields'!$C$110:$N$139,$E254,FALSE)/100,IF($B254=2018,VLOOKUP($BJ254,'Treasury Yields'!$C$145:$N$174,$E254,FALSE)/100,IF($B254=2019,VLOOKUP($BJ254,'Treasury Yields'!$C$180:$N$209,$E254,FALSE)/100,IF($B254=2020,VLOOKUP($BJ254,'Treasury Yields'!$C$215:$N$244,$E254,FALSE)/100,IF($B254=2021,VLOOKUP($BJ254,'Treasury Yields'!$C$250:$N$279,$E254,FALSE)/100,IF($B254=2022,VLOOKUP($BJ254,'Treasury Yields'!$C$285:$N$314,$E254,FALSE)/100)))))))),0)</f>
        <v>2.1722000000000002E-2</v>
      </c>
      <c r="BQ254">
        <f t="shared" si="566"/>
        <v>1.5674753536663257</v>
      </c>
      <c r="BR254">
        <f t="shared" si="567"/>
        <v>9637709.9906372093</v>
      </c>
      <c r="BS254">
        <f t="shared" si="568"/>
        <v>5417423.9906372093</v>
      </c>
      <c r="BU254">
        <f t="shared" si="416"/>
        <v>14</v>
      </c>
      <c r="BV254">
        <f t="shared" si="569"/>
        <v>2.3203103942146055</v>
      </c>
      <c r="BW254">
        <f t="shared" si="570"/>
        <v>174573.19312952427</v>
      </c>
      <c r="BX254" s="5">
        <f t="shared" si="571"/>
        <v>255660.34476978701</v>
      </c>
      <c r="BY254" s="5">
        <f t="shared" si="572"/>
        <v>134225.47580484155</v>
      </c>
      <c r="BZ254" s="5">
        <f t="shared" si="573"/>
        <v>517195</v>
      </c>
      <c r="CA254" s="5">
        <f t="shared" si="574"/>
        <v>308798.66893436585</v>
      </c>
      <c r="CC254" s="5">
        <f t="shared" si="575"/>
        <v>9637709.9906372093</v>
      </c>
      <c r="CD254" s="5" t="str">
        <f t="shared" si="576"/>
        <v>Montana</v>
      </c>
      <c r="CE254" s="5">
        <f t="shared" si="414"/>
        <v>0.68638652717808868</v>
      </c>
      <c r="CF254" s="10">
        <f t="shared" si="577"/>
        <v>0.43789302688085663</v>
      </c>
    </row>
    <row r="255" spans="1:84" x14ac:dyDescent="0.2">
      <c r="A255">
        <v>27000000000704</v>
      </c>
      <c r="B255">
        <v>2020</v>
      </c>
      <c r="C255">
        <v>369</v>
      </c>
      <c r="D255" t="s">
        <v>449</v>
      </c>
      <c r="E255">
        <v>6</v>
      </c>
      <c r="F255" t="s">
        <v>450</v>
      </c>
      <c r="G255" t="s">
        <v>451</v>
      </c>
      <c r="H255" t="s">
        <v>69</v>
      </c>
      <c r="I255" t="b">
        <v>1</v>
      </c>
      <c r="J255">
        <v>76335</v>
      </c>
      <c r="K255">
        <v>452258</v>
      </c>
      <c r="M255">
        <v>22425</v>
      </c>
      <c r="N255">
        <v>107293</v>
      </c>
      <c r="O255">
        <v>384397</v>
      </c>
      <c r="P255">
        <v>5172</v>
      </c>
      <c r="Q255">
        <v>269742</v>
      </c>
      <c r="R255">
        <v>6148556</v>
      </c>
      <c r="S255">
        <v>6417298</v>
      </c>
      <c r="T255">
        <v>102420</v>
      </c>
      <c r="U255">
        <v>45948</v>
      </c>
      <c r="V255">
        <v>80195</v>
      </c>
      <c r="W255">
        <v>112589</v>
      </c>
      <c r="Y255">
        <v>3768</v>
      </c>
      <c r="Z255">
        <v>-204</v>
      </c>
      <c r="AA255">
        <v>-52337</v>
      </c>
      <c r="AB255">
        <v>4220286</v>
      </c>
      <c r="AC255">
        <v>4167840</v>
      </c>
      <c r="AD255">
        <v>2249459</v>
      </c>
      <c r="AE255">
        <v>1928271</v>
      </c>
      <c r="AF255">
        <v>321188</v>
      </c>
      <c r="AG255">
        <v>880668</v>
      </c>
      <c r="AH255">
        <v>0.11629808281895107</v>
      </c>
      <c r="AI255" t="b">
        <v>1</v>
      </c>
      <c r="AK255">
        <v>7.4999999999999997E-2</v>
      </c>
      <c r="AL255">
        <v>7.3400000000000007E-2</v>
      </c>
      <c r="AM255">
        <v>7.3400000000000007E-2</v>
      </c>
      <c r="AN255">
        <v>7.4999999999999997E-2</v>
      </c>
      <c r="AO255">
        <v>1</v>
      </c>
      <c r="AP255">
        <v>0</v>
      </c>
      <c r="AS255">
        <v>2995087</v>
      </c>
      <c r="AT255">
        <v>1625618</v>
      </c>
      <c r="AU255" t="s">
        <v>150</v>
      </c>
      <c r="AV255" t="s">
        <v>457</v>
      </c>
      <c r="BB255">
        <f t="shared" si="555"/>
        <v>0.64946960543206811</v>
      </c>
      <c r="BD255">
        <f t="shared" si="556"/>
        <v>745628</v>
      </c>
      <c r="BE255">
        <f t="shared" si="557"/>
        <v>-623841</v>
      </c>
      <c r="BF255">
        <f t="shared" si="558"/>
        <v>11.619033431204222</v>
      </c>
      <c r="BG255">
        <f t="shared" si="559"/>
        <v>-9.7212409334894527</v>
      </c>
      <c r="BH255">
        <f t="shared" si="560"/>
        <v>10.670137182346839</v>
      </c>
      <c r="BI255">
        <f t="shared" si="561"/>
        <v>94.889624885738499</v>
      </c>
      <c r="BJ255">
        <f t="shared" si="562"/>
        <v>11</v>
      </c>
      <c r="BK255">
        <f>IF($BJ255&lt;=30,IF($B255=2015,VLOOKUP($BJ255,'Treasury Yields'!$C$5:$N$34,$E255,FALSE)/100,IF($B255=2016,VLOOKUP($BJ255,'Treasury Yields'!$C$40:$N$69,$E255,FALSE)/100,IF($B255=2017,VLOOKUP($BJ255,'Treasury Yields'!$C$75:$N$104,$E255,FALSE)/100,IF($B255=2018,VLOOKUP($BJ255,'Treasury Yields'!$C$110:$N$139,$E255,FALSE)/100,IF($B255=2019,VLOOKUP($BJ255,'Treasury Yields'!$C$145:$N$174,$E255,FALSE)/100,IF($B255=2020,VLOOKUP($BJ255,'Treasury Yields'!$C$180:$N$209,$E255,FALSE)/100,IF($B255=2021,VLOOKUP($BJ255,'Treasury Yields'!$C$215:$N$244,$E255,FALSE)/100,IF($B255=2022,VLOOKUP($BJ255,'Treasury Yields'!$C$250:$N$279,$E255,FALSE)/100)))))))),0)</f>
        <v>2.1722000000000002E-2</v>
      </c>
      <c r="BL255">
        <f t="shared" si="563"/>
        <v>1.55408196499332</v>
      </c>
      <c r="BM255">
        <f t="shared" si="564"/>
        <v>9555359.9903514683</v>
      </c>
      <c r="BN255">
        <f t="shared" si="565"/>
        <v>5335073.9903514683</v>
      </c>
      <c r="BP255">
        <f>IF($BJ255&lt;=30,IF($B255=2015,VLOOKUP($BJ255,'Treasury Yields'!$C$40:$N$69,$E255,FALSE)/100,IF($B255=2016,VLOOKUP($BJ255,'Treasury Yields'!$C$75:$N$104,$E255,FALSE)/100,IF($B255=2017,VLOOKUP($BJ255,'Treasury Yields'!$C$110:$N$139,$E255,FALSE)/100,IF($B255=2018,VLOOKUP($BJ255,'Treasury Yields'!$C$145:$N$174,$E255,FALSE)/100,IF($B255=2019,VLOOKUP($BJ255,'Treasury Yields'!$C$180:$N$209,$E255,FALSE)/100,IF($B255=2020,VLOOKUP($BJ255,'Treasury Yields'!$C$215:$N$244,$E255,FALSE)/100,IF($B255=2021,VLOOKUP($BJ255,'Treasury Yields'!$C$250:$N$279,$E255,FALSE)/100,IF($B255=2022,VLOOKUP($BJ255,'Treasury Yields'!$C$285:$N$314,$E255,FALSE)/100)))))))),0)</f>
        <v>1.4551090909090908E-2</v>
      </c>
      <c r="BQ255">
        <f t="shared" si="566"/>
        <v>1.6486522231334939</v>
      </c>
      <c r="BR255">
        <f t="shared" si="567"/>
        <v>10579892.614210125</v>
      </c>
      <c r="BS255">
        <f t="shared" si="568"/>
        <v>6412052.6142101251</v>
      </c>
      <c r="BU255">
        <f t="shared" si="416"/>
        <v>14</v>
      </c>
      <c r="BV255">
        <f t="shared" si="569"/>
        <v>2.5837240660210168</v>
      </c>
      <c r="BW255">
        <f t="shared" si="570"/>
        <v>197228.57657971431</v>
      </c>
      <c r="BX255" s="5">
        <f t="shared" si="571"/>
        <v>203495.85721687917</v>
      </c>
      <c r="BY255" s="5">
        <f t="shared" si="572"/>
        <v>111822.80472487916</v>
      </c>
      <c r="BZ255" s="5">
        <f t="shared" si="573"/>
        <v>528593</v>
      </c>
      <c r="CA255" s="5">
        <f t="shared" si="574"/>
        <v>309051.38130459347</v>
      </c>
      <c r="CC255" s="5">
        <f t="shared" si="575"/>
        <v>10579892.614210125</v>
      </c>
      <c r="CD255" s="5" t="str">
        <f t="shared" si="576"/>
        <v>Montana</v>
      </c>
      <c r="CE255" s="5">
        <f t="shared" si="414"/>
        <v>0.64946960543206811</v>
      </c>
      <c r="CF255" s="10">
        <f t="shared" si="577"/>
        <v>0.39393972623144274</v>
      </c>
    </row>
    <row r="256" spans="1:84" x14ac:dyDescent="0.2">
      <c r="A256">
        <v>27000000000704</v>
      </c>
      <c r="B256">
        <v>2021</v>
      </c>
      <c r="C256">
        <v>369</v>
      </c>
      <c r="D256" t="s">
        <v>449</v>
      </c>
      <c r="E256">
        <v>6</v>
      </c>
      <c r="F256" t="s">
        <v>450</v>
      </c>
      <c r="G256" t="s">
        <v>451</v>
      </c>
      <c r="H256" t="s">
        <v>69</v>
      </c>
      <c r="I256" t="b">
        <v>1</v>
      </c>
      <c r="J256">
        <v>81017</v>
      </c>
      <c r="K256">
        <v>461974</v>
      </c>
      <c r="M256">
        <v>21713</v>
      </c>
      <c r="N256">
        <v>200171</v>
      </c>
      <c r="O256">
        <v>399898</v>
      </c>
      <c r="P256">
        <v>8890</v>
      </c>
      <c r="Q256">
        <v>356086</v>
      </c>
      <c r="R256">
        <v>6417298</v>
      </c>
      <c r="S256">
        <v>6773384</v>
      </c>
      <c r="T256">
        <v>103219</v>
      </c>
      <c r="U256">
        <v>47021</v>
      </c>
      <c r="V256">
        <v>81121</v>
      </c>
      <c r="W256">
        <v>1129752</v>
      </c>
      <c r="Y256">
        <v>3937</v>
      </c>
      <c r="Z256">
        <v>-353</v>
      </c>
      <c r="AA256">
        <v>949010</v>
      </c>
      <c r="AB256">
        <v>4167840</v>
      </c>
      <c r="AC256">
        <v>5116849</v>
      </c>
      <c r="AD256">
        <v>1656535</v>
      </c>
      <c r="AE256">
        <v>2249459</v>
      </c>
      <c r="AF256">
        <v>-592924</v>
      </c>
      <c r="AG256">
        <v>922765</v>
      </c>
      <c r="AI256" t="b">
        <v>1</v>
      </c>
      <c r="AK256">
        <v>7.3400000000000007E-2</v>
      </c>
      <c r="AL256">
        <v>7.3400000000000007E-2</v>
      </c>
      <c r="AM256">
        <v>7.3400000000000007E-2</v>
      </c>
      <c r="AN256">
        <v>7.3400000000000007E-2</v>
      </c>
      <c r="AS256">
        <v>2595451</v>
      </c>
      <c r="AT256">
        <v>1289376</v>
      </c>
      <c r="BB256">
        <f t="shared" si="555"/>
        <v>0.75543465422896439</v>
      </c>
      <c r="BD256">
        <f t="shared" si="556"/>
        <v>938916</v>
      </c>
      <c r="BE256">
        <f t="shared" si="557"/>
        <v>-367159</v>
      </c>
      <c r="BF256">
        <f t="shared" si="558"/>
        <v>13.861845127930145</v>
      </c>
      <c r="BG256">
        <f t="shared" si="559"/>
        <v>-5.4206139796592074</v>
      </c>
      <c r="BH256">
        <f t="shared" si="560"/>
        <v>9.6412295537946768</v>
      </c>
      <c r="BI256">
        <f t="shared" si="561"/>
        <v>422.06155741354689</v>
      </c>
      <c r="BJ256">
        <f t="shared" si="562"/>
        <v>10</v>
      </c>
      <c r="BK256">
        <f>IF($BJ256&lt;=30,IF($B256=2015,VLOOKUP($BJ256,'Treasury Yields'!$C$5:$N$34,$E256,FALSE)/100,IF($B256=2016,VLOOKUP($BJ256,'Treasury Yields'!$C$40:$N$69,$E256,FALSE)/100,IF($B256=2017,VLOOKUP($BJ256,'Treasury Yields'!$C$75:$N$104,$E256,FALSE)/100,IF($B256=2018,VLOOKUP($BJ256,'Treasury Yields'!$C$110:$N$139,$E256,FALSE)/100,IF($B256=2019,VLOOKUP($BJ256,'Treasury Yields'!$C$145:$N$174,$E256,FALSE)/100,IF($B256=2020,VLOOKUP($BJ256,'Treasury Yields'!$C$180:$N$209,$E256,FALSE)/100,IF($B256=2021,VLOOKUP($BJ256,'Treasury Yields'!$C$215:$N$244,$E256,FALSE)/100,IF($B256=2022,VLOOKUP($BJ256,'Treasury Yields'!$C$250:$N$279,$E256,FALSE)/100)))))))),0)</f>
        <v>1.5412727272727269E-2</v>
      </c>
      <c r="BL256">
        <f t="shared" si="563"/>
        <v>1.5624311313604808</v>
      </c>
      <c r="BM256">
        <f t="shared" si="564"/>
        <v>10026586.17441735</v>
      </c>
      <c r="BN256">
        <f t="shared" si="565"/>
        <v>5858746.1744173504</v>
      </c>
      <c r="BP256">
        <f>IF($BJ256&lt;=30,IF($B256=2015,VLOOKUP($BJ256,'Treasury Yields'!$C$40:$N$69,$E256,FALSE)/100,IF($B256=2016,VLOOKUP($BJ256,'Treasury Yields'!$C$75:$N$104,$E256,FALSE)/100,IF($B256=2017,VLOOKUP($BJ256,'Treasury Yields'!$C$110:$N$139,$E256,FALSE)/100,IF($B256=2018,VLOOKUP($BJ256,'Treasury Yields'!$C$145:$N$174,$E256,FALSE)/100,IF($B256=2019,VLOOKUP($BJ256,'Treasury Yields'!$C$180:$N$209,$E256,FALSE)/100,IF($B256=2020,VLOOKUP($BJ256,'Treasury Yields'!$C$215:$N$244,$E256,FALSE)/100,IF($B256=2021,VLOOKUP($BJ256,'Treasury Yields'!$C$250:$N$279,$E256,FALSE)/100,IF($B256=2022,VLOOKUP($BJ256,'Treasury Yields'!$C$285:$N$314,$E256,FALSE)/100)))))))),0)</f>
        <v>2.202272727272727E-2</v>
      </c>
      <c r="BQ256">
        <f t="shared" si="566"/>
        <v>1.4979797043644436</v>
      </c>
      <c r="BR256">
        <f t="shared" si="567"/>
        <v>10146391.761866853</v>
      </c>
      <c r="BS256">
        <f t="shared" si="568"/>
        <v>5029542.7618668526</v>
      </c>
      <c r="BU256">
        <f t="shared" si="416"/>
        <v>13</v>
      </c>
      <c r="BV256">
        <f t="shared" si="569"/>
        <v>3.7320951841871755</v>
      </c>
      <c r="BW256">
        <f t="shared" si="570"/>
        <v>302363.15553729242</v>
      </c>
      <c r="BX256" s="5">
        <f t="shared" si="571"/>
        <v>153033.76022550088</v>
      </c>
      <c r="BY256" s="5">
        <f t="shared" si="572"/>
        <v>88795.978989137264</v>
      </c>
      <c r="BZ256" s="5">
        <f t="shared" si="573"/>
        <v>542991</v>
      </c>
      <c r="CA256" s="5">
        <f t="shared" si="574"/>
        <v>391159.1345264297</v>
      </c>
      <c r="CC256" s="5">
        <f t="shared" si="575"/>
        <v>10146391.761866853</v>
      </c>
      <c r="CD256" s="5" t="str">
        <f t="shared" si="576"/>
        <v>Montana</v>
      </c>
      <c r="CE256" s="5">
        <f t="shared" si="414"/>
        <v>0.75543465422896439</v>
      </c>
      <c r="CF256" s="10">
        <f t="shared" si="577"/>
        <v>0.50430232934929986</v>
      </c>
    </row>
    <row r="257" spans="1:84" x14ac:dyDescent="0.2">
      <c r="A257">
        <v>27000000000704</v>
      </c>
      <c r="B257">
        <v>2022</v>
      </c>
      <c r="C257">
        <v>369</v>
      </c>
      <c r="D257" t="s">
        <v>449</v>
      </c>
      <c r="E257">
        <v>6</v>
      </c>
      <c r="F257" t="s">
        <v>450</v>
      </c>
      <c r="G257" t="s">
        <v>451</v>
      </c>
      <c r="H257" t="s">
        <v>69</v>
      </c>
      <c r="I257" t="b">
        <v>1</v>
      </c>
      <c r="J257">
        <v>96145</v>
      </c>
      <c r="K257">
        <v>463210</v>
      </c>
      <c r="M257">
        <v>21773</v>
      </c>
      <c r="N257">
        <v>-238552</v>
      </c>
      <c r="O257">
        <v>414347</v>
      </c>
      <c r="P257">
        <v>10338</v>
      </c>
      <c r="Q257">
        <v>-82110</v>
      </c>
      <c r="R257">
        <v>6773384</v>
      </c>
      <c r="S257">
        <v>6691275</v>
      </c>
      <c r="T257">
        <v>109672</v>
      </c>
      <c r="U257">
        <v>48000</v>
      </c>
      <c r="V257">
        <v>85737</v>
      </c>
      <c r="W257">
        <v>-207441</v>
      </c>
      <c r="Y257">
        <v>3555</v>
      </c>
      <c r="Z257">
        <v>-164</v>
      </c>
      <c r="AA257">
        <v>-392400</v>
      </c>
      <c r="AB257">
        <v>5116849</v>
      </c>
      <c r="AC257">
        <v>4724449</v>
      </c>
      <c r="AD257">
        <v>1966825</v>
      </c>
      <c r="AE257">
        <v>1656535</v>
      </c>
      <c r="AF257">
        <v>310290</v>
      </c>
      <c r="AG257">
        <v>960836</v>
      </c>
      <c r="AI257" t="b">
        <v>1</v>
      </c>
      <c r="AK257">
        <v>7.3400000000000007E-2</v>
      </c>
      <c r="AL257">
        <v>7.2999999999999995E-2</v>
      </c>
      <c r="AM257">
        <v>7.2999999999999995E-2</v>
      </c>
      <c r="AN257">
        <v>7.3400000000000007E-2</v>
      </c>
      <c r="AS257">
        <v>2747353</v>
      </c>
      <c r="AT257">
        <v>1313622</v>
      </c>
      <c r="AV257" t="s">
        <v>458</v>
      </c>
      <c r="BB257">
        <f t="shared" si="555"/>
        <v>0.70606110195739979</v>
      </c>
      <c r="BD257">
        <f t="shared" si="556"/>
        <v>780528</v>
      </c>
      <c r="BE257">
        <f t="shared" si="557"/>
        <v>-653203</v>
      </c>
      <c r="BF257">
        <f t="shared" si="558"/>
        <v>11.664862077855117</v>
      </c>
      <c r="BG257">
        <f t="shared" si="559"/>
        <v>-9.7620109769812178</v>
      </c>
      <c r="BH257">
        <f t="shared" si="560"/>
        <v>10.713436527418168</v>
      </c>
      <c r="BI257">
        <f t="shared" si="561"/>
        <v>95.142555043694955</v>
      </c>
      <c r="BJ257">
        <f t="shared" si="562"/>
        <v>11</v>
      </c>
      <c r="BK257">
        <f>IF($BJ257&lt;=30,IF($B257=2015,VLOOKUP($BJ257,'Treasury Yields'!$C$5:$N$34,$E257,FALSE)/100,IF($B257=2016,VLOOKUP($BJ257,'Treasury Yields'!$C$40:$N$69,$E257,FALSE)/100,IF($B257=2017,VLOOKUP($BJ257,'Treasury Yields'!$C$75:$N$104,$E257,FALSE)/100,IF($B257=2018,VLOOKUP($BJ257,'Treasury Yields'!$C$110:$N$139,$E257,FALSE)/100,IF($B257=2019,VLOOKUP($BJ257,'Treasury Yields'!$C$145:$N$174,$E257,FALSE)/100,IF($B257=2020,VLOOKUP($BJ257,'Treasury Yields'!$C$180:$N$209,$E257,FALSE)/100,IF($B257=2021,VLOOKUP($BJ257,'Treasury Yields'!$C$215:$N$244,$E257,FALSE)/100,IF($B257=2022,VLOOKUP($BJ257,'Treasury Yields'!$C$250:$N$279,$E257,FALSE)/100)))))))),0)</f>
        <v>2.1554272727272727E-2</v>
      </c>
      <c r="BL257">
        <f t="shared" si="563"/>
        <v>1.5538071965978493</v>
      </c>
      <c r="BM257">
        <f t="shared" si="564"/>
        <v>10524532.804520726</v>
      </c>
      <c r="BN257">
        <f t="shared" si="565"/>
        <v>5407683.8045207262</v>
      </c>
      <c r="BP257">
        <f>IF($BJ257&lt;=30,IF($B257=2015,VLOOKUP($BJ257,'Treasury Yields'!$C$40:$N$69,$E257,FALSE)/100,IF($B257=2016,VLOOKUP($BJ257,'Treasury Yields'!$C$75:$N$104,$E257,FALSE)/100,IF($B257=2017,VLOOKUP($BJ257,'Treasury Yields'!$C$110:$N$139,$E257,FALSE)/100,IF($B257=2018,VLOOKUP($BJ257,'Treasury Yields'!$C$145:$N$174,$E257,FALSE)/100,IF($B257=2019,VLOOKUP($BJ257,'Treasury Yields'!$C$180:$N$209,$E257,FALSE)/100,IF($B257=2020,VLOOKUP($BJ257,'Treasury Yields'!$C$215:$N$244,$E257,FALSE)/100,IF($B257=2021,VLOOKUP($BJ257,'Treasury Yields'!$C$250:$N$279,$E257,FALSE)/100,IF($B257=2022,VLOOKUP($BJ257,'Treasury Yields'!$C$285:$N$314,$E257,FALSE)/100)))))))),0)</f>
        <v>3.1935909090909091E-2</v>
      </c>
      <c r="BQ257">
        <f t="shared" si="566"/>
        <v>1.4459421769565595</v>
      </c>
      <c r="BR257">
        <f t="shared" si="567"/>
        <v>9675196.7401150018</v>
      </c>
      <c r="BS257">
        <f t="shared" si="568"/>
        <v>4950747.7401150018</v>
      </c>
      <c r="BU257">
        <f t="shared" si="416"/>
        <v>14</v>
      </c>
      <c r="BV257">
        <f t="shared" si="569"/>
        <v>2.5370273216600028</v>
      </c>
      <c r="BW257">
        <f t="shared" si="570"/>
        <v>243922.49184100097</v>
      </c>
      <c r="BX257" s="5">
        <f t="shared" si="571"/>
        <v>223175.27406749787</v>
      </c>
      <c r="BY257" s="5">
        <f t="shared" si="572"/>
        <v>112885.31521722514</v>
      </c>
      <c r="BZ257" s="5">
        <f t="shared" si="573"/>
        <v>559355</v>
      </c>
      <c r="CA257" s="5">
        <f t="shared" si="574"/>
        <v>356807.80705822608</v>
      </c>
      <c r="CC257" s="5">
        <f t="shared" si="575"/>
        <v>9675196.7401150018</v>
      </c>
      <c r="CD257" s="5" t="str">
        <f t="shared" si="576"/>
        <v>Montana</v>
      </c>
      <c r="CE257" s="5">
        <f t="shared" si="414"/>
        <v>0.70606110195739979</v>
      </c>
      <c r="CF257" s="10">
        <f t="shared" si="577"/>
        <v>0.48830521248334263</v>
      </c>
    </row>
    <row r="258" spans="1:84" x14ac:dyDescent="0.2">
      <c r="A258">
        <v>28000000006404</v>
      </c>
      <c r="B258">
        <v>2015</v>
      </c>
      <c r="C258">
        <v>521</v>
      </c>
      <c r="D258" t="s">
        <v>459</v>
      </c>
      <c r="E258">
        <v>6</v>
      </c>
      <c r="F258" t="s">
        <v>460</v>
      </c>
      <c r="G258" t="s">
        <v>461</v>
      </c>
      <c r="H258" t="s">
        <v>462</v>
      </c>
      <c r="I258" t="b">
        <v>1</v>
      </c>
      <c r="J258">
        <v>214673.003</v>
      </c>
      <c r="K258">
        <v>814387.82</v>
      </c>
      <c r="L258">
        <v>0</v>
      </c>
      <c r="M258">
        <v>-174678.97899999999</v>
      </c>
      <c r="N258">
        <v>0</v>
      </c>
      <c r="O258">
        <v>502190.81599999999</v>
      </c>
      <c r="Q258">
        <v>352191.02799999999</v>
      </c>
      <c r="R258">
        <v>10426112.608999999</v>
      </c>
      <c r="S258">
        <v>10778303.637</v>
      </c>
      <c r="T258">
        <v>173013.848</v>
      </c>
      <c r="U258">
        <v>36491.449000000001</v>
      </c>
      <c r="V258">
        <v>174797.34099999999</v>
      </c>
      <c r="W258">
        <v>355847.51400000002</v>
      </c>
      <c r="Y258">
        <v>3153.8829999999998</v>
      </c>
      <c r="Z258">
        <v>28.876999999999999</v>
      </c>
      <c r="AA258">
        <v>234834.33</v>
      </c>
      <c r="AB258">
        <v>9450981.7229999993</v>
      </c>
      <c r="AC258">
        <v>9685816.0529999994</v>
      </c>
      <c r="AD258">
        <v>1092487.584</v>
      </c>
      <c r="AE258">
        <v>975130.88599999994</v>
      </c>
      <c r="AF258">
        <v>117356.69800000009</v>
      </c>
      <c r="AG258">
        <v>1751542</v>
      </c>
      <c r="AH258">
        <v>9.8778018454596009E-2</v>
      </c>
      <c r="AI258" t="b">
        <v>1</v>
      </c>
      <c r="AK258">
        <v>0.08</v>
      </c>
      <c r="AL258">
        <v>0.08</v>
      </c>
      <c r="AM258">
        <v>0.08</v>
      </c>
      <c r="AN258">
        <v>0.08</v>
      </c>
      <c r="AO258">
        <v>1</v>
      </c>
      <c r="AP258">
        <v>0</v>
      </c>
      <c r="AS258">
        <v>2478248.969</v>
      </c>
      <c r="AT258">
        <v>-59903.705000000002</v>
      </c>
      <c r="BB258">
        <f t="shared" ref="BB258:BB265" si="578">AC258/S258</f>
        <v>0.89864011807482536</v>
      </c>
      <c r="BD258">
        <f t="shared" ref="BD258:BD265" si="579">AS258-AD258</f>
        <v>1385761.385</v>
      </c>
      <c r="BE258">
        <f t="shared" ref="BE258:BE265" si="580">AT258-AD258</f>
        <v>-1152391.2890000001</v>
      </c>
      <c r="BF258">
        <f t="shared" ref="BF258:BF265" si="581">BD258/S258*100</f>
        <v>12.856952556457285</v>
      </c>
      <c r="BG258">
        <f t="shared" ref="BG258:BG265" si="582">BE258/S258*100</f>
        <v>-10.691768647563849</v>
      </c>
      <c r="BH258">
        <f t="shared" ref="BH258:BH265" si="583">(BD258-BE258)/(2*S258)*100</f>
        <v>11.774360602010567</v>
      </c>
      <c r="BI258">
        <f t="shared" ref="BI258:BI265" si="584">(BD258+BE258)/(2*S258*(0.01^2))</f>
        <v>108.25919544467175</v>
      </c>
      <c r="BJ258">
        <f t="shared" ref="BJ258:BJ265" si="585">ROUND(BH258,0)</f>
        <v>12</v>
      </c>
      <c r="BK258">
        <f>IF($BJ258&lt;=30,IF($B258=2015,VLOOKUP($BJ258,'Treasury Yields'!$C$5:$N$34,$E258,FALSE)/100,IF($B258=2016,VLOOKUP($BJ258,'Treasury Yields'!$C$40:$N$69,$E258,FALSE)/100,IF($B258=2017,VLOOKUP($BJ258,'Treasury Yields'!$C$75:$N$104,$E258,FALSE)/100,IF($B258=2018,VLOOKUP($BJ258,'Treasury Yields'!$C$110:$N$139,$E258,FALSE)/100,IF($B258=2019,VLOOKUP($BJ258,'Treasury Yields'!$C$145:$N$174,$E258,FALSE)/100,IF($B258=2020,VLOOKUP($BJ258,'Treasury Yields'!$C$180:$N$209,$E258,FALSE)/100,IF($B258=2021,VLOOKUP($BJ258,'Treasury Yields'!$C$215:$N$244,$E258,FALSE)/100,IF($B258=2022,VLOOKUP($BJ258,'Treasury Yields'!$C$250:$N$279,$E258,FALSE)/100)))))))),0)</f>
        <v>2.9186E-2</v>
      </c>
      <c r="BL258">
        <f t="shared" ref="BL258:BL265" si="586">1+BH258*(AL258-BK258)+(AL258-BK258)^2</f>
        <v>1.600884422226565</v>
      </c>
      <c r="BM258">
        <f t="shared" ref="BM258:BM265" si="587">BL258*R258</f>
        <v>16691001.260128068</v>
      </c>
      <c r="BN258">
        <f t="shared" ref="BN258:BN265" si="588">BM258-AB258</f>
        <v>7240019.5371280685</v>
      </c>
      <c r="BP258">
        <f>IF($BJ258&lt;=30,IF($B258=2015,VLOOKUP($BJ258,'Treasury Yields'!$C$40:$N$69,$E258,FALSE)/100,IF($B258=2016,VLOOKUP($BJ258,'Treasury Yields'!$C$75:$N$104,$E258,FALSE)/100,IF($B258=2017,VLOOKUP($BJ258,'Treasury Yields'!$C$110:$N$139,$E258,FALSE)/100,IF($B258=2018,VLOOKUP($BJ258,'Treasury Yields'!$C$145:$N$174,$E258,FALSE)/100,IF($B258=2019,VLOOKUP($BJ258,'Treasury Yields'!$C$180:$N$209,$E258,FALSE)/100,IF($B258=2020,VLOOKUP($BJ258,'Treasury Yields'!$C$215:$N$244,$E258,FALSE)/100,IF($B258=2021,VLOOKUP($BJ258,'Treasury Yields'!$C$250:$N$279,$E258,FALSE)/100,IF($B258=2022,VLOOKUP($BJ258,'Treasury Yields'!$C$285:$N$314,$E258,FALSE)/100)))))))),0)</f>
        <v>2.7045999999999997E-2</v>
      </c>
      <c r="BQ258">
        <f t="shared" ref="BQ258:BQ265" si="589">1+BH258*(AN258-BP258)+(AN258-BP258)^2</f>
        <v>1.6263036174348675</v>
      </c>
      <c r="BR258">
        <f t="shared" ref="BR258:BR265" si="590">BQ258*S258</f>
        <v>17528794.194664489</v>
      </c>
      <c r="BS258">
        <f t="shared" ref="BS258:BS265" si="591">BR258-AC258</f>
        <v>7842978.1416644901</v>
      </c>
      <c r="BU258">
        <f t="shared" si="416"/>
        <v>15</v>
      </c>
      <c r="BV258">
        <f t="shared" ref="BV258:BV265" si="592">1+(BH258+BU258)*(AN258-BK258)+(AN258-BK258)^2*BI258</f>
        <v>2.6400443788613055</v>
      </c>
      <c r="BW258">
        <f t="shared" ref="BW258:BW265" si="593">BV258*J258</f>
        <v>566746.25486342621</v>
      </c>
      <c r="BX258" s="5">
        <f t="shared" ref="BX258:BX265" si="594">(BM258+BW258-O258)*BK258</f>
        <v>489027.67781676579</v>
      </c>
      <c r="BY258" s="5">
        <f t="shared" ref="BY258:BY265" si="595">BK258*(BN258+BW258-O258)</f>
        <v>213191.32524928777</v>
      </c>
      <c r="BZ258" s="5">
        <f t="shared" ref="BZ258:BZ265" si="596">SUM(J258:K258)</f>
        <v>1029060.823</v>
      </c>
      <c r="CA258" s="5">
        <f t="shared" ref="CA258:CA265" si="597">SUM(BW258+BY258)</f>
        <v>779937.58011271397</v>
      </c>
      <c r="CC258" s="5">
        <f t="shared" ref="CC258:CC265" si="598">BR258</f>
        <v>17528794.194664489</v>
      </c>
      <c r="CD258" s="5" t="str">
        <f t="shared" ref="CD258:CD265" si="599">F258</f>
        <v>Nebraska</v>
      </c>
      <c r="CE258" s="5">
        <f t="shared" ref="CE258:CE313" si="600">BB258</f>
        <v>0.89864011807482536</v>
      </c>
      <c r="CF258" s="10">
        <f t="shared" ref="CF258:CF265" si="601">AC258/CC258</f>
        <v>0.55256602053940607</v>
      </c>
    </row>
    <row r="259" spans="1:84" x14ac:dyDescent="0.2">
      <c r="A259">
        <v>28000000006404</v>
      </c>
      <c r="B259">
        <v>2016</v>
      </c>
      <c r="C259">
        <v>521</v>
      </c>
      <c r="D259" t="s">
        <v>459</v>
      </c>
      <c r="E259">
        <v>6</v>
      </c>
      <c r="F259" t="s">
        <v>460</v>
      </c>
      <c r="G259" t="s">
        <v>461</v>
      </c>
      <c r="H259" t="s">
        <v>462</v>
      </c>
      <c r="I259" t="b">
        <v>1</v>
      </c>
      <c r="J259">
        <v>222525</v>
      </c>
      <c r="K259">
        <v>843289</v>
      </c>
      <c r="L259">
        <v>0</v>
      </c>
      <c r="M259">
        <v>-108321</v>
      </c>
      <c r="N259">
        <v>0</v>
      </c>
      <c r="O259">
        <v>528499</v>
      </c>
      <c r="Q259">
        <v>428995</v>
      </c>
      <c r="R259">
        <v>10778303.637</v>
      </c>
      <c r="S259">
        <v>11207298</v>
      </c>
      <c r="T259">
        <v>178609</v>
      </c>
      <c r="U259">
        <v>37917</v>
      </c>
      <c r="V259">
        <v>178613</v>
      </c>
      <c r="W259">
        <v>149284</v>
      </c>
      <c r="Y259">
        <v>3182</v>
      </c>
      <c r="Z259">
        <v>28</v>
      </c>
      <c r="AA259">
        <v>12769</v>
      </c>
      <c r="AB259">
        <v>9685816.0529999994</v>
      </c>
      <c r="AC259">
        <v>9698585</v>
      </c>
      <c r="AD259">
        <v>1508713</v>
      </c>
      <c r="AE259">
        <v>1092487.584</v>
      </c>
      <c r="AF259">
        <v>416225.41599999997</v>
      </c>
      <c r="AG259">
        <v>1808183</v>
      </c>
      <c r="AH259">
        <v>9.8778165705572948E-2</v>
      </c>
      <c r="AI259" t="b">
        <v>1</v>
      </c>
      <c r="AK259">
        <v>0.08</v>
      </c>
      <c r="AL259">
        <v>0.08</v>
      </c>
      <c r="AM259">
        <v>0.08</v>
      </c>
      <c r="AN259">
        <v>0.08</v>
      </c>
      <c r="AO259">
        <v>1</v>
      </c>
      <c r="AP259">
        <v>0</v>
      </c>
      <c r="AS259">
        <v>2940730</v>
      </c>
      <c r="AT259">
        <v>311061</v>
      </c>
      <c r="AU259" t="s">
        <v>463</v>
      </c>
      <c r="AV259" t="s">
        <v>464</v>
      </c>
      <c r="BB259">
        <f t="shared" si="578"/>
        <v>0.86538120071403468</v>
      </c>
      <c r="BD259">
        <f t="shared" si="579"/>
        <v>1432017</v>
      </c>
      <c r="BE259">
        <f t="shared" si="580"/>
        <v>-1197652</v>
      </c>
      <c r="BF259">
        <f t="shared" si="581"/>
        <v>12.777540135008456</v>
      </c>
      <c r="BG259">
        <f t="shared" si="582"/>
        <v>-10.686358121288468</v>
      </c>
      <c r="BH259">
        <f t="shared" si="583"/>
        <v>11.731949128148463</v>
      </c>
      <c r="BI259">
        <f t="shared" si="584"/>
        <v>104.55910068599943</v>
      </c>
      <c r="BJ259">
        <f t="shared" si="585"/>
        <v>12</v>
      </c>
      <c r="BK259">
        <f>IF($BJ259&lt;=30,IF($B259=2015,VLOOKUP($BJ259,'Treasury Yields'!$C$5:$N$34,$E259,FALSE)/100,IF($B259=2016,VLOOKUP($BJ259,'Treasury Yields'!$C$40:$N$69,$E259,FALSE)/100,IF($B259=2017,VLOOKUP($BJ259,'Treasury Yields'!$C$75:$N$104,$E259,FALSE)/100,IF($B259=2018,VLOOKUP($BJ259,'Treasury Yields'!$C$110:$N$139,$E259,FALSE)/100,IF($B259=2019,VLOOKUP($BJ259,'Treasury Yields'!$C$145:$N$174,$E259,FALSE)/100,IF($B259=2020,VLOOKUP($BJ259,'Treasury Yields'!$C$180:$N$209,$E259,FALSE)/100,IF($B259=2021,VLOOKUP($BJ259,'Treasury Yields'!$C$215:$N$244,$E259,FALSE)/100,IF($B259=2022,VLOOKUP($BJ259,'Treasury Yields'!$C$250:$N$279,$E259,FALSE)/100)))))))),0)</f>
        <v>2.7045999999999997E-2</v>
      </c>
      <c r="BL259">
        <f t="shared" si="586"/>
        <v>1.6240577602479735</v>
      </c>
      <c r="BM259">
        <f t="shared" si="587"/>
        <v>17504587.663978808</v>
      </c>
      <c r="BN259">
        <f t="shared" si="588"/>
        <v>7818771.6109788083</v>
      </c>
      <c r="BP259">
        <f>IF($BJ259&lt;=30,IF($B259=2015,VLOOKUP($BJ259,'Treasury Yields'!$C$40:$N$69,$E259,FALSE)/100,IF($B259=2016,VLOOKUP($BJ259,'Treasury Yields'!$C$75:$N$104,$E259,FALSE)/100,IF($B259=2017,VLOOKUP($BJ259,'Treasury Yields'!$C$110:$N$139,$E259,FALSE)/100,IF($B259=2018,VLOOKUP($BJ259,'Treasury Yields'!$C$145:$N$174,$E259,FALSE)/100,IF($B259=2019,VLOOKUP($BJ259,'Treasury Yields'!$C$180:$N$209,$E259,FALSE)/100,IF($B259=2020,VLOOKUP($BJ259,'Treasury Yields'!$C$215:$N$244,$E259,FALSE)/100,IF($B259=2021,VLOOKUP($BJ259,'Treasury Yields'!$C$250:$N$279,$E259,FALSE)/100,IF($B259=2022,VLOOKUP($BJ259,'Treasury Yields'!$C$285:$N$314,$E259,FALSE)/100)))))))),0)</f>
        <v>1.7546000000000003E-2</v>
      </c>
      <c r="BQ259">
        <f t="shared" si="589"/>
        <v>1.736607652965384</v>
      </c>
      <c r="BR259">
        <f t="shared" si="590"/>
        <v>19462679.475863643</v>
      </c>
      <c r="BS259">
        <f t="shared" si="591"/>
        <v>9764094.475863643</v>
      </c>
      <c r="BU259">
        <f t="shared" ref="BU259:BU314" si="602">IF(BJ259="","",ROUND(BJ259+$BT$2,0))</f>
        <v>15</v>
      </c>
      <c r="BV259">
        <f t="shared" si="592"/>
        <v>2.7087605390310583</v>
      </c>
      <c r="BW259">
        <f t="shared" si="593"/>
        <v>602766.93894788623</v>
      </c>
      <c r="BX259" s="5">
        <f t="shared" si="594"/>
        <v>475437.72863675532</v>
      </c>
      <c r="BY259" s="5">
        <f t="shared" si="595"/>
        <v>213475.14766731736</v>
      </c>
      <c r="BZ259" s="5">
        <f t="shared" si="596"/>
        <v>1065814</v>
      </c>
      <c r="CA259" s="5">
        <f t="shared" si="597"/>
        <v>816242.08661520365</v>
      </c>
      <c r="CC259" s="5">
        <f t="shared" si="598"/>
        <v>19462679.475863643</v>
      </c>
      <c r="CD259" s="5" t="str">
        <f t="shared" si="599"/>
        <v>Nebraska</v>
      </c>
      <c r="CE259" s="5">
        <f t="shared" si="600"/>
        <v>0.86538120071403468</v>
      </c>
      <c r="CF259" s="10">
        <f t="shared" si="601"/>
        <v>0.4983170488949149</v>
      </c>
    </row>
    <row r="260" spans="1:84" x14ac:dyDescent="0.2">
      <c r="A260">
        <v>28000000006404</v>
      </c>
      <c r="B260">
        <v>2017</v>
      </c>
      <c r="C260">
        <v>521</v>
      </c>
      <c r="D260" t="s">
        <v>459</v>
      </c>
      <c r="E260">
        <v>6</v>
      </c>
      <c r="F260" t="s">
        <v>460</v>
      </c>
      <c r="G260" t="s">
        <v>461</v>
      </c>
      <c r="H260" t="s">
        <v>462</v>
      </c>
      <c r="I260" t="b">
        <v>1</v>
      </c>
      <c r="J260">
        <v>227893</v>
      </c>
      <c r="K260">
        <v>876680</v>
      </c>
      <c r="L260">
        <v>0</v>
      </c>
      <c r="M260">
        <v>-144448</v>
      </c>
      <c r="N260">
        <v>853086</v>
      </c>
      <c r="O260">
        <v>554370</v>
      </c>
      <c r="Q260">
        <v>1258841</v>
      </c>
      <c r="R260">
        <v>11207298</v>
      </c>
      <c r="S260">
        <v>12466140</v>
      </c>
      <c r="T260">
        <v>184903</v>
      </c>
      <c r="U260">
        <v>39032</v>
      </c>
      <c r="V260">
        <v>186177</v>
      </c>
      <c r="W260">
        <v>1325835</v>
      </c>
      <c r="Y260">
        <v>3334</v>
      </c>
      <c r="Z260">
        <v>34</v>
      </c>
      <c r="AA260">
        <v>1178277</v>
      </c>
      <c r="AB260">
        <v>9698585</v>
      </c>
      <c r="AC260">
        <v>10876862</v>
      </c>
      <c r="AD260">
        <v>1589278</v>
      </c>
      <c r="AE260">
        <v>1508713</v>
      </c>
      <c r="AF260">
        <v>80565</v>
      </c>
      <c r="AG260">
        <v>1871908</v>
      </c>
      <c r="AH260">
        <v>9.8777824551206581E-2</v>
      </c>
      <c r="AI260" t="b">
        <v>1</v>
      </c>
      <c r="AK260">
        <v>0.08</v>
      </c>
      <c r="AL260">
        <v>7.4999999999999997E-2</v>
      </c>
      <c r="AM260">
        <v>7.4999999999999997E-2</v>
      </c>
      <c r="AN260">
        <v>0.08</v>
      </c>
      <c r="AO260">
        <v>1</v>
      </c>
      <c r="AP260">
        <v>0</v>
      </c>
      <c r="AS260">
        <v>3268814</v>
      </c>
      <c r="AT260">
        <v>191975</v>
      </c>
      <c r="AU260" t="s">
        <v>465</v>
      </c>
      <c r="AV260" t="s">
        <v>464</v>
      </c>
      <c r="BB260">
        <f t="shared" si="578"/>
        <v>0.87251242164775944</v>
      </c>
      <c r="BD260">
        <f t="shared" si="579"/>
        <v>1679536</v>
      </c>
      <c r="BE260">
        <f t="shared" si="580"/>
        <v>-1397303</v>
      </c>
      <c r="BF260">
        <f t="shared" si="581"/>
        <v>13.472783074792998</v>
      </c>
      <c r="BG260">
        <f t="shared" si="582"/>
        <v>-11.208786360493304</v>
      </c>
      <c r="BH260">
        <f t="shared" si="583"/>
        <v>12.340784717643153</v>
      </c>
      <c r="BI260">
        <f t="shared" si="584"/>
        <v>113.19983571498474</v>
      </c>
      <c r="BJ260">
        <f t="shared" si="585"/>
        <v>12</v>
      </c>
      <c r="BK260">
        <f>IF($BJ260&lt;=30,IF($B260=2015,VLOOKUP($BJ260,'Treasury Yields'!$C$5:$N$34,$E260,FALSE)/100,IF($B260=2016,VLOOKUP($BJ260,'Treasury Yields'!$C$40:$N$69,$E260,FALSE)/100,IF($B260=2017,VLOOKUP($BJ260,'Treasury Yields'!$C$75:$N$104,$E260,FALSE)/100,IF($B260=2018,VLOOKUP($BJ260,'Treasury Yields'!$C$110:$N$139,$E260,FALSE)/100,IF($B260=2019,VLOOKUP($BJ260,'Treasury Yields'!$C$145:$N$174,$E260,FALSE)/100,IF($B260=2020,VLOOKUP($BJ260,'Treasury Yields'!$C$180:$N$209,$E260,FALSE)/100,IF($B260=2021,VLOOKUP($BJ260,'Treasury Yields'!$C$215:$N$244,$E260,FALSE)/100,IF($B260=2022,VLOOKUP($BJ260,'Treasury Yields'!$C$250:$N$279,$E260,FALSE)/100)))))))),0)</f>
        <v>1.7546000000000003E-2</v>
      </c>
      <c r="BL260">
        <f t="shared" si="586"/>
        <v>1.7123284072834697</v>
      </c>
      <c r="BM260">
        <f t="shared" si="587"/>
        <v>19190574.734291214</v>
      </c>
      <c r="BN260">
        <f t="shared" si="588"/>
        <v>9491989.7342912145</v>
      </c>
      <c r="BP260">
        <f>IF($BJ260&lt;=30,IF($B260=2015,VLOOKUP($BJ260,'Treasury Yields'!$C$40:$N$69,$E260,FALSE)/100,IF($B260=2016,VLOOKUP($BJ260,'Treasury Yields'!$C$75:$N$104,$E260,FALSE)/100,IF($B260=2017,VLOOKUP($BJ260,'Treasury Yields'!$C$110:$N$139,$E260,FALSE)/100,IF($B260=2018,VLOOKUP($BJ260,'Treasury Yields'!$C$145:$N$174,$E260,FALSE)/100,IF($B260=2019,VLOOKUP($BJ260,'Treasury Yields'!$C$180:$N$209,$E260,FALSE)/100,IF($B260=2020,VLOOKUP($BJ260,'Treasury Yields'!$C$215:$N$244,$E260,FALSE)/100,IF($B260=2021,VLOOKUP($BJ260,'Treasury Yields'!$C$250:$N$279,$E260,FALSE)/100,IF($B260=2022,VLOOKUP($BJ260,'Treasury Yields'!$C$285:$N$314,$E260,FALSE)/100)))))))),0)</f>
        <v>2.5467599999999993E-2</v>
      </c>
      <c r="BQ260">
        <f t="shared" si="589"/>
        <v>1.6759463911861636</v>
      </c>
      <c r="BR260">
        <f t="shared" si="590"/>
        <v>20892582.345021483</v>
      </c>
      <c r="BS260">
        <f t="shared" si="591"/>
        <v>10015720.345021483</v>
      </c>
      <c r="BU260">
        <f t="shared" si="602"/>
        <v>15</v>
      </c>
      <c r="BV260">
        <f t="shared" si="592"/>
        <v>3.149077567492836</v>
      </c>
      <c r="BW260">
        <f t="shared" si="593"/>
        <v>717652.73408864485</v>
      </c>
      <c r="BX260" s="5">
        <f t="shared" si="594"/>
        <v>339582.78314019303</v>
      </c>
      <c r="BY260" s="5">
        <f t="shared" si="595"/>
        <v>169411.41073019302</v>
      </c>
      <c r="BZ260" s="5">
        <f t="shared" si="596"/>
        <v>1104573</v>
      </c>
      <c r="CA260" s="5">
        <f t="shared" si="597"/>
        <v>887064.14481883787</v>
      </c>
      <c r="CC260" s="5">
        <f t="shared" si="598"/>
        <v>20892582.345021483</v>
      </c>
      <c r="CD260" s="5" t="str">
        <f t="shared" si="599"/>
        <v>Nebraska</v>
      </c>
      <c r="CE260" s="5">
        <f t="shared" si="600"/>
        <v>0.87251242164775944</v>
      </c>
      <c r="CF260" s="10">
        <f t="shared" si="601"/>
        <v>0.52060878930037391</v>
      </c>
    </row>
    <row r="261" spans="1:84" x14ac:dyDescent="0.2">
      <c r="A261">
        <v>28000000006404</v>
      </c>
      <c r="B261">
        <v>2018</v>
      </c>
      <c r="C261">
        <v>521</v>
      </c>
      <c r="D261" t="s">
        <v>459</v>
      </c>
      <c r="E261">
        <v>6</v>
      </c>
      <c r="F261" t="s">
        <v>460</v>
      </c>
      <c r="G261" t="s">
        <v>461</v>
      </c>
      <c r="H261" t="s">
        <v>462</v>
      </c>
      <c r="I261" t="b">
        <v>1</v>
      </c>
      <c r="J261">
        <v>261068</v>
      </c>
      <c r="K261">
        <v>915144</v>
      </c>
      <c r="L261">
        <v>0</v>
      </c>
      <c r="M261">
        <v>-53079</v>
      </c>
      <c r="N261">
        <v>0</v>
      </c>
      <c r="O261">
        <v>587984</v>
      </c>
      <c r="Q261">
        <v>535149</v>
      </c>
      <c r="R261">
        <v>12466140</v>
      </c>
      <c r="S261">
        <v>13001288</v>
      </c>
      <c r="T261">
        <v>190657</v>
      </c>
      <c r="U261">
        <v>40583</v>
      </c>
      <c r="V261">
        <v>191484</v>
      </c>
      <c r="W261">
        <v>927963</v>
      </c>
      <c r="Y261">
        <v>3300</v>
      </c>
      <c r="Z261">
        <v>35</v>
      </c>
      <c r="AA261">
        <v>759437</v>
      </c>
      <c r="AB261">
        <v>10876862</v>
      </c>
      <c r="AC261">
        <v>11636299</v>
      </c>
      <c r="AD261">
        <v>1364990</v>
      </c>
      <c r="AE261">
        <v>1589278</v>
      </c>
      <c r="AF261">
        <v>-224288</v>
      </c>
      <c r="AG261">
        <v>1930157</v>
      </c>
      <c r="AH261">
        <v>9.8777975055915138E-2</v>
      </c>
      <c r="AI261" t="b">
        <v>1</v>
      </c>
      <c r="AK261">
        <v>7.4999999999999997E-2</v>
      </c>
      <c r="AL261">
        <v>7.4999999999999997E-2</v>
      </c>
      <c r="AM261">
        <v>7.4999999999999997E-2</v>
      </c>
      <c r="AN261">
        <v>7.4999999999999997E-2</v>
      </c>
      <c r="AO261">
        <v>1</v>
      </c>
      <c r="AP261">
        <v>0</v>
      </c>
      <c r="AS261">
        <v>3112254</v>
      </c>
      <c r="AT261">
        <v>-78857</v>
      </c>
      <c r="AU261" t="s">
        <v>466</v>
      </c>
      <c r="AV261" t="s">
        <v>467</v>
      </c>
      <c r="BB261">
        <f t="shared" si="578"/>
        <v>0.89501124811634047</v>
      </c>
      <c r="BD261">
        <f t="shared" si="579"/>
        <v>1747264</v>
      </c>
      <c r="BE261">
        <f t="shared" si="580"/>
        <v>-1443847</v>
      </c>
      <c r="BF261">
        <f t="shared" si="581"/>
        <v>13.439160796991805</v>
      </c>
      <c r="BG261">
        <f t="shared" si="582"/>
        <v>-11.105415094258353</v>
      </c>
      <c r="BH261">
        <f t="shared" si="583"/>
        <v>12.272287945625079</v>
      </c>
      <c r="BI261">
        <f t="shared" si="584"/>
        <v>116.68728513667261</v>
      </c>
      <c r="BJ261">
        <f t="shared" si="585"/>
        <v>12</v>
      </c>
      <c r="BK261">
        <f>IF($BJ261&lt;=30,IF($B261=2015,VLOOKUP($BJ261,'Treasury Yields'!$C$5:$N$34,$E261,FALSE)/100,IF($B261=2016,VLOOKUP($BJ261,'Treasury Yields'!$C$40:$N$69,$E261,FALSE)/100,IF($B261=2017,VLOOKUP($BJ261,'Treasury Yields'!$C$75:$N$104,$E261,FALSE)/100,IF($B261=2018,VLOOKUP($BJ261,'Treasury Yields'!$C$110:$N$139,$E261,FALSE)/100,IF($B261=2019,VLOOKUP($BJ261,'Treasury Yields'!$C$145:$N$174,$E261,FALSE)/100,IF($B261=2020,VLOOKUP($BJ261,'Treasury Yields'!$C$180:$N$209,$E261,FALSE)/100,IF($B261=2021,VLOOKUP($BJ261,'Treasury Yields'!$C$215:$N$244,$E261,FALSE)/100,IF($B261=2022,VLOOKUP($BJ261,'Treasury Yields'!$C$250:$N$279,$E261,FALSE)/100)))))))),0)</f>
        <v>2.5467599999999993E-2</v>
      </c>
      <c r="BL261">
        <f t="shared" si="586"/>
        <v>1.6103293340876397</v>
      </c>
      <c r="BM261">
        <f t="shared" si="587"/>
        <v>20074590.924843289</v>
      </c>
      <c r="BN261">
        <f t="shared" si="588"/>
        <v>9197728.924843289</v>
      </c>
      <c r="BP261">
        <f>IF($BJ261&lt;=30,IF($B261=2015,VLOOKUP($BJ261,'Treasury Yields'!$C$40:$N$69,$E261,FALSE)/100,IF($B261=2016,VLOOKUP($BJ261,'Treasury Yields'!$C$75:$N$104,$E261,FALSE)/100,IF($B261=2017,VLOOKUP($BJ261,'Treasury Yields'!$C$110:$N$139,$E261,FALSE)/100,IF($B261=2018,VLOOKUP($BJ261,'Treasury Yields'!$C$145:$N$174,$E261,FALSE)/100,IF($B261=2019,VLOOKUP($BJ261,'Treasury Yields'!$C$180:$N$209,$E261,FALSE)/100,IF($B261=2020,VLOOKUP($BJ261,'Treasury Yields'!$C$215:$N$244,$E261,FALSE)/100,IF($B261=2021,VLOOKUP($BJ261,'Treasury Yields'!$C$250:$N$279,$E261,FALSE)/100,IF($B261=2022,VLOOKUP($BJ261,'Treasury Yields'!$C$285:$N$314,$E261,FALSE)/100)))))))),0)</f>
        <v>2.8906472727272727E-2</v>
      </c>
      <c r="BQ261">
        <f t="shared" si="589"/>
        <v>1.5677976523768733</v>
      </c>
      <c r="BR261">
        <f t="shared" si="590"/>
        <v>20383388.804275613</v>
      </c>
      <c r="BS261">
        <f t="shared" si="591"/>
        <v>8747089.8042756133</v>
      </c>
      <c r="BU261">
        <f t="shared" si="602"/>
        <v>15</v>
      </c>
      <c r="BV261">
        <f t="shared" si="592"/>
        <v>2.6371493044734606</v>
      </c>
      <c r="BW261">
        <f t="shared" si="593"/>
        <v>688475.29462027748</v>
      </c>
      <c r="BX261" s="5">
        <f t="shared" si="594"/>
        <v>513810.92393241025</v>
      </c>
      <c r="BY261" s="5">
        <f t="shared" si="595"/>
        <v>236803.35326121026</v>
      </c>
      <c r="BZ261" s="5">
        <f t="shared" si="596"/>
        <v>1176212</v>
      </c>
      <c r="CA261" s="5">
        <f t="shared" si="597"/>
        <v>925278.64788148773</v>
      </c>
      <c r="CC261" s="5">
        <f t="shared" si="598"/>
        <v>20383388.804275613</v>
      </c>
      <c r="CD261" s="5" t="str">
        <f t="shared" si="599"/>
        <v>Nebraska</v>
      </c>
      <c r="CE261" s="5">
        <f t="shared" si="600"/>
        <v>0.89501124811634047</v>
      </c>
      <c r="CF261" s="10">
        <f t="shared" si="601"/>
        <v>0.57087165984682453</v>
      </c>
    </row>
    <row r="262" spans="1:84" x14ac:dyDescent="0.2">
      <c r="A262">
        <v>28000000006404</v>
      </c>
      <c r="B262">
        <v>2019</v>
      </c>
      <c r="C262">
        <v>521</v>
      </c>
      <c r="D262" t="s">
        <v>459</v>
      </c>
      <c r="E262">
        <v>6</v>
      </c>
      <c r="F262" t="s">
        <v>460</v>
      </c>
      <c r="G262" t="s">
        <v>461</v>
      </c>
      <c r="H262" t="s">
        <v>462</v>
      </c>
      <c r="I262" t="b">
        <v>1</v>
      </c>
      <c r="J262">
        <v>268216</v>
      </c>
      <c r="K262">
        <v>953982</v>
      </c>
      <c r="L262">
        <v>0</v>
      </c>
      <c r="M262">
        <v>-161276</v>
      </c>
      <c r="N262">
        <v>0</v>
      </c>
      <c r="O262">
        <v>626501</v>
      </c>
      <c r="Q262">
        <v>434422</v>
      </c>
      <c r="R262">
        <v>13001288</v>
      </c>
      <c r="S262">
        <v>13435710</v>
      </c>
      <c r="T262">
        <v>196850</v>
      </c>
      <c r="U262">
        <v>41792</v>
      </c>
      <c r="V262">
        <v>197096</v>
      </c>
      <c r="W262">
        <v>772593</v>
      </c>
      <c r="Y262">
        <v>3216</v>
      </c>
      <c r="Z262">
        <v>34</v>
      </c>
      <c r="AA262">
        <v>578648</v>
      </c>
      <c r="AB262">
        <v>11636299</v>
      </c>
      <c r="AC262">
        <v>12214947</v>
      </c>
      <c r="AD262">
        <v>1220763</v>
      </c>
      <c r="AE262">
        <v>1364990</v>
      </c>
      <c r="AF262">
        <v>-144227</v>
      </c>
      <c r="AG262">
        <v>1992856</v>
      </c>
      <c r="AH262">
        <v>9.8777834424564545E-2</v>
      </c>
      <c r="AI262" t="b">
        <v>1</v>
      </c>
      <c r="AK262">
        <v>7.4999999999999997E-2</v>
      </c>
      <c r="AL262">
        <v>7.4999999999999997E-2</v>
      </c>
      <c r="AM262">
        <v>7.4999999999999997E-2</v>
      </c>
      <c r="AN262">
        <v>7.4999999999999997E-2</v>
      </c>
      <c r="AO262">
        <v>1</v>
      </c>
      <c r="AP262">
        <v>0</v>
      </c>
      <c r="AS262">
        <v>3074541</v>
      </c>
      <c r="AT262">
        <v>-309559</v>
      </c>
      <c r="AU262" t="s">
        <v>466</v>
      </c>
      <c r="AV262" t="s">
        <v>468</v>
      </c>
      <c r="BB262">
        <f t="shared" si="578"/>
        <v>0.90914041758864994</v>
      </c>
      <c r="BD262">
        <f t="shared" si="579"/>
        <v>1853778</v>
      </c>
      <c r="BE262">
        <f t="shared" si="580"/>
        <v>-1530322</v>
      </c>
      <c r="BF262">
        <f t="shared" si="581"/>
        <v>13.797395150684258</v>
      </c>
      <c r="BG262">
        <f t="shared" si="582"/>
        <v>-11.389960039328031</v>
      </c>
      <c r="BH262">
        <f t="shared" si="583"/>
        <v>12.593677595006145</v>
      </c>
      <c r="BI262">
        <f t="shared" si="584"/>
        <v>120.37175556781143</v>
      </c>
      <c r="BJ262">
        <f t="shared" si="585"/>
        <v>13</v>
      </c>
      <c r="BK262">
        <f>IF($BJ262&lt;=30,IF($B262=2015,VLOOKUP($BJ262,'Treasury Yields'!$C$5:$N$34,$E262,FALSE)/100,IF($B262=2016,VLOOKUP($BJ262,'Treasury Yields'!$C$40:$N$69,$E262,FALSE)/100,IF($B262=2017,VLOOKUP($BJ262,'Treasury Yields'!$C$75:$N$104,$E262,FALSE)/100,IF($B262=2018,VLOOKUP($BJ262,'Treasury Yields'!$C$110:$N$139,$E262,FALSE)/100,IF($B262=2019,VLOOKUP($BJ262,'Treasury Yields'!$C$145:$N$174,$E262,FALSE)/100,IF($B262=2020,VLOOKUP($BJ262,'Treasury Yields'!$C$180:$N$209,$E262,FALSE)/100,IF($B262=2021,VLOOKUP($BJ262,'Treasury Yields'!$C$215:$N$244,$E262,FALSE)/100,IF($B262=2022,VLOOKUP($BJ262,'Treasury Yields'!$C$250:$N$279,$E262,FALSE)/100)))))))),0)</f>
        <v>2.8539709090909093E-2</v>
      </c>
      <c r="BL262">
        <f t="shared" si="586"/>
        <v>1.5872644833106431</v>
      </c>
      <c r="BM262">
        <f t="shared" si="587"/>
        <v>20636482.679692864</v>
      </c>
      <c r="BN262">
        <f t="shared" si="588"/>
        <v>9000183.6796928644</v>
      </c>
      <c r="BP262">
        <f>IF($BJ262&lt;=30,IF($B262=2015,VLOOKUP($BJ262,'Treasury Yields'!$C$40:$N$69,$E262,FALSE)/100,IF($B262=2016,VLOOKUP($BJ262,'Treasury Yields'!$C$75:$N$104,$E262,FALSE)/100,IF($B262=2017,VLOOKUP($BJ262,'Treasury Yields'!$C$110:$N$139,$E262,FALSE)/100,IF($B262=2018,VLOOKUP($BJ262,'Treasury Yields'!$C$145:$N$174,$E262,FALSE)/100,IF($B262=2019,VLOOKUP($BJ262,'Treasury Yields'!$C$180:$N$209,$E262,FALSE)/100,IF($B262=2020,VLOOKUP($BJ262,'Treasury Yields'!$C$215:$N$244,$E262,FALSE)/100,IF($B262=2021,VLOOKUP($BJ262,'Treasury Yields'!$C$250:$N$279,$E262,FALSE)/100,IF($B262=2022,VLOOKUP($BJ262,'Treasury Yields'!$C$285:$N$314,$E262,FALSE)/100)))))))),0)</f>
        <v>2.2646000000000006E-2</v>
      </c>
      <c r="BQ262">
        <f t="shared" si="589"/>
        <v>1.6620703381249515</v>
      </c>
      <c r="BR262">
        <f t="shared" si="590"/>
        <v>22331095.062648792</v>
      </c>
      <c r="BS262">
        <f t="shared" si="591"/>
        <v>10116148.062648792</v>
      </c>
      <c r="BU262">
        <f t="shared" si="602"/>
        <v>16</v>
      </c>
      <c r="BV262">
        <f t="shared" si="592"/>
        <v>2.5883000711772777</v>
      </c>
      <c r="BW262">
        <f t="shared" si="593"/>
        <v>694223.4918908847</v>
      </c>
      <c r="BX262" s="5">
        <f t="shared" si="594"/>
        <v>590891.99255549582</v>
      </c>
      <c r="BY262" s="5">
        <f t="shared" si="595"/>
        <v>258795.4042006594</v>
      </c>
      <c r="BZ262" s="5">
        <f t="shared" si="596"/>
        <v>1222198</v>
      </c>
      <c r="CA262" s="5">
        <f t="shared" si="597"/>
        <v>953018.89609154407</v>
      </c>
      <c r="CC262" s="5">
        <f t="shared" si="598"/>
        <v>22331095.062648792</v>
      </c>
      <c r="CD262" s="5" t="str">
        <f t="shared" si="599"/>
        <v>Nebraska</v>
      </c>
      <c r="CE262" s="5">
        <f t="shared" si="600"/>
        <v>0.90914041758864994</v>
      </c>
      <c r="CF262" s="10">
        <f t="shared" si="601"/>
        <v>0.54699274557434663</v>
      </c>
    </row>
    <row r="263" spans="1:84" x14ac:dyDescent="0.2">
      <c r="A263">
        <v>28000000006404</v>
      </c>
      <c r="B263">
        <v>2020</v>
      </c>
      <c r="C263">
        <v>521</v>
      </c>
      <c r="D263" t="s">
        <v>459</v>
      </c>
      <c r="E263">
        <v>6</v>
      </c>
      <c r="F263" t="s">
        <v>460</v>
      </c>
      <c r="G263" t="s">
        <v>461</v>
      </c>
      <c r="H263" t="s">
        <v>462</v>
      </c>
      <c r="I263" t="b">
        <v>1</v>
      </c>
      <c r="J263">
        <v>278497</v>
      </c>
      <c r="K263">
        <v>985416</v>
      </c>
      <c r="L263">
        <v>0</v>
      </c>
      <c r="M263">
        <v>-189864</v>
      </c>
      <c r="N263">
        <v>0</v>
      </c>
      <c r="O263">
        <v>660565</v>
      </c>
      <c r="Q263">
        <v>413484</v>
      </c>
      <c r="R263">
        <v>13435710</v>
      </c>
      <c r="S263">
        <v>13849194</v>
      </c>
      <c r="T263">
        <v>203023</v>
      </c>
      <c r="U263">
        <v>43076</v>
      </c>
      <c r="V263">
        <v>203867</v>
      </c>
      <c r="W263">
        <v>284770</v>
      </c>
      <c r="Y263">
        <v>3385</v>
      </c>
      <c r="Z263">
        <v>4</v>
      </c>
      <c r="AA263">
        <v>70790</v>
      </c>
      <c r="AB263">
        <v>12214947</v>
      </c>
      <c r="AC263">
        <v>12285737</v>
      </c>
      <c r="AD263">
        <v>1563457</v>
      </c>
      <c r="AE263">
        <v>1220763</v>
      </c>
      <c r="AF263">
        <v>342694</v>
      </c>
      <c r="AG263">
        <v>2055342</v>
      </c>
      <c r="AH263">
        <v>9.877820820087363E-2</v>
      </c>
      <c r="AI263" t="b">
        <v>1</v>
      </c>
      <c r="AK263">
        <v>7.4999999999999997E-2</v>
      </c>
      <c r="AL263">
        <v>7.4999999999999997E-2</v>
      </c>
      <c r="AM263">
        <v>7.4999999999999997E-2</v>
      </c>
      <c r="AN263">
        <v>7.4999999999999997E-2</v>
      </c>
      <c r="AO263">
        <v>1</v>
      </c>
      <c r="AP263">
        <v>0</v>
      </c>
      <c r="AS263">
        <v>3468552</v>
      </c>
      <c r="AT263">
        <v>-9242</v>
      </c>
      <c r="AU263" t="s">
        <v>469</v>
      </c>
      <c r="AV263" t="s">
        <v>470</v>
      </c>
      <c r="BB263">
        <f t="shared" si="578"/>
        <v>0.88710844833280555</v>
      </c>
      <c r="BD263">
        <f t="shared" si="579"/>
        <v>1905095</v>
      </c>
      <c r="BE263">
        <f t="shared" si="580"/>
        <v>-1572699</v>
      </c>
      <c r="BF263">
        <f t="shared" si="581"/>
        <v>13.755999085578555</v>
      </c>
      <c r="BG263">
        <f t="shared" si="582"/>
        <v>-11.355888292127325</v>
      </c>
      <c r="BH263">
        <f t="shared" si="583"/>
        <v>12.555943688852938</v>
      </c>
      <c r="BI263">
        <f t="shared" si="584"/>
        <v>120.00553967256145</v>
      </c>
      <c r="BJ263">
        <f t="shared" si="585"/>
        <v>13</v>
      </c>
      <c r="BK263">
        <f>IF($BJ263&lt;=30,IF($B263=2015,VLOOKUP($BJ263,'Treasury Yields'!$C$5:$N$34,$E263,FALSE)/100,IF($B263=2016,VLOOKUP($BJ263,'Treasury Yields'!$C$40:$N$69,$E263,FALSE)/100,IF($B263=2017,VLOOKUP($BJ263,'Treasury Yields'!$C$75:$N$104,$E263,FALSE)/100,IF($B263=2018,VLOOKUP($BJ263,'Treasury Yields'!$C$110:$N$139,$E263,FALSE)/100,IF($B263=2019,VLOOKUP($BJ263,'Treasury Yields'!$C$145:$N$174,$E263,FALSE)/100,IF($B263=2020,VLOOKUP($BJ263,'Treasury Yields'!$C$180:$N$209,$E263,FALSE)/100,IF($B263=2021,VLOOKUP($BJ263,'Treasury Yields'!$C$215:$N$244,$E263,FALSE)/100,IF($B263=2022,VLOOKUP($BJ263,'Treasury Yields'!$C$250:$N$279,$E263,FALSE)/100)))))))),0)</f>
        <v>2.2646000000000006E-2</v>
      </c>
      <c r="BL263">
        <f t="shared" si="586"/>
        <v>1.6600948172022068</v>
      </c>
      <c r="BM263">
        <f t="shared" si="587"/>
        <v>22304552.53643186</v>
      </c>
      <c r="BN263">
        <f t="shared" si="588"/>
        <v>10089605.53643186</v>
      </c>
      <c r="BP263">
        <f>IF($BJ263&lt;=30,IF($B263=2015,VLOOKUP($BJ263,'Treasury Yields'!$C$40:$N$69,$E263,FALSE)/100,IF($B263=2016,VLOOKUP($BJ263,'Treasury Yields'!$C$75:$N$104,$E263,FALSE)/100,IF($B263=2017,VLOOKUP($BJ263,'Treasury Yields'!$C$110:$N$139,$E263,FALSE)/100,IF($B263=2018,VLOOKUP($BJ263,'Treasury Yields'!$C$145:$N$174,$E263,FALSE)/100,IF($B263=2019,VLOOKUP($BJ263,'Treasury Yields'!$C$180:$N$209,$E263,FALSE)/100,IF($B263=2020,VLOOKUP($BJ263,'Treasury Yields'!$C$215:$N$244,$E263,FALSE)/100,IF($B263=2021,VLOOKUP($BJ263,'Treasury Yields'!$C$250:$N$279,$E263,FALSE)/100,IF($B263=2022,VLOOKUP($BJ263,'Treasury Yields'!$C$285:$N$314,$E263,FALSE)/100)))))))),0)</f>
        <v>1.2827818181818183E-2</v>
      </c>
      <c r="BQ263">
        <f t="shared" si="589"/>
        <v>1.7844957941142503</v>
      </c>
      <c r="BR263">
        <f t="shared" si="590"/>
        <v>24713828.444872312</v>
      </c>
      <c r="BS263">
        <f t="shared" si="591"/>
        <v>12428091.444872312</v>
      </c>
      <c r="BU263">
        <f t="shared" si="602"/>
        <v>16</v>
      </c>
      <c r="BV263">
        <f t="shared" si="592"/>
        <v>2.8239460177236073</v>
      </c>
      <c r="BW263">
        <f t="shared" si="593"/>
        <v>786460.49409797147</v>
      </c>
      <c r="BX263" s="5">
        <f t="shared" si="594"/>
        <v>507959.92609937867</v>
      </c>
      <c r="BY263" s="5">
        <f t="shared" si="595"/>
        <v>231340.23633737865</v>
      </c>
      <c r="BZ263" s="5">
        <f t="shared" si="596"/>
        <v>1263913</v>
      </c>
      <c r="CA263" s="5">
        <f t="shared" si="597"/>
        <v>1017800.7304353501</v>
      </c>
      <c r="CC263" s="5">
        <f t="shared" si="598"/>
        <v>24713828.444872312</v>
      </c>
      <c r="CD263" s="5" t="str">
        <f t="shared" si="599"/>
        <v>Nebraska</v>
      </c>
      <c r="CE263" s="5">
        <f t="shared" si="600"/>
        <v>0.88710844833280555</v>
      </c>
      <c r="CF263" s="10">
        <f t="shared" si="601"/>
        <v>0.49711994349257027</v>
      </c>
    </row>
    <row r="264" spans="1:84" x14ac:dyDescent="0.2">
      <c r="A264">
        <v>28000000006404</v>
      </c>
      <c r="B264">
        <v>2021</v>
      </c>
      <c r="C264">
        <v>521</v>
      </c>
      <c r="D264" t="s">
        <v>459</v>
      </c>
      <c r="E264">
        <v>6</v>
      </c>
      <c r="F264" t="s">
        <v>460</v>
      </c>
      <c r="G264" t="s">
        <v>461</v>
      </c>
      <c r="H264" t="s">
        <v>462</v>
      </c>
      <c r="I264" t="b">
        <v>1</v>
      </c>
      <c r="J264">
        <v>285434</v>
      </c>
      <c r="K264">
        <v>1015347</v>
      </c>
      <c r="L264">
        <v>0</v>
      </c>
      <c r="M264">
        <v>-22740</v>
      </c>
      <c r="N264">
        <v>-155121</v>
      </c>
      <c r="O264">
        <v>692620</v>
      </c>
      <c r="Q264">
        <v>430299</v>
      </c>
      <c r="R264">
        <v>13849194</v>
      </c>
      <c r="S264">
        <v>14279493</v>
      </c>
      <c r="T264">
        <v>208991</v>
      </c>
      <c r="U264">
        <v>44254</v>
      </c>
      <c r="V264">
        <v>210036</v>
      </c>
      <c r="W264">
        <v>3639684</v>
      </c>
      <c r="Y264">
        <v>3537</v>
      </c>
      <c r="Z264">
        <v>12</v>
      </c>
      <c r="AA264">
        <v>3406820</v>
      </c>
      <c r="AB264">
        <v>12285737</v>
      </c>
      <c r="AC264">
        <v>15692556</v>
      </c>
      <c r="AD264">
        <v>-1413063</v>
      </c>
      <c r="AE264">
        <v>1563457</v>
      </c>
      <c r="AF264">
        <v>-2976520</v>
      </c>
      <c r="AG264">
        <v>2115763</v>
      </c>
      <c r="AI264" t="b">
        <v>1</v>
      </c>
      <c r="AK264">
        <v>7.4999999999999997E-2</v>
      </c>
      <c r="AL264">
        <v>7.2999999999999995E-2</v>
      </c>
      <c r="AM264">
        <v>7.2999999999999995E-2</v>
      </c>
      <c r="AN264">
        <v>7.4999999999999997E-2</v>
      </c>
      <c r="AS264">
        <v>583635</v>
      </c>
      <c r="AT264">
        <v>-3053106</v>
      </c>
      <c r="BB264">
        <f t="shared" si="578"/>
        <v>1.098957505003854</v>
      </c>
      <c r="BD264">
        <f t="shared" si="579"/>
        <v>1996698</v>
      </c>
      <c r="BE264">
        <f t="shared" si="580"/>
        <v>-1640043</v>
      </c>
      <c r="BF264">
        <f t="shared" si="581"/>
        <v>13.982975445976969</v>
      </c>
      <c r="BG264">
        <f t="shared" si="582"/>
        <v>-11.485302734487842</v>
      </c>
      <c r="BH264">
        <f t="shared" si="583"/>
        <v>12.734139090232405</v>
      </c>
      <c r="BI264">
        <f t="shared" si="584"/>
        <v>124.88363557445632</v>
      </c>
      <c r="BJ264">
        <f t="shared" si="585"/>
        <v>13</v>
      </c>
      <c r="BK264">
        <f>IF($BJ264&lt;=30,IF($B264=2015,VLOOKUP($BJ264,'Treasury Yields'!$C$5:$N$34,$E264,FALSE)/100,IF($B264=2016,VLOOKUP($BJ264,'Treasury Yields'!$C$40:$N$69,$E264,FALSE)/100,IF($B264=2017,VLOOKUP($BJ264,'Treasury Yields'!$C$75:$N$104,$E264,FALSE)/100,IF($B264=2018,VLOOKUP($BJ264,'Treasury Yields'!$C$110:$N$139,$E264,FALSE)/100,IF($B264=2019,VLOOKUP($BJ264,'Treasury Yields'!$C$145:$N$174,$E264,FALSE)/100,IF($B264=2020,VLOOKUP($BJ264,'Treasury Yields'!$C$180:$N$209,$E264,FALSE)/100,IF($B264=2021,VLOOKUP($BJ264,'Treasury Yields'!$C$215:$N$244,$E264,FALSE)/100,IF($B264=2022,VLOOKUP($BJ264,'Treasury Yields'!$C$250:$N$279,$E264,FALSE)/100)))))))),0)</f>
        <v>1.2827818181818183E-2</v>
      </c>
      <c r="BL264">
        <f t="shared" si="586"/>
        <v>1.7698616241002409</v>
      </c>
      <c r="BM264">
        <f t="shared" si="587"/>
        <v>24511156.985319313</v>
      </c>
      <c r="BN264">
        <f t="shared" si="588"/>
        <v>12225419.985319313</v>
      </c>
      <c r="BP264">
        <f>IF($BJ264&lt;=30,IF($B264=2015,VLOOKUP($BJ264,'Treasury Yields'!$C$40:$N$69,$E264,FALSE)/100,IF($B264=2016,VLOOKUP($BJ264,'Treasury Yields'!$C$75:$N$104,$E264,FALSE)/100,IF($B264=2017,VLOOKUP($BJ264,'Treasury Yields'!$C$110:$N$139,$E264,FALSE)/100,IF($B264=2018,VLOOKUP($BJ264,'Treasury Yields'!$C$145:$N$174,$E264,FALSE)/100,IF($B264=2019,VLOOKUP($BJ264,'Treasury Yields'!$C$180:$N$209,$E264,FALSE)/100,IF($B264=2020,VLOOKUP($BJ264,'Treasury Yields'!$C$215:$N$244,$E264,FALSE)/100,IF($B264=2021,VLOOKUP($BJ264,'Treasury Yields'!$C$250:$N$279,$E264,FALSE)/100,IF($B264=2022,VLOOKUP($BJ264,'Treasury Yields'!$C$285:$N$314,$E264,FALSE)/100)))))))),0)</f>
        <v>2.0617363636363639E-2</v>
      </c>
      <c r="BQ264">
        <f t="shared" si="589"/>
        <v>1.6954735266859353</v>
      </c>
      <c r="BR264">
        <f t="shared" si="590"/>
        <v>24210502.355997127</v>
      </c>
      <c r="BS264">
        <f t="shared" si="591"/>
        <v>8517946.3559971265</v>
      </c>
      <c r="BU264">
        <f t="shared" si="602"/>
        <v>16</v>
      </c>
      <c r="BV264">
        <f t="shared" si="592"/>
        <v>3.2691868511654327</v>
      </c>
      <c r="BW264">
        <f t="shared" si="593"/>
        <v>933137.07967555418</v>
      </c>
      <c r="BX264" s="5">
        <f t="shared" si="594"/>
        <v>317509.97460137872</v>
      </c>
      <c r="BY264" s="5">
        <f t="shared" si="595"/>
        <v>159910.77413574234</v>
      </c>
      <c r="BZ264" s="5">
        <f t="shared" si="596"/>
        <v>1300781</v>
      </c>
      <c r="CA264" s="5">
        <f t="shared" si="597"/>
        <v>1093047.8538112966</v>
      </c>
      <c r="CC264" s="5">
        <f t="shared" si="598"/>
        <v>24210502.355997127</v>
      </c>
      <c r="CD264" s="5" t="str">
        <f t="shared" si="599"/>
        <v>Nebraska</v>
      </c>
      <c r="CE264" s="5">
        <f t="shared" si="600"/>
        <v>1.098957505003854</v>
      </c>
      <c r="CF264" s="10">
        <f t="shared" si="601"/>
        <v>0.648171432763056</v>
      </c>
    </row>
    <row r="265" spans="1:84" x14ac:dyDescent="0.2">
      <c r="A265">
        <v>28000000006404</v>
      </c>
      <c r="B265">
        <v>2022</v>
      </c>
      <c r="C265">
        <v>521</v>
      </c>
      <c r="D265" t="s">
        <v>459</v>
      </c>
      <c r="E265">
        <v>6</v>
      </c>
      <c r="F265" t="s">
        <v>460</v>
      </c>
      <c r="G265" t="s">
        <v>461</v>
      </c>
      <c r="H265" t="s">
        <v>462</v>
      </c>
      <c r="I265" t="b">
        <v>1</v>
      </c>
      <c r="J265">
        <v>319552</v>
      </c>
      <c r="K265">
        <v>1018225</v>
      </c>
      <c r="L265">
        <v>0</v>
      </c>
      <c r="M265">
        <v>-4848</v>
      </c>
      <c r="N265">
        <v>82621</v>
      </c>
      <c r="O265">
        <v>736680</v>
      </c>
      <c r="Q265">
        <v>678869</v>
      </c>
      <c r="R265">
        <v>14279493</v>
      </c>
      <c r="S265">
        <v>14958362</v>
      </c>
      <c r="T265">
        <v>216059</v>
      </c>
      <c r="U265">
        <v>44704</v>
      </c>
      <c r="V265">
        <v>216126</v>
      </c>
      <c r="W265">
        <v>-1288295</v>
      </c>
      <c r="Y265">
        <v>3329</v>
      </c>
      <c r="Z265">
        <v>16</v>
      </c>
      <c r="AA265">
        <v>-1549037</v>
      </c>
      <c r="AB265">
        <v>15692556</v>
      </c>
      <c r="AC265">
        <v>14142797</v>
      </c>
      <c r="AD265">
        <v>815603</v>
      </c>
      <c r="AE265">
        <v>-1413063</v>
      </c>
      <c r="AF265">
        <v>2228666</v>
      </c>
      <c r="AG265">
        <v>2187322</v>
      </c>
      <c r="AI265" t="b">
        <v>1</v>
      </c>
      <c r="AK265">
        <v>7.2999999999999995E-2</v>
      </c>
      <c r="AL265">
        <v>7.1999999999999995E-2</v>
      </c>
      <c r="AM265">
        <v>7.1999999999999995E-2</v>
      </c>
      <c r="AN265">
        <v>7.2999999999999995E-2</v>
      </c>
      <c r="AS265">
        <v>2905436</v>
      </c>
      <c r="AT265">
        <v>-899921</v>
      </c>
      <c r="AV265" t="s">
        <v>471</v>
      </c>
      <c r="BB265">
        <f t="shared" si="578"/>
        <v>0.94547765323502664</v>
      </c>
      <c r="BD265">
        <f t="shared" si="579"/>
        <v>2089833</v>
      </c>
      <c r="BE265">
        <f t="shared" si="580"/>
        <v>-1715524</v>
      </c>
      <c r="BF265">
        <f t="shared" si="581"/>
        <v>13.971001637746165</v>
      </c>
      <c r="BG265">
        <f t="shared" si="582"/>
        <v>-11.46866214362241</v>
      </c>
      <c r="BH265">
        <f t="shared" si="583"/>
        <v>12.719831890684288</v>
      </c>
      <c r="BI265">
        <f t="shared" si="584"/>
        <v>125.11697470618775</v>
      </c>
      <c r="BJ265">
        <f t="shared" si="585"/>
        <v>13</v>
      </c>
      <c r="BK265">
        <f>IF($BJ265&lt;=30,IF($B265=2015,VLOOKUP($BJ265,'Treasury Yields'!$C$5:$N$34,$E265,FALSE)/100,IF($B265=2016,VLOOKUP($BJ265,'Treasury Yields'!$C$40:$N$69,$E265,FALSE)/100,IF($B265=2017,VLOOKUP($BJ265,'Treasury Yields'!$C$75:$N$104,$E265,FALSE)/100,IF($B265=2018,VLOOKUP($BJ265,'Treasury Yields'!$C$110:$N$139,$E265,FALSE)/100,IF($B265=2019,VLOOKUP($BJ265,'Treasury Yields'!$C$145:$N$174,$E265,FALSE)/100,IF($B265=2020,VLOOKUP($BJ265,'Treasury Yields'!$C$180:$N$209,$E265,FALSE)/100,IF($B265=2021,VLOOKUP($BJ265,'Treasury Yields'!$C$215:$N$244,$E265,FALSE)/100,IF($B265=2022,VLOOKUP($BJ265,'Treasury Yields'!$C$250:$N$279,$E265,FALSE)/100)))))))),0)</f>
        <v>2.0617363636363639E-2</v>
      </c>
      <c r="BL265">
        <f t="shared" si="586"/>
        <v>1.6562186719652934</v>
      </c>
      <c r="BM265">
        <f t="shared" si="587"/>
        <v>23649962.932797704</v>
      </c>
      <c r="BN265">
        <f t="shared" si="588"/>
        <v>7957406.9327977039</v>
      </c>
      <c r="BP265">
        <f>IF($BJ265&lt;=30,IF($B265=2015,VLOOKUP($BJ265,'Treasury Yields'!$C$40:$N$69,$E265,FALSE)/100,IF($B265=2016,VLOOKUP($BJ265,'Treasury Yields'!$C$75:$N$104,$E265,FALSE)/100,IF($B265=2017,VLOOKUP($BJ265,'Treasury Yields'!$C$110:$N$139,$E265,FALSE)/100,IF($B265=2018,VLOOKUP($BJ265,'Treasury Yields'!$C$145:$N$174,$E265,FALSE)/100,IF($B265=2019,VLOOKUP($BJ265,'Treasury Yields'!$C$180:$N$209,$E265,FALSE)/100,IF($B265=2020,VLOOKUP($BJ265,'Treasury Yields'!$C$215:$N$244,$E265,FALSE)/100,IF($B265=2021,VLOOKUP($BJ265,'Treasury Yields'!$C$250:$N$279,$E265,FALSE)/100,IF($B265=2022,VLOOKUP($BJ265,'Treasury Yields'!$C$285:$N$314,$E265,FALSE)/100)))))))),0)</f>
        <v>3.2868636363636364E-2</v>
      </c>
      <c r="BQ265">
        <f t="shared" si="589"/>
        <v>1.51207472534578</v>
      </c>
      <c r="BR265">
        <f t="shared" si="590"/>
        <v>22618161.112772752</v>
      </c>
      <c r="BS265">
        <f t="shared" si="591"/>
        <v>8475364.1127727516</v>
      </c>
      <c r="BU265">
        <f t="shared" si="602"/>
        <v>16</v>
      </c>
      <c r="BV265">
        <f t="shared" si="592"/>
        <v>2.8477340560496947</v>
      </c>
      <c r="BW265">
        <f t="shared" si="593"/>
        <v>909999.113078792</v>
      </c>
      <c r="BX265" s="5">
        <f t="shared" si="594"/>
        <v>491173.26895148883</v>
      </c>
      <c r="BY265" s="5">
        <f t="shared" si="595"/>
        <v>167634.13551548877</v>
      </c>
      <c r="BZ265" s="5">
        <f t="shared" si="596"/>
        <v>1337777</v>
      </c>
      <c r="CA265" s="5">
        <f t="shared" si="597"/>
        <v>1077633.2485942808</v>
      </c>
      <c r="CC265" s="5">
        <f t="shared" si="598"/>
        <v>22618161.112772752</v>
      </c>
      <c r="CD265" s="5" t="str">
        <f t="shared" si="599"/>
        <v>Nebraska</v>
      </c>
      <c r="CE265" s="5">
        <f t="shared" si="600"/>
        <v>0.94547765323502664</v>
      </c>
      <c r="CF265" s="10">
        <f t="shared" si="601"/>
        <v>0.62528500568569167</v>
      </c>
    </row>
    <row r="266" spans="1:84" x14ac:dyDescent="0.2">
      <c r="A266">
        <v>29000000004602</v>
      </c>
      <c r="B266">
        <v>2015</v>
      </c>
      <c r="C266">
        <v>468</v>
      </c>
      <c r="D266" t="s">
        <v>472</v>
      </c>
      <c r="E266">
        <v>6</v>
      </c>
      <c r="F266" t="s">
        <v>473</v>
      </c>
      <c r="G266" t="s">
        <v>474</v>
      </c>
      <c r="H266" t="s">
        <v>432</v>
      </c>
      <c r="I266" t="b">
        <v>1</v>
      </c>
      <c r="J266">
        <v>1063483.2609999999</v>
      </c>
      <c r="K266">
        <v>3525394.213</v>
      </c>
      <c r="L266">
        <v>0</v>
      </c>
      <c r="M266">
        <v>-529549.06799999997</v>
      </c>
      <c r="N266">
        <v>0</v>
      </c>
      <c r="O266">
        <v>1983874.8570000001</v>
      </c>
      <c r="Q266">
        <v>2073096.8489999999</v>
      </c>
      <c r="R266">
        <v>43997060.18</v>
      </c>
      <c r="S266">
        <v>46070157.028999999</v>
      </c>
      <c r="T266">
        <v>1436652.8149999999</v>
      </c>
      <c r="V266">
        <v>196788.23300000001</v>
      </c>
      <c r="W266">
        <v>1395292.0959999999</v>
      </c>
      <c r="Y266">
        <v>9648.6260000000002</v>
      </c>
      <c r="Z266">
        <v>429.36599999999999</v>
      </c>
      <c r="AA266">
        <v>1035639.027</v>
      </c>
      <c r="AB266">
        <v>33575081.156999998</v>
      </c>
      <c r="AC266">
        <v>34610720.184</v>
      </c>
      <c r="AD266">
        <v>11459436.845000001</v>
      </c>
      <c r="AE266">
        <v>10421979.023000002</v>
      </c>
      <c r="AF266">
        <v>1037457.8219999988</v>
      </c>
      <c r="AG266">
        <v>5921618</v>
      </c>
      <c r="AH266">
        <v>0.24261153201709396</v>
      </c>
      <c r="AI266" t="b">
        <v>1</v>
      </c>
      <c r="AK266">
        <v>0.08</v>
      </c>
      <c r="AL266">
        <v>0.08</v>
      </c>
      <c r="AM266">
        <v>0.08</v>
      </c>
      <c r="AN266">
        <v>0.08</v>
      </c>
      <c r="AO266">
        <v>1</v>
      </c>
      <c r="AP266">
        <v>0</v>
      </c>
      <c r="AS266">
        <v>17461886.995000001</v>
      </c>
      <c r="AT266">
        <v>6467980.3710000003</v>
      </c>
      <c r="BB266">
        <f t="shared" ref="BB266:BB273" si="603">AC266/S266</f>
        <v>0.751261172437798</v>
      </c>
      <c r="BD266">
        <f t="shared" ref="BD266:BD273" si="604">AS266-AD266</f>
        <v>6002450.1500000004</v>
      </c>
      <c r="BE266">
        <f t="shared" ref="BE266:BE273" si="605">AT266-AD266</f>
        <v>-4991456.4740000004</v>
      </c>
      <c r="BF266">
        <f t="shared" ref="BF266:BF273" si="606">BD266/S266*100</f>
        <v>13.028933559357329</v>
      </c>
      <c r="BG266">
        <f t="shared" ref="BG266:BG273" si="607">BE266/S266*100</f>
        <v>-10.834468115352863</v>
      </c>
      <c r="BH266">
        <f t="shared" ref="BH266:BH273" si="608">(BD266-BE266)/(2*S266)*100</f>
        <v>11.931700837355097</v>
      </c>
      <c r="BI266">
        <f t="shared" ref="BI266:BI273" si="609">(BD266+BE266)/(2*S266*(0.01^2))</f>
        <v>109.72327220022335</v>
      </c>
      <c r="BJ266">
        <f t="shared" ref="BJ266:BJ273" si="610">ROUND(BH266,0)</f>
        <v>12</v>
      </c>
      <c r="BK266">
        <f>IF($BJ266&lt;=30,IF($B266=2015,VLOOKUP($BJ266,'Treasury Yields'!$C$5:$N$34,$E266,FALSE)/100,IF($B266=2016,VLOOKUP($BJ266,'Treasury Yields'!$C$40:$N$69,$E266,FALSE)/100,IF($B266=2017,VLOOKUP($BJ266,'Treasury Yields'!$C$75:$N$104,$E266,FALSE)/100,IF($B266=2018,VLOOKUP($BJ266,'Treasury Yields'!$C$110:$N$139,$E266,FALSE)/100,IF($B266=2019,VLOOKUP($BJ266,'Treasury Yields'!$C$145:$N$174,$E266,FALSE)/100,IF($B266=2020,VLOOKUP($BJ266,'Treasury Yields'!$C$180:$N$209,$E266,FALSE)/100,IF($B266=2021,VLOOKUP($BJ266,'Treasury Yields'!$C$215:$N$244,$E266,FALSE)/100,IF($B266=2022,VLOOKUP($BJ266,'Treasury Yields'!$C$250:$N$279,$E266,FALSE)/100)))))))),0)</f>
        <v>2.9186E-2</v>
      </c>
      <c r="BL266">
        <f t="shared" ref="BL266:BL273" si="611">1+BH266*(AL266-BK266)+(AL266-BK266)^2</f>
        <v>1.608879508945362</v>
      </c>
      <c r="BM266">
        <f t="shared" ref="BM266:BM273" si="612">BL266*R266</f>
        <v>70785968.577437937</v>
      </c>
      <c r="BN266">
        <f t="shared" ref="BN266:BN273" si="613">BM266-AB266</f>
        <v>37210887.420437939</v>
      </c>
      <c r="BP266">
        <f>IF($BJ266&lt;=30,IF($B266=2015,VLOOKUP($BJ266,'Treasury Yields'!$C$40:$N$69,$E266,FALSE)/100,IF($B266=2016,VLOOKUP($BJ266,'Treasury Yields'!$C$75:$N$104,$E266,FALSE)/100,IF($B266=2017,VLOOKUP($BJ266,'Treasury Yields'!$C$110:$N$139,$E266,FALSE)/100,IF($B266=2018,VLOOKUP($BJ266,'Treasury Yields'!$C$145:$N$174,$E266,FALSE)/100,IF($B266=2019,VLOOKUP($BJ266,'Treasury Yields'!$C$180:$N$209,$E266,FALSE)/100,IF($B266=2020,VLOOKUP($BJ266,'Treasury Yields'!$C$215:$N$244,$E266,FALSE)/100,IF($B266=2021,VLOOKUP($BJ266,'Treasury Yields'!$C$250:$N$279,$E266,FALSE)/100,IF($B266=2022,VLOOKUP($BJ266,'Treasury Yields'!$C$285:$N$314,$E266,FALSE)/100)))))))),0)</f>
        <v>2.7045999999999997E-2</v>
      </c>
      <c r="BQ266">
        <f t="shared" ref="BQ266:BQ273" si="614">1+BH266*(AN266-BP266)+(AN266-BP266)^2</f>
        <v>1.6346354122573017</v>
      </c>
      <c r="BR266">
        <f t="shared" ref="BR266:BR273" si="615">BQ266*S266</f>
        <v>75307910.127858043</v>
      </c>
      <c r="BS266">
        <f t="shared" ref="BS266:BS273" si="616">BR266-AC266</f>
        <v>40697189.943858042</v>
      </c>
      <c r="BU266">
        <f t="shared" si="602"/>
        <v>15</v>
      </c>
      <c r="BV266">
        <f t="shared" ref="BV266:BV273" si="617">1+(BH266+BU266)*(AN266-BK266)+(AN266-BK266)^2*BI266</f>
        <v>2.6518198034082854</v>
      </c>
      <c r="BW266">
        <f t="shared" ref="BW266:BW273" si="618">BV266*J266</f>
        <v>2820165.9721130221</v>
      </c>
      <c r="BX266" s="5">
        <f t="shared" ref="BX266:BX273" si="619">(BM266+BW266-O266)*BK266</f>
        <v>2090367.2713867927</v>
      </c>
      <c r="BY266" s="5">
        <f t="shared" ref="BY266:BY273" si="620">BK266*(BN266+BW266-O266)</f>
        <v>1110444.9527385903</v>
      </c>
      <c r="BZ266" s="5">
        <f t="shared" ref="BZ266:BZ273" si="621">SUM(J266:K266)</f>
        <v>4588877.4739999995</v>
      </c>
      <c r="CA266" s="5">
        <f t="shared" ref="CA266:CA273" si="622">SUM(BW266+BY266)</f>
        <v>3930610.9248516122</v>
      </c>
      <c r="CC266" s="5">
        <f t="shared" ref="CC266:CC273" si="623">BR266</f>
        <v>75307910.127858043</v>
      </c>
      <c r="CD266" s="5" t="str">
        <f t="shared" ref="CD266:CD273" si="624">F266</f>
        <v>Nevada</v>
      </c>
      <c r="CE266" s="5">
        <f t="shared" si="600"/>
        <v>0.751261172437798</v>
      </c>
      <c r="CF266" s="10">
        <f t="shared" ref="CF266:CF273" si="625">AC266/CC266</f>
        <v>0.45958943921346102</v>
      </c>
    </row>
    <row r="267" spans="1:84" x14ac:dyDescent="0.2">
      <c r="A267">
        <v>29000000004602</v>
      </c>
      <c r="B267">
        <v>2016</v>
      </c>
      <c r="C267">
        <v>468</v>
      </c>
      <c r="D267" t="s">
        <v>472</v>
      </c>
      <c r="E267">
        <v>6</v>
      </c>
      <c r="F267" t="s">
        <v>473</v>
      </c>
      <c r="G267" t="s">
        <v>474</v>
      </c>
      <c r="H267" t="s">
        <v>432</v>
      </c>
      <c r="I267" t="b">
        <v>1</v>
      </c>
      <c r="J267">
        <v>1086454</v>
      </c>
      <c r="K267">
        <v>3686984</v>
      </c>
      <c r="M267">
        <v>-245818</v>
      </c>
      <c r="O267">
        <v>2138616</v>
      </c>
      <c r="Q267">
        <v>2389005</v>
      </c>
      <c r="R267">
        <v>46070157</v>
      </c>
      <c r="S267">
        <v>48459162</v>
      </c>
      <c r="T267">
        <v>1569710</v>
      </c>
      <c r="V267">
        <v>191525</v>
      </c>
      <c r="W267">
        <v>778697</v>
      </c>
      <c r="Y267">
        <v>10573</v>
      </c>
      <c r="Z267">
        <v>567</v>
      </c>
      <c r="AA267">
        <v>391309</v>
      </c>
      <c r="AB267">
        <v>34610720</v>
      </c>
      <c r="AC267">
        <v>35002029</v>
      </c>
      <c r="AD267">
        <v>13457133</v>
      </c>
      <c r="AE267">
        <v>11459437</v>
      </c>
      <c r="AF267">
        <v>1997696</v>
      </c>
      <c r="AG267">
        <v>6081072</v>
      </c>
      <c r="AH267">
        <v>0.2581304743637306</v>
      </c>
      <c r="AI267" t="b">
        <v>1</v>
      </c>
      <c r="AK267">
        <v>0.08</v>
      </c>
      <c r="AL267">
        <v>0.08</v>
      </c>
      <c r="AM267">
        <v>0.08</v>
      </c>
      <c r="AN267">
        <v>0.08</v>
      </c>
      <c r="AO267">
        <v>1</v>
      </c>
      <c r="AP267">
        <v>0</v>
      </c>
      <c r="AS267">
        <v>19725527</v>
      </c>
      <c r="AT267">
        <v>8241905</v>
      </c>
      <c r="AU267" t="s">
        <v>475</v>
      </c>
      <c r="AV267" t="s">
        <v>476</v>
      </c>
      <c r="BB267">
        <f t="shared" si="603"/>
        <v>0.72229951066838505</v>
      </c>
      <c r="BD267">
        <f t="shared" si="604"/>
        <v>6268394</v>
      </c>
      <c r="BE267">
        <f t="shared" si="605"/>
        <v>-5215228</v>
      </c>
      <c r="BF267">
        <f t="shared" si="606"/>
        <v>12.935415597983308</v>
      </c>
      <c r="BG267">
        <f t="shared" si="607"/>
        <v>-10.762109340644397</v>
      </c>
      <c r="BH267">
        <f t="shared" si="608"/>
        <v>11.848762469313852</v>
      </c>
      <c r="BI267">
        <f t="shared" si="609"/>
        <v>108.66531286694556</v>
      </c>
      <c r="BJ267">
        <f t="shared" si="610"/>
        <v>12</v>
      </c>
      <c r="BK267">
        <f>IF($BJ267&lt;=30,IF($B267=2015,VLOOKUP($BJ267,'Treasury Yields'!$C$5:$N$34,$E267,FALSE)/100,IF($B267=2016,VLOOKUP($BJ267,'Treasury Yields'!$C$40:$N$69,$E267,FALSE)/100,IF($B267=2017,VLOOKUP($BJ267,'Treasury Yields'!$C$75:$N$104,$E267,FALSE)/100,IF($B267=2018,VLOOKUP($BJ267,'Treasury Yields'!$C$110:$N$139,$E267,FALSE)/100,IF($B267=2019,VLOOKUP($BJ267,'Treasury Yields'!$C$145:$N$174,$E267,FALSE)/100,IF($B267=2020,VLOOKUP($BJ267,'Treasury Yields'!$C$180:$N$209,$E267,FALSE)/100,IF($B267=2021,VLOOKUP($BJ267,'Treasury Yields'!$C$215:$N$244,$E267,FALSE)/100,IF($B267=2022,VLOOKUP($BJ267,'Treasury Yields'!$C$250:$N$279,$E267,FALSE)/100)))))))),0)</f>
        <v>2.7045999999999997E-2</v>
      </c>
      <c r="BL267">
        <f t="shared" si="611"/>
        <v>1.6302434939160457</v>
      </c>
      <c r="BM267">
        <f t="shared" si="612"/>
        <v>75105573.712940767</v>
      </c>
      <c r="BN267">
        <f t="shared" si="613"/>
        <v>40494853.712940767</v>
      </c>
      <c r="BP267">
        <f>IF($BJ267&lt;=30,IF($B267=2015,VLOOKUP($BJ267,'Treasury Yields'!$C$40:$N$69,$E267,FALSE)/100,IF($B267=2016,VLOOKUP($BJ267,'Treasury Yields'!$C$75:$N$104,$E267,FALSE)/100,IF($B267=2017,VLOOKUP($BJ267,'Treasury Yields'!$C$110:$N$139,$E267,FALSE)/100,IF($B267=2018,VLOOKUP($BJ267,'Treasury Yields'!$C$145:$N$174,$E267,FALSE)/100,IF($B267=2019,VLOOKUP($BJ267,'Treasury Yields'!$C$180:$N$209,$E267,FALSE)/100,IF($B267=2020,VLOOKUP($BJ267,'Treasury Yields'!$C$215:$N$244,$E267,FALSE)/100,IF($B267=2021,VLOOKUP($BJ267,'Treasury Yields'!$C$250:$N$279,$E267,FALSE)/100,IF($B267=2022,VLOOKUP($BJ267,'Treasury Yields'!$C$285:$N$314,$E267,FALSE)/100)))))))),0)</f>
        <v>1.7546000000000003E-2</v>
      </c>
      <c r="BQ267">
        <f t="shared" si="614"/>
        <v>1.7439031133745273</v>
      </c>
      <c r="BR267">
        <f t="shared" si="615"/>
        <v>84508083.483320579</v>
      </c>
      <c r="BS267">
        <f t="shared" si="616"/>
        <v>49506054.483320579</v>
      </c>
      <c r="BU267">
        <f t="shared" si="602"/>
        <v>15</v>
      </c>
      <c r="BV267">
        <f t="shared" si="617"/>
        <v>2.7264606095135586</v>
      </c>
      <c r="BW267">
        <f t="shared" si="618"/>
        <v>2962174.0350484438</v>
      </c>
      <c r="BX267" s="5">
        <f t="shared" si="619"/>
        <v>2053579.2972561158</v>
      </c>
      <c r="BY267" s="5">
        <f t="shared" si="620"/>
        <v>1117497.764136116</v>
      </c>
      <c r="BZ267" s="5">
        <f t="shared" si="621"/>
        <v>4773438</v>
      </c>
      <c r="CA267" s="5">
        <f t="shared" si="622"/>
        <v>4079671.7991845598</v>
      </c>
      <c r="CC267" s="5">
        <f t="shared" si="623"/>
        <v>84508083.483320579</v>
      </c>
      <c r="CD267" s="5" t="str">
        <f t="shared" si="624"/>
        <v>Nevada</v>
      </c>
      <c r="CE267" s="5">
        <f t="shared" si="600"/>
        <v>0.72229951066838505</v>
      </c>
      <c r="CF267" s="10">
        <f t="shared" si="625"/>
        <v>0.41418557322872401</v>
      </c>
    </row>
    <row r="268" spans="1:84" x14ac:dyDescent="0.2">
      <c r="A268">
        <v>29000000004602</v>
      </c>
      <c r="B268">
        <v>2017</v>
      </c>
      <c r="C268">
        <v>468</v>
      </c>
      <c r="D268" t="s">
        <v>472</v>
      </c>
      <c r="E268">
        <v>6</v>
      </c>
      <c r="F268" t="s">
        <v>473</v>
      </c>
      <c r="G268" t="s">
        <v>474</v>
      </c>
      <c r="H268" t="s">
        <v>432</v>
      </c>
      <c r="I268" t="b">
        <v>1</v>
      </c>
      <c r="J268">
        <v>1107510</v>
      </c>
      <c r="K268">
        <v>3873772</v>
      </c>
      <c r="M268">
        <v>-211328</v>
      </c>
      <c r="N268">
        <v>1046013</v>
      </c>
      <c r="O268">
        <v>2288613</v>
      </c>
      <c r="Q268">
        <v>3526936</v>
      </c>
      <c r="R268">
        <v>48459162</v>
      </c>
      <c r="S268">
        <v>51986097</v>
      </c>
      <c r="T268">
        <v>901744</v>
      </c>
      <c r="V268">
        <v>968975</v>
      </c>
      <c r="W268">
        <v>4110266</v>
      </c>
      <c r="Y268">
        <v>-9870</v>
      </c>
      <c r="Z268">
        <v>1723</v>
      </c>
      <c r="AA268">
        <v>3684225</v>
      </c>
      <c r="AB268">
        <v>35002029</v>
      </c>
      <c r="AC268">
        <v>38686253</v>
      </c>
      <c r="AD268">
        <v>13299844</v>
      </c>
      <c r="AE268">
        <v>13457133</v>
      </c>
      <c r="AF268">
        <v>-157289</v>
      </c>
      <c r="AG268">
        <v>6237158</v>
      </c>
      <c r="AH268">
        <v>0.14457610341120106</v>
      </c>
      <c r="AI268" t="b">
        <v>1</v>
      </c>
      <c r="AK268">
        <v>0.08</v>
      </c>
      <c r="AL268">
        <v>7.4999999999999997E-2</v>
      </c>
      <c r="AM268">
        <v>7.4999999999999997E-2</v>
      </c>
      <c r="AN268">
        <v>0.08</v>
      </c>
      <c r="AO268">
        <v>1</v>
      </c>
      <c r="AP268">
        <v>0</v>
      </c>
      <c r="AS268">
        <v>20105651</v>
      </c>
      <c r="AT268">
        <v>7647515</v>
      </c>
      <c r="AU268" t="s">
        <v>477</v>
      </c>
      <c r="AV268" t="s">
        <v>478</v>
      </c>
      <c r="BB268">
        <f t="shared" si="603"/>
        <v>0.74416536790596144</v>
      </c>
      <c r="BD268">
        <f t="shared" si="604"/>
        <v>6805807</v>
      </c>
      <c r="BE268">
        <f t="shared" si="605"/>
        <v>-5652329</v>
      </c>
      <c r="BF268">
        <f t="shared" si="606"/>
        <v>13.091590622777471</v>
      </c>
      <c r="BG268">
        <f t="shared" si="607"/>
        <v>-10.872770463995403</v>
      </c>
      <c r="BH268">
        <f t="shared" si="608"/>
        <v>11.982180543386436</v>
      </c>
      <c r="BI268">
        <f t="shared" si="609"/>
        <v>110.94100793910341</v>
      </c>
      <c r="BJ268">
        <f t="shared" si="610"/>
        <v>12</v>
      </c>
      <c r="BK268">
        <f>IF($BJ268&lt;=30,IF($B268=2015,VLOOKUP($BJ268,'Treasury Yields'!$C$5:$N$34,$E268,FALSE)/100,IF($B268=2016,VLOOKUP($BJ268,'Treasury Yields'!$C$40:$N$69,$E268,FALSE)/100,IF($B268=2017,VLOOKUP($BJ268,'Treasury Yields'!$C$75:$N$104,$E268,FALSE)/100,IF($B268=2018,VLOOKUP($BJ268,'Treasury Yields'!$C$110:$N$139,$E268,FALSE)/100,IF($B268=2019,VLOOKUP($BJ268,'Treasury Yields'!$C$145:$N$174,$E268,FALSE)/100,IF($B268=2020,VLOOKUP($BJ268,'Treasury Yields'!$C$180:$N$209,$E268,FALSE)/100,IF($B268=2021,VLOOKUP($BJ268,'Treasury Yields'!$C$215:$N$244,$E268,FALSE)/100,IF($B268=2022,VLOOKUP($BJ268,'Treasury Yields'!$C$250:$N$279,$E268,FALSE)/100)))))))),0)</f>
        <v>1.7546000000000003E-2</v>
      </c>
      <c r="BL268">
        <f t="shared" si="611"/>
        <v>1.6917251630557244</v>
      </c>
      <c r="BM268">
        <f t="shared" si="612"/>
        <v>81979583.735993758</v>
      </c>
      <c r="BN268">
        <f t="shared" si="613"/>
        <v>46977554.735993758</v>
      </c>
      <c r="BP268">
        <f>IF($BJ268&lt;=30,IF($B268=2015,VLOOKUP($BJ268,'Treasury Yields'!$C$40:$N$69,$E268,FALSE)/100,IF($B268=2016,VLOOKUP($BJ268,'Treasury Yields'!$C$75:$N$104,$E268,FALSE)/100,IF($B268=2017,VLOOKUP($BJ268,'Treasury Yields'!$C$110:$N$139,$E268,FALSE)/100,IF($B268=2018,VLOOKUP($BJ268,'Treasury Yields'!$C$145:$N$174,$E268,FALSE)/100,IF($B268=2019,VLOOKUP($BJ268,'Treasury Yields'!$C$180:$N$209,$E268,FALSE)/100,IF($B268=2020,VLOOKUP($BJ268,'Treasury Yields'!$C$215:$N$244,$E268,FALSE)/100,IF($B268=2021,VLOOKUP($BJ268,'Treasury Yields'!$C$250:$N$279,$E268,FALSE)/100,IF($B268=2022,VLOOKUP($BJ268,'Treasury Yields'!$C$285:$N$314,$E268,FALSE)/100)))))))),0)</f>
        <v>2.5467599999999993E-2</v>
      </c>
      <c r="BQ268">
        <f t="shared" si="614"/>
        <v>1.6563908449139266</v>
      </c>
      <c r="BR268">
        <f t="shared" si="615"/>
        <v>86109295.133607343</v>
      </c>
      <c r="BS268">
        <f t="shared" si="616"/>
        <v>47423042.133607343</v>
      </c>
      <c r="BU268">
        <f t="shared" si="602"/>
        <v>15</v>
      </c>
      <c r="BV268">
        <f t="shared" si="617"/>
        <v>3.1178707398743017</v>
      </c>
      <c r="BW268">
        <f t="shared" si="618"/>
        <v>3453073.0231181881</v>
      </c>
      <c r="BX268" s="5">
        <f t="shared" si="619"/>
        <v>1458845.3917973784</v>
      </c>
      <c r="BY268" s="5">
        <f t="shared" si="620"/>
        <v>844699.79096337839</v>
      </c>
      <c r="BZ268" s="5">
        <f t="shared" si="621"/>
        <v>4981282</v>
      </c>
      <c r="CA268" s="5">
        <f t="shared" si="622"/>
        <v>4297772.8140815664</v>
      </c>
      <c r="CC268" s="5">
        <f t="shared" si="623"/>
        <v>86109295.133607343</v>
      </c>
      <c r="CD268" s="5" t="str">
        <f t="shared" si="624"/>
        <v>Nevada</v>
      </c>
      <c r="CE268" s="5">
        <f t="shared" si="600"/>
        <v>0.74416536790596144</v>
      </c>
      <c r="CF268" s="10">
        <f t="shared" si="625"/>
        <v>0.44926918679306732</v>
      </c>
    </row>
    <row r="269" spans="1:84" x14ac:dyDescent="0.2">
      <c r="A269">
        <v>29000000004602</v>
      </c>
      <c r="B269">
        <v>2018</v>
      </c>
      <c r="C269">
        <v>468</v>
      </c>
      <c r="D269" t="s">
        <v>472</v>
      </c>
      <c r="E269">
        <v>6</v>
      </c>
      <c r="F269" t="s">
        <v>473</v>
      </c>
      <c r="G269" t="s">
        <v>474</v>
      </c>
      <c r="H269" t="s">
        <v>432</v>
      </c>
      <c r="I269" t="b">
        <v>1</v>
      </c>
      <c r="J269">
        <v>1134082</v>
      </c>
      <c r="K269">
        <v>3892067</v>
      </c>
      <c r="M269">
        <v>509078</v>
      </c>
      <c r="N269">
        <v>0</v>
      </c>
      <c r="O269">
        <v>2415380</v>
      </c>
      <c r="Q269">
        <v>3083331</v>
      </c>
      <c r="R269">
        <v>51986097</v>
      </c>
      <c r="S269">
        <v>55069429</v>
      </c>
      <c r="T269">
        <v>930269</v>
      </c>
      <c r="V269">
        <v>1003827</v>
      </c>
      <c r="W269">
        <v>3262211</v>
      </c>
      <c r="Y269">
        <v>-12867</v>
      </c>
      <c r="Z269">
        <v>1715</v>
      </c>
      <c r="AA269">
        <v>2733775</v>
      </c>
      <c r="AB269">
        <v>38686253</v>
      </c>
      <c r="AC269">
        <v>41420029</v>
      </c>
      <c r="AD269">
        <v>13649400</v>
      </c>
      <c r="AE269">
        <v>13299844</v>
      </c>
      <c r="AF269">
        <v>349556</v>
      </c>
      <c r="AG269">
        <v>6508872</v>
      </c>
      <c r="AH269">
        <v>0.14292322847952763</v>
      </c>
      <c r="AI269" t="b">
        <v>1</v>
      </c>
      <c r="AK269">
        <v>7.4999999999999997E-2</v>
      </c>
      <c r="AL269">
        <v>7.4999999999999997E-2</v>
      </c>
      <c r="AM269">
        <v>7.4999999999999997E-2</v>
      </c>
      <c r="AN269">
        <v>7.4999999999999997E-2</v>
      </c>
      <c r="AO269">
        <v>1</v>
      </c>
      <c r="AP269">
        <v>0</v>
      </c>
      <c r="AS269">
        <v>20808663</v>
      </c>
      <c r="AT269">
        <v>7700470</v>
      </c>
      <c r="AU269" t="s">
        <v>479</v>
      </c>
      <c r="AV269" t="s">
        <v>480</v>
      </c>
      <c r="BB269">
        <f t="shared" si="603"/>
        <v>0.75214197336238953</v>
      </c>
      <c r="BD269">
        <f t="shared" si="604"/>
        <v>7159263</v>
      </c>
      <c r="BE269">
        <f t="shared" si="605"/>
        <v>-5948930</v>
      </c>
      <c r="BF269">
        <f t="shared" si="606"/>
        <v>13.000430783475164</v>
      </c>
      <c r="BG269">
        <f t="shared" si="607"/>
        <v>-10.802599750943486</v>
      </c>
      <c r="BH269">
        <f t="shared" si="608"/>
        <v>11.901515267209325</v>
      </c>
      <c r="BI269">
        <f t="shared" si="609"/>
        <v>109.89155162658396</v>
      </c>
      <c r="BJ269">
        <f t="shared" si="610"/>
        <v>12</v>
      </c>
      <c r="BK269">
        <f>IF($BJ269&lt;=30,IF($B269=2015,VLOOKUP($BJ269,'Treasury Yields'!$C$5:$N$34,$E269,FALSE)/100,IF($B269=2016,VLOOKUP($BJ269,'Treasury Yields'!$C$40:$N$69,$E269,FALSE)/100,IF($B269=2017,VLOOKUP($BJ269,'Treasury Yields'!$C$75:$N$104,$E269,FALSE)/100,IF($B269=2018,VLOOKUP($BJ269,'Treasury Yields'!$C$110:$N$139,$E269,FALSE)/100,IF($B269=2019,VLOOKUP($BJ269,'Treasury Yields'!$C$145:$N$174,$E269,FALSE)/100,IF($B269=2020,VLOOKUP($BJ269,'Treasury Yields'!$C$180:$N$209,$E269,FALSE)/100,IF($B269=2021,VLOOKUP($BJ269,'Treasury Yields'!$C$215:$N$244,$E269,FALSE)/100,IF($B269=2022,VLOOKUP($BJ269,'Treasury Yields'!$C$250:$N$279,$E269,FALSE)/100)))))))),0)</f>
        <v>2.5467599999999993E-2</v>
      </c>
      <c r="BL269">
        <f t="shared" si="611"/>
        <v>1.5919640734712792</v>
      </c>
      <c r="BM269">
        <f t="shared" si="612"/>
        <v>82759998.743993044</v>
      </c>
      <c r="BN269">
        <f t="shared" si="613"/>
        <v>44073745.743993044</v>
      </c>
      <c r="BP269">
        <f>IF($BJ269&lt;=30,IF($B269=2015,VLOOKUP($BJ269,'Treasury Yields'!$C$40:$N$69,$E269,FALSE)/100,IF($B269=2016,VLOOKUP($BJ269,'Treasury Yields'!$C$75:$N$104,$E269,FALSE)/100,IF($B269=2017,VLOOKUP($BJ269,'Treasury Yields'!$C$110:$N$139,$E269,FALSE)/100,IF($B269=2018,VLOOKUP($BJ269,'Treasury Yields'!$C$145:$N$174,$E269,FALSE)/100,IF($B269=2019,VLOOKUP($BJ269,'Treasury Yields'!$C$180:$N$209,$E269,FALSE)/100,IF($B269=2020,VLOOKUP($BJ269,'Treasury Yields'!$C$215:$N$244,$E269,FALSE)/100,IF($B269=2021,VLOOKUP($BJ269,'Treasury Yields'!$C$250:$N$279,$E269,FALSE)/100,IF($B269=2022,VLOOKUP($BJ269,'Treasury Yields'!$C$285:$N$314,$E269,FALSE)/100)))))))),0)</f>
        <v>2.8906472727272727E-2</v>
      </c>
      <c r="BQ269">
        <f t="shared" si="614"/>
        <v>1.5507074318123346</v>
      </c>
      <c r="BR269">
        <f t="shared" si="615"/>
        <v>85396572.815961704</v>
      </c>
      <c r="BS269">
        <f t="shared" si="616"/>
        <v>43976543.815961704</v>
      </c>
      <c r="BU269">
        <f t="shared" si="602"/>
        <v>15</v>
      </c>
      <c r="BV269">
        <f t="shared" si="617"/>
        <v>2.6021109926953097</v>
      </c>
      <c r="BW269">
        <f t="shared" si="618"/>
        <v>2951007.2388178823</v>
      </c>
      <c r="BX269" s="5">
        <f t="shared" si="619"/>
        <v>2121339.6842798349</v>
      </c>
      <c r="BY269" s="5">
        <f t="shared" si="620"/>
        <v>1136093.6673770354</v>
      </c>
      <c r="BZ269" s="5">
        <f t="shared" si="621"/>
        <v>5026149</v>
      </c>
      <c r="CA269" s="5">
        <f t="shared" si="622"/>
        <v>4087100.9061949179</v>
      </c>
      <c r="CC269" s="5">
        <f t="shared" si="623"/>
        <v>85396572.815961704</v>
      </c>
      <c r="CD269" s="5" t="str">
        <f t="shared" si="624"/>
        <v>Nevada</v>
      </c>
      <c r="CE269" s="5">
        <f t="shared" si="600"/>
        <v>0.75214197336238953</v>
      </c>
      <c r="CF269" s="10">
        <f t="shared" si="625"/>
        <v>0.48503151396092176</v>
      </c>
    </row>
    <row r="270" spans="1:84" x14ac:dyDescent="0.2">
      <c r="A270">
        <v>29000000004602</v>
      </c>
      <c r="B270">
        <v>2019</v>
      </c>
      <c r="C270">
        <v>468</v>
      </c>
      <c r="D270" t="s">
        <v>472</v>
      </c>
      <c r="E270">
        <v>6</v>
      </c>
      <c r="F270" t="s">
        <v>473</v>
      </c>
      <c r="G270" t="s">
        <v>474</v>
      </c>
      <c r="H270" t="s">
        <v>432</v>
      </c>
      <c r="I270" t="b">
        <v>1</v>
      </c>
      <c r="J270">
        <v>1169697</v>
      </c>
      <c r="K270">
        <v>4119085</v>
      </c>
      <c r="M270">
        <v>197981</v>
      </c>
      <c r="O270">
        <v>2635757</v>
      </c>
      <c r="Q270">
        <v>2850787</v>
      </c>
      <c r="R270">
        <v>55069428</v>
      </c>
      <c r="S270">
        <v>57920215</v>
      </c>
      <c r="T270">
        <v>965518</v>
      </c>
      <c r="V270">
        <v>1063876</v>
      </c>
      <c r="W270">
        <v>3468148</v>
      </c>
      <c r="Y270">
        <v>11812</v>
      </c>
      <c r="Z270">
        <v>2592</v>
      </c>
      <c r="AA270">
        <v>2852565</v>
      </c>
      <c r="AB270">
        <v>41431686</v>
      </c>
      <c r="AC270">
        <v>44284252</v>
      </c>
      <c r="AD270">
        <v>13635963</v>
      </c>
      <c r="AE270">
        <v>13637742</v>
      </c>
      <c r="AF270">
        <v>-1779</v>
      </c>
      <c r="AG270">
        <v>6786900</v>
      </c>
      <c r="AH270">
        <v>0.14226200474443412</v>
      </c>
      <c r="AI270" t="b">
        <v>1</v>
      </c>
      <c r="AK270">
        <v>7.4999999999999997E-2</v>
      </c>
      <c r="AL270">
        <v>7.4999999999999997E-2</v>
      </c>
      <c r="AM270">
        <v>7.4999999999999997E-2</v>
      </c>
      <c r="AN270">
        <v>7.4999999999999997E-2</v>
      </c>
      <c r="AO270">
        <v>1</v>
      </c>
      <c r="AP270">
        <v>0</v>
      </c>
      <c r="AS270">
        <v>21113639</v>
      </c>
      <c r="AT270">
        <v>7420117</v>
      </c>
      <c r="AU270" t="s">
        <v>154</v>
      </c>
      <c r="AV270" t="s">
        <v>481</v>
      </c>
      <c r="BB270">
        <f t="shared" si="603"/>
        <v>0.76457333592425369</v>
      </c>
      <c r="BD270">
        <f t="shared" si="604"/>
        <v>7477676</v>
      </c>
      <c r="BE270">
        <f t="shared" si="605"/>
        <v>-6215846</v>
      </c>
      <c r="BF270">
        <f t="shared" si="606"/>
        <v>12.910304286681257</v>
      </c>
      <c r="BG270">
        <f t="shared" si="607"/>
        <v>-10.731738478526021</v>
      </c>
      <c r="BH270">
        <f t="shared" si="608"/>
        <v>11.821021382603639</v>
      </c>
      <c r="BI270">
        <f t="shared" si="609"/>
        <v>108.92829040776178</v>
      </c>
      <c r="BJ270">
        <f t="shared" si="610"/>
        <v>12</v>
      </c>
      <c r="BK270">
        <f>IF($BJ270&lt;=30,IF($B270=2015,VLOOKUP($BJ270,'Treasury Yields'!$C$5:$N$34,$E270,FALSE)/100,IF($B270=2016,VLOOKUP($BJ270,'Treasury Yields'!$C$40:$N$69,$E270,FALSE)/100,IF($B270=2017,VLOOKUP($BJ270,'Treasury Yields'!$C$75:$N$104,$E270,FALSE)/100,IF($B270=2018,VLOOKUP($BJ270,'Treasury Yields'!$C$110:$N$139,$E270,FALSE)/100,IF($B270=2019,VLOOKUP($BJ270,'Treasury Yields'!$C$145:$N$174,$E270,FALSE)/100,IF($B270=2020,VLOOKUP($BJ270,'Treasury Yields'!$C$180:$N$209,$E270,FALSE)/100,IF($B270=2021,VLOOKUP($BJ270,'Treasury Yields'!$C$215:$N$244,$E270,FALSE)/100,IF($B270=2022,VLOOKUP($BJ270,'Treasury Yields'!$C$250:$N$279,$E270,FALSE)/100)))))))),0)</f>
        <v>2.8906472727272727E-2</v>
      </c>
      <c r="BL270">
        <f t="shared" si="611"/>
        <v>1.5469971847469746</v>
      </c>
      <c r="BM270">
        <f t="shared" si="612"/>
        <v>85192250.081626207</v>
      </c>
      <c r="BN270">
        <f t="shared" si="613"/>
        <v>43760564.081626207</v>
      </c>
      <c r="BP270">
        <f>IF($BJ270&lt;=30,IF($B270=2015,VLOOKUP($BJ270,'Treasury Yields'!$C$40:$N$69,$E270,FALSE)/100,IF($B270=2016,VLOOKUP($BJ270,'Treasury Yields'!$C$75:$N$104,$E270,FALSE)/100,IF($B270=2017,VLOOKUP($BJ270,'Treasury Yields'!$C$110:$N$139,$E270,FALSE)/100,IF($B270=2018,VLOOKUP($BJ270,'Treasury Yields'!$C$145:$N$174,$E270,FALSE)/100,IF($B270=2019,VLOOKUP($BJ270,'Treasury Yields'!$C$180:$N$209,$E270,FALSE)/100,IF($B270=2020,VLOOKUP($BJ270,'Treasury Yields'!$C$215:$N$244,$E270,FALSE)/100,IF($B270=2021,VLOOKUP($BJ270,'Treasury Yields'!$C$250:$N$279,$E270,FALSE)/100,IF($B270=2022,VLOOKUP($BJ270,'Treasury Yields'!$C$285:$N$314,$E270,FALSE)/100)))))))),0)</f>
        <v>2.2184000000000002E-2</v>
      </c>
      <c r="BQ270">
        <f t="shared" si="614"/>
        <v>1.6271285951995935</v>
      </c>
      <c r="BR270">
        <f t="shared" si="615"/>
        <v>94243638.066608429</v>
      </c>
      <c r="BS270">
        <f t="shared" si="616"/>
        <v>49959386.066608429</v>
      </c>
      <c r="BU270">
        <f t="shared" si="602"/>
        <v>15</v>
      </c>
      <c r="BV270">
        <f t="shared" si="617"/>
        <v>2.4677059703832991</v>
      </c>
      <c r="BW270">
        <f t="shared" si="618"/>
        <v>2886468.2704394339</v>
      </c>
      <c r="BX270" s="5">
        <f t="shared" si="619"/>
        <v>2469854.6320609031</v>
      </c>
      <c r="BY270" s="5">
        <f t="shared" si="620"/>
        <v>1272210.7306569756</v>
      </c>
      <c r="BZ270" s="5">
        <f t="shared" si="621"/>
        <v>5288782</v>
      </c>
      <c r="CA270" s="5">
        <f t="shared" si="622"/>
        <v>4158679.0010964097</v>
      </c>
      <c r="CC270" s="5">
        <f t="shared" si="623"/>
        <v>94243638.066608429</v>
      </c>
      <c r="CD270" s="5" t="str">
        <f t="shared" si="624"/>
        <v>Nevada</v>
      </c>
      <c r="CE270" s="5">
        <f t="shared" si="600"/>
        <v>0.76457333592425369</v>
      </c>
      <c r="CF270" s="10">
        <f t="shared" si="625"/>
        <v>0.46989115560990213</v>
      </c>
    </row>
    <row r="271" spans="1:84" x14ac:dyDescent="0.2">
      <c r="A271">
        <v>29000000004602</v>
      </c>
      <c r="B271">
        <v>2020</v>
      </c>
      <c r="C271">
        <v>468</v>
      </c>
      <c r="D271" t="s">
        <v>472</v>
      </c>
      <c r="E271">
        <v>6</v>
      </c>
      <c r="F271" t="s">
        <v>473</v>
      </c>
      <c r="G271" t="s">
        <v>474</v>
      </c>
      <c r="H271" t="s">
        <v>432</v>
      </c>
      <c r="I271" t="b">
        <v>1</v>
      </c>
      <c r="J271">
        <v>1207335</v>
      </c>
      <c r="K271">
        <v>4328271</v>
      </c>
      <c r="M271">
        <v>42171</v>
      </c>
      <c r="O271">
        <v>2834539</v>
      </c>
      <c r="Q271">
        <v>2743238</v>
      </c>
      <c r="R271">
        <v>57920215</v>
      </c>
      <c r="S271">
        <v>60663454</v>
      </c>
      <c r="T271">
        <v>1045108</v>
      </c>
      <c r="V271">
        <v>1112147</v>
      </c>
      <c r="W271">
        <v>3137476</v>
      </c>
      <c r="Y271">
        <v>12398</v>
      </c>
      <c r="Z271">
        <v>3069</v>
      </c>
      <c r="AA271">
        <v>2450864</v>
      </c>
      <c r="AB271">
        <v>44284252</v>
      </c>
      <c r="AC271">
        <v>46735117</v>
      </c>
      <c r="AD271">
        <v>13928336</v>
      </c>
      <c r="AE271">
        <v>13635963</v>
      </c>
      <c r="AF271">
        <v>292373</v>
      </c>
      <c r="AG271">
        <v>7059506</v>
      </c>
      <c r="AH271">
        <v>0.14804265340945952</v>
      </c>
      <c r="AI271" t="b">
        <v>1</v>
      </c>
      <c r="AK271">
        <v>7.4999999999999997E-2</v>
      </c>
      <c r="AL271">
        <v>7.4999999999999997E-2</v>
      </c>
      <c r="AM271">
        <v>7.4999999999999997E-2</v>
      </c>
      <c r="AN271">
        <v>7.4999999999999997E-2</v>
      </c>
      <c r="AO271">
        <v>1</v>
      </c>
      <c r="AP271">
        <v>0</v>
      </c>
      <c r="AS271">
        <v>21722824</v>
      </c>
      <c r="AT271">
        <v>7447800</v>
      </c>
      <c r="AU271" t="s">
        <v>154</v>
      </c>
      <c r="AV271" t="s">
        <v>481</v>
      </c>
      <c r="BB271">
        <f t="shared" si="603"/>
        <v>0.77039986875788513</v>
      </c>
      <c r="BD271">
        <f t="shared" si="604"/>
        <v>7794488</v>
      </c>
      <c r="BE271">
        <f t="shared" si="605"/>
        <v>-6480536</v>
      </c>
      <c r="BF271">
        <f t="shared" si="606"/>
        <v>12.84873756116821</v>
      </c>
      <c r="BG271">
        <f t="shared" si="607"/>
        <v>-10.682767914929473</v>
      </c>
      <c r="BH271">
        <f t="shared" si="608"/>
        <v>11.765752738048842</v>
      </c>
      <c r="BI271">
        <f t="shared" si="609"/>
        <v>108.29848231193694</v>
      </c>
      <c r="BJ271">
        <f t="shared" si="610"/>
        <v>12</v>
      </c>
      <c r="BK271">
        <f>IF($BJ271&lt;=30,IF($B271=2015,VLOOKUP($BJ271,'Treasury Yields'!$C$5:$N$34,$E271,FALSE)/100,IF($B271=2016,VLOOKUP($BJ271,'Treasury Yields'!$C$40:$N$69,$E271,FALSE)/100,IF($B271=2017,VLOOKUP($BJ271,'Treasury Yields'!$C$75:$N$104,$E271,FALSE)/100,IF($B271=2018,VLOOKUP($BJ271,'Treasury Yields'!$C$110:$N$139,$E271,FALSE)/100,IF($B271=2019,VLOOKUP($BJ271,'Treasury Yields'!$C$145:$N$174,$E271,FALSE)/100,IF($B271=2020,VLOOKUP($BJ271,'Treasury Yields'!$C$180:$N$209,$E271,FALSE)/100,IF($B271=2021,VLOOKUP($BJ271,'Treasury Yields'!$C$215:$N$244,$E271,FALSE)/100,IF($B271=2022,VLOOKUP($BJ271,'Treasury Yields'!$C$250:$N$279,$E271,FALSE)/100)))))))),0)</f>
        <v>2.2184000000000002E-2</v>
      </c>
      <c r="BL271">
        <f t="shared" si="611"/>
        <v>1.6242095264687875</v>
      </c>
      <c r="BM271">
        <f t="shared" si="612"/>
        <v>94074564.978120357</v>
      </c>
      <c r="BN271">
        <f t="shared" si="613"/>
        <v>49790312.978120357</v>
      </c>
      <c r="BP271">
        <f>IF($BJ271&lt;=30,IF($B271=2015,VLOOKUP($BJ271,'Treasury Yields'!$C$40:$N$69,$E271,FALSE)/100,IF($B271=2016,VLOOKUP($BJ271,'Treasury Yields'!$C$75:$N$104,$E271,FALSE)/100,IF($B271=2017,VLOOKUP($BJ271,'Treasury Yields'!$C$110:$N$139,$E271,FALSE)/100,IF($B271=2018,VLOOKUP($BJ271,'Treasury Yields'!$C$145:$N$174,$E271,FALSE)/100,IF($B271=2019,VLOOKUP($BJ271,'Treasury Yields'!$C$180:$N$209,$E271,FALSE)/100,IF($B271=2020,VLOOKUP($BJ271,'Treasury Yields'!$C$215:$N$244,$E271,FALSE)/100,IF($B271=2021,VLOOKUP($BJ271,'Treasury Yields'!$C$250:$N$279,$E271,FALSE)/100,IF($B271=2022,VLOOKUP($BJ271,'Treasury Yields'!$C$285:$N$314,$E271,FALSE)/100)))))))),0)</f>
        <v>1.3689454545454545E-2</v>
      </c>
      <c r="BQ271">
        <f t="shared" si="614"/>
        <v>1.7251237010370202</v>
      </c>
      <c r="BR271">
        <f t="shared" si="615"/>
        <v>104651962.28216903</v>
      </c>
      <c r="BS271">
        <f t="shared" si="616"/>
        <v>57916845.282169029</v>
      </c>
      <c r="BU271">
        <f t="shared" si="602"/>
        <v>15</v>
      </c>
      <c r="BV271">
        <f t="shared" si="617"/>
        <v>2.7157618463814237</v>
      </c>
      <c r="BW271">
        <f t="shared" si="618"/>
        <v>3278834.3288009162</v>
      </c>
      <c r="BX271" s="5">
        <f t="shared" si="619"/>
        <v>2096806.3970487418</v>
      </c>
      <c r="BY271" s="5">
        <f t="shared" si="620"/>
        <v>1114404.5506807417</v>
      </c>
      <c r="BZ271" s="5">
        <f t="shared" si="621"/>
        <v>5535606</v>
      </c>
      <c r="CA271" s="5">
        <f t="shared" si="622"/>
        <v>4393238.8794816583</v>
      </c>
      <c r="CC271" s="5">
        <f t="shared" si="623"/>
        <v>104651962.28216903</v>
      </c>
      <c r="CD271" s="5" t="str">
        <f t="shared" si="624"/>
        <v>Nevada</v>
      </c>
      <c r="CE271" s="5">
        <f t="shared" si="600"/>
        <v>0.77039986875788513</v>
      </c>
      <c r="CF271" s="10">
        <f t="shared" si="625"/>
        <v>0.44657659522895438</v>
      </c>
    </row>
    <row r="272" spans="1:84" x14ac:dyDescent="0.2">
      <c r="A272">
        <v>29000000004602</v>
      </c>
      <c r="B272">
        <v>2021</v>
      </c>
      <c r="C272">
        <v>468</v>
      </c>
      <c r="D272" t="s">
        <v>472</v>
      </c>
      <c r="E272">
        <v>6</v>
      </c>
      <c r="F272" t="s">
        <v>473</v>
      </c>
      <c r="G272" t="s">
        <v>474</v>
      </c>
      <c r="H272" t="s">
        <v>432</v>
      </c>
      <c r="I272" t="b">
        <v>1</v>
      </c>
      <c r="J272">
        <v>1249256</v>
      </c>
      <c r="K272">
        <v>4529331</v>
      </c>
      <c r="M272">
        <v>833986</v>
      </c>
      <c r="N272">
        <v>3345018</v>
      </c>
      <c r="O272">
        <v>3038840</v>
      </c>
      <c r="Q272">
        <v>6914327</v>
      </c>
      <c r="R272">
        <v>60663454</v>
      </c>
      <c r="S272">
        <v>67577781</v>
      </c>
      <c r="T272">
        <v>1051938</v>
      </c>
      <c r="V272">
        <v>1097000</v>
      </c>
      <c r="W272">
        <v>12602090</v>
      </c>
      <c r="Y272">
        <v>12530</v>
      </c>
      <c r="Z272">
        <v>1187</v>
      </c>
      <c r="AA272">
        <v>11723367</v>
      </c>
      <c r="AB272">
        <v>46735117</v>
      </c>
      <c r="AC272">
        <v>58458484</v>
      </c>
      <c r="AD272">
        <v>9119297</v>
      </c>
      <c r="AE272">
        <v>13928336</v>
      </c>
      <c r="AF272">
        <v>-4809039</v>
      </c>
      <c r="AG272">
        <v>6874802</v>
      </c>
      <c r="AI272" t="b">
        <v>1</v>
      </c>
      <c r="AK272">
        <v>7.4999999999999997E-2</v>
      </c>
      <c r="AL272">
        <v>7.2499999999999995E-2</v>
      </c>
      <c r="AM272">
        <v>7.2499999999999995E-2</v>
      </c>
      <c r="AN272">
        <v>7.4999999999999997E-2</v>
      </c>
      <c r="AS272">
        <v>18156228</v>
      </c>
      <c r="AT272">
        <v>1664568</v>
      </c>
      <c r="BB272">
        <f t="shared" si="603"/>
        <v>0.86505480255411171</v>
      </c>
      <c r="BD272">
        <f t="shared" si="604"/>
        <v>9036931</v>
      </c>
      <c r="BE272">
        <f t="shared" si="605"/>
        <v>-7454729</v>
      </c>
      <c r="BF272">
        <f t="shared" si="606"/>
        <v>13.372636488315589</v>
      </c>
      <c r="BG272">
        <f t="shared" si="607"/>
        <v>-11.031331437177554</v>
      </c>
      <c r="BH272">
        <f t="shared" si="608"/>
        <v>12.201983962746572</v>
      </c>
      <c r="BI272">
        <f t="shared" si="609"/>
        <v>117.0652525569018</v>
      </c>
      <c r="BJ272">
        <f t="shared" si="610"/>
        <v>12</v>
      </c>
      <c r="BK272">
        <f>IF($BJ272&lt;=30,IF($B272=2015,VLOOKUP($BJ272,'Treasury Yields'!$C$5:$N$34,$E272,FALSE)/100,IF($B272=2016,VLOOKUP($BJ272,'Treasury Yields'!$C$40:$N$69,$E272,FALSE)/100,IF($B272=2017,VLOOKUP($BJ272,'Treasury Yields'!$C$75:$N$104,$E272,FALSE)/100,IF($B272=2018,VLOOKUP($BJ272,'Treasury Yields'!$C$110:$N$139,$E272,FALSE)/100,IF($B272=2019,VLOOKUP($BJ272,'Treasury Yields'!$C$145:$N$174,$E272,FALSE)/100,IF($B272=2020,VLOOKUP($BJ272,'Treasury Yields'!$C$180:$N$209,$E272,FALSE)/100,IF($B272=2021,VLOOKUP($BJ272,'Treasury Yields'!$C$215:$N$244,$E272,FALSE)/100,IF($B272=2022,VLOOKUP($BJ272,'Treasury Yields'!$C$250:$N$279,$E272,FALSE)/100)))))))),0)</f>
        <v>1.3689454545454545E-2</v>
      </c>
      <c r="BL272">
        <f t="shared" si="611"/>
        <v>1.7210640127334031</v>
      </c>
      <c r="BM272">
        <f t="shared" si="612"/>
        <v>104405687.56750822</v>
      </c>
      <c r="BN272">
        <f t="shared" si="613"/>
        <v>57670570.567508221</v>
      </c>
      <c r="BP272">
        <f>IF($BJ272&lt;=30,IF($B272=2015,VLOOKUP($BJ272,'Treasury Yields'!$C$40:$N$69,$E272,FALSE)/100,IF($B272=2016,VLOOKUP($BJ272,'Treasury Yields'!$C$75:$N$104,$E272,FALSE)/100,IF($B272=2017,VLOOKUP($BJ272,'Treasury Yields'!$C$110:$N$139,$E272,FALSE)/100,IF($B272=2018,VLOOKUP($BJ272,'Treasury Yields'!$C$145:$N$174,$E272,FALSE)/100,IF($B272=2019,VLOOKUP($BJ272,'Treasury Yields'!$C$180:$N$209,$E272,FALSE)/100,IF($B272=2020,VLOOKUP($BJ272,'Treasury Yields'!$C$215:$N$244,$E272,FALSE)/100,IF($B272=2021,VLOOKUP($BJ272,'Treasury Yields'!$C$250:$N$279,$E272,FALSE)/100,IF($B272=2022,VLOOKUP($BJ272,'Treasury Yields'!$C$285:$N$314,$E272,FALSE)/100)))))))),0)</f>
        <v>2.1085818181818185E-2</v>
      </c>
      <c r="BQ272">
        <f t="shared" si="614"/>
        <v>1.6607667209111814</v>
      </c>
      <c r="BR272">
        <f t="shared" si="615"/>
        <v>112230929.75782393</v>
      </c>
      <c r="BS272">
        <f t="shared" si="616"/>
        <v>53772445.757823929</v>
      </c>
      <c r="BU272">
        <f t="shared" si="602"/>
        <v>15</v>
      </c>
      <c r="BV272">
        <f t="shared" si="617"/>
        <v>3.1078147665731066</v>
      </c>
      <c r="BW272">
        <f t="shared" si="618"/>
        <v>3882456.2440300528</v>
      </c>
      <c r="BX272" s="5">
        <f t="shared" si="619"/>
        <v>1440805.560468789</v>
      </c>
      <c r="BY272" s="5">
        <f t="shared" si="620"/>
        <v>801027.30062078894</v>
      </c>
      <c r="BZ272" s="5">
        <f t="shared" si="621"/>
        <v>5778587</v>
      </c>
      <c r="CA272" s="5">
        <f t="shared" si="622"/>
        <v>4683483.5446508415</v>
      </c>
      <c r="CC272" s="5">
        <f t="shared" si="623"/>
        <v>112230929.75782393</v>
      </c>
      <c r="CD272" s="5" t="str">
        <f t="shared" si="624"/>
        <v>Nevada</v>
      </c>
      <c r="CE272" s="5">
        <f t="shared" si="600"/>
        <v>0.86505480255411171</v>
      </c>
      <c r="CF272" s="10">
        <f t="shared" si="625"/>
        <v>0.52087676833956453</v>
      </c>
    </row>
    <row r="273" spans="1:84" x14ac:dyDescent="0.2">
      <c r="A273">
        <v>29000000004602</v>
      </c>
      <c r="B273">
        <v>2022</v>
      </c>
      <c r="C273">
        <v>468</v>
      </c>
      <c r="D273" t="s">
        <v>472</v>
      </c>
      <c r="E273">
        <v>6</v>
      </c>
      <c r="F273" t="s">
        <v>473</v>
      </c>
      <c r="G273" t="s">
        <v>474</v>
      </c>
      <c r="H273" t="s">
        <v>432</v>
      </c>
      <c r="I273" t="b">
        <v>1</v>
      </c>
      <c r="J273">
        <v>1470100</v>
      </c>
      <c r="K273">
        <v>4886800</v>
      </c>
      <c r="L273">
        <v>0</v>
      </c>
      <c r="M273">
        <v>1921300</v>
      </c>
      <c r="N273">
        <v>0</v>
      </c>
      <c r="O273">
        <v>3285500</v>
      </c>
      <c r="Q273">
        <v>4991100</v>
      </c>
      <c r="R273">
        <v>67577800</v>
      </c>
      <c r="S273">
        <v>72568900</v>
      </c>
      <c r="T273">
        <v>1104000</v>
      </c>
      <c r="V273">
        <v>1156000</v>
      </c>
      <c r="W273">
        <v>-2937900</v>
      </c>
      <c r="Y273">
        <v>13500</v>
      </c>
      <c r="Z273">
        <v>2000</v>
      </c>
      <c r="AA273">
        <v>-3944500</v>
      </c>
      <c r="AB273">
        <v>58458484</v>
      </c>
      <c r="AC273">
        <v>54514000</v>
      </c>
      <c r="AD273">
        <v>18054900</v>
      </c>
      <c r="AE273">
        <v>9119297</v>
      </c>
      <c r="AF273">
        <v>8935603</v>
      </c>
      <c r="AG273">
        <v>7127000</v>
      </c>
      <c r="AI273" t="b">
        <v>1</v>
      </c>
      <c r="AK273">
        <v>7.2499999999999995E-2</v>
      </c>
      <c r="AL273">
        <v>7.2499999999999995E-2</v>
      </c>
      <c r="AM273">
        <v>7.2499999999999995E-2</v>
      </c>
      <c r="AN273">
        <v>7.2499999999999995E-2</v>
      </c>
      <c r="AS273">
        <v>27720170</v>
      </c>
      <c r="AT273">
        <v>10079593</v>
      </c>
      <c r="AV273" t="s">
        <v>482</v>
      </c>
      <c r="BB273">
        <f t="shared" si="603"/>
        <v>0.7512033391714632</v>
      </c>
      <c r="BD273">
        <f t="shared" si="604"/>
        <v>9665270</v>
      </c>
      <c r="BE273">
        <f t="shared" si="605"/>
        <v>-7975307</v>
      </c>
      <c r="BF273">
        <f t="shared" si="606"/>
        <v>13.318749491862217</v>
      </c>
      <c r="BG273">
        <f t="shared" si="607"/>
        <v>-10.989979178408383</v>
      </c>
      <c r="BH273">
        <f t="shared" si="608"/>
        <v>12.1543643351353</v>
      </c>
      <c r="BI273">
        <f t="shared" si="609"/>
        <v>116.43851567269174</v>
      </c>
      <c r="BJ273">
        <f t="shared" si="610"/>
        <v>12</v>
      </c>
      <c r="BK273">
        <f>IF($BJ273&lt;=30,IF($B273=2015,VLOOKUP($BJ273,'Treasury Yields'!$C$5:$N$34,$E273,FALSE)/100,IF($B273=2016,VLOOKUP($BJ273,'Treasury Yields'!$C$40:$N$69,$E273,FALSE)/100,IF($B273=2017,VLOOKUP($BJ273,'Treasury Yields'!$C$75:$N$104,$E273,FALSE)/100,IF($B273=2018,VLOOKUP($BJ273,'Treasury Yields'!$C$110:$N$139,$E273,FALSE)/100,IF($B273=2019,VLOOKUP($BJ273,'Treasury Yields'!$C$145:$N$174,$E273,FALSE)/100,IF($B273=2020,VLOOKUP($BJ273,'Treasury Yields'!$C$180:$N$209,$E273,FALSE)/100,IF($B273=2021,VLOOKUP($BJ273,'Treasury Yields'!$C$215:$N$244,$E273,FALSE)/100,IF($B273=2022,VLOOKUP($BJ273,'Treasury Yields'!$C$250:$N$279,$E273,FALSE)/100)))))))),0)</f>
        <v>2.1085818181818185E-2</v>
      </c>
      <c r="BL273">
        <f t="shared" si="611"/>
        <v>1.6275501159031041</v>
      </c>
      <c r="BM273">
        <f t="shared" si="612"/>
        <v>109986256.22247678</v>
      </c>
      <c r="BN273">
        <f t="shared" si="613"/>
        <v>51527772.22247678</v>
      </c>
      <c r="BP273">
        <f>IF($BJ273&lt;=30,IF($B273=2015,VLOOKUP($BJ273,'Treasury Yields'!$C$40:$N$69,$E273,FALSE)/100,IF($B273=2016,VLOOKUP($BJ273,'Treasury Yields'!$C$75:$N$104,$E273,FALSE)/100,IF($B273=2017,VLOOKUP($BJ273,'Treasury Yields'!$C$110:$N$139,$E273,FALSE)/100,IF($B273=2018,VLOOKUP($BJ273,'Treasury Yields'!$C$145:$N$174,$E273,FALSE)/100,IF($B273=2019,VLOOKUP($BJ273,'Treasury Yields'!$C$180:$N$209,$E273,FALSE)/100,IF($B273=2020,VLOOKUP($BJ273,'Treasury Yields'!$C$215:$N$244,$E273,FALSE)/100,IF($B273=2021,VLOOKUP($BJ273,'Treasury Yields'!$C$250:$N$279,$E273,FALSE)/100,IF($B273=2022,VLOOKUP($BJ273,'Treasury Yields'!$C$285:$N$314,$E273,FALSE)/100)))))))),0)</f>
        <v>3.2402272727272724E-2</v>
      </c>
      <c r="BQ273">
        <f t="shared" si="614"/>
        <v>1.4889702140160566</v>
      </c>
      <c r="BR273">
        <f t="shared" si="615"/>
        <v>108052930.56390981</v>
      </c>
      <c r="BS273">
        <f t="shared" si="616"/>
        <v>53538930.563909814</v>
      </c>
      <c r="BU273">
        <f t="shared" si="602"/>
        <v>15</v>
      </c>
      <c r="BV273">
        <f t="shared" si="617"/>
        <v>2.703915104022466</v>
      </c>
      <c r="BW273">
        <f t="shared" si="618"/>
        <v>3975025.5944234272</v>
      </c>
      <c r="BX273" s="5">
        <f t="shared" si="619"/>
        <v>2333689.4125217367</v>
      </c>
      <c r="BY273" s="5">
        <f t="shared" si="620"/>
        <v>1101044.4477130093</v>
      </c>
      <c r="BZ273" s="5">
        <f t="shared" si="621"/>
        <v>6356900</v>
      </c>
      <c r="CA273" s="5">
        <f t="shared" si="622"/>
        <v>5076070.0421364363</v>
      </c>
      <c r="CC273" s="5">
        <f t="shared" si="623"/>
        <v>108052930.56390981</v>
      </c>
      <c r="CD273" s="5" t="str">
        <f t="shared" si="624"/>
        <v>Nevada</v>
      </c>
      <c r="CE273" s="5">
        <f t="shared" si="600"/>
        <v>0.7512033391714632</v>
      </c>
      <c r="CF273" s="10">
        <f t="shared" si="625"/>
        <v>0.50451199903140742</v>
      </c>
    </row>
    <row r="274" spans="1:84" x14ac:dyDescent="0.2">
      <c r="A274">
        <v>30000000090301</v>
      </c>
      <c r="B274">
        <v>2015</v>
      </c>
      <c r="C274">
        <v>387</v>
      </c>
      <c r="D274" t="s">
        <v>483</v>
      </c>
      <c r="E274">
        <v>6</v>
      </c>
      <c r="F274" t="s">
        <v>484</v>
      </c>
      <c r="G274" t="s">
        <v>485</v>
      </c>
      <c r="H274" t="s">
        <v>486</v>
      </c>
      <c r="I274" t="b">
        <v>1</v>
      </c>
      <c r="J274">
        <v>243965</v>
      </c>
      <c r="K274">
        <v>847646</v>
      </c>
      <c r="L274">
        <v>0</v>
      </c>
      <c r="M274">
        <v>-106715</v>
      </c>
      <c r="N274">
        <v>0</v>
      </c>
      <c r="O274">
        <v>631312</v>
      </c>
      <c r="P274">
        <v>26345</v>
      </c>
      <c r="Q274">
        <v>327239</v>
      </c>
      <c r="R274">
        <v>11144214</v>
      </c>
      <c r="S274">
        <v>11471453</v>
      </c>
      <c r="T274">
        <v>332294</v>
      </c>
      <c r="V274">
        <v>204063</v>
      </c>
      <c r="W274">
        <v>249806</v>
      </c>
      <c r="Y274">
        <v>7582</v>
      </c>
      <c r="Z274">
        <v>-1626</v>
      </c>
      <c r="AA274">
        <v>119298</v>
      </c>
      <c r="AB274">
        <v>7390628</v>
      </c>
      <c r="AC274">
        <v>7509926</v>
      </c>
      <c r="AD274">
        <v>3961527</v>
      </c>
      <c r="AE274">
        <v>3753586</v>
      </c>
      <c r="AF274">
        <v>207941</v>
      </c>
      <c r="AG274">
        <v>2575031</v>
      </c>
      <c r="AH274">
        <v>0.12904466004486936</v>
      </c>
      <c r="AI274" t="b">
        <v>1</v>
      </c>
      <c r="AK274">
        <v>7.7499999999999999E-2</v>
      </c>
      <c r="AL274">
        <v>7.7499999999999999E-2</v>
      </c>
      <c r="AM274">
        <v>7.7499999999999999E-2</v>
      </c>
      <c r="AN274">
        <v>7.7499999999999999E-2</v>
      </c>
      <c r="AO274">
        <v>1</v>
      </c>
      <c r="AP274">
        <v>0</v>
      </c>
      <c r="AS274">
        <v>5214835</v>
      </c>
      <c r="AT274">
        <v>2893074</v>
      </c>
      <c r="BB274">
        <f t="shared" ref="BB274:BB281" si="626">AC274/S274</f>
        <v>0.65466214262482703</v>
      </c>
      <c r="BD274">
        <f t="shared" ref="BD274:BD281" si="627">AS274-AD274</f>
        <v>1253308</v>
      </c>
      <c r="BE274">
        <f t="shared" ref="BE274:BE281" si="628">AT274-AD274</f>
        <v>-1068453</v>
      </c>
      <c r="BF274">
        <f t="shared" ref="BF274:BF281" si="629">BD274/S274*100</f>
        <v>10.925451204829937</v>
      </c>
      <c r="BG274">
        <f t="shared" ref="BG274:BG281" si="630">BE274/S274*100</f>
        <v>-9.3140162802393043</v>
      </c>
      <c r="BH274">
        <f t="shared" ref="BH274:BH281" si="631">(BD274-BE274)/(2*S274)*100</f>
        <v>10.119733742534621</v>
      </c>
      <c r="BI274">
        <f t="shared" ref="BI274:BI281" si="632">(BD274+BE274)/(2*S274*(0.01^2))</f>
        <v>80.571746229531684</v>
      </c>
      <c r="BJ274">
        <f t="shared" ref="BJ274:BJ281" si="633">ROUND(BH274,0)</f>
        <v>10</v>
      </c>
      <c r="BK274">
        <f>IF($BJ274&lt;=30,IF($B274=2015,VLOOKUP($BJ274,'Treasury Yields'!$C$5:$N$34,$E274,FALSE)/100,IF($B274=2016,VLOOKUP($BJ274,'Treasury Yields'!$C$40:$N$69,$E274,FALSE)/100,IF($B274=2017,VLOOKUP($BJ274,'Treasury Yields'!$C$75:$N$104,$E274,FALSE)/100,IF($B274=2018,VLOOKUP($BJ274,'Treasury Yields'!$C$110:$N$139,$E274,FALSE)/100,IF($B274=2019,VLOOKUP($BJ274,'Treasury Yields'!$C$145:$N$174,$E274,FALSE)/100,IF($B274=2020,VLOOKUP($BJ274,'Treasury Yields'!$C$180:$N$209,$E274,FALSE)/100,IF($B274=2021,VLOOKUP($BJ274,'Treasury Yields'!$C$215:$N$244,$E274,FALSE)/100,IF($B274=2022,VLOOKUP($BJ274,'Treasury Yields'!$C$250:$N$279,$E274,FALSE)/100)))))))),0)</f>
        <v>2.7109999999999999E-2</v>
      </c>
      <c r="BL274">
        <f t="shared" ref="BL274:BL281" si="634">1+BH274*(AL274-BK274)+(AL274-BK274)^2</f>
        <v>1.5124725353863195</v>
      </c>
      <c r="BM274">
        <f t="shared" ref="BM274:BM281" si="635">BL274*R274</f>
        <v>16855317.603467718</v>
      </c>
      <c r="BN274">
        <f t="shared" ref="BN274:BN281" si="636">BM274-AB274</f>
        <v>9464689.6034677178</v>
      </c>
      <c r="BP274">
        <f>IF($BJ274&lt;=30,IF($B274=2015,VLOOKUP($BJ274,'Treasury Yields'!$C$40:$N$69,$E274,FALSE)/100,IF($B274=2016,VLOOKUP($BJ274,'Treasury Yields'!$C$75:$N$104,$E274,FALSE)/100,IF($B274=2017,VLOOKUP($BJ274,'Treasury Yields'!$C$110:$N$139,$E274,FALSE)/100,IF($B274=2018,VLOOKUP($BJ274,'Treasury Yields'!$C$145:$N$174,$E274,FALSE)/100,IF($B274=2019,VLOOKUP($BJ274,'Treasury Yields'!$C$180:$N$209,$E274,FALSE)/100,IF($B274=2020,VLOOKUP($BJ274,'Treasury Yields'!$C$215:$N$244,$E274,FALSE)/100,IF($B274=2021,VLOOKUP($BJ274,'Treasury Yields'!$C$250:$N$279,$E274,FALSE)/100,IF($B274=2022,VLOOKUP($BJ274,'Treasury Yields'!$C$285:$N$314,$E274,FALSE)/100)))))))),0)</f>
        <v>2.5470000000000003E-2</v>
      </c>
      <c r="BQ274">
        <f t="shared" ref="BQ274:BQ281" si="637">1+BH274*(AN274-BP274)+(AN274-BP274)^2</f>
        <v>1.5292368675240764</v>
      </c>
      <c r="BR274">
        <f t="shared" ref="BR274:BR281" si="638">BQ274*S274</f>
        <v>17542568.851669669</v>
      </c>
      <c r="BS274">
        <f t="shared" ref="BS274:BS281" si="639">BR274-AC274</f>
        <v>10032642.851669669</v>
      </c>
      <c r="BU274">
        <f t="shared" si="602"/>
        <v>13</v>
      </c>
      <c r="BV274">
        <f t="shared" ref="BV274:BV281" si="640">1+(BH274+BU274)*(AN274-BK274)+(AN274-BK274)^2*BI274</f>
        <v>2.3695873019257019</v>
      </c>
      <c r="BW274">
        <f t="shared" ref="BW274:BW281" si="641">BV274*J274</f>
        <v>578096.36611430382</v>
      </c>
      <c r="BX274" s="5">
        <f t="shared" ref="BX274:BX281" si="642">(BM274+BW274-O274)*BK274</f>
        <v>455504.98439536855</v>
      </c>
      <c r="BY274" s="5">
        <f t="shared" ref="BY274:BY281" si="643">BK274*(BN274+BW274-O274)</f>
        <v>255145.05931536859</v>
      </c>
      <c r="BZ274" s="5">
        <f t="shared" ref="BZ274:BZ281" si="644">SUM(J274:K274)</f>
        <v>1091611</v>
      </c>
      <c r="CA274" s="5">
        <f t="shared" ref="CA274:CA281" si="645">SUM(BW274+BY274)</f>
        <v>833241.42542967247</v>
      </c>
      <c r="CC274" s="5">
        <f t="shared" ref="CC274:CC281" si="646">BR274</f>
        <v>17542568.851669669</v>
      </c>
      <c r="CD274" s="5" t="str">
        <f t="shared" ref="CD274:CD281" si="647">F274</f>
        <v>New Hampshire</v>
      </c>
      <c r="CE274" s="5">
        <f t="shared" si="600"/>
        <v>0.65466214262482703</v>
      </c>
      <c r="CF274" s="10">
        <f t="shared" ref="CF274:CF281" si="648">AC274/CC274</f>
        <v>0.42809727945204668</v>
      </c>
    </row>
    <row r="275" spans="1:84" x14ac:dyDescent="0.2">
      <c r="A275">
        <v>30000000090301</v>
      </c>
      <c r="B275">
        <v>2016</v>
      </c>
      <c r="C275">
        <v>387</v>
      </c>
      <c r="D275" t="s">
        <v>483</v>
      </c>
      <c r="E275">
        <v>6</v>
      </c>
      <c r="F275" t="s">
        <v>484</v>
      </c>
      <c r="G275" t="s">
        <v>485</v>
      </c>
      <c r="H275" t="s">
        <v>486</v>
      </c>
      <c r="I275" t="b">
        <v>1</v>
      </c>
      <c r="J275">
        <v>266379</v>
      </c>
      <c r="K275">
        <v>875247</v>
      </c>
      <c r="M275">
        <v>18404</v>
      </c>
      <c r="N275">
        <v>815023</v>
      </c>
      <c r="O275">
        <v>670360</v>
      </c>
      <c r="P275">
        <v>24233</v>
      </c>
      <c r="Q275">
        <v>1280460</v>
      </c>
      <c r="R275">
        <v>11471453</v>
      </c>
      <c r="S275">
        <v>12751913</v>
      </c>
      <c r="T275">
        <v>357482</v>
      </c>
      <c r="V275">
        <v>207949</v>
      </c>
      <c r="W275">
        <v>61878</v>
      </c>
      <c r="Y275">
        <v>7061</v>
      </c>
      <c r="Z275">
        <v>-1263</v>
      </c>
      <c r="AA275">
        <v>-75608</v>
      </c>
      <c r="AB275">
        <v>7509926</v>
      </c>
      <c r="AC275">
        <v>7434318</v>
      </c>
      <c r="AD275">
        <v>5317595</v>
      </c>
      <c r="AE275">
        <v>3961527</v>
      </c>
      <c r="AF275">
        <v>1356068</v>
      </c>
      <c r="AG275">
        <v>2601404</v>
      </c>
      <c r="AH275">
        <v>0.13741887073288117</v>
      </c>
      <c r="AI275" t="b">
        <v>1</v>
      </c>
      <c r="AK275">
        <v>7.7499999999999999E-2</v>
      </c>
      <c r="AL275">
        <v>7.2499999999999995E-2</v>
      </c>
      <c r="AM275">
        <v>7.2499999999999995E-2</v>
      </c>
      <c r="AN275">
        <v>7.7499999999999999E-2</v>
      </c>
      <c r="AO275">
        <v>1</v>
      </c>
      <c r="AP275">
        <v>0</v>
      </c>
      <c r="AS275">
        <v>6832748</v>
      </c>
      <c r="AT275">
        <v>4061017</v>
      </c>
      <c r="AU275" t="s">
        <v>269</v>
      </c>
      <c r="AV275" t="s">
        <v>487</v>
      </c>
      <c r="BB275">
        <f t="shared" si="626"/>
        <v>0.58299629239942274</v>
      </c>
      <c r="BD275">
        <f t="shared" si="627"/>
        <v>1515153</v>
      </c>
      <c r="BE275">
        <f t="shared" si="628"/>
        <v>-1256578</v>
      </c>
      <c r="BF275">
        <f t="shared" si="629"/>
        <v>11.881770209693244</v>
      </c>
      <c r="BG275">
        <f t="shared" si="630"/>
        <v>-9.8540352337723771</v>
      </c>
      <c r="BH275">
        <f t="shared" si="631"/>
        <v>10.867902721732809</v>
      </c>
      <c r="BI275">
        <f t="shared" si="632"/>
        <v>101.38674879604339</v>
      </c>
      <c r="BJ275">
        <f t="shared" si="633"/>
        <v>11</v>
      </c>
      <c r="BK275">
        <f>IF($BJ275&lt;=30,IF($B275=2015,VLOOKUP($BJ275,'Treasury Yields'!$C$5:$N$34,$E275,FALSE)/100,IF($B275=2016,VLOOKUP($BJ275,'Treasury Yields'!$C$40:$N$69,$E275,FALSE)/100,IF($B275=2017,VLOOKUP($BJ275,'Treasury Yields'!$C$75:$N$104,$E275,FALSE)/100,IF($B275=2018,VLOOKUP($BJ275,'Treasury Yields'!$C$110:$N$139,$E275,FALSE)/100,IF($B275=2019,VLOOKUP($BJ275,'Treasury Yields'!$C$145:$N$174,$E275,FALSE)/100,IF($B275=2020,VLOOKUP($BJ275,'Treasury Yields'!$C$180:$N$209,$E275,FALSE)/100,IF($B275=2021,VLOOKUP($BJ275,'Treasury Yields'!$C$215:$N$244,$E275,FALSE)/100,IF($B275=2022,VLOOKUP($BJ275,'Treasury Yields'!$C$250:$N$279,$E275,FALSE)/100)))))))),0)</f>
        <v>2.6258E-2</v>
      </c>
      <c r="BL275">
        <f t="shared" si="634"/>
        <v>1.5046918802223685</v>
      </c>
      <c r="BM275">
        <f t="shared" si="635"/>
        <v>17261002.183452532</v>
      </c>
      <c r="BN275">
        <f t="shared" si="636"/>
        <v>9751076.1834525317</v>
      </c>
      <c r="BP275">
        <f>IF($BJ275&lt;=30,IF($B275=2015,VLOOKUP($BJ275,'Treasury Yields'!$C$40:$N$69,$E275,FALSE)/100,IF($B275=2016,VLOOKUP($BJ275,'Treasury Yields'!$C$75:$N$104,$E275,FALSE)/100,IF($B275=2017,VLOOKUP($BJ275,'Treasury Yields'!$C$110:$N$139,$E275,FALSE)/100,IF($B275=2018,VLOOKUP($BJ275,'Treasury Yields'!$C$145:$N$174,$E275,FALSE)/100,IF($B275=2019,VLOOKUP($BJ275,'Treasury Yields'!$C$180:$N$209,$E275,FALSE)/100,IF($B275=2020,VLOOKUP($BJ275,'Treasury Yields'!$C$215:$N$244,$E275,FALSE)/100,IF($B275=2021,VLOOKUP($BJ275,'Treasury Yields'!$C$250:$N$279,$E275,FALSE)/100,IF($B275=2022,VLOOKUP($BJ275,'Treasury Yields'!$C$285:$N$314,$E275,FALSE)/100)))))))),0)</f>
        <v>1.6948000000000001E-2</v>
      </c>
      <c r="BQ275">
        <f t="shared" si="637"/>
        <v>1.661739790310365</v>
      </c>
      <c r="BR275">
        <f t="shared" si="638"/>
        <v>21190361.234676018</v>
      </c>
      <c r="BS275">
        <f t="shared" si="639"/>
        <v>13756043.234676018</v>
      </c>
      <c r="BU275">
        <f t="shared" si="602"/>
        <v>14</v>
      </c>
      <c r="BV275">
        <f t="shared" si="640"/>
        <v>2.5404965730063793</v>
      </c>
      <c r="BW275">
        <f t="shared" si="641"/>
        <v>676734.9366208663</v>
      </c>
      <c r="BX275" s="5">
        <f t="shared" si="642"/>
        <v>453406.78841888724</v>
      </c>
      <c r="BY275" s="5">
        <f t="shared" si="643"/>
        <v>256211.15151088731</v>
      </c>
      <c r="BZ275" s="5">
        <f t="shared" si="644"/>
        <v>1141626</v>
      </c>
      <c r="CA275" s="5">
        <f t="shared" si="645"/>
        <v>932946.08813175361</v>
      </c>
      <c r="CC275" s="5">
        <f t="shared" si="646"/>
        <v>21190361.234676018</v>
      </c>
      <c r="CD275" s="5" t="str">
        <f t="shared" si="647"/>
        <v>New Hampshire</v>
      </c>
      <c r="CE275" s="5">
        <f t="shared" si="600"/>
        <v>0.58299629239942274</v>
      </c>
      <c r="CF275" s="10">
        <f t="shared" si="648"/>
        <v>0.35083488750698799</v>
      </c>
    </row>
    <row r="276" spans="1:84" x14ac:dyDescent="0.2">
      <c r="A276">
        <v>30000000090301</v>
      </c>
      <c r="B276">
        <v>2017</v>
      </c>
      <c r="C276">
        <v>387</v>
      </c>
      <c r="D276" t="s">
        <v>483</v>
      </c>
      <c r="E276">
        <v>6</v>
      </c>
      <c r="F276" t="s">
        <v>484</v>
      </c>
      <c r="G276" t="s">
        <v>485</v>
      </c>
      <c r="H276" t="s">
        <v>486</v>
      </c>
      <c r="I276" t="b">
        <v>1</v>
      </c>
      <c r="J276">
        <v>262626</v>
      </c>
      <c r="K276">
        <v>906201</v>
      </c>
      <c r="M276">
        <v>-19047</v>
      </c>
      <c r="N276">
        <v>0</v>
      </c>
      <c r="O276">
        <v>706304</v>
      </c>
      <c r="P276">
        <v>23408</v>
      </c>
      <c r="Q276">
        <v>420068</v>
      </c>
      <c r="R276">
        <v>12751913</v>
      </c>
      <c r="S276">
        <v>13171981</v>
      </c>
      <c r="T276">
        <v>366653</v>
      </c>
      <c r="V276">
        <v>213061</v>
      </c>
      <c r="W276">
        <v>978594</v>
      </c>
      <c r="Y276">
        <v>7671</v>
      </c>
      <c r="Z276">
        <v>-1255</v>
      </c>
      <c r="AA276">
        <v>819671</v>
      </c>
      <c r="AB276">
        <v>7434318</v>
      </c>
      <c r="AC276">
        <v>8253988</v>
      </c>
      <c r="AD276">
        <v>4917992</v>
      </c>
      <c r="AE276">
        <v>5317595</v>
      </c>
      <c r="AF276">
        <v>-399603</v>
      </c>
      <c r="AG276">
        <v>2667612</v>
      </c>
      <c r="AH276">
        <v>0.13744615033970459</v>
      </c>
      <c r="AI276" t="b">
        <v>1</v>
      </c>
      <c r="AK276">
        <v>7.2499999999999995E-2</v>
      </c>
      <c r="AL276">
        <v>7.2499999999999995E-2</v>
      </c>
      <c r="AM276">
        <v>7.2499999999999995E-2</v>
      </c>
      <c r="AN276">
        <v>7.2499999999999995E-2</v>
      </c>
      <c r="AO276">
        <v>1</v>
      </c>
      <c r="AP276">
        <v>0</v>
      </c>
      <c r="AS276">
        <v>6479209</v>
      </c>
      <c r="AT276">
        <v>3638638</v>
      </c>
      <c r="AU276" t="s">
        <v>488</v>
      </c>
      <c r="AV276" t="s">
        <v>489</v>
      </c>
      <c r="BB276">
        <f t="shared" si="626"/>
        <v>0.62663224309236398</v>
      </c>
      <c r="BD276">
        <f t="shared" si="627"/>
        <v>1561217</v>
      </c>
      <c r="BE276">
        <f t="shared" si="628"/>
        <v>-1279354</v>
      </c>
      <c r="BF276">
        <f t="shared" si="629"/>
        <v>11.852560370380127</v>
      </c>
      <c r="BG276">
        <f t="shared" si="630"/>
        <v>-9.7126924188548394</v>
      </c>
      <c r="BH276">
        <f t="shared" si="631"/>
        <v>10.782626394617484</v>
      </c>
      <c r="BI276">
        <f t="shared" si="632"/>
        <v>106.99339757626434</v>
      </c>
      <c r="BJ276">
        <f t="shared" si="633"/>
        <v>11</v>
      </c>
      <c r="BK276">
        <f>IF($BJ276&lt;=30,IF($B276=2015,VLOOKUP($BJ276,'Treasury Yields'!$C$5:$N$34,$E276,FALSE)/100,IF($B276=2016,VLOOKUP($BJ276,'Treasury Yields'!$C$40:$N$69,$E276,FALSE)/100,IF($B276=2017,VLOOKUP($BJ276,'Treasury Yields'!$C$75:$N$104,$E276,FALSE)/100,IF($B276=2018,VLOOKUP($BJ276,'Treasury Yields'!$C$110:$N$139,$E276,FALSE)/100,IF($B276=2019,VLOOKUP($BJ276,'Treasury Yields'!$C$145:$N$174,$E276,FALSE)/100,IF($B276=2020,VLOOKUP($BJ276,'Treasury Yields'!$C$180:$N$209,$E276,FALSE)/100,IF($B276=2021,VLOOKUP($BJ276,'Treasury Yields'!$C$215:$N$244,$E276,FALSE)/100,IF($B276=2022,VLOOKUP($BJ276,'Treasury Yields'!$C$250:$N$279,$E276,FALSE)/100)))))))),0)</f>
        <v>1.6948000000000001E-2</v>
      </c>
      <c r="BL276">
        <f t="shared" si="634"/>
        <v>1.6020824861777905</v>
      </c>
      <c r="BM276">
        <f t="shared" si="635"/>
        <v>20429616.482562888</v>
      </c>
      <c r="BN276">
        <f t="shared" si="636"/>
        <v>12995298.482562888</v>
      </c>
      <c r="BP276">
        <f>IF($BJ276&lt;=30,IF($B276=2015,VLOOKUP($BJ276,'Treasury Yields'!$C$40:$N$69,$E276,FALSE)/100,IF($B276=2016,VLOOKUP($BJ276,'Treasury Yields'!$C$75:$N$104,$E276,FALSE)/100,IF($B276=2017,VLOOKUP($BJ276,'Treasury Yields'!$C$110:$N$139,$E276,FALSE)/100,IF($B276=2018,VLOOKUP($BJ276,'Treasury Yields'!$C$145:$N$174,$E276,FALSE)/100,IF($B276=2019,VLOOKUP($BJ276,'Treasury Yields'!$C$180:$N$209,$E276,FALSE)/100,IF($B276=2020,VLOOKUP($BJ276,'Treasury Yields'!$C$215:$N$244,$E276,FALSE)/100,IF($B276=2021,VLOOKUP($BJ276,'Treasury Yields'!$C$250:$N$279,$E276,FALSE)/100,IF($B276=2022,VLOOKUP($BJ276,'Treasury Yields'!$C$285:$N$314,$E276,FALSE)/100)))))))),0)</f>
        <v>2.5068799999999999E-2</v>
      </c>
      <c r="BQ276">
        <f t="shared" si="637"/>
        <v>1.5136826277818207</v>
      </c>
      <c r="BR276">
        <f t="shared" si="638"/>
        <v>19938198.813172214</v>
      </c>
      <c r="BS276">
        <f t="shared" si="639"/>
        <v>11684210.813172214</v>
      </c>
      <c r="BU276">
        <f t="shared" si="602"/>
        <v>14</v>
      </c>
      <c r="BV276">
        <f t="shared" si="640"/>
        <v>2.7069087295590357</v>
      </c>
      <c r="BW276">
        <f t="shared" si="641"/>
        <v>710904.61200917128</v>
      </c>
      <c r="BX276" s="5">
        <f t="shared" si="642"/>
        <v>346319.11131880729</v>
      </c>
      <c r="BY276" s="5">
        <f t="shared" si="643"/>
        <v>220322.28985480728</v>
      </c>
      <c r="BZ276" s="5">
        <f t="shared" si="644"/>
        <v>1168827</v>
      </c>
      <c r="CA276" s="5">
        <f t="shared" si="645"/>
        <v>931226.90186397859</v>
      </c>
      <c r="CC276" s="5">
        <f t="shared" si="646"/>
        <v>19938198.813172214</v>
      </c>
      <c r="CD276" s="5" t="str">
        <f t="shared" si="647"/>
        <v>New Hampshire</v>
      </c>
      <c r="CE276" s="5">
        <f t="shared" si="600"/>
        <v>0.62663224309236398</v>
      </c>
      <c r="CF276" s="10">
        <f t="shared" si="648"/>
        <v>0.41397861849722278</v>
      </c>
    </row>
    <row r="277" spans="1:84" x14ac:dyDescent="0.2">
      <c r="A277">
        <v>30000000090301</v>
      </c>
      <c r="B277">
        <v>2018</v>
      </c>
      <c r="C277">
        <v>387</v>
      </c>
      <c r="D277" t="s">
        <v>483</v>
      </c>
      <c r="E277">
        <v>6</v>
      </c>
      <c r="F277" t="s">
        <v>484</v>
      </c>
      <c r="G277" t="s">
        <v>485</v>
      </c>
      <c r="H277" t="s">
        <v>486</v>
      </c>
      <c r="I277" t="b">
        <v>1</v>
      </c>
      <c r="J277">
        <v>269751</v>
      </c>
      <c r="K277">
        <v>936988</v>
      </c>
      <c r="M277">
        <v>39113</v>
      </c>
      <c r="N277">
        <v>0</v>
      </c>
      <c r="O277">
        <v>741753</v>
      </c>
      <c r="P277">
        <v>24010</v>
      </c>
      <c r="Q277">
        <v>480089</v>
      </c>
      <c r="R277">
        <v>13171981</v>
      </c>
      <c r="S277">
        <v>13652069</v>
      </c>
      <c r="T277">
        <v>422659</v>
      </c>
      <c r="V277">
        <v>217572</v>
      </c>
      <c r="W277">
        <v>717753</v>
      </c>
      <c r="Y277">
        <v>7767</v>
      </c>
      <c r="Z277">
        <v>-912</v>
      </c>
      <c r="AA277">
        <v>582879</v>
      </c>
      <c r="AB277">
        <v>8253988</v>
      </c>
      <c r="AC277">
        <v>8836867</v>
      </c>
      <c r="AD277">
        <v>4815202</v>
      </c>
      <c r="AE277">
        <v>4917992</v>
      </c>
      <c r="AF277">
        <v>-102790</v>
      </c>
      <c r="AG277">
        <v>2752235</v>
      </c>
      <c r="AH277">
        <v>0.15356937180146318</v>
      </c>
      <c r="AI277" t="b">
        <v>1</v>
      </c>
      <c r="AK277">
        <v>7.2499999999999995E-2</v>
      </c>
      <c r="AL277">
        <v>7.2499999999999995E-2</v>
      </c>
      <c r="AM277">
        <v>7.2499999999999995E-2</v>
      </c>
      <c r="AN277">
        <v>7.2499999999999995E-2</v>
      </c>
      <c r="AO277">
        <v>1</v>
      </c>
      <c r="AP277">
        <v>0</v>
      </c>
      <c r="AS277">
        <v>6406666</v>
      </c>
      <c r="AT277">
        <v>3481507</v>
      </c>
      <c r="AU277" t="s">
        <v>488</v>
      </c>
      <c r="AV277" t="s">
        <v>490</v>
      </c>
      <c r="BB277">
        <f t="shared" si="626"/>
        <v>0.64729141055469319</v>
      </c>
      <c r="BD277">
        <f t="shared" si="627"/>
        <v>1591464</v>
      </c>
      <c r="BE277">
        <f t="shared" si="628"/>
        <v>-1333695</v>
      </c>
      <c r="BF277">
        <f t="shared" si="629"/>
        <v>11.657309965251422</v>
      </c>
      <c r="BG277">
        <f t="shared" si="630"/>
        <v>-9.7691785765219912</v>
      </c>
      <c r="BH277">
        <f t="shared" si="631"/>
        <v>10.713244270886706</v>
      </c>
      <c r="BI277">
        <f t="shared" si="632"/>
        <v>94.406569436471486</v>
      </c>
      <c r="BJ277">
        <f t="shared" si="633"/>
        <v>11</v>
      </c>
      <c r="BK277">
        <f>IF($BJ277&lt;=30,IF($B277=2015,VLOOKUP($BJ277,'Treasury Yields'!$C$5:$N$34,$E277,FALSE)/100,IF($B277=2016,VLOOKUP($BJ277,'Treasury Yields'!$C$40:$N$69,$E277,FALSE)/100,IF($B277=2017,VLOOKUP($BJ277,'Treasury Yields'!$C$75:$N$104,$E277,FALSE)/100,IF($B277=2018,VLOOKUP($BJ277,'Treasury Yields'!$C$110:$N$139,$E277,FALSE)/100,IF($B277=2019,VLOOKUP($BJ277,'Treasury Yields'!$C$145:$N$174,$E277,FALSE)/100,IF($B277=2020,VLOOKUP($BJ277,'Treasury Yields'!$C$180:$N$209,$E277,FALSE)/100,IF($B277=2021,VLOOKUP($BJ277,'Treasury Yields'!$C$215:$N$244,$E277,FALSE)/100,IF($B277=2022,VLOOKUP($BJ277,'Treasury Yields'!$C$250:$N$279,$E277,FALSE)/100)))))))),0)</f>
        <v>2.5068799999999999E-2</v>
      </c>
      <c r="BL277">
        <f t="shared" si="634"/>
        <v>1.5103917503947215</v>
      </c>
      <c r="BM277">
        <f t="shared" si="635"/>
        <v>19894851.438756015</v>
      </c>
      <c r="BN277">
        <f t="shared" si="636"/>
        <v>11640863.438756015</v>
      </c>
      <c r="BP277">
        <f>IF($BJ277&lt;=30,IF($B277=2015,VLOOKUP($BJ277,'Treasury Yields'!$C$40:$N$69,$E277,FALSE)/100,IF($B277=2016,VLOOKUP($BJ277,'Treasury Yields'!$C$75:$N$104,$E277,FALSE)/100,IF($B277=2017,VLOOKUP($BJ277,'Treasury Yields'!$C$110:$N$139,$E277,FALSE)/100,IF($B277=2018,VLOOKUP($BJ277,'Treasury Yields'!$C$145:$N$174,$E277,FALSE)/100,IF($B277=2019,VLOOKUP($BJ277,'Treasury Yields'!$C$180:$N$209,$E277,FALSE)/100,IF($B277=2020,VLOOKUP($BJ277,'Treasury Yields'!$C$215:$N$244,$E277,FALSE)/100,IF($B277=2021,VLOOKUP($BJ277,'Treasury Yields'!$C$250:$N$279,$E277,FALSE)/100,IF($B277=2022,VLOOKUP($BJ277,'Treasury Yields'!$C$285:$N$314,$E277,FALSE)/100)))))))),0)</f>
        <v>2.9273236363636365E-2</v>
      </c>
      <c r="BQ277">
        <f t="shared" si="637"/>
        <v>1.4649674309707204</v>
      </c>
      <c r="BR277">
        <f t="shared" si="638"/>
        <v>19999836.450365011</v>
      </c>
      <c r="BS277">
        <f t="shared" si="639"/>
        <v>11162969.450365011</v>
      </c>
      <c r="BU277">
        <f t="shared" si="602"/>
        <v>14</v>
      </c>
      <c r="BV277">
        <f t="shared" si="640"/>
        <v>2.3845670594823152</v>
      </c>
      <c r="BW277">
        <f t="shared" si="641"/>
        <v>643239.34886241402</v>
      </c>
      <c r="BX277" s="5">
        <f t="shared" si="642"/>
        <v>496270.43273024884</v>
      </c>
      <c r="BY277" s="5">
        <f t="shared" si="643"/>
        <v>289352.85835584882</v>
      </c>
      <c r="BZ277" s="5">
        <f t="shared" si="644"/>
        <v>1206739</v>
      </c>
      <c r="CA277" s="5">
        <f t="shared" si="645"/>
        <v>932592.20721826283</v>
      </c>
      <c r="CC277" s="5">
        <f t="shared" si="646"/>
        <v>19999836.450365011</v>
      </c>
      <c r="CD277" s="5" t="str">
        <f t="shared" si="647"/>
        <v>New Hampshire</v>
      </c>
      <c r="CE277" s="5">
        <f t="shared" si="600"/>
        <v>0.64729141055469319</v>
      </c>
      <c r="CF277" s="10">
        <f t="shared" si="648"/>
        <v>0.44184696319547762</v>
      </c>
    </row>
    <row r="278" spans="1:84" x14ac:dyDescent="0.2">
      <c r="A278">
        <v>30000000090301</v>
      </c>
      <c r="B278">
        <v>2019</v>
      </c>
      <c r="C278">
        <v>387</v>
      </c>
      <c r="D278" t="s">
        <v>483</v>
      </c>
      <c r="E278">
        <v>6</v>
      </c>
      <c r="F278" t="s">
        <v>484</v>
      </c>
      <c r="G278" t="s">
        <v>485</v>
      </c>
      <c r="H278" t="s">
        <v>486</v>
      </c>
      <c r="I278" t="b">
        <v>1</v>
      </c>
      <c r="J278">
        <v>275380</v>
      </c>
      <c r="K278">
        <v>970599</v>
      </c>
      <c r="M278">
        <v>-111250</v>
      </c>
      <c r="O278">
        <v>780907</v>
      </c>
      <c r="P278">
        <v>23464</v>
      </c>
      <c r="Q278">
        <v>330358</v>
      </c>
      <c r="R278">
        <v>13652069</v>
      </c>
      <c r="S278">
        <v>13982427</v>
      </c>
      <c r="T278">
        <v>434407</v>
      </c>
      <c r="V278">
        <v>223995</v>
      </c>
      <c r="W278">
        <v>488270</v>
      </c>
      <c r="Y278">
        <v>7436</v>
      </c>
      <c r="Z278">
        <v>-959</v>
      </c>
      <c r="AA278">
        <v>333906</v>
      </c>
      <c r="AB278">
        <v>8836867</v>
      </c>
      <c r="AC278">
        <v>9170773</v>
      </c>
      <c r="AD278">
        <v>4811654</v>
      </c>
      <c r="AE278">
        <v>4815202</v>
      </c>
      <c r="AF278">
        <v>-3548</v>
      </c>
      <c r="AG278">
        <v>2825006</v>
      </c>
      <c r="AH278">
        <v>0.15377206278499939</v>
      </c>
      <c r="AI278" t="b">
        <v>1</v>
      </c>
      <c r="AK278">
        <v>7.4999999999999997E-2</v>
      </c>
      <c r="AL278">
        <v>7.2499999999999995E-2</v>
      </c>
      <c r="AM278">
        <v>7.2499999999999995E-2</v>
      </c>
      <c r="AN278">
        <v>7.4999999999999997E-2</v>
      </c>
      <c r="AO278">
        <v>1</v>
      </c>
      <c r="AP278">
        <v>0</v>
      </c>
      <c r="AS278">
        <v>6443004</v>
      </c>
      <c r="AT278">
        <v>3463357</v>
      </c>
      <c r="AU278" t="s">
        <v>219</v>
      </c>
      <c r="AV278" t="s">
        <v>491</v>
      </c>
      <c r="BB278">
        <f t="shared" si="626"/>
        <v>0.65587848232642298</v>
      </c>
      <c r="BD278">
        <f t="shared" si="627"/>
        <v>1631350</v>
      </c>
      <c r="BE278">
        <f t="shared" si="628"/>
        <v>-1348297</v>
      </c>
      <c r="BF278">
        <f t="shared" si="629"/>
        <v>11.667144766784766</v>
      </c>
      <c r="BG278">
        <f t="shared" si="630"/>
        <v>-9.6427966332311268</v>
      </c>
      <c r="BH278">
        <f t="shared" si="631"/>
        <v>10.654970700007945</v>
      </c>
      <c r="BI278">
        <f t="shared" si="632"/>
        <v>101.21740667768192</v>
      </c>
      <c r="BJ278">
        <f t="shared" si="633"/>
        <v>11</v>
      </c>
      <c r="BK278">
        <f>IF($BJ278&lt;=30,IF($B278=2015,VLOOKUP($BJ278,'Treasury Yields'!$C$5:$N$34,$E278,FALSE)/100,IF($B278=2016,VLOOKUP($BJ278,'Treasury Yields'!$C$40:$N$69,$E278,FALSE)/100,IF($B278=2017,VLOOKUP($BJ278,'Treasury Yields'!$C$75:$N$104,$E278,FALSE)/100,IF($B278=2018,VLOOKUP($BJ278,'Treasury Yields'!$C$110:$N$139,$E278,FALSE)/100,IF($B278=2019,VLOOKUP($BJ278,'Treasury Yields'!$C$145:$N$174,$E278,FALSE)/100,IF($B278=2020,VLOOKUP($BJ278,'Treasury Yields'!$C$180:$N$209,$E278,FALSE)/100,IF($B278=2021,VLOOKUP($BJ278,'Treasury Yields'!$C$215:$N$244,$E278,FALSE)/100,IF($B278=2022,VLOOKUP($BJ278,'Treasury Yields'!$C$250:$N$279,$E278,FALSE)/100)))))))),0)</f>
        <v>2.9273236363636365E-2</v>
      </c>
      <c r="BL278">
        <f t="shared" si="634"/>
        <v>1.4624484530960975</v>
      </c>
      <c r="BM278">
        <f t="shared" si="635"/>
        <v>19965447.190611187</v>
      </c>
      <c r="BN278">
        <f t="shared" si="636"/>
        <v>11128580.190611187</v>
      </c>
      <c r="BP278">
        <f>IF($BJ278&lt;=30,IF($B278=2015,VLOOKUP($BJ278,'Treasury Yields'!$C$40:$N$69,$E278,FALSE)/100,IF($B278=2016,VLOOKUP($BJ278,'Treasury Yields'!$C$75:$N$104,$E278,FALSE)/100,IF($B278=2017,VLOOKUP($BJ278,'Treasury Yields'!$C$110:$N$139,$E278,FALSE)/100,IF($B278=2018,VLOOKUP($BJ278,'Treasury Yields'!$C$145:$N$174,$E278,FALSE)/100,IF($B278=2019,VLOOKUP($BJ278,'Treasury Yields'!$C$180:$N$209,$E278,FALSE)/100,IF($B278=2020,VLOOKUP($BJ278,'Treasury Yields'!$C$215:$N$244,$E278,FALSE)/100,IF($B278=2021,VLOOKUP($BJ278,'Treasury Yields'!$C$250:$N$279,$E278,FALSE)/100,IF($B278=2022,VLOOKUP($BJ278,'Treasury Yields'!$C$285:$N$314,$E278,FALSE)/100)))))))),0)</f>
        <v>2.1722000000000002E-2</v>
      </c>
      <c r="BQ278">
        <f t="shared" si="637"/>
        <v>1.5705140742390233</v>
      </c>
      <c r="BR278">
        <f t="shared" si="638"/>
        <v>21959598.395519726</v>
      </c>
      <c r="BS278">
        <f t="shared" si="639"/>
        <v>12788825.395519726</v>
      </c>
      <c r="BU278">
        <f t="shared" si="602"/>
        <v>14</v>
      </c>
      <c r="BV278">
        <f t="shared" si="640"/>
        <v>2.3390312294863995</v>
      </c>
      <c r="BW278">
        <f t="shared" si="641"/>
        <v>644122.4199759647</v>
      </c>
      <c r="BX278" s="5">
        <f t="shared" si="642"/>
        <v>580449.12737451668</v>
      </c>
      <c r="BY278" s="5">
        <f t="shared" si="643"/>
        <v>321765.43096949841</v>
      </c>
      <c r="BZ278" s="5">
        <f t="shared" si="644"/>
        <v>1245979</v>
      </c>
      <c r="CA278" s="5">
        <f t="shared" si="645"/>
        <v>965887.85094546317</v>
      </c>
      <c r="CC278" s="5">
        <f t="shared" si="646"/>
        <v>21959598.395519726</v>
      </c>
      <c r="CD278" s="5" t="str">
        <f t="shared" si="647"/>
        <v>New Hampshire</v>
      </c>
      <c r="CE278" s="5">
        <f t="shared" si="600"/>
        <v>0.65587848232642298</v>
      </c>
      <c r="CF278" s="10">
        <f t="shared" si="648"/>
        <v>0.41762025128251223</v>
      </c>
    </row>
    <row r="279" spans="1:84" x14ac:dyDescent="0.2">
      <c r="A279">
        <v>30000000090301</v>
      </c>
      <c r="B279">
        <v>2020</v>
      </c>
      <c r="C279">
        <v>387</v>
      </c>
      <c r="D279" t="s">
        <v>483</v>
      </c>
      <c r="E279">
        <v>6</v>
      </c>
      <c r="F279" t="s">
        <v>484</v>
      </c>
      <c r="G279" t="s">
        <v>485</v>
      </c>
      <c r="H279" t="s">
        <v>486</v>
      </c>
      <c r="I279" t="b">
        <v>1</v>
      </c>
      <c r="J279">
        <v>310678</v>
      </c>
      <c r="K279">
        <v>994537</v>
      </c>
      <c r="L279">
        <v>69355</v>
      </c>
      <c r="M279">
        <v>198104</v>
      </c>
      <c r="N279">
        <v>778434</v>
      </c>
      <c r="O279">
        <v>816708</v>
      </c>
      <c r="P279">
        <v>23312</v>
      </c>
      <c r="Q279">
        <v>1511088</v>
      </c>
      <c r="R279">
        <v>13982427</v>
      </c>
      <c r="S279">
        <v>15493515</v>
      </c>
      <c r="T279">
        <v>445021</v>
      </c>
      <c r="V279">
        <v>229725</v>
      </c>
      <c r="W279">
        <v>101039</v>
      </c>
      <c r="Y279">
        <v>8281</v>
      </c>
      <c r="Z279">
        <v>-893</v>
      </c>
      <c r="AA279">
        <v>-73409</v>
      </c>
      <c r="AB279">
        <v>9170773</v>
      </c>
      <c r="AC279">
        <v>9097364</v>
      </c>
      <c r="AD279">
        <v>6396151</v>
      </c>
      <c r="AE279">
        <v>4811654</v>
      </c>
      <c r="AF279">
        <v>1584497</v>
      </c>
      <c r="AG279">
        <v>2894708</v>
      </c>
      <c r="AH279">
        <v>0.15373605904291557</v>
      </c>
      <c r="AI279" t="b">
        <v>1</v>
      </c>
      <c r="AK279">
        <v>7.2499999999999995E-2</v>
      </c>
      <c r="AL279">
        <v>6.7500000000000004E-2</v>
      </c>
      <c r="AM279">
        <v>6.7500000000000004E-2</v>
      </c>
      <c r="AN279">
        <v>7.2499999999999995E-2</v>
      </c>
      <c r="AO279">
        <v>1</v>
      </c>
      <c r="AP279">
        <v>0</v>
      </c>
      <c r="AS279">
        <v>8082413</v>
      </c>
      <c r="AT279">
        <v>4856460</v>
      </c>
      <c r="AU279" t="s">
        <v>219</v>
      </c>
      <c r="AV279" t="s">
        <v>491</v>
      </c>
      <c r="BB279">
        <f t="shared" si="626"/>
        <v>0.58717237502271113</v>
      </c>
      <c r="BD279">
        <f t="shared" si="627"/>
        <v>1686262</v>
      </c>
      <c r="BE279">
        <f t="shared" si="628"/>
        <v>-1539691</v>
      </c>
      <c r="BF279">
        <f t="shared" si="629"/>
        <v>10.883663261693682</v>
      </c>
      <c r="BG279">
        <f t="shared" si="630"/>
        <v>-9.9376481063206121</v>
      </c>
      <c r="BH279">
        <f t="shared" si="631"/>
        <v>10.410655684007148</v>
      </c>
      <c r="BI279">
        <f t="shared" si="632"/>
        <v>47.300757768653533</v>
      </c>
      <c r="BJ279">
        <f t="shared" si="633"/>
        <v>10</v>
      </c>
      <c r="BK279">
        <f>IF($BJ279&lt;=30,IF($B279=2015,VLOOKUP($BJ279,'Treasury Yields'!$C$5:$N$34,$E279,FALSE)/100,IF($B279=2016,VLOOKUP($BJ279,'Treasury Yields'!$C$40:$N$69,$E279,FALSE)/100,IF($B279=2017,VLOOKUP($BJ279,'Treasury Yields'!$C$75:$N$104,$E279,FALSE)/100,IF($B279=2018,VLOOKUP($BJ279,'Treasury Yields'!$C$110:$N$139,$E279,FALSE)/100,IF($B279=2019,VLOOKUP($BJ279,'Treasury Yields'!$C$145:$N$174,$E279,FALSE)/100,IF($B279=2020,VLOOKUP($BJ279,'Treasury Yields'!$C$180:$N$209,$E279,FALSE)/100,IF($B279=2021,VLOOKUP($BJ279,'Treasury Yields'!$C$215:$N$244,$E279,FALSE)/100,IF($B279=2022,VLOOKUP($BJ279,'Treasury Yields'!$C$250:$N$279,$E279,FALSE)/100)))))))),0)</f>
        <v>2.1259999999999998E-2</v>
      </c>
      <c r="BL279">
        <f t="shared" si="634"/>
        <v>1.4835268564284905</v>
      </c>
      <c r="BM279">
        <f t="shared" si="635"/>
        <v>20743305.97255085</v>
      </c>
      <c r="BN279">
        <f t="shared" si="636"/>
        <v>11572532.97255085</v>
      </c>
      <c r="BP279">
        <f>IF($BJ279&lt;=30,IF($B279=2015,VLOOKUP($BJ279,'Treasury Yields'!$C$40:$N$69,$E279,FALSE)/100,IF($B279=2016,VLOOKUP($BJ279,'Treasury Yields'!$C$75:$N$104,$E279,FALSE)/100,IF($B279=2017,VLOOKUP($BJ279,'Treasury Yields'!$C$110:$N$139,$E279,FALSE)/100,IF($B279=2018,VLOOKUP($BJ279,'Treasury Yields'!$C$145:$N$174,$E279,FALSE)/100,IF($B279=2019,VLOOKUP($BJ279,'Treasury Yields'!$C$180:$N$209,$E279,FALSE)/100,IF($B279=2020,VLOOKUP($BJ279,'Treasury Yields'!$C$215:$N$244,$E279,FALSE)/100,IF($B279=2021,VLOOKUP($BJ279,'Treasury Yields'!$C$250:$N$279,$E279,FALSE)/100,IF($B279=2022,VLOOKUP($BJ279,'Treasury Yields'!$C$285:$N$314,$E279,FALSE)/100)))))))),0)</f>
        <v>1.5412727272727269E-2</v>
      </c>
      <c r="BQ279">
        <f t="shared" si="637"/>
        <v>1.597574897010086</v>
      </c>
      <c r="BR279">
        <f t="shared" si="638"/>
        <v>24752050.630449224</v>
      </c>
      <c r="BS279">
        <f t="shared" si="639"/>
        <v>15654686.630449224</v>
      </c>
      <c r="BU279">
        <f t="shared" si="602"/>
        <v>13</v>
      </c>
      <c r="BV279">
        <f t="shared" si="640"/>
        <v>2.3237519152786179</v>
      </c>
      <c r="BW279">
        <f t="shared" si="641"/>
        <v>721938.59753493045</v>
      </c>
      <c r="BX279" s="5">
        <f t="shared" si="642"/>
        <v>438987.88748002367</v>
      </c>
      <c r="BY279" s="5">
        <f t="shared" si="643"/>
        <v>244017.25350002368</v>
      </c>
      <c r="BZ279" s="5">
        <f t="shared" si="644"/>
        <v>1305215</v>
      </c>
      <c r="CA279" s="5">
        <f t="shared" si="645"/>
        <v>965955.85103495419</v>
      </c>
      <c r="CC279" s="5">
        <f t="shared" si="646"/>
        <v>24752050.630449224</v>
      </c>
      <c r="CD279" s="5" t="str">
        <f t="shared" si="647"/>
        <v>New Hampshire</v>
      </c>
      <c r="CE279" s="5">
        <f t="shared" si="600"/>
        <v>0.58717237502271113</v>
      </c>
      <c r="CF279" s="10">
        <f t="shared" si="648"/>
        <v>0.367539810572652</v>
      </c>
    </row>
    <row r="280" spans="1:84" x14ac:dyDescent="0.2">
      <c r="A280">
        <v>30000000090301</v>
      </c>
      <c r="B280">
        <v>2021</v>
      </c>
      <c r="C280">
        <v>387</v>
      </c>
      <c r="D280" t="s">
        <v>483</v>
      </c>
      <c r="E280">
        <v>6</v>
      </c>
      <c r="F280" t="s">
        <v>484</v>
      </c>
      <c r="G280" t="s">
        <v>485</v>
      </c>
      <c r="H280" t="s">
        <v>486</v>
      </c>
      <c r="I280" t="b">
        <v>1</v>
      </c>
      <c r="J280">
        <v>319296</v>
      </c>
      <c r="K280">
        <v>1027953</v>
      </c>
      <c r="L280">
        <v>0</v>
      </c>
      <c r="M280">
        <v>-5872</v>
      </c>
      <c r="N280">
        <v>0</v>
      </c>
      <c r="O280">
        <v>858210</v>
      </c>
      <c r="P280">
        <v>19984</v>
      </c>
      <c r="Q280">
        <v>462283</v>
      </c>
      <c r="R280">
        <v>15493515</v>
      </c>
      <c r="S280">
        <v>15955798</v>
      </c>
      <c r="T280">
        <v>459277</v>
      </c>
      <c r="V280">
        <v>236879</v>
      </c>
      <c r="W280">
        <v>2617661</v>
      </c>
      <c r="Y280">
        <v>8417</v>
      </c>
      <c r="Z280">
        <v>-791</v>
      </c>
      <c r="AA280">
        <v>2426515</v>
      </c>
      <c r="AB280">
        <v>9097364</v>
      </c>
      <c r="AC280">
        <v>11523879</v>
      </c>
      <c r="AD280">
        <v>4431919</v>
      </c>
      <c r="AE280">
        <v>6396151</v>
      </c>
      <c r="AF280">
        <v>-1964232</v>
      </c>
      <c r="AG280">
        <v>2972969</v>
      </c>
      <c r="AI280" t="b">
        <v>1</v>
      </c>
      <c r="AK280">
        <v>6.7500000000000004E-2</v>
      </c>
      <c r="AL280">
        <v>6.7500000000000004E-2</v>
      </c>
      <c r="AM280">
        <v>6.7500000000000004E-2</v>
      </c>
      <c r="AN280">
        <v>6.7500000000000004E-2</v>
      </c>
      <c r="AS280">
        <v>6338153</v>
      </c>
      <c r="AT280">
        <v>2841810</v>
      </c>
      <c r="BB280">
        <f t="shared" si="626"/>
        <v>0.72223770945207499</v>
      </c>
      <c r="BD280">
        <f t="shared" si="627"/>
        <v>1906234</v>
      </c>
      <c r="BE280">
        <f t="shared" si="628"/>
        <v>-1590109</v>
      </c>
      <c r="BF280">
        <f t="shared" si="629"/>
        <v>11.946967491065005</v>
      </c>
      <c r="BG280">
        <f t="shared" si="630"/>
        <v>-9.965712777261281</v>
      </c>
      <c r="BH280">
        <f t="shared" si="631"/>
        <v>10.956340134163142</v>
      </c>
      <c r="BI280">
        <f t="shared" si="632"/>
        <v>99.062735690186102</v>
      </c>
      <c r="BJ280">
        <f t="shared" si="633"/>
        <v>11</v>
      </c>
      <c r="BK280">
        <f>IF($BJ280&lt;=30,IF($B280=2015,VLOOKUP($BJ280,'Treasury Yields'!$C$5:$N$34,$E280,FALSE)/100,IF($B280=2016,VLOOKUP($BJ280,'Treasury Yields'!$C$40:$N$69,$E280,FALSE)/100,IF($B280=2017,VLOOKUP($BJ280,'Treasury Yields'!$C$75:$N$104,$E280,FALSE)/100,IF($B280=2018,VLOOKUP($BJ280,'Treasury Yields'!$C$110:$N$139,$E280,FALSE)/100,IF($B280=2019,VLOOKUP($BJ280,'Treasury Yields'!$C$145:$N$174,$E280,FALSE)/100,IF($B280=2020,VLOOKUP($BJ280,'Treasury Yields'!$C$180:$N$209,$E280,FALSE)/100,IF($B280=2021,VLOOKUP($BJ280,'Treasury Yields'!$C$215:$N$244,$E280,FALSE)/100,IF($B280=2022,VLOOKUP($BJ280,'Treasury Yields'!$C$250:$N$279,$E280,FALSE)/100)))))))),0)</f>
        <v>1.4551090909090908E-2</v>
      </c>
      <c r="BL280">
        <f t="shared" si="634"/>
        <v>1.5829298447068003</v>
      </c>
      <c r="BM280">
        <f t="shared" si="635"/>
        <v>24525147.292912479</v>
      </c>
      <c r="BN280">
        <f t="shared" si="636"/>
        <v>15427783.292912479</v>
      </c>
      <c r="BP280">
        <f>IF($BJ280&lt;=30,IF($B280=2015,VLOOKUP($BJ280,'Treasury Yields'!$C$40:$N$69,$E280,FALSE)/100,IF($B280=2016,VLOOKUP($BJ280,'Treasury Yields'!$C$75:$N$104,$E280,FALSE)/100,IF($B280=2017,VLOOKUP($BJ280,'Treasury Yields'!$C$110:$N$139,$E280,FALSE)/100,IF($B280=2018,VLOOKUP($BJ280,'Treasury Yields'!$C$145:$N$174,$E280,FALSE)/100,IF($B280=2019,VLOOKUP($BJ280,'Treasury Yields'!$C$180:$N$209,$E280,FALSE)/100,IF($B280=2020,VLOOKUP($BJ280,'Treasury Yields'!$C$215:$N$244,$E280,FALSE)/100,IF($B280=2021,VLOOKUP($BJ280,'Treasury Yields'!$C$250:$N$279,$E280,FALSE)/100,IF($B280=2022,VLOOKUP($BJ280,'Treasury Yields'!$C$285:$N$314,$E280,FALSE)/100)))))))),0)</f>
        <v>2.1554272727272727E-2</v>
      </c>
      <c r="BQ280">
        <f t="shared" si="637"/>
        <v>1.5055080255661155</v>
      </c>
      <c r="BR280">
        <f t="shared" si="638"/>
        <v>24021581.943311773</v>
      </c>
      <c r="BS280">
        <f t="shared" si="639"/>
        <v>12497702.943311773</v>
      </c>
      <c r="BU280">
        <f t="shared" si="602"/>
        <v>14</v>
      </c>
      <c r="BV280">
        <f t="shared" si="640"/>
        <v>2.5991419803872344</v>
      </c>
      <c r="BW280">
        <f t="shared" si="641"/>
        <v>829895.63776972238</v>
      </c>
      <c r="BX280" s="5">
        <f t="shared" si="642"/>
        <v>356455.64295916853</v>
      </c>
      <c r="BY280" s="5">
        <f t="shared" si="643"/>
        <v>224079.07236207766</v>
      </c>
      <c r="BZ280" s="5">
        <f t="shared" si="644"/>
        <v>1347249</v>
      </c>
      <c r="CA280" s="5">
        <f t="shared" si="645"/>
        <v>1053974.7101318</v>
      </c>
      <c r="CC280" s="5">
        <f t="shared" si="646"/>
        <v>24021581.943311773</v>
      </c>
      <c r="CD280" s="5" t="str">
        <f t="shared" si="647"/>
        <v>New Hampshire</v>
      </c>
      <c r="CE280" s="5">
        <f t="shared" si="600"/>
        <v>0.72223770945207499</v>
      </c>
      <c r="CF280" s="10">
        <f t="shared" si="648"/>
        <v>0.47973022872494642</v>
      </c>
    </row>
    <row r="281" spans="1:84" x14ac:dyDescent="0.2">
      <c r="A281">
        <v>30000000090301</v>
      </c>
      <c r="B281">
        <v>2022</v>
      </c>
      <c r="C281">
        <v>387</v>
      </c>
      <c r="D281" t="s">
        <v>483</v>
      </c>
      <c r="E281">
        <v>6</v>
      </c>
      <c r="F281" t="s">
        <v>484</v>
      </c>
      <c r="G281" t="s">
        <v>485</v>
      </c>
      <c r="H281" t="s">
        <v>486</v>
      </c>
      <c r="I281" t="b">
        <v>1</v>
      </c>
      <c r="J281">
        <v>321589</v>
      </c>
      <c r="K281">
        <v>1056222</v>
      </c>
      <c r="L281">
        <v>10793</v>
      </c>
      <c r="M281">
        <v>37807</v>
      </c>
      <c r="N281">
        <v>0</v>
      </c>
      <c r="O281">
        <v>913994</v>
      </c>
      <c r="P281">
        <v>23727</v>
      </c>
      <c r="Q281">
        <v>488690</v>
      </c>
      <c r="R281">
        <v>15955798</v>
      </c>
      <c r="S281">
        <v>16444488</v>
      </c>
      <c r="T281">
        <v>579028</v>
      </c>
      <c r="V281">
        <v>243981</v>
      </c>
      <c r="W281">
        <v>-690177</v>
      </c>
      <c r="Y281">
        <v>9523</v>
      </c>
      <c r="Z281">
        <v>-1110</v>
      </c>
      <c r="AA281">
        <v>-815522</v>
      </c>
      <c r="AB281">
        <v>11523879</v>
      </c>
      <c r="AC281">
        <v>10708357</v>
      </c>
      <c r="AD281">
        <v>5736131</v>
      </c>
      <c r="AE281">
        <v>4431919</v>
      </c>
      <c r="AF281">
        <v>1304212</v>
      </c>
      <c r="AG281">
        <v>3077584</v>
      </c>
      <c r="AI281" t="b">
        <v>1</v>
      </c>
      <c r="AK281">
        <v>6.7500000000000004E-2</v>
      </c>
      <c r="AL281">
        <v>6.7500000000000004E-2</v>
      </c>
      <c r="AM281">
        <v>6.7500000000000004E-2</v>
      </c>
      <c r="AN281">
        <v>6.7500000000000004E-2</v>
      </c>
      <c r="AS281">
        <v>7696442</v>
      </c>
      <c r="AT281">
        <v>4106315</v>
      </c>
      <c r="AV281" t="s">
        <v>492</v>
      </c>
      <c r="BB281">
        <f t="shared" si="626"/>
        <v>0.6511821468689083</v>
      </c>
      <c r="BD281">
        <f t="shared" si="627"/>
        <v>1960311</v>
      </c>
      <c r="BE281">
        <f t="shared" si="628"/>
        <v>-1629816</v>
      </c>
      <c r="BF281">
        <f t="shared" si="629"/>
        <v>11.920778561181109</v>
      </c>
      <c r="BG281">
        <f t="shared" si="630"/>
        <v>-9.9110169924414784</v>
      </c>
      <c r="BH281">
        <f t="shared" si="631"/>
        <v>10.915897776811294</v>
      </c>
      <c r="BI281">
        <f t="shared" si="632"/>
        <v>100.48807843698143</v>
      </c>
      <c r="BJ281">
        <f t="shared" si="633"/>
        <v>11</v>
      </c>
      <c r="BK281">
        <f>IF($BJ281&lt;=30,IF($B281=2015,VLOOKUP($BJ281,'Treasury Yields'!$C$5:$N$34,$E281,FALSE)/100,IF($B281=2016,VLOOKUP($BJ281,'Treasury Yields'!$C$40:$N$69,$E281,FALSE)/100,IF($B281=2017,VLOOKUP($BJ281,'Treasury Yields'!$C$75:$N$104,$E281,FALSE)/100,IF($B281=2018,VLOOKUP($BJ281,'Treasury Yields'!$C$110:$N$139,$E281,FALSE)/100,IF($B281=2019,VLOOKUP($BJ281,'Treasury Yields'!$C$145:$N$174,$E281,FALSE)/100,IF($B281=2020,VLOOKUP($BJ281,'Treasury Yields'!$C$180:$N$209,$E281,FALSE)/100,IF($B281=2021,VLOOKUP($BJ281,'Treasury Yields'!$C$215:$N$244,$E281,FALSE)/100,IF($B281=2022,VLOOKUP($BJ281,'Treasury Yields'!$C$250:$N$279,$E281,FALSE)/100)))))))),0)</f>
        <v>2.1554272727272727E-2</v>
      </c>
      <c r="BL281">
        <f t="shared" si="634"/>
        <v>1.5036498720449616</v>
      </c>
      <c r="BM281">
        <f t="shared" si="635"/>
        <v>23991933.621075254</v>
      </c>
      <c r="BN281">
        <f t="shared" si="636"/>
        <v>12468054.621075254</v>
      </c>
      <c r="BP281">
        <f>IF($BJ281&lt;=30,IF($B281=2015,VLOOKUP($BJ281,'Treasury Yields'!$C$40:$N$69,$E281,FALSE)/100,IF($B281=2016,VLOOKUP($BJ281,'Treasury Yields'!$C$75:$N$104,$E281,FALSE)/100,IF($B281=2017,VLOOKUP($BJ281,'Treasury Yields'!$C$110:$N$139,$E281,FALSE)/100,IF($B281=2018,VLOOKUP($BJ281,'Treasury Yields'!$C$145:$N$174,$E281,FALSE)/100,IF($B281=2019,VLOOKUP($BJ281,'Treasury Yields'!$C$180:$N$209,$E281,FALSE)/100,IF($B281=2020,VLOOKUP($BJ281,'Treasury Yields'!$C$215:$N$244,$E281,FALSE)/100,IF($B281=2021,VLOOKUP($BJ281,'Treasury Yields'!$C$250:$N$279,$E281,FALSE)/100,IF($B281=2022,VLOOKUP($BJ281,'Treasury Yields'!$C$285:$N$314,$E281,FALSE)/100)))))))),0)</f>
        <v>3.1935909090909091E-2</v>
      </c>
      <c r="BQ281">
        <f t="shared" si="637"/>
        <v>1.3894787854510504</v>
      </c>
      <c r="BR281">
        <f t="shared" si="638"/>
        <v>22849267.213604372</v>
      </c>
      <c r="BS281">
        <f t="shared" si="639"/>
        <v>12140910.213604372</v>
      </c>
      <c r="BU281">
        <f t="shared" si="602"/>
        <v>14</v>
      </c>
      <c r="BV281">
        <f t="shared" si="640"/>
        <v>2.3569103678608023</v>
      </c>
      <c r="BW281">
        <f t="shared" si="641"/>
        <v>757956.44828998751</v>
      </c>
      <c r="BX281" s="5">
        <f t="shared" si="642"/>
        <v>513765.40457802638</v>
      </c>
      <c r="BY281" s="5">
        <f t="shared" si="643"/>
        <v>265376.5737359355</v>
      </c>
      <c r="BZ281" s="5">
        <f t="shared" si="644"/>
        <v>1377811</v>
      </c>
      <c r="CA281" s="5">
        <f t="shared" si="645"/>
        <v>1023333.022025923</v>
      </c>
      <c r="CC281" s="5">
        <f t="shared" si="646"/>
        <v>22849267.213604372</v>
      </c>
      <c r="CD281" s="5" t="str">
        <f t="shared" si="647"/>
        <v>New Hampshire</v>
      </c>
      <c r="CE281" s="5">
        <f t="shared" si="600"/>
        <v>0.6511821468689083</v>
      </c>
      <c r="CF281" s="10">
        <f t="shared" si="648"/>
        <v>0.46865209723768658</v>
      </c>
    </row>
    <row r="282" spans="1:84" x14ac:dyDescent="0.2">
      <c r="A282">
        <v>32000000008601</v>
      </c>
      <c r="B282">
        <v>2015</v>
      </c>
      <c r="C282">
        <v>465</v>
      </c>
      <c r="D282" t="s">
        <v>493</v>
      </c>
      <c r="E282">
        <v>6</v>
      </c>
      <c r="F282" t="s">
        <v>494</v>
      </c>
      <c r="G282" t="s">
        <v>495</v>
      </c>
      <c r="H282" t="s">
        <v>496</v>
      </c>
      <c r="I282" t="b">
        <v>1</v>
      </c>
      <c r="J282">
        <v>389052.473</v>
      </c>
      <c r="K282">
        <v>1335949.923</v>
      </c>
      <c r="L282">
        <v>0</v>
      </c>
      <c r="M282">
        <v>59112.343000000001</v>
      </c>
      <c r="N282">
        <v>0</v>
      </c>
      <c r="O282">
        <v>966236.56599999999</v>
      </c>
      <c r="P282">
        <v>46010.197</v>
      </c>
      <c r="Q282">
        <v>771867.97600000002</v>
      </c>
      <c r="R282">
        <v>17744186.897999998</v>
      </c>
      <c r="S282">
        <v>18516054.874000002</v>
      </c>
      <c r="T282">
        <v>317163.96100000001</v>
      </c>
      <c r="V282">
        <v>258919.77900000001</v>
      </c>
      <c r="W282">
        <v>251488.27900000001</v>
      </c>
      <c r="Y282">
        <v>9885.7649999999994</v>
      </c>
      <c r="Z282">
        <v>25296.312999999998</v>
      </c>
      <c r="AA282">
        <v>-169264.196</v>
      </c>
      <c r="AB282">
        <v>14424792.739</v>
      </c>
      <c r="AC282">
        <v>14255528.543</v>
      </c>
      <c r="AD282">
        <v>4260526.3310000002</v>
      </c>
      <c r="AE282">
        <v>3319394.1589999981</v>
      </c>
      <c r="AF282">
        <v>941132.17200000212</v>
      </c>
      <c r="AG282">
        <v>2248254</v>
      </c>
      <c r="AH282">
        <v>0.14107123172025937</v>
      </c>
      <c r="AI282" t="b">
        <v>1</v>
      </c>
      <c r="AK282">
        <v>7.7499999999999999E-2</v>
      </c>
      <c r="AL282">
        <v>7.7499999999999999E-2</v>
      </c>
      <c r="AM282">
        <v>7.7499999999999999E-2</v>
      </c>
      <c r="AN282">
        <v>7.7499999999999999E-2</v>
      </c>
      <c r="AO282">
        <v>1</v>
      </c>
      <c r="AP282">
        <v>0</v>
      </c>
      <c r="AS282">
        <v>6534375.5120000001</v>
      </c>
      <c r="AT282">
        <v>2371407.4130000002</v>
      </c>
      <c r="BB282">
        <f t="shared" ref="BB282:BB289" si="649">AC282/S282</f>
        <v>0.76990096648597772</v>
      </c>
      <c r="BD282">
        <f t="shared" ref="BD282:BD289" si="650">AS282-AD282</f>
        <v>2273849.1809999999</v>
      </c>
      <c r="BE282">
        <f t="shared" ref="BE282:BE289" si="651">AT282-AD282</f>
        <v>-1889118.9180000001</v>
      </c>
      <c r="BF282">
        <f t="shared" ref="BF282:BF289" si="652">BD282/S282*100</f>
        <v>12.280419325138794</v>
      </c>
      <c r="BG282">
        <f t="shared" ref="BG282:BG289" si="653">BE282/S282*100</f>
        <v>-10.202599478427102</v>
      </c>
      <c r="BH282">
        <f t="shared" ref="BH282:BH289" si="654">(BD282-BE282)/(2*S282)*100</f>
        <v>11.241509401782949</v>
      </c>
      <c r="BI282">
        <f t="shared" ref="BI282:BI289" si="655">(BD282+BE282)/(2*S282*(0.01^2))</f>
        <v>103.89099233558464</v>
      </c>
      <c r="BJ282">
        <f t="shared" ref="BJ282:BJ289" si="656">ROUND(BH282,0)</f>
        <v>11</v>
      </c>
      <c r="BK282">
        <f>IF($BJ282&lt;=30,IF($B282=2015,VLOOKUP($BJ282,'Treasury Yields'!$C$5:$N$34,$E282,FALSE)/100,IF($B282=2016,VLOOKUP($BJ282,'Treasury Yields'!$C$40:$N$69,$E282,FALSE)/100,IF($B282=2017,VLOOKUP($BJ282,'Treasury Yields'!$C$75:$N$104,$E282,FALSE)/100,IF($B282=2018,VLOOKUP($BJ282,'Treasury Yields'!$C$110:$N$139,$E282,FALSE)/100,IF($B282=2019,VLOOKUP($BJ282,'Treasury Yields'!$C$145:$N$174,$E282,FALSE)/100,IF($B282=2020,VLOOKUP($BJ282,'Treasury Yields'!$C$180:$N$209,$E282,FALSE)/100,IF($B282=2021,VLOOKUP($BJ282,'Treasury Yields'!$C$215:$N$244,$E282,FALSE)/100,IF($B282=2022,VLOOKUP($BJ282,'Treasury Yields'!$C$250:$N$279,$E282,FALSE)/100)))))))),0)</f>
        <v>2.8147999999999999E-2</v>
      </c>
      <c r="BL282">
        <f t="shared" ref="BL282:BL289" si="657">1+BH282*(AL282-BK282)+(AL282-BK282)^2</f>
        <v>1.5572265919007922</v>
      </c>
      <c r="BM282">
        <f t="shared" ref="BM282:BM289" si="658">BL282*R282</f>
        <v>27631719.689223226</v>
      </c>
      <c r="BN282">
        <f t="shared" ref="BN282:BN289" si="659">BM282-AB282</f>
        <v>13206926.950223226</v>
      </c>
      <c r="BP282">
        <f>IF($BJ282&lt;=30,IF($B282=2015,VLOOKUP($BJ282,'Treasury Yields'!$C$40:$N$69,$E282,FALSE)/100,IF($B282=2016,VLOOKUP($BJ282,'Treasury Yields'!$C$75:$N$104,$E282,FALSE)/100,IF($B282=2017,VLOOKUP($BJ282,'Treasury Yields'!$C$110:$N$139,$E282,FALSE)/100,IF($B282=2018,VLOOKUP($BJ282,'Treasury Yields'!$C$145:$N$174,$E282,FALSE)/100,IF($B282=2019,VLOOKUP($BJ282,'Treasury Yields'!$C$180:$N$209,$E282,FALSE)/100,IF($B282=2020,VLOOKUP($BJ282,'Treasury Yields'!$C$215:$N$244,$E282,FALSE)/100,IF($B282=2021,VLOOKUP($BJ282,'Treasury Yields'!$C$250:$N$279,$E282,FALSE)/100,IF($B282=2022,VLOOKUP($BJ282,'Treasury Yields'!$C$285:$N$314,$E282,FALSE)/100)))))))),0)</f>
        <v>2.6258E-2</v>
      </c>
      <c r="BQ282">
        <f t="shared" ref="BQ282:BQ289" si="660">1+BH282*(AN282-BP282)+(AN282-BP282)^2</f>
        <v>1.5786631673301617</v>
      </c>
      <c r="BR282">
        <f t="shared" ref="BR282:BR289" si="661">BQ282*S282</f>
        <v>29230613.833847921</v>
      </c>
      <c r="BS282">
        <f t="shared" ref="BS282:BS289" si="662">BR282-AC282</f>
        <v>14975085.290847922</v>
      </c>
      <c r="BU282">
        <f t="shared" si="602"/>
        <v>14</v>
      </c>
      <c r="BV282">
        <f t="shared" ref="BV282:BV289" si="663">1+(BH282+BU282)*(AN282-BK282)+(AN282-BK282)^2*BI282</f>
        <v>2.4987579407756533</v>
      </c>
      <c r="BW282">
        <f t="shared" ref="BW282:BW289" si="664">BV282*J282</f>
        <v>972147.95628715539</v>
      </c>
      <c r="BX282" s="5">
        <f t="shared" ref="BX282:BX289" si="665">(BM282+BW282-O282)*BK282</f>
        <v>777944.03962605831</v>
      </c>
      <c r="BY282" s="5">
        <f t="shared" ref="BY282:BY289" si="666">BK282*(BN282+BW282-O282)</f>
        <v>371914.97360868618</v>
      </c>
      <c r="BZ282" s="5">
        <f t="shared" ref="BZ282:BZ289" si="667">SUM(J282:K282)</f>
        <v>1725002.3959999999</v>
      </c>
      <c r="CA282" s="5">
        <f t="shared" ref="CA282:CA289" si="668">SUM(BW282+BY282)</f>
        <v>1344062.9298958415</v>
      </c>
      <c r="CC282" s="5">
        <f t="shared" ref="CC282:CC289" si="669">BR282</f>
        <v>29230613.833847921</v>
      </c>
      <c r="CD282" s="5" t="str">
        <f t="shared" ref="CD282:CD289" si="670">F282</f>
        <v>New Mexico</v>
      </c>
      <c r="CE282" s="5">
        <f t="shared" si="600"/>
        <v>0.76990096648597772</v>
      </c>
      <c r="CF282" s="10">
        <f t="shared" ref="CF282:CF289" si="671">AC282/CC282</f>
        <v>0.48769172703765284</v>
      </c>
    </row>
    <row r="283" spans="1:84" x14ac:dyDescent="0.2">
      <c r="A283">
        <v>32000000008601</v>
      </c>
      <c r="B283">
        <v>2016</v>
      </c>
      <c r="C283">
        <v>465</v>
      </c>
      <c r="D283" t="s">
        <v>493</v>
      </c>
      <c r="E283">
        <v>6</v>
      </c>
      <c r="F283" t="s">
        <v>494</v>
      </c>
      <c r="G283" t="s">
        <v>495</v>
      </c>
      <c r="H283" t="s">
        <v>496</v>
      </c>
      <c r="I283" t="b">
        <v>1</v>
      </c>
      <c r="J283">
        <v>390221</v>
      </c>
      <c r="K283">
        <v>1393557</v>
      </c>
      <c r="L283">
        <v>0</v>
      </c>
      <c r="M283">
        <v>330751</v>
      </c>
      <c r="N283">
        <v>424792</v>
      </c>
      <c r="O283">
        <v>1024399</v>
      </c>
      <c r="P283">
        <v>44938</v>
      </c>
      <c r="Q283">
        <v>1469984</v>
      </c>
      <c r="R283">
        <v>18516055</v>
      </c>
      <c r="S283">
        <v>19986039</v>
      </c>
      <c r="T283">
        <v>324752</v>
      </c>
      <c r="V283">
        <v>265529</v>
      </c>
      <c r="W283">
        <v>47445</v>
      </c>
      <c r="Y283">
        <v>10754</v>
      </c>
      <c r="Z283">
        <v>12318</v>
      </c>
      <c r="AA283">
        <v>-430047</v>
      </c>
      <c r="AB283">
        <v>14256706</v>
      </c>
      <c r="AC283">
        <v>13826658</v>
      </c>
      <c r="AD283">
        <v>6159380</v>
      </c>
      <c r="AE283">
        <v>4259350</v>
      </c>
      <c r="AF283">
        <v>1900030</v>
      </c>
      <c r="AG283">
        <v>2326943</v>
      </c>
      <c r="AH283">
        <v>0.1395616480506828</v>
      </c>
      <c r="AI283" t="b">
        <v>1</v>
      </c>
      <c r="AK283">
        <v>7.7499999999999999E-2</v>
      </c>
      <c r="AL283">
        <v>7.4800000000000005E-2</v>
      </c>
      <c r="AM283">
        <v>7.4800000000000005E-2</v>
      </c>
      <c r="AN283">
        <v>7.7499999999999999E-2</v>
      </c>
      <c r="AO283">
        <v>1</v>
      </c>
      <c r="AP283">
        <v>0</v>
      </c>
      <c r="AS283">
        <v>8658022</v>
      </c>
      <c r="AT283">
        <v>4089320</v>
      </c>
      <c r="AU283" t="s">
        <v>497</v>
      </c>
      <c r="AV283" t="s">
        <v>498</v>
      </c>
      <c r="BB283">
        <f t="shared" si="649"/>
        <v>0.69181582203457126</v>
      </c>
      <c r="BD283">
        <f t="shared" si="650"/>
        <v>2498642</v>
      </c>
      <c r="BE283">
        <f t="shared" si="651"/>
        <v>-2070060</v>
      </c>
      <c r="BF283">
        <f t="shared" si="652"/>
        <v>12.501936977106871</v>
      </c>
      <c r="BG283">
        <f t="shared" si="653"/>
        <v>-10.357530073868064</v>
      </c>
      <c r="BH283">
        <f t="shared" si="654"/>
        <v>11.429733525487466</v>
      </c>
      <c r="BI283">
        <f t="shared" si="655"/>
        <v>107.22034516194029</v>
      </c>
      <c r="BJ283">
        <f t="shared" si="656"/>
        <v>11</v>
      </c>
      <c r="BK283">
        <f>IF($BJ283&lt;=30,IF($B283=2015,VLOOKUP($BJ283,'Treasury Yields'!$C$5:$N$34,$E283,FALSE)/100,IF($B283=2016,VLOOKUP($BJ283,'Treasury Yields'!$C$40:$N$69,$E283,FALSE)/100,IF($B283=2017,VLOOKUP($BJ283,'Treasury Yields'!$C$75:$N$104,$E283,FALSE)/100,IF($B283=2018,VLOOKUP($BJ283,'Treasury Yields'!$C$110:$N$139,$E283,FALSE)/100,IF($B283=2019,VLOOKUP($BJ283,'Treasury Yields'!$C$145:$N$174,$E283,FALSE)/100,IF($B283=2020,VLOOKUP($BJ283,'Treasury Yields'!$C$180:$N$209,$E283,FALSE)/100,IF($B283=2021,VLOOKUP($BJ283,'Treasury Yields'!$C$215:$N$244,$E283,FALSE)/100,IF($B283=2022,VLOOKUP($BJ283,'Treasury Yields'!$C$250:$N$279,$E283,FALSE)/100)))))))),0)</f>
        <v>2.6258E-2</v>
      </c>
      <c r="BL283">
        <f t="shared" si="657"/>
        <v>1.5571784505582125</v>
      </c>
      <c r="BM283">
        <f t="shared" si="658"/>
        <v>28832801.835350644</v>
      </c>
      <c r="BN283">
        <f t="shared" si="659"/>
        <v>14576095.835350644</v>
      </c>
      <c r="BP283">
        <f>IF($BJ283&lt;=30,IF($B283=2015,VLOOKUP($BJ283,'Treasury Yields'!$C$40:$N$69,$E283,FALSE)/100,IF($B283=2016,VLOOKUP($BJ283,'Treasury Yields'!$C$75:$N$104,$E283,FALSE)/100,IF($B283=2017,VLOOKUP($BJ283,'Treasury Yields'!$C$110:$N$139,$E283,FALSE)/100,IF($B283=2018,VLOOKUP($BJ283,'Treasury Yields'!$C$145:$N$174,$E283,FALSE)/100,IF($B283=2019,VLOOKUP($BJ283,'Treasury Yields'!$C$180:$N$209,$E283,FALSE)/100,IF($B283=2020,VLOOKUP($BJ283,'Treasury Yields'!$C$215:$N$244,$E283,FALSE)/100,IF($B283=2021,VLOOKUP($BJ283,'Treasury Yields'!$C$250:$N$279,$E283,FALSE)/100,IF($B283=2022,VLOOKUP($BJ283,'Treasury Yields'!$C$285:$N$314,$E283,FALSE)/100)))))))),0)</f>
        <v>1.6948000000000001E-2</v>
      </c>
      <c r="BQ283">
        <f t="shared" si="660"/>
        <v>1.6957597691393169</v>
      </c>
      <c r="BR283">
        <f t="shared" si="661"/>
        <v>33891520.880649388</v>
      </c>
      <c r="BS283">
        <f t="shared" si="662"/>
        <v>20064862.880649388</v>
      </c>
      <c r="BU283">
        <f t="shared" si="602"/>
        <v>14</v>
      </c>
      <c r="BV283">
        <f t="shared" si="663"/>
        <v>2.5846034293315063</v>
      </c>
      <c r="BW283">
        <f t="shared" si="664"/>
        <v>1008566.5347971697</v>
      </c>
      <c r="BX283" s="5">
        <f t="shared" si="665"/>
        <v>756675.98172134126</v>
      </c>
      <c r="BY283" s="5">
        <f t="shared" si="666"/>
        <v>382323.39557334129</v>
      </c>
      <c r="BZ283" s="5">
        <f t="shared" si="667"/>
        <v>1783778</v>
      </c>
      <c r="CA283" s="5">
        <f t="shared" si="668"/>
        <v>1390889.930370511</v>
      </c>
      <c r="CC283" s="5">
        <f t="shared" si="669"/>
        <v>33891520.880649388</v>
      </c>
      <c r="CD283" s="5" t="str">
        <f t="shared" si="670"/>
        <v>New Mexico</v>
      </c>
      <c r="CE283" s="5">
        <f t="shared" si="600"/>
        <v>0.69181582203457126</v>
      </c>
      <c r="CF283" s="10">
        <f t="shared" si="671"/>
        <v>0.40796805928808089</v>
      </c>
    </row>
    <row r="284" spans="1:84" x14ac:dyDescent="0.2">
      <c r="A284">
        <v>32000000008601</v>
      </c>
      <c r="B284">
        <v>2017</v>
      </c>
      <c r="C284">
        <v>465</v>
      </c>
      <c r="D284" t="s">
        <v>493</v>
      </c>
      <c r="E284">
        <v>6</v>
      </c>
      <c r="F284" t="s">
        <v>494</v>
      </c>
      <c r="G284" t="s">
        <v>495</v>
      </c>
      <c r="H284" t="s">
        <v>496</v>
      </c>
      <c r="I284" t="b">
        <v>1</v>
      </c>
      <c r="J284">
        <v>405561</v>
      </c>
      <c r="K284">
        <v>1452723</v>
      </c>
      <c r="L284">
        <v>0</v>
      </c>
      <c r="M284">
        <v>-584186</v>
      </c>
      <c r="N284">
        <v>-62778</v>
      </c>
      <c r="O284">
        <v>1084818</v>
      </c>
      <c r="P284">
        <v>44396</v>
      </c>
      <c r="Q284">
        <v>82105</v>
      </c>
      <c r="R284">
        <v>19986039</v>
      </c>
      <c r="S284">
        <v>20068143</v>
      </c>
      <c r="T284">
        <v>332473</v>
      </c>
      <c r="V284">
        <v>272829</v>
      </c>
      <c r="W284">
        <v>1500759</v>
      </c>
      <c r="Y284">
        <v>11506</v>
      </c>
      <c r="Z284">
        <v>471</v>
      </c>
      <c r="AA284">
        <v>965812</v>
      </c>
      <c r="AB284">
        <v>13826658</v>
      </c>
      <c r="AC284">
        <v>14798917</v>
      </c>
      <c r="AD284">
        <v>5269225</v>
      </c>
      <c r="AE284">
        <v>6159380</v>
      </c>
      <c r="AF284">
        <v>-890155</v>
      </c>
      <c r="AG284">
        <v>2193889</v>
      </c>
      <c r="AH284">
        <v>0.15154504170448005</v>
      </c>
      <c r="AI284" t="b">
        <v>1</v>
      </c>
      <c r="AK284">
        <v>7.4800000000000005E-2</v>
      </c>
      <c r="AL284">
        <v>7.51E-2</v>
      </c>
      <c r="AM284">
        <v>7.51E-2</v>
      </c>
      <c r="AN284">
        <v>7.4800000000000005E-2</v>
      </c>
      <c r="AO284">
        <v>1</v>
      </c>
      <c r="AP284">
        <v>0</v>
      </c>
      <c r="AQ284">
        <v>3.56E-2</v>
      </c>
      <c r="AS284">
        <v>7714032</v>
      </c>
      <c r="AT284">
        <v>3242456</v>
      </c>
      <c r="AU284" t="s">
        <v>72</v>
      </c>
      <c r="AV284" t="s">
        <v>499</v>
      </c>
      <c r="BB284">
        <f t="shared" si="649"/>
        <v>0.73743330411787478</v>
      </c>
      <c r="BD284">
        <f t="shared" si="650"/>
        <v>2444807</v>
      </c>
      <c r="BE284">
        <f t="shared" si="651"/>
        <v>-2026769</v>
      </c>
      <c r="BF284">
        <f t="shared" si="652"/>
        <v>12.182527302102642</v>
      </c>
      <c r="BG284">
        <f t="shared" si="653"/>
        <v>-10.099434711024333</v>
      </c>
      <c r="BH284">
        <f t="shared" si="654"/>
        <v>11.140981006563488</v>
      </c>
      <c r="BI284">
        <f t="shared" si="655"/>
        <v>104.15462955391537</v>
      </c>
      <c r="BJ284">
        <f t="shared" si="656"/>
        <v>11</v>
      </c>
      <c r="BK284">
        <f>IF($BJ284&lt;=30,IF($B284=2015,VLOOKUP($BJ284,'Treasury Yields'!$C$5:$N$34,$E284,FALSE)/100,IF($B284=2016,VLOOKUP($BJ284,'Treasury Yields'!$C$40:$N$69,$E284,FALSE)/100,IF($B284=2017,VLOOKUP($BJ284,'Treasury Yields'!$C$75:$N$104,$E284,FALSE)/100,IF($B284=2018,VLOOKUP($BJ284,'Treasury Yields'!$C$110:$N$139,$E284,FALSE)/100,IF($B284=2019,VLOOKUP($BJ284,'Treasury Yields'!$C$145:$N$174,$E284,FALSE)/100,IF($B284=2020,VLOOKUP($BJ284,'Treasury Yields'!$C$180:$N$209,$E284,FALSE)/100,IF($B284=2021,VLOOKUP($BJ284,'Treasury Yields'!$C$215:$N$244,$E284,FALSE)/100,IF($B284=2022,VLOOKUP($BJ284,'Treasury Yields'!$C$250:$N$279,$E284,FALSE)/100)))))))),0)</f>
        <v>1.6948000000000001E-2</v>
      </c>
      <c r="BL284">
        <f t="shared" si="657"/>
        <v>1.6512519825976799</v>
      </c>
      <c r="BM284">
        <f t="shared" si="658"/>
        <v>33001986.523024552</v>
      </c>
      <c r="BN284">
        <f t="shared" si="659"/>
        <v>19175328.523024552</v>
      </c>
      <c r="BP284">
        <f>IF($BJ284&lt;=30,IF($B284=2015,VLOOKUP($BJ284,'Treasury Yields'!$C$40:$N$69,$E284,FALSE)/100,IF($B284=2016,VLOOKUP($BJ284,'Treasury Yields'!$C$75:$N$104,$E284,FALSE)/100,IF($B284=2017,VLOOKUP($BJ284,'Treasury Yields'!$C$110:$N$139,$E284,FALSE)/100,IF($B284=2018,VLOOKUP($BJ284,'Treasury Yields'!$C$145:$N$174,$E284,FALSE)/100,IF($B284=2019,VLOOKUP($BJ284,'Treasury Yields'!$C$180:$N$209,$E284,FALSE)/100,IF($B284=2020,VLOOKUP($BJ284,'Treasury Yields'!$C$215:$N$244,$E284,FALSE)/100,IF($B284=2021,VLOOKUP($BJ284,'Treasury Yields'!$C$250:$N$279,$E284,FALSE)/100,IF($B284=2022,VLOOKUP($BJ284,'Treasury Yields'!$C$285:$N$314,$E284,FALSE)/100)))))))),0)</f>
        <v>2.5068799999999999E-2</v>
      </c>
      <c r="BQ284">
        <f t="shared" si="660"/>
        <v>1.5565275468870503</v>
      </c>
      <c r="BR284">
        <f t="shared" si="661"/>
        <v>31236617.394368529</v>
      </c>
      <c r="BS284">
        <f t="shared" si="662"/>
        <v>16437700.394368529</v>
      </c>
      <c r="BU284">
        <f t="shared" si="602"/>
        <v>14</v>
      </c>
      <c r="BV284">
        <f t="shared" si="663"/>
        <v>2.8030463617339065</v>
      </c>
      <c r="BW284">
        <f t="shared" si="664"/>
        <v>1136806.2855111649</v>
      </c>
      <c r="BX284" s="5">
        <f t="shared" si="665"/>
        <v>560198.76505506341</v>
      </c>
      <c r="BY284" s="5">
        <f t="shared" si="666"/>
        <v>325864.56527106336</v>
      </c>
      <c r="BZ284" s="5">
        <f t="shared" si="667"/>
        <v>1858284</v>
      </c>
      <c r="CA284" s="5">
        <f t="shared" si="668"/>
        <v>1462670.8507822282</v>
      </c>
      <c r="CC284" s="5">
        <f t="shared" si="669"/>
        <v>31236617.394368529</v>
      </c>
      <c r="CD284" s="5" t="str">
        <f t="shared" si="670"/>
        <v>New Mexico</v>
      </c>
      <c r="CE284" s="5">
        <f t="shared" si="600"/>
        <v>0.73743330411787478</v>
      </c>
      <c r="CF284" s="10">
        <f t="shared" si="671"/>
        <v>0.47376823210915314</v>
      </c>
    </row>
    <row r="285" spans="1:84" x14ac:dyDescent="0.2">
      <c r="A285">
        <v>32000000008601</v>
      </c>
      <c r="B285">
        <v>2018</v>
      </c>
      <c r="C285">
        <v>465</v>
      </c>
      <c r="D285" t="s">
        <v>493</v>
      </c>
      <c r="E285">
        <v>6</v>
      </c>
      <c r="F285" t="s">
        <v>494</v>
      </c>
      <c r="G285" t="s">
        <v>495</v>
      </c>
      <c r="H285" t="s">
        <v>496</v>
      </c>
      <c r="I285" t="b">
        <v>1</v>
      </c>
      <c r="J285">
        <v>376310</v>
      </c>
      <c r="K285">
        <v>1462669</v>
      </c>
      <c r="L285">
        <v>0</v>
      </c>
      <c r="M285">
        <v>113712</v>
      </c>
      <c r="N285">
        <v>545510</v>
      </c>
      <c r="O285">
        <v>1133418</v>
      </c>
      <c r="P285">
        <v>50288</v>
      </c>
      <c r="Q285">
        <v>1314496</v>
      </c>
      <c r="R285">
        <v>20068143</v>
      </c>
      <c r="S285">
        <v>21382639</v>
      </c>
      <c r="T285">
        <v>319499</v>
      </c>
      <c r="V285">
        <v>282847</v>
      </c>
      <c r="W285">
        <v>1004227</v>
      </c>
      <c r="Y285">
        <v>12667</v>
      </c>
      <c r="Z285">
        <v>2110</v>
      </c>
      <c r="AA285">
        <v>412310</v>
      </c>
      <c r="AB285">
        <v>14798173</v>
      </c>
      <c r="AC285">
        <v>15210482</v>
      </c>
      <c r="AD285">
        <v>6172156</v>
      </c>
      <c r="AE285">
        <v>5269225</v>
      </c>
      <c r="AF285">
        <v>902931</v>
      </c>
      <c r="AG285">
        <v>2265036</v>
      </c>
      <c r="AH285">
        <v>0.14105691918362445</v>
      </c>
      <c r="AI285" t="b">
        <v>1</v>
      </c>
      <c r="AK285">
        <v>7.51E-2</v>
      </c>
      <c r="AL285">
        <v>6.9000000000000006E-2</v>
      </c>
      <c r="AM285">
        <v>7.2499999999999995E-2</v>
      </c>
      <c r="AN285">
        <v>7.51E-2</v>
      </c>
      <c r="AO285">
        <v>1</v>
      </c>
      <c r="AP285">
        <v>3.4999999999999892E-3</v>
      </c>
      <c r="AQ285">
        <v>3.8899999999999997E-2</v>
      </c>
      <c r="AS285">
        <v>8878471</v>
      </c>
      <c r="AT285">
        <v>3942405</v>
      </c>
      <c r="AU285" t="s">
        <v>60</v>
      </c>
      <c r="AV285" t="s">
        <v>500</v>
      </c>
      <c r="BB285">
        <f t="shared" si="649"/>
        <v>0.71134727570343403</v>
      </c>
      <c r="BD285">
        <f t="shared" si="650"/>
        <v>2706315</v>
      </c>
      <c r="BE285">
        <f t="shared" si="651"/>
        <v>-2229751</v>
      </c>
      <c r="BF285">
        <f t="shared" si="652"/>
        <v>12.656599589975775</v>
      </c>
      <c r="BG285">
        <f t="shared" si="653"/>
        <v>-10.427856917006363</v>
      </c>
      <c r="BH285">
        <f t="shared" si="654"/>
        <v>11.542228253491068</v>
      </c>
      <c r="BI285">
        <f t="shared" si="655"/>
        <v>111.43713364847062</v>
      </c>
      <c r="BJ285">
        <f t="shared" si="656"/>
        <v>12</v>
      </c>
      <c r="BK285">
        <f>IF($BJ285&lt;=30,IF($B285=2015,VLOOKUP($BJ285,'Treasury Yields'!$C$5:$N$34,$E285,FALSE)/100,IF($B285=2016,VLOOKUP($BJ285,'Treasury Yields'!$C$40:$N$69,$E285,FALSE)/100,IF($B285=2017,VLOOKUP($BJ285,'Treasury Yields'!$C$75:$N$104,$E285,FALSE)/100,IF($B285=2018,VLOOKUP($BJ285,'Treasury Yields'!$C$110:$N$139,$E285,FALSE)/100,IF($B285=2019,VLOOKUP($BJ285,'Treasury Yields'!$C$145:$N$174,$E285,FALSE)/100,IF($B285=2020,VLOOKUP($BJ285,'Treasury Yields'!$C$180:$N$209,$E285,FALSE)/100,IF($B285=2021,VLOOKUP($BJ285,'Treasury Yields'!$C$215:$N$244,$E285,FALSE)/100,IF($B285=2022,VLOOKUP($BJ285,'Treasury Yields'!$C$250:$N$279,$E285,FALSE)/100)))))))),0)</f>
        <v>2.5467599999999993E-2</v>
      </c>
      <c r="BL285">
        <f t="shared" si="657"/>
        <v>1.5043559670720348</v>
      </c>
      <c r="BM285">
        <f t="shared" si="658"/>
        <v>30189630.670104884</v>
      </c>
      <c r="BN285">
        <f t="shared" si="659"/>
        <v>15391457.670104884</v>
      </c>
      <c r="BP285">
        <f>IF($BJ285&lt;=30,IF($B285=2015,VLOOKUP($BJ285,'Treasury Yields'!$C$40:$N$69,$E285,FALSE)/100,IF($B285=2016,VLOOKUP($BJ285,'Treasury Yields'!$C$75:$N$104,$E285,FALSE)/100,IF($B285=2017,VLOOKUP($BJ285,'Treasury Yields'!$C$110:$N$139,$E285,FALSE)/100,IF($B285=2018,VLOOKUP($BJ285,'Treasury Yields'!$C$145:$N$174,$E285,FALSE)/100,IF($B285=2019,VLOOKUP($BJ285,'Treasury Yields'!$C$180:$N$209,$E285,FALSE)/100,IF($B285=2020,VLOOKUP($BJ285,'Treasury Yields'!$C$215:$N$244,$E285,FALSE)/100,IF($B285=2021,VLOOKUP($BJ285,'Treasury Yields'!$C$250:$N$279,$E285,FALSE)/100,IF($B285=2022,VLOOKUP($BJ285,'Treasury Yields'!$C$285:$N$314,$E285,FALSE)/100)))))))),0)</f>
        <v>2.8906472727272727E-2</v>
      </c>
      <c r="BQ285">
        <f t="shared" si="660"/>
        <v>1.535310077577579</v>
      </c>
      <c r="BR285">
        <f t="shared" si="661"/>
        <v>32828981.141903367</v>
      </c>
      <c r="BS285">
        <f t="shared" si="662"/>
        <v>17618499.141903367</v>
      </c>
      <c r="BU285">
        <f t="shared" si="602"/>
        <v>15</v>
      </c>
      <c r="BV285">
        <f t="shared" si="663"/>
        <v>2.5918659531299544</v>
      </c>
      <c r="BW285">
        <f t="shared" si="664"/>
        <v>975345.07682233315</v>
      </c>
      <c r="BX285" s="5">
        <f t="shared" si="665"/>
        <v>764831.70007564337</v>
      </c>
      <c r="BY285" s="5">
        <f t="shared" si="666"/>
        <v>387957.74938084348</v>
      </c>
      <c r="BZ285" s="5">
        <f t="shared" si="667"/>
        <v>1838979</v>
      </c>
      <c r="CA285" s="5">
        <f t="shared" si="668"/>
        <v>1363302.8262031768</v>
      </c>
      <c r="CC285" s="5">
        <f t="shared" si="669"/>
        <v>32828981.141903367</v>
      </c>
      <c r="CD285" s="5" t="str">
        <f t="shared" si="670"/>
        <v>New Mexico</v>
      </c>
      <c r="CE285" s="5">
        <f t="shared" si="600"/>
        <v>0.71134727570343403</v>
      </c>
      <c r="CF285" s="10">
        <f t="shared" si="671"/>
        <v>0.46332482675148057</v>
      </c>
    </row>
    <row r="286" spans="1:84" x14ac:dyDescent="0.2">
      <c r="A286">
        <v>32000000008601</v>
      </c>
      <c r="B286">
        <v>2019</v>
      </c>
      <c r="C286">
        <v>465</v>
      </c>
      <c r="D286" t="s">
        <v>493</v>
      </c>
      <c r="E286">
        <v>6</v>
      </c>
      <c r="F286" t="s">
        <v>494</v>
      </c>
      <c r="G286" t="s">
        <v>495</v>
      </c>
      <c r="H286" t="s">
        <v>496</v>
      </c>
      <c r="I286" t="b">
        <v>1</v>
      </c>
      <c r="J286">
        <v>403879</v>
      </c>
      <c r="K286">
        <v>1504991</v>
      </c>
      <c r="L286">
        <v>0</v>
      </c>
      <c r="M286">
        <v>-54005</v>
      </c>
      <c r="N286">
        <v>0</v>
      </c>
      <c r="O286">
        <v>1193943</v>
      </c>
      <c r="P286">
        <v>54337</v>
      </c>
      <c r="Q286">
        <v>606585</v>
      </c>
      <c r="R286">
        <v>21382639</v>
      </c>
      <c r="S286">
        <v>21989224</v>
      </c>
      <c r="T286">
        <v>339676</v>
      </c>
      <c r="V286">
        <v>281643</v>
      </c>
      <c r="W286">
        <v>935561</v>
      </c>
      <c r="Y286">
        <v>13583</v>
      </c>
      <c r="Z286">
        <v>2047</v>
      </c>
      <c r="AA286">
        <v>297063</v>
      </c>
      <c r="AB286">
        <v>15210482</v>
      </c>
      <c r="AC286">
        <v>15507545</v>
      </c>
      <c r="AD286">
        <v>6481679</v>
      </c>
      <c r="AE286">
        <v>6172156</v>
      </c>
      <c r="AF286">
        <v>309523</v>
      </c>
      <c r="AG286">
        <v>2287712</v>
      </c>
      <c r="AH286">
        <v>0.14847847980864723</v>
      </c>
      <c r="AI286" t="b">
        <v>1</v>
      </c>
      <c r="AK286">
        <v>6.9000000000000006E-2</v>
      </c>
      <c r="AL286">
        <v>7.2499999999999995E-2</v>
      </c>
      <c r="AM286">
        <v>7.2499999999999995E-2</v>
      </c>
      <c r="AN286">
        <v>6.9000000000000006E-2</v>
      </c>
      <c r="AS286">
        <v>9231607</v>
      </c>
      <c r="AT286">
        <v>4209584</v>
      </c>
      <c r="AU286" t="s">
        <v>296</v>
      </c>
      <c r="AV286" t="s">
        <v>501</v>
      </c>
      <c r="BB286">
        <f t="shared" si="649"/>
        <v>0.70523384545084444</v>
      </c>
      <c r="BD286">
        <f t="shared" si="650"/>
        <v>2749928</v>
      </c>
      <c r="BE286">
        <f t="shared" si="651"/>
        <v>-2272095</v>
      </c>
      <c r="BF286">
        <f t="shared" si="652"/>
        <v>12.505798294655602</v>
      </c>
      <c r="BG286">
        <f t="shared" si="653"/>
        <v>-10.332765721973637</v>
      </c>
      <c r="BH286">
        <f t="shared" si="654"/>
        <v>11.419282008314619</v>
      </c>
      <c r="BI286">
        <f t="shared" si="655"/>
        <v>108.65162863409823</v>
      </c>
      <c r="BJ286">
        <f t="shared" si="656"/>
        <v>11</v>
      </c>
      <c r="BK286">
        <f>IF($BJ286&lt;=30,IF($B286=2015,VLOOKUP($BJ286,'Treasury Yields'!$C$5:$N$34,$E286,FALSE)/100,IF($B286=2016,VLOOKUP($BJ286,'Treasury Yields'!$C$40:$N$69,$E286,FALSE)/100,IF($B286=2017,VLOOKUP($BJ286,'Treasury Yields'!$C$75:$N$104,$E286,FALSE)/100,IF($B286=2018,VLOOKUP($BJ286,'Treasury Yields'!$C$110:$N$139,$E286,FALSE)/100,IF($B286=2019,VLOOKUP($BJ286,'Treasury Yields'!$C$145:$N$174,$E286,FALSE)/100,IF($B286=2020,VLOOKUP($BJ286,'Treasury Yields'!$C$180:$N$209,$E286,FALSE)/100,IF($B286=2021,VLOOKUP($BJ286,'Treasury Yields'!$C$215:$N$244,$E286,FALSE)/100,IF($B286=2022,VLOOKUP($BJ286,'Treasury Yields'!$C$250:$N$279,$E286,FALSE)/100)))))))),0)</f>
        <v>2.9273236363636365E-2</v>
      </c>
      <c r="BL286">
        <f t="shared" si="657"/>
        <v>1.4954871573648698</v>
      </c>
      <c r="BM286">
        <f t="shared" si="658"/>
        <v>31977462.015069202</v>
      </c>
      <c r="BN286">
        <f t="shared" si="659"/>
        <v>16766980.015069202</v>
      </c>
      <c r="BP286">
        <f>IF($BJ286&lt;=30,IF($B286=2015,VLOOKUP($BJ286,'Treasury Yields'!$C$40:$N$69,$E286,FALSE)/100,IF($B286=2016,VLOOKUP($BJ286,'Treasury Yields'!$C$75:$N$104,$E286,FALSE)/100,IF($B286=2017,VLOOKUP($BJ286,'Treasury Yields'!$C$110:$N$139,$E286,FALSE)/100,IF($B286=2018,VLOOKUP($BJ286,'Treasury Yields'!$C$145:$N$174,$E286,FALSE)/100,IF($B286=2019,VLOOKUP($BJ286,'Treasury Yields'!$C$180:$N$209,$E286,FALSE)/100,IF($B286=2020,VLOOKUP($BJ286,'Treasury Yields'!$C$215:$N$244,$E286,FALSE)/100,IF($B286=2021,VLOOKUP($BJ286,'Treasury Yields'!$C$250:$N$279,$E286,FALSE)/100,IF($B286=2022,VLOOKUP($BJ286,'Treasury Yields'!$C$285:$N$314,$E286,FALSE)/100)))))))),0)</f>
        <v>2.1722000000000002E-2</v>
      </c>
      <c r="BQ286">
        <f t="shared" si="660"/>
        <v>1.5421160240730984</v>
      </c>
      <c r="BR286">
        <f t="shared" si="661"/>
        <v>33909934.687332757</v>
      </c>
      <c r="BS286">
        <f t="shared" si="662"/>
        <v>18402389.687332757</v>
      </c>
      <c r="BU286">
        <f t="shared" si="602"/>
        <v>14</v>
      </c>
      <c r="BV286">
        <f t="shared" si="663"/>
        <v>2.1813015196173384</v>
      </c>
      <c r="BW286">
        <f t="shared" si="664"/>
        <v>880981.876441531</v>
      </c>
      <c r="BX286" s="5">
        <f t="shared" si="665"/>
        <v>926922.41893376806</v>
      </c>
      <c r="BY286" s="5">
        <f t="shared" si="666"/>
        <v>481662.38414293167</v>
      </c>
      <c r="BZ286" s="5">
        <f t="shared" si="667"/>
        <v>1908870</v>
      </c>
      <c r="CA286" s="5">
        <f t="shared" si="668"/>
        <v>1362644.2605844627</v>
      </c>
      <c r="CC286" s="5">
        <f t="shared" si="669"/>
        <v>33909934.687332757</v>
      </c>
      <c r="CD286" s="5" t="str">
        <f t="shared" si="670"/>
        <v>New Mexico</v>
      </c>
      <c r="CE286" s="5">
        <f t="shared" si="600"/>
        <v>0.70523384545084444</v>
      </c>
      <c r="CF286" s="10">
        <f t="shared" si="671"/>
        <v>0.45731568470973577</v>
      </c>
    </row>
    <row r="287" spans="1:84" x14ac:dyDescent="0.2">
      <c r="A287">
        <v>32000000008601</v>
      </c>
      <c r="B287">
        <v>2020</v>
      </c>
      <c r="C287">
        <v>465</v>
      </c>
      <c r="D287" t="s">
        <v>493</v>
      </c>
      <c r="E287">
        <v>6</v>
      </c>
      <c r="F287" t="s">
        <v>494</v>
      </c>
      <c r="G287" t="s">
        <v>495</v>
      </c>
      <c r="H287" t="s">
        <v>496</v>
      </c>
      <c r="I287" t="b">
        <v>1</v>
      </c>
      <c r="J287">
        <v>401166</v>
      </c>
      <c r="K287">
        <v>1547097</v>
      </c>
      <c r="L287">
        <v>-710227</v>
      </c>
      <c r="M287">
        <v>213521</v>
      </c>
      <c r="N287">
        <v>-222</v>
      </c>
      <c r="O287">
        <v>1255018</v>
      </c>
      <c r="P287">
        <v>44903</v>
      </c>
      <c r="Q287">
        <v>151414</v>
      </c>
      <c r="R287">
        <v>21989224</v>
      </c>
      <c r="S287">
        <v>22140638</v>
      </c>
      <c r="T287">
        <v>368425</v>
      </c>
      <c r="V287">
        <v>297153</v>
      </c>
      <c r="W287">
        <v>-223545</v>
      </c>
      <c r="Y287">
        <v>14318</v>
      </c>
      <c r="Z287">
        <v>1646</v>
      </c>
      <c r="AA287">
        <v>-815560</v>
      </c>
      <c r="AB287">
        <v>15507545</v>
      </c>
      <c r="AC287">
        <v>14691984</v>
      </c>
      <c r="AD287">
        <v>7448653</v>
      </c>
      <c r="AE287">
        <v>6481679</v>
      </c>
      <c r="AF287">
        <v>966974</v>
      </c>
      <c r="AG287">
        <v>2339923</v>
      </c>
      <c r="AH287">
        <v>0.15745176230158001</v>
      </c>
      <c r="AI287" t="b">
        <v>1</v>
      </c>
      <c r="AK287">
        <v>7.2499999999999995E-2</v>
      </c>
      <c r="AL287">
        <v>7.2499999999999995E-2</v>
      </c>
      <c r="AM287">
        <v>7.2499999999999995E-2</v>
      </c>
      <c r="AN287">
        <v>7.2499999999999995E-2</v>
      </c>
      <c r="AS287">
        <v>10161983</v>
      </c>
      <c r="AT287">
        <v>5201419</v>
      </c>
      <c r="AU287" t="s">
        <v>502</v>
      </c>
      <c r="AV287" t="s">
        <v>503</v>
      </c>
      <c r="BB287">
        <f t="shared" si="649"/>
        <v>0.66357545794299155</v>
      </c>
      <c r="BD287">
        <f t="shared" si="650"/>
        <v>2713330</v>
      </c>
      <c r="BE287">
        <f t="shared" si="651"/>
        <v>-2247234</v>
      </c>
      <c r="BF287">
        <f t="shared" si="652"/>
        <v>12.254976572942478</v>
      </c>
      <c r="BG287">
        <f t="shared" si="653"/>
        <v>-10.149815917680421</v>
      </c>
      <c r="BH287">
        <f t="shared" si="654"/>
        <v>11.20239624531145</v>
      </c>
      <c r="BI287">
        <f t="shared" si="655"/>
        <v>105.25803276310286</v>
      </c>
      <c r="BJ287">
        <f t="shared" si="656"/>
        <v>11</v>
      </c>
      <c r="BK287">
        <f>IF($BJ287&lt;=30,IF($B287=2015,VLOOKUP($BJ287,'Treasury Yields'!$C$5:$N$34,$E287,FALSE)/100,IF($B287=2016,VLOOKUP($BJ287,'Treasury Yields'!$C$40:$N$69,$E287,FALSE)/100,IF($B287=2017,VLOOKUP($BJ287,'Treasury Yields'!$C$75:$N$104,$E287,FALSE)/100,IF($B287=2018,VLOOKUP($BJ287,'Treasury Yields'!$C$110:$N$139,$E287,FALSE)/100,IF($B287=2019,VLOOKUP($BJ287,'Treasury Yields'!$C$145:$N$174,$E287,FALSE)/100,IF($B287=2020,VLOOKUP($BJ287,'Treasury Yields'!$C$180:$N$209,$E287,FALSE)/100,IF($B287=2021,VLOOKUP($BJ287,'Treasury Yields'!$C$215:$N$244,$E287,FALSE)/100,IF($B287=2022,VLOOKUP($BJ287,'Treasury Yields'!$C$250:$N$279,$E287,FALSE)/100)))))))),0)</f>
        <v>2.1722000000000002E-2</v>
      </c>
      <c r="BL287">
        <f t="shared" si="657"/>
        <v>1.5714136818284248</v>
      </c>
      <c r="BM287">
        <f t="shared" si="658"/>
        <v>34554167.446389966</v>
      </c>
      <c r="BN287">
        <f t="shared" si="659"/>
        <v>19046622.446389966</v>
      </c>
      <c r="BP287">
        <f>IF($BJ287&lt;=30,IF($B287=2015,VLOOKUP($BJ287,'Treasury Yields'!$C$40:$N$69,$E287,FALSE)/100,IF($B287=2016,VLOOKUP($BJ287,'Treasury Yields'!$C$75:$N$104,$E287,FALSE)/100,IF($B287=2017,VLOOKUP($BJ287,'Treasury Yields'!$C$110:$N$139,$E287,FALSE)/100,IF($B287=2018,VLOOKUP($BJ287,'Treasury Yields'!$C$145:$N$174,$E287,FALSE)/100,IF($B287=2019,VLOOKUP($BJ287,'Treasury Yields'!$C$180:$N$209,$E287,FALSE)/100,IF($B287=2020,VLOOKUP($BJ287,'Treasury Yields'!$C$215:$N$244,$E287,FALSE)/100,IF($B287=2021,VLOOKUP($BJ287,'Treasury Yields'!$C$250:$N$279,$E287,FALSE)/100,IF($B287=2022,VLOOKUP($BJ287,'Treasury Yields'!$C$285:$N$314,$E287,FALSE)/100)))))))),0)</f>
        <v>1.4551090909090908E-2</v>
      </c>
      <c r="BQ287">
        <f t="shared" si="660"/>
        <v>1.6525247176847209</v>
      </c>
      <c r="BR287">
        <f t="shared" si="661"/>
        <v>36587951.560309604</v>
      </c>
      <c r="BS287">
        <f t="shared" si="662"/>
        <v>21895967.560309604</v>
      </c>
      <c r="BU287">
        <f t="shared" si="602"/>
        <v>14</v>
      </c>
      <c r="BV287">
        <f t="shared" si="663"/>
        <v>2.5511251444042538</v>
      </c>
      <c r="BW287">
        <f t="shared" si="664"/>
        <v>1023424.6696800769</v>
      </c>
      <c r="BX287" s="5">
        <f t="shared" si="665"/>
        <v>745554.9549492735</v>
      </c>
      <c r="BY287" s="5">
        <f t="shared" si="666"/>
        <v>408700.0624592735</v>
      </c>
      <c r="BZ287" s="5">
        <f t="shared" si="667"/>
        <v>1948263</v>
      </c>
      <c r="CA287" s="5">
        <f t="shared" si="668"/>
        <v>1432124.7321393504</v>
      </c>
      <c r="CC287" s="5">
        <f t="shared" si="669"/>
        <v>36587951.560309604</v>
      </c>
      <c r="CD287" s="5" t="str">
        <f t="shared" si="670"/>
        <v>New Mexico</v>
      </c>
      <c r="CE287" s="5">
        <f t="shared" si="600"/>
        <v>0.66357545794299155</v>
      </c>
      <c r="CF287" s="10">
        <f t="shared" si="671"/>
        <v>0.40155251588169749</v>
      </c>
    </row>
    <row r="288" spans="1:84" x14ac:dyDescent="0.2">
      <c r="A288">
        <v>32000000008601</v>
      </c>
      <c r="B288">
        <v>2021</v>
      </c>
      <c r="C288">
        <v>465</v>
      </c>
      <c r="D288" t="s">
        <v>493</v>
      </c>
      <c r="E288">
        <v>6</v>
      </c>
      <c r="F288" t="s">
        <v>494</v>
      </c>
      <c r="G288" t="s">
        <v>495</v>
      </c>
      <c r="H288" t="s">
        <v>496</v>
      </c>
      <c r="I288" t="b">
        <v>1</v>
      </c>
      <c r="J288">
        <v>409242</v>
      </c>
      <c r="K288">
        <v>1556071</v>
      </c>
      <c r="L288">
        <v>0</v>
      </c>
      <c r="M288">
        <v>310352</v>
      </c>
      <c r="N288">
        <v>0</v>
      </c>
      <c r="O288">
        <v>1314820</v>
      </c>
      <c r="P288">
        <v>40354</v>
      </c>
      <c r="Q288">
        <v>920491</v>
      </c>
      <c r="R288">
        <v>22140638</v>
      </c>
      <c r="S288">
        <v>23061128</v>
      </c>
      <c r="T288">
        <v>379185</v>
      </c>
      <c r="V288">
        <v>309552</v>
      </c>
      <c r="W288">
        <v>3799141</v>
      </c>
      <c r="Y288">
        <v>12730</v>
      </c>
      <c r="Z288">
        <v>1991</v>
      </c>
      <c r="AA288">
        <v>3121964</v>
      </c>
      <c r="AB288">
        <v>14691984</v>
      </c>
      <c r="AC288">
        <v>17813948</v>
      </c>
      <c r="AD288">
        <v>5247180</v>
      </c>
      <c r="AE288">
        <v>7448653</v>
      </c>
      <c r="AF288">
        <v>-2201473</v>
      </c>
      <c r="AG288">
        <v>2482249</v>
      </c>
      <c r="AI288" t="b">
        <v>1</v>
      </c>
      <c r="AK288">
        <v>7.2499999999999995E-2</v>
      </c>
      <c r="AL288">
        <v>7.2499999999999995E-2</v>
      </c>
      <c r="AM288">
        <v>7.2499999999999995E-2</v>
      </c>
      <c r="AN288">
        <v>7.2499999999999995E-2</v>
      </c>
      <c r="AS288">
        <v>8069508</v>
      </c>
      <c r="AT288">
        <v>2909422</v>
      </c>
      <c r="AU288" t="s">
        <v>502</v>
      </c>
      <c r="AV288" t="s">
        <v>504</v>
      </c>
      <c r="BB288">
        <f t="shared" si="649"/>
        <v>0.77246646391277995</v>
      </c>
      <c r="BD288">
        <f t="shared" si="650"/>
        <v>2822328</v>
      </c>
      <c r="BE288">
        <f t="shared" si="651"/>
        <v>-2337758</v>
      </c>
      <c r="BF288">
        <f t="shared" si="652"/>
        <v>12.238464657930002</v>
      </c>
      <c r="BG288">
        <f t="shared" si="653"/>
        <v>-10.137223122823826</v>
      </c>
      <c r="BH288">
        <f t="shared" si="654"/>
        <v>11.187843890376916</v>
      </c>
      <c r="BI288">
        <f t="shared" si="655"/>
        <v>105.06207675530875</v>
      </c>
      <c r="BJ288">
        <f t="shared" si="656"/>
        <v>11</v>
      </c>
      <c r="BK288">
        <f>IF($BJ288&lt;=30,IF($B288=2015,VLOOKUP($BJ288,'Treasury Yields'!$C$5:$N$34,$E288,FALSE)/100,IF($B288=2016,VLOOKUP($BJ288,'Treasury Yields'!$C$40:$N$69,$E288,FALSE)/100,IF($B288=2017,VLOOKUP($BJ288,'Treasury Yields'!$C$75:$N$104,$E288,FALSE)/100,IF($B288=2018,VLOOKUP($BJ288,'Treasury Yields'!$C$110:$N$139,$E288,FALSE)/100,IF($B288=2019,VLOOKUP($BJ288,'Treasury Yields'!$C$145:$N$174,$E288,FALSE)/100,IF($B288=2020,VLOOKUP($BJ288,'Treasury Yields'!$C$180:$N$209,$E288,FALSE)/100,IF($B288=2021,VLOOKUP($BJ288,'Treasury Yields'!$C$215:$N$244,$E288,FALSE)/100,IF($B288=2022,VLOOKUP($BJ288,'Treasury Yields'!$C$250:$N$279,$E288,FALSE)/100)))))))),0)</f>
        <v>1.4551090909090908E-2</v>
      </c>
      <c r="BL288">
        <f t="shared" si="657"/>
        <v>1.651681424591561</v>
      </c>
      <c r="BM288">
        <f t="shared" si="658"/>
        <v>36569280.51320605</v>
      </c>
      <c r="BN288">
        <f t="shared" si="659"/>
        <v>21877296.51320605</v>
      </c>
      <c r="BP288">
        <f>IF($BJ288&lt;=30,IF($B288=2015,VLOOKUP($BJ288,'Treasury Yields'!$C$40:$N$69,$E288,FALSE)/100,IF($B288=2016,VLOOKUP($BJ288,'Treasury Yields'!$C$75:$N$104,$E288,FALSE)/100,IF($B288=2017,VLOOKUP($BJ288,'Treasury Yields'!$C$110:$N$139,$E288,FALSE)/100,IF($B288=2018,VLOOKUP($BJ288,'Treasury Yields'!$C$145:$N$174,$E288,FALSE)/100,IF($B288=2019,VLOOKUP($BJ288,'Treasury Yields'!$C$180:$N$209,$E288,FALSE)/100,IF($B288=2020,VLOOKUP($BJ288,'Treasury Yields'!$C$215:$N$244,$E288,FALSE)/100,IF($B288=2021,VLOOKUP($BJ288,'Treasury Yields'!$C$250:$N$279,$E288,FALSE)/100,IF($B288=2022,VLOOKUP($BJ288,'Treasury Yields'!$C$285:$N$314,$E288,FALSE)/100)))))))),0)</f>
        <v>2.1554272727272727E-2</v>
      </c>
      <c r="BQ288">
        <f t="shared" si="660"/>
        <v>1.5725683107363375</v>
      </c>
      <c r="BR288">
        <f t="shared" si="661"/>
        <v>36265199.102634452</v>
      </c>
      <c r="BS288">
        <f t="shared" si="662"/>
        <v>18451251.102634452</v>
      </c>
      <c r="BU288">
        <f t="shared" si="602"/>
        <v>14</v>
      </c>
      <c r="BV288">
        <f t="shared" si="663"/>
        <v>2.8124145210724234</v>
      </c>
      <c r="BW288">
        <f t="shared" si="664"/>
        <v>1150958.1434327208</v>
      </c>
      <c r="BX288" s="5">
        <f t="shared" si="665"/>
        <v>529738.55645626492</v>
      </c>
      <c r="BY288" s="5">
        <f t="shared" si="666"/>
        <v>315954.16163735586</v>
      </c>
      <c r="BZ288" s="5">
        <f t="shared" si="667"/>
        <v>1965313</v>
      </c>
      <c r="CA288" s="5">
        <f t="shared" si="668"/>
        <v>1466912.3050700766</v>
      </c>
      <c r="CC288" s="5">
        <f t="shared" si="669"/>
        <v>36265199.102634452</v>
      </c>
      <c r="CD288" s="5" t="str">
        <f t="shared" si="670"/>
        <v>New Mexico</v>
      </c>
      <c r="CE288" s="5">
        <f t="shared" si="600"/>
        <v>0.77246646391277995</v>
      </c>
      <c r="CF288" s="10">
        <f t="shared" si="671"/>
        <v>0.49121329651560969</v>
      </c>
    </row>
    <row r="289" spans="1:84" x14ac:dyDescent="0.2">
      <c r="A289">
        <v>32000000008601</v>
      </c>
      <c r="B289">
        <v>2022</v>
      </c>
      <c r="C289">
        <v>465</v>
      </c>
      <c r="D289" t="s">
        <v>493</v>
      </c>
      <c r="E289">
        <v>6</v>
      </c>
      <c r="F289" t="s">
        <v>494</v>
      </c>
      <c r="G289" t="s">
        <v>495</v>
      </c>
      <c r="H289" t="s">
        <v>496</v>
      </c>
      <c r="I289" t="b">
        <v>1</v>
      </c>
      <c r="J289">
        <v>452128</v>
      </c>
      <c r="K289">
        <v>1636653</v>
      </c>
      <c r="L289">
        <v>3658</v>
      </c>
      <c r="M289">
        <v>-146670</v>
      </c>
      <c r="N289">
        <v>0</v>
      </c>
      <c r="O289">
        <v>1367738</v>
      </c>
      <c r="P289">
        <v>57591</v>
      </c>
      <c r="Q289">
        <v>520440</v>
      </c>
      <c r="R289">
        <v>23061128</v>
      </c>
      <c r="S289">
        <v>23581568</v>
      </c>
      <c r="T289">
        <v>395408</v>
      </c>
      <c r="V289">
        <v>326720</v>
      </c>
      <c r="W289">
        <v>-745218</v>
      </c>
      <c r="Y289">
        <v>16010</v>
      </c>
      <c r="Z289">
        <v>2713</v>
      </c>
      <c r="AA289">
        <v>-1459301</v>
      </c>
      <c r="AB289">
        <v>17813948</v>
      </c>
      <c r="AC289">
        <v>16354647</v>
      </c>
      <c r="AD289">
        <v>7226921</v>
      </c>
      <c r="AE289">
        <v>5247180</v>
      </c>
      <c r="AF289">
        <v>1979741</v>
      </c>
      <c r="AG289">
        <v>2460174</v>
      </c>
      <c r="AI289" t="b">
        <v>1</v>
      </c>
      <c r="AK289">
        <v>7.2499999999999995E-2</v>
      </c>
      <c r="AL289">
        <v>7.2499999999999995E-2</v>
      </c>
      <c r="AM289">
        <v>7.2499999999999995E-2</v>
      </c>
      <c r="AN289">
        <v>7.2499999999999995E-2</v>
      </c>
      <c r="AS289">
        <v>10108705</v>
      </c>
      <c r="AT289">
        <v>4839024</v>
      </c>
      <c r="AV289" t="s">
        <v>505</v>
      </c>
      <c r="BB289">
        <f t="shared" si="649"/>
        <v>0.69353517967931566</v>
      </c>
      <c r="BD289">
        <f t="shared" si="650"/>
        <v>2881784</v>
      </c>
      <c r="BE289">
        <f t="shared" si="651"/>
        <v>-2387897</v>
      </c>
      <c r="BF289">
        <f t="shared" si="652"/>
        <v>12.220493565143761</v>
      </c>
      <c r="BG289">
        <f t="shared" si="653"/>
        <v>-10.126116295574578</v>
      </c>
      <c r="BH289">
        <f t="shared" si="654"/>
        <v>11.173304930359167</v>
      </c>
      <c r="BI289">
        <f t="shared" si="655"/>
        <v>104.7188634784591</v>
      </c>
      <c r="BJ289">
        <f t="shared" si="656"/>
        <v>11</v>
      </c>
      <c r="BK289">
        <f>IF($BJ289&lt;=30,IF($B289=2015,VLOOKUP($BJ289,'Treasury Yields'!$C$5:$N$34,$E289,FALSE)/100,IF($B289=2016,VLOOKUP($BJ289,'Treasury Yields'!$C$40:$N$69,$E289,FALSE)/100,IF($B289=2017,VLOOKUP($BJ289,'Treasury Yields'!$C$75:$N$104,$E289,FALSE)/100,IF($B289=2018,VLOOKUP($BJ289,'Treasury Yields'!$C$110:$N$139,$E289,FALSE)/100,IF($B289=2019,VLOOKUP($BJ289,'Treasury Yields'!$C$145:$N$174,$E289,FALSE)/100,IF($B289=2020,VLOOKUP($BJ289,'Treasury Yields'!$C$180:$N$209,$E289,FALSE)/100,IF($B289=2021,VLOOKUP($BJ289,'Treasury Yields'!$C$215:$N$244,$E289,FALSE)/100,IF($B289=2022,VLOOKUP($BJ289,'Treasury Yields'!$C$250:$N$279,$E289,FALSE)/100)))))))),0)</f>
        <v>2.1554272727272727E-2</v>
      </c>
      <c r="BL289">
        <f t="shared" si="657"/>
        <v>1.5718276128444442</v>
      </c>
      <c r="BM289">
        <f t="shared" si="658"/>
        <v>36248117.773740172</v>
      </c>
      <c r="BN289">
        <f t="shared" si="659"/>
        <v>18434169.773740172</v>
      </c>
      <c r="BP289">
        <f>IF($BJ289&lt;=30,IF($B289=2015,VLOOKUP($BJ289,'Treasury Yields'!$C$40:$N$69,$E289,FALSE)/100,IF($B289=2016,VLOOKUP($BJ289,'Treasury Yields'!$C$75:$N$104,$E289,FALSE)/100,IF($B289=2017,VLOOKUP($BJ289,'Treasury Yields'!$C$110:$N$139,$E289,FALSE)/100,IF($B289=2018,VLOOKUP($BJ289,'Treasury Yields'!$C$145:$N$174,$E289,FALSE)/100,IF($B289=2019,VLOOKUP($BJ289,'Treasury Yields'!$C$180:$N$209,$E289,FALSE)/100,IF($B289=2020,VLOOKUP($BJ289,'Treasury Yields'!$C$215:$N$244,$E289,FALSE)/100,IF($B289=2021,VLOOKUP($BJ289,'Treasury Yields'!$C$250:$N$279,$E289,FALSE)/100,IF($B289=2022,VLOOKUP($BJ289,'Treasury Yields'!$C$285:$N$314,$E289,FALSE)/100)))))))),0)</f>
        <v>3.1935909090909091E-2</v>
      </c>
      <c r="BQ289">
        <f t="shared" si="660"/>
        <v>1.454880402421364</v>
      </c>
      <c r="BR289">
        <f t="shared" si="661"/>
        <v>34308361.141566761</v>
      </c>
      <c r="BS289">
        <f t="shared" si="662"/>
        <v>17953714.141566761</v>
      </c>
      <c r="BU289">
        <f t="shared" si="602"/>
        <v>14</v>
      </c>
      <c r="BV289">
        <f t="shared" si="663"/>
        <v>2.5542666953067688</v>
      </c>
      <c r="BW289">
        <f t="shared" si="664"/>
        <v>1154855.4924156587</v>
      </c>
      <c r="BX289" s="5">
        <f t="shared" si="665"/>
        <v>776713.28871815908</v>
      </c>
      <c r="BY289" s="5">
        <f t="shared" si="666"/>
        <v>392746.59517670446</v>
      </c>
      <c r="BZ289" s="5">
        <f t="shared" si="667"/>
        <v>2088781</v>
      </c>
      <c r="CA289" s="5">
        <f t="shared" si="668"/>
        <v>1547602.0875923631</v>
      </c>
      <c r="CC289" s="5">
        <f t="shared" si="669"/>
        <v>34308361.141566761</v>
      </c>
      <c r="CD289" s="5" t="str">
        <f t="shared" si="670"/>
        <v>New Mexico</v>
      </c>
      <c r="CE289" s="5">
        <f t="shared" si="600"/>
        <v>0.69353517967931566</v>
      </c>
      <c r="CF289" s="10">
        <f t="shared" si="671"/>
        <v>0.47669566414191977</v>
      </c>
    </row>
    <row r="290" spans="1:84" x14ac:dyDescent="0.2">
      <c r="A290">
        <v>33000000015801</v>
      </c>
      <c r="B290">
        <v>2015</v>
      </c>
      <c r="C290">
        <v>399</v>
      </c>
      <c r="D290" t="s">
        <v>506</v>
      </c>
      <c r="E290">
        <v>6</v>
      </c>
      <c r="F290" t="s">
        <v>507</v>
      </c>
      <c r="G290" t="s">
        <v>508</v>
      </c>
      <c r="H290" t="s">
        <v>509</v>
      </c>
      <c r="I290" t="b">
        <v>1</v>
      </c>
      <c r="J290">
        <v>1396824</v>
      </c>
      <c r="K290">
        <v>7611757</v>
      </c>
      <c r="L290">
        <v>0</v>
      </c>
      <c r="M290">
        <v>-161043</v>
      </c>
      <c r="N290">
        <v>0</v>
      </c>
      <c r="O290">
        <v>6531140</v>
      </c>
      <c r="Q290">
        <v>2316398</v>
      </c>
      <c r="R290">
        <v>97015706</v>
      </c>
      <c r="S290">
        <v>99332104</v>
      </c>
      <c r="T290">
        <v>2633682</v>
      </c>
      <c r="V290">
        <v>119411</v>
      </c>
      <c r="W290">
        <v>5400265</v>
      </c>
      <c r="Y290">
        <v>56948</v>
      </c>
      <c r="Z290">
        <v>3213</v>
      </c>
      <c r="AA290">
        <v>1568483</v>
      </c>
      <c r="AB290">
        <v>108150434</v>
      </c>
      <c r="AC290">
        <v>109718917</v>
      </c>
      <c r="AD290">
        <v>-10386813</v>
      </c>
      <c r="AE290">
        <v>-11134728</v>
      </c>
      <c r="AF290">
        <v>747915</v>
      </c>
      <c r="AG290">
        <v>15021357</v>
      </c>
      <c r="AH290">
        <v>0.1753291663329751</v>
      </c>
      <c r="AI290" t="b">
        <v>1</v>
      </c>
      <c r="AK290">
        <v>0.08</v>
      </c>
      <c r="AL290">
        <v>0.08</v>
      </c>
      <c r="AM290">
        <v>0.08</v>
      </c>
      <c r="AN290">
        <v>0.08</v>
      </c>
      <c r="AO290">
        <v>1</v>
      </c>
      <c r="AP290">
        <v>0</v>
      </c>
      <c r="AS290">
        <v>708515</v>
      </c>
      <c r="AT290">
        <v>-19848797</v>
      </c>
      <c r="BB290">
        <f t="shared" ref="BB290:BB297" si="672">AC290/S290</f>
        <v>1.1045665256421027</v>
      </c>
      <c r="BD290">
        <f t="shared" ref="BD290:BD297" si="673">AS290-AD290</f>
        <v>11095328</v>
      </c>
      <c r="BE290">
        <f t="shared" ref="BE290:BE297" si="674">AT290-AD290</f>
        <v>-9461984</v>
      </c>
      <c r="BF290">
        <f t="shared" ref="BF290:BF297" si="675">BD290/S290*100</f>
        <v>11.169931525863984</v>
      </c>
      <c r="BG290">
        <f t="shared" ref="BG290:BG297" si="676">BE290/S290*100</f>
        <v>-9.5256051356769813</v>
      </c>
      <c r="BH290">
        <f t="shared" ref="BH290:BH297" si="677">(BD290-BE290)/(2*S290)*100</f>
        <v>10.347768330770483</v>
      </c>
      <c r="BI290">
        <f t="shared" ref="BI290:BI297" si="678">(BD290+BE290)/(2*S290*(0.01^2))</f>
        <v>82.216319509350171</v>
      </c>
      <c r="BJ290">
        <f t="shared" ref="BJ290:BJ297" si="679">ROUND(BH290,0)</f>
        <v>10</v>
      </c>
      <c r="BK290">
        <f>IF($BJ290&lt;=30,IF($B290=2015,VLOOKUP($BJ290,'Treasury Yields'!$C$5:$N$34,$E290,FALSE)/100,IF($B290=2016,VLOOKUP($BJ290,'Treasury Yields'!$C$40:$N$69,$E290,FALSE)/100,IF($B290=2017,VLOOKUP($BJ290,'Treasury Yields'!$C$75:$N$104,$E290,FALSE)/100,IF($B290=2018,VLOOKUP($BJ290,'Treasury Yields'!$C$110:$N$139,$E290,FALSE)/100,IF($B290=2019,VLOOKUP($BJ290,'Treasury Yields'!$C$145:$N$174,$E290,FALSE)/100,IF($B290=2020,VLOOKUP($BJ290,'Treasury Yields'!$C$180:$N$209,$E290,FALSE)/100,IF($B290=2021,VLOOKUP($BJ290,'Treasury Yields'!$C$215:$N$244,$E290,FALSE)/100,IF($B290=2022,VLOOKUP($BJ290,'Treasury Yields'!$C$250:$N$279,$E290,FALSE)/100)))))))),0)</f>
        <v>2.7109999999999999E-2</v>
      </c>
      <c r="BL290">
        <f t="shared" ref="BL290:BL297" si="680">1+BH290*(AL290-BK290)+(AL290-BK290)^2</f>
        <v>1.5500908191144509</v>
      </c>
      <c r="BM290">
        <f t="shared" ref="BM290:BM297" si="681">BL290*R290</f>
        <v>150383155.18050674</v>
      </c>
      <c r="BN290">
        <f t="shared" ref="BN290:BN297" si="682">BM290-AB290</f>
        <v>42232721.180506736</v>
      </c>
      <c r="BP290">
        <f>IF($BJ290&lt;=30,IF($B290=2015,VLOOKUP($BJ290,'Treasury Yields'!$C$40:$N$69,$E290,FALSE)/100,IF($B290=2016,VLOOKUP($BJ290,'Treasury Yields'!$C$75:$N$104,$E290,FALSE)/100,IF($B290=2017,VLOOKUP($BJ290,'Treasury Yields'!$C$110:$N$139,$E290,FALSE)/100,IF($B290=2018,VLOOKUP($BJ290,'Treasury Yields'!$C$145:$N$174,$E290,FALSE)/100,IF($B290=2019,VLOOKUP($BJ290,'Treasury Yields'!$C$180:$N$209,$E290,FALSE)/100,IF($B290=2020,VLOOKUP($BJ290,'Treasury Yields'!$C$215:$N$244,$E290,FALSE)/100,IF($B290=2021,VLOOKUP($BJ290,'Treasury Yields'!$C$250:$N$279,$E290,FALSE)/100,IF($B290=2022,VLOOKUP($BJ290,'Treasury Yields'!$C$285:$N$314,$E290,FALSE)/100)))))))),0)</f>
        <v>2.5470000000000003E-2</v>
      </c>
      <c r="BQ290">
        <f t="shared" ref="BQ290:BQ297" si="683">1+BH290*(AN290-BP290)+(AN290-BP290)^2</f>
        <v>1.5672373279769143</v>
      </c>
      <c r="BR290">
        <f t="shared" ref="BR290:BR297" si="684">BQ290*S290</f>
        <v>155676981.25528497</v>
      </c>
      <c r="BS290">
        <f t="shared" ref="BS290:BS297" si="685">BR290-AC290</f>
        <v>45958064.255284965</v>
      </c>
      <c r="BU290">
        <f t="shared" si="602"/>
        <v>13</v>
      </c>
      <c r="BV290">
        <f t="shared" ref="BV290:BV297" si="686">1+(BH290+BU290)*(AN290-BK290)+(AN290-BK290)^2*BI290</f>
        <v>2.4648514610482026</v>
      </c>
      <c r="BW290">
        <f t="shared" ref="BW290:BW297" si="687">BV290*J290</f>
        <v>3442963.6772271944</v>
      </c>
      <c r="BX290" s="5">
        <f t="shared" ref="BX290:BX297" si="688">(BM290+BW290-O290)*BK290</f>
        <v>3993166.8768331669</v>
      </c>
      <c r="BY290" s="5">
        <f t="shared" ref="BY290:BY297" si="689">BK290*(BN290+BW290-O290)</f>
        <v>1061208.6110931667</v>
      </c>
      <c r="BZ290" s="5">
        <f t="shared" ref="BZ290:BZ297" si="690">SUM(J290:K290)</f>
        <v>9008581</v>
      </c>
      <c r="CA290" s="5">
        <f t="shared" ref="CA290:CA297" si="691">SUM(BW290+BY290)</f>
        <v>4504172.2883203607</v>
      </c>
      <c r="CC290" s="5">
        <f t="shared" ref="CC290:CC297" si="692">BR290</f>
        <v>155676981.25528497</v>
      </c>
      <c r="CD290" s="5" t="str">
        <f t="shared" ref="CD290:CD297" si="693">F290</f>
        <v>New York</v>
      </c>
      <c r="CE290" s="5">
        <f t="shared" si="600"/>
        <v>1.1045665256421027</v>
      </c>
      <c r="CF290" s="10">
        <f t="shared" ref="CF290:CF297" si="694">AC290/CC290</f>
        <v>0.70478574362948876</v>
      </c>
    </row>
    <row r="291" spans="1:84" x14ac:dyDescent="0.2">
      <c r="A291">
        <v>33000000015801</v>
      </c>
      <c r="B291">
        <v>2016</v>
      </c>
      <c r="C291">
        <v>399</v>
      </c>
      <c r="D291" t="s">
        <v>506</v>
      </c>
      <c r="E291">
        <v>6</v>
      </c>
      <c r="F291" t="s">
        <v>507</v>
      </c>
      <c r="G291" t="s">
        <v>508</v>
      </c>
      <c r="H291" t="s">
        <v>509</v>
      </c>
      <c r="I291" t="b">
        <v>1</v>
      </c>
      <c r="J291">
        <v>1181609</v>
      </c>
      <c r="K291">
        <v>7809566</v>
      </c>
      <c r="L291">
        <v>0</v>
      </c>
      <c r="M291">
        <v>-111652</v>
      </c>
      <c r="N291">
        <v>7085423</v>
      </c>
      <c r="O291">
        <v>6719866</v>
      </c>
      <c r="Q291">
        <v>9245080</v>
      </c>
      <c r="R291">
        <v>99332104</v>
      </c>
      <c r="S291">
        <v>108577184</v>
      </c>
      <c r="T291">
        <v>2046562</v>
      </c>
      <c r="V291">
        <v>124587</v>
      </c>
      <c r="W291">
        <v>2392354</v>
      </c>
      <c r="Y291">
        <v>60426</v>
      </c>
      <c r="Z291">
        <v>4014</v>
      </c>
      <c r="AA291">
        <v>-2212775</v>
      </c>
      <c r="AB291">
        <v>109718917</v>
      </c>
      <c r="AC291">
        <v>107506142</v>
      </c>
      <c r="AD291">
        <v>1071042</v>
      </c>
      <c r="AE291">
        <v>-10386813</v>
      </c>
      <c r="AF291">
        <v>11457855</v>
      </c>
      <c r="AG291">
        <v>15431009</v>
      </c>
      <c r="AH291">
        <v>0.13262658326490509</v>
      </c>
      <c r="AI291" t="b">
        <v>1</v>
      </c>
      <c r="AK291">
        <v>0.08</v>
      </c>
      <c r="AL291">
        <v>7.4999999999999997E-2</v>
      </c>
      <c r="AM291">
        <v>0.08</v>
      </c>
      <c r="AN291">
        <v>0.08</v>
      </c>
      <c r="AO291">
        <v>1</v>
      </c>
      <c r="AP291">
        <v>5.0000000000000044E-3</v>
      </c>
      <c r="AS291">
        <v>13974176</v>
      </c>
      <c r="AT291">
        <v>-9751431</v>
      </c>
      <c r="AU291" t="s">
        <v>317</v>
      </c>
      <c r="AV291" t="s">
        <v>510</v>
      </c>
      <c r="BB291">
        <f t="shared" si="672"/>
        <v>0.9901356623874128</v>
      </c>
      <c r="BD291">
        <f t="shared" si="673"/>
        <v>12903134</v>
      </c>
      <c r="BE291">
        <f t="shared" si="674"/>
        <v>-10822473</v>
      </c>
      <c r="BF291">
        <f t="shared" si="675"/>
        <v>11.883835557938212</v>
      </c>
      <c r="BG291">
        <f t="shared" si="676"/>
        <v>-9.9675388523614679</v>
      </c>
      <c r="BH291">
        <f t="shared" si="677"/>
        <v>10.92568720514984</v>
      </c>
      <c r="BI291">
        <f t="shared" si="678"/>
        <v>95.814835278837222</v>
      </c>
      <c r="BJ291">
        <f t="shared" si="679"/>
        <v>11</v>
      </c>
      <c r="BK291">
        <f>IF($BJ291&lt;=30,IF($B291=2015,VLOOKUP($BJ291,'Treasury Yields'!$C$5:$N$34,$E291,FALSE)/100,IF($B291=2016,VLOOKUP($BJ291,'Treasury Yields'!$C$40:$N$69,$E291,FALSE)/100,IF($B291=2017,VLOOKUP($BJ291,'Treasury Yields'!$C$75:$N$104,$E291,FALSE)/100,IF($B291=2018,VLOOKUP($BJ291,'Treasury Yields'!$C$110:$N$139,$E291,FALSE)/100,IF($B291=2019,VLOOKUP($BJ291,'Treasury Yields'!$C$145:$N$174,$E291,FALSE)/100,IF($B291=2020,VLOOKUP($BJ291,'Treasury Yields'!$C$180:$N$209,$E291,FALSE)/100,IF($B291=2021,VLOOKUP($BJ291,'Treasury Yields'!$C$215:$N$244,$E291,FALSE)/100,IF($B291=2022,VLOOKUP($BJ291,'Treasury Yields'!$C$250:$N$279,$E291,FALSE)/100)))))))),0)</f>
        <v>2.6258E-2</v>
      </c>
      <c r="BL291">
        <f t="shared" si="680"/>
        <v>1.5349156283174135</v>
      </c>
      <c r="BM291">
        <f t="shared" si="681"/>
        <v>152466398.82325065</v>
      </c>
      <c r="BN291">
        <f t="shared" si="682"/>
        <v>42747481.823250651</v>
      </c>
      <c r="BP291">
        <f>IF($BJ291&lt;=30,IF($B291=2015,VLOOKUP($BJ291,'Treasury Yields'!$C$40:$N$69,$E291,FALSE)/100,IF($B291=2016,VLOOKUP($BJ291,'Treasury Yields'!$C$75:$N$104,$E291,FALSE)/100,IF($B291=2017,VLOOKUP($BJ291,'Treasury Yields'!$C$110:$N$139,$E291,FALSE)/100,IF($B291=2018,VLOOKUP($BJ291,'Treasury Yields'!$C$145:$N$174,$E291,FALSE)/100,IF($B291=2019,VLOOKUP($BJ291,'Treasury Yields'!$C$180:$N$209,$E291,FALSE)/100,IF($B291=2020,VLOOKUP($BJ291,'Treasury Yields'!$C$215:$N$244,$E291,FALSE)/100,IF($B291=2021,VLOOKUP($BJ291,'Treasury Yields'!$C$250:$N$279,$E291,FALSE)/100,IF($B291=2022,VLOOKUP($BJ291,'Treasury Yields'!$C$285:$N$314,$E291,FALSE)/100)))))))),0)</f>
        <v>1.6948000000000001E-2</v>
      </c>
      <c r="BQ291">
        <f t="shared" si="683"/>
        <v>1.6928619843631076</v>
      </c>
      <c r="BR291">
        <f t="shared" si="684"/>
        <v>183806187.16279826</v>
      </c>
      <c r="BS291">
        <f t="shared" si="685"/>
        <v>76300045.162798256</v>
      </c>
      <c r="BU291">
        <f t="shared" si="602"/>
        <v>14</v>
      </c>
      <c r="BV291">
        <f t="shared" si="686"/>
        <v>2.6162889347007381</v>
      </c>
      <c r="BW291">
        <f t="shared" si="687"/>
        <v>3091430.5518428045</v>
      </c>
      <c r="BX291" s="5">
        <f t="shared" si="688"/>
        <v>3908187.2423032043</v>
      </c>
      <c r="BY291" s="5">
        <f t="shared" si="689"/>
        <v>1027187.9197172038</v>
      </c>
      <c r="BZ291" s="5">
        <f t="shared" si="690"/>
        <v>8991175</v>
      </c>
      <c r="CA291" s="5">
        <f t="shared" si="691"/>
        <v>4118618.4715600084</v>
      </c>
      <c r="CC291" s="5">
        <f t="shared" si="692"/>
        <v>183806187.16279826</v>
      </c>
      <c r="CD291" s="5" t="str">
        <f t="shared" si="693"/>
        <v>New York</v>
      </c>
      <c r="CE291" s="5">
        <f t="shared" si="600"/>
        <v>0.9901356623874128</v>
      </c>
      <c r="CF291" s="10">
        <f t="shared" si="694"/>
        <v>0.58488859194267029</v>
      </c>
    </row>
    <row r="292" spans="1:84" x14ac:dyDescent="0.2">
      <c r="A292">
        <v>33000000015801</v>
      </c>
      <c r="B292">
        <v>2017</v>
      </c>
      <c r="C292">
        <v>399</v>
      </c>
      <c r="D292" t="s">
        <v>506</v>
      </c>
      <c r="E292">
        <v>6</v>
      </c>
      <c r="F292" t="s">
        <v>507</v>
      </c>
      <c r="G292" t="s">
        <v>508</v>
      </c>
      <c r="H292" t="s">
        <v>509</v>
      </c>
      <c r="I292" t="b">
        <v>1</v>
      </c>
      <c r="J292">
        <v>1292143</v>
      </c>
      <c r="K292">
        <v>7988167</v>
      </c>
      <c r="L292">
        <v>0</v>
      </c>
      <c r="M292">
        <v>727895</v>
      </c>
      <c r="N292">
        <v>3045909</v>
      </c>
      <c r="O292">
        <v>6923037</v>
      </c>
      <c r="Q292">
        <v>6131077</v>
      </c>
      <c r="R292">
        <v>108577184</v>
      </c>
      <c r="S292">
        <v>114708261</v>
      </c>
      <c r="T292">
        <v>1857359</v>
      </c>
      <c r="V292">
        <v>129770</v>
      </c>
      <c r="W292">
        <v>12951892</v>
      </c>
      <c r="Y292">
        <v>61611</v>
      </c>
      <c r="Z292">
        <v>7845</v>
      </c>
      <c r="AA292">
        <v>7962218</v>
      </c>
      <c r="AB292">
        <v>107506142</v>
      </c>
      <c r="AC292">
        <v>115468360</v>
      </c>
      <c r="AD292">
        <v>-760099</v>
      </c>
      <c r="AE292">
        <v>1071042</v>
      </c>
      <c r="AF292">
        <v>-1831141</v>
      </c>
      <c r="AG292">
        <v>15846705</v>
      </c>
      <c r="AH292">
        <v>0.11720789905535567</v>
      </c>
      <c r="AI292" t="b">
        <v>1</v>
      </c>
      <c r="AK292">
        <v>7.4999999999999997E-2</v>
      </c>
      <c r="AL292">
        <v>7.2499999999999995E-2</v>
      </c>
      <c r="AM292">
        <v>7.2499999999999995E-2</v>
      </c>
      <c r="AN292">
        <v>0.08</v>
      </c>
      <c r="AO292">
        <v>1</v>
      </c>
      <c r="AP292">
        <v>0</v>
      </c>
      <c r="AS292">
        <v>13094259</v>
      </c>
      <c r="AT292">
        <v>-12362437</v>
      </c>
      <c r="AU292" t="s">
        <v>180</v>
      </c>
      <c r="AV292" t="s">
        <v>511</v>
      </c>
      <c r="BB292">
        <f t="shared" si="672"/>
        <v>1.0066263666921078</v>
      </c>
      <c r="BD292">
        <f t="shared" si="673"/>
        <v>13854358</v>
      </c>
      <c r="BE292">
        <f t="shared" si="674"/>
        <v>-11602338</v>
      </c>
      <c r="BF292">
        <f t="shared" si="675"/>
        <v>12.077907797765324</v>
      </c>
      <c r="BG292">
        <f t="shared" si="676"/>
        <v>-10.114649022532038</v>
      </c>
      <c r="BH292">
        <f t="shared" si="677"/>
        <v>11.096278410148681</v>
      </c>
      <c r="BI292">
        <f t="shared" si="678"/>
        <v>98.16293876166425</v>
      </c>
      <c r="BJ292">
        <f t="shared" si="679"/>
        <v>11</v>
      </c>
      <c r="BK292">
        <f>IF($BJ292&lt;=30,IF($B292=2015,VLOOKUP($BJ292,'Treasury Yields'!$C$5:$N$34,$E292,FALSE)/100,IF($B292=2016,VLOOKUP($BJ292,'Treasury Yields'!$C$40:$N$69,$E292,FALSE)/100,IF($B292=2017,VLOOKUP($BJ292,'Treasury Yields'!$C$75:$N$104,$E292,FALSE)/100,IF($B292=2018,VLOOKUP($BJ292,'Treasury Yields'!$C$110:$N$139,$E292,FALSE)/100,IF($B292=2019,VLOOKUP($BJ292,'Treasury Yields'!$C$145:$N$174,$E292,FALSE)/100,IF($B292=2020,VLOOKUP($BJ292,'Treasury Yields'!$C$180:$N$209,$E292,FALSE)/100,IF($B292=2021,VLOOKUP($BJ292,'Treasury Yields'!$C$215:$N$244,$E292,FALSE)/100,IF($B292=2022,VLOOKUP($BJ292,'Treasury Yields'!$C$250:$N$279,$E292,FALSE)/100)))))))),0)</f>
        <v>1.6948000000000001E-2</v>
      </c>
      <c r="BL292">
        <f t="shared" si="680"/>
        <v>1.6195064829445796</v>
      </c>
      <c r="BM292">
        <f t="shared" si="681"/>
        <v>175841453.38786647</v>
      </c>
      <c r="BN292">
        <f t="shared" si="682"/>
        <v>68335311.387866467</v>
      </c>
      <c r="BP292">
        <f>IF($BJ292&lt;=30,IF($B292=2015,VLOOKUP($BJ292,'Treasury Yields'!$C$40:$N$69,$E292,FALSE)/100,IF($B292=2016,VLOOKUP($BJ292,'Treasury Yields'!$C$75:$N$104,$E292,FALSE)/100,IF($B292=2017,VLOOKUP($BJ292,'Treasury Yields'!$C$110:$N$139,$E292,FALSE)/100,IF($B292=2018,VLOOKUP($BJ292,'Treasury Yields'!$C$145:$N$174,$E292,FALSE)/100,IF($B292=2019,VLOOKUP($BJ292,'Treasury Yields'!$C$180:$N$209,$E292,FALSE)/100,IF($B292=2020,VLOOKUP($BJ292,'Treasury Yields'!$C$215:$N$244,$E292,FALSE)/100,IF($B292=2021,VLOOKUP($BJ292,'Treasury Yields'!$C$250:$N$279,$E292,FALSE)/100,IF($B292=2022,VLOOKUP($BJ292,'Treasury Yields'!$C$285:$N$314,$E292,FALSE)/100)))))))),0)</f>
        <v>2.5068799999999999E-2</v>
      </c>
      <c r="BQ292">
        <f t="shared" si="683"/>
        <v>1.6125493253369991</v>
      </c>
      <c r="BR292">
        <f t="shared" si="684"/>
        <v>184972728.88613042</v>
      </c>
      <c r="BS292">
        <f t="shared" si="685"/>
        <v>69504368.886130422</v>
      </c>
      <c r="BU292">
        <f t="shared" si="602"/>
        <v>14</v>
      </c>
      <c r="BV292">
        <f t="shared" si="686"/>
        <v>2.9726226792690928</v>
      </c>
      <c r="BW292">
        <f t="shared" si="687"/>
        <v>3841053.5866588033</v>
      </c>
      <c r="BX292" s="5">
        <f t="shared" si="688"/>
        <v>2927927.4971282547</v>
      </c>
      <c r="BY292" s="5">
        <f t="shared" si="689"/>
        <v>1105913.4025122544</v>
      </c>
      <c r="BZ292" s="5">
        <f t="shared" si="690"/>
        <v>9280310</v>
      </c>
      <c r="CA292" s="5">
        <f t="shared" si="691"/>
        <v>4946966.9891710579</v>
      </c>
      <c r="CC292" s="5">
        <f t="shared" si="692"/>
        <v>184972728.88613042</v>
      </c>
      <c r="CD292" s="5" t="str">
        <f t="shared" si="693"/>
        <v>New York</v>
      </c>
      <c r="CE292" s="5">
        <f t="shared" si="600"/>
        <v>1.0066263666921078</v>
      </c>
      <c r="CF292" s="10">
        <f t="shared" si="694"/>
        <v>0.6242453181900266</v>
      </c>
    </row>
    <row r="293" spans="1:84" x14ac:dyDescent="0.2">
      <c r="A293">
        <v>33000000015801</v>
      </c>
      <c r="B293">
        <v>2018</v>
      </c>
      <c r="C293">
        <v>399</v>
      </c>
      <c r="D293" t="s">
        <v>506</v>
      </c>
      <c r="E293">
        <v>6</v>
      </c>
      <c r="F293" t="s">
        <v>507</v>
      </c>
      <c r="G293" t="s">
        <v>508</v>
      </c>
      <c r="H293" t="s">
        <v>509</v>
      </c>
      <c r="I293" t="b">
        <v>1</v>
      </c>
      <c r="J293">
        <v>1319513</v>
      </c>
      <c r="K293">
        <v>8224221</v>
      </c>
      <c r="L293">
        <v>0</v>
      </c>
      <c r="M293">
        <v>964258</v>
      </c>
      <c r="N293">
        <v>0</v>
      </c>
      <c r="O293">
        <v>7108999</v>
      </c>
      <c r="Q293">
        <v>3398993</v>
      </c>
      <c r="R293">
        <v>114708261</v>
      </c>
      <c r="S293">
        <v>118107254</v>
      </c>
      <c r="T293">
        <v>1597139</v>
      </c>
      <c r="V293">
        <v>131595</v>
      </c>
      <c r="W293">
        <v>9928011</v>
      </c>
      <c r="Y293">
        <v>60610</v>
      </c>
      <c r="Z293">
        <v>9278</v>
      </c>
      <c r="AA293">
        <v>4496414</v>
      </c>
      <c r="AB293">
        <v>115468360</v>
      </c>
      <c r="AC293">
        <v>119915518</v>
      </c>
      <c r="AD293">
        <v>-1808264</v>
      </c>
      <c r="AE293">
        <v>-760099</v>
      </c>
      <c r="AF293">
        <v>-1048165</v>
      </c>
      <c r="AG293">
        <v>16288884</v>
      </c>
      <c r="AH293">
        <v>9.8050854803803628E-2</v>
      </c>
      <c r="AI293" t="b">
        <v>1</v>
      </c>
      <c r="AK293">
        <v>7.2499999999999995E-2</v>
      </c>
      <c r="AL293">
        <v>7.2499999999999995E-2</v>
      </c>
      <c r="AM293">
        <v>7.2499999999999995E-2</v>
      </c>
      <c r="AN293">
        <v>7.2499999999999995E-2</v>
      </c>
      <c r="AO293">
        <v>1</v>
      </c>
      <c r="AP293">
        <v>0</v>
      </c>
      <c r="AS293">
        <v>12423071</v>
      </c>
      <c r="AT293">
        <v>-13730169</v>
      </c>
      <c r="AU293" t="s">
        <v>180</v>
      </c>
      <c r="AV293" t="s">
        <v>511</v>
      </c>
      <c r="BB293">
        <f t="shared" si="672"/>
        <v>1.0153103551116345</v>
      </c>
      <c r="BD293">
        <f t="shared" si="673"/>
        <v>14231335</v>
      </c>
      <c r="BE293">
        <f t="shared" si="674"/>
        <v>-11921905</v>
      </c>
      <c r="BF293">
        <f t="shared" si="675"/>
        <v>12.049501210145822</v>
      </c>
      <c r="BG293">
        <f t="shared" si="676"/>
        <v>-10.094134438177692</v>
      </c>
      <c r="BH293">
        <f t="shared" si="677"/>
        <v>11.071817824161757</v>
      </c>
      <c r="BI293">
        <f t="shared" si="678"/>
        <v>97.768338598406487</v>
      </c>
      <c r="BJ293">
        <f t="shared" si="679"/>
        <v>11</v>
      </c>
      <c r="BK293">
        <f>IF($BJ293&lt;=30,IF($B293=2015,VLOOKUP($BJ293,'Treasury Yields'!$C$5:$N$34,$E293,FALSE)/100,IF($B293=2016,VLOOKUP($BJ293,'Treasury Yields'!$C$40:$N$69,$E293,FALSE)/100,IF($B293=2017,VLOOKUP($BJ293,'Treasury Yields'!$C$75:$N$104,$E293,FALSE)/100,IF($B293=2018,VLOOKUP($BJ293,'Treasury Yields'!$C$110:$N$139,$E293,FALSE)/100,IF($B293=2019,VLOOKUP($BJ293,'Treasury Yields'!$C$145:$N$174,$E293,FALSE)/100,IF($B293=2020,VLOOKUP($BJ293,'Treasury Yields'!$C$180:$N$209,$E293,FALSE)/100,IF($B293=2021,VLOOKUP($BJ293,'Treasury Yields'!$C$215:$N$244,$E293,FALSE)/100,IF($B293=2022,VLOOKUP($BJ293,'Treasury Yields'!$C$250:$N$279,$E293,FALSE)/100)))))))),0)</f>
        <v>2.5068799999999999E-2</v>
      </c>
      <c r="BL293">
        <f t="shared" si="680"/>
        <v>1.5273993243148209</v>
      </c>
      <c r="BM293">
        <f t="shared" si="681"/>
        <v>175205320.34472814</v>
      </c>
      <c r="BN293">
        <f t="shared" si="682"/>
        <v>59736960.344728142</v>
      </c>
      <c r="BP293">
        <f>IF($BJ293&lt;=30,IF($B293=2015,VLOOKUP($BJ293,'Treasury Yields'!$C$40:$N$69,$E293,FALSE)/100,IF($B293=2016,VLOOKUP($BJ293,'Treasury Yields'!$C$75:$N$104,$E293,FALSE)/100,IF($B293=2017,VLOOKUP($BJ293,'Treasury Yields'!$C$110:$N$139,$E293,FALSE)/100,IF($B293=2018,VLOOKUP($BJ293,'Treasury Yields'!$C$145:$N$174,$E293,FALSE)/100,IF($B293=2019,VLOOKUP($BJ293,'Treasury Yields'!$C$180:$N$209,$E293,FALSE)/100,IF($B293=2020,VLOOKUP($BJ293,'Treasury Yields'!$C$215:$N$244,$E293,FALSE)/100,IF($B293=2021,VLOOKUP($BJ293,'Treasury Yields'!$C$250:$N$279,$E293,FALSE)/100,IF($B293=2022,VLOOKUP($BJ293,'Treasury Yields'!$C$285:$N$314,$E293,FALSE)/100)))))))),0)</f>
        <v>2.9273236363636365E-2</v>
      </c>
      <c r="BQ293">
        <f t="shared" si="683"/>
        <v>1.480467405204392</v>
      </c>
      <c r="BR293">
        <f t="shared" si="684"/>
        <v>174853939.86519605</v>
      </c>
      <c r="BS293">
        <f t="shared" si="685"/>
        <v>54938421.865196049</v>
      </c>
      <c r="BU293">
        <f t="shared" si="602"/>
        <v>14</v>
      </c>
      <c r="BV293">
        <f t="shared" si="686"/>
        <v>2.4091376684635208</v>
      </c>
      <c r="BW293">
        <f t="shared" si="687"/>
        <v>3178888.4723273059</v>
      </c>
      <c r="BX293" s="5">
        <f t="shared" si="688"/>
        <v>4293663.9798617987</v>
      </c>
      <c r="BY293" s="5">
        <f t="shared" si="689"/>
        <v>1399010.7566937995</v>
      </c>
      <c r="BZ293" s="5">
        <f t="shared" si="690"/>
        <v>9543734</v>
      </c>
      <c r="CA293" s="5">
        <f t="shared" si="691"/>
        <v>4577899.2290211059</v>
      </c>
      <c r="CC293" s="5">
        <f t="shared" si="692"/>
        <v>174853939.86519605</v>
      </c>
      <c r="CD293" s="5" t="str">
        <f t="shared" si="693"/>
        <v>New York</v>
      </c>
      <c r="CE293" s="5">
        <f t="shared" si="600"/>
        <v>1.0153103551116345</v>
      </c>
      <c r="CF293" s="10">
        <f t="shared" si="694"/>
        <v>0.68580392350580766</v>
      </c>
    </row>
    <row r="294" spans="1:84" x14ac:dyDescent="0.2">
      <c r="A294">
        <v>33000000015801</v>
      </c>
      <c r="B294">
        <v>2019</v>
      </c>
      <c r="C294">
        <v>399</v>
      </c>
      <c r="D294" t="s">
        <v>506</v>
      </c>
      <c r="E294">
        <v>6</v>
      </c>
      <c r="F294" t="s">
        <v>507</v>
      </c>
      <c r="G294" t="s">
        <v>508</v>
      </c>
      <c r="H294" t="s">
        <v>509</v>
      </c>
      <c r="I294" t="b">
        <v>1</v>
      </c>
      <c r="J294">
        <v>1528402</v>
      </c>
      <c r="K294">
        <v>8189405</v>
      </c>
      <c r="L294">
        <v>815</v>
      </c>
      <c r="M294">
        <v>753802</v>
      </c>
      <c r="N294">
        <v>-1392886</v>
      </c>
      <c r="O294">
        <v>7307318</v>
      </c>
      <c r="Q294">
        <v>1772220</v>
      </c>
      <c r="R294">
        <v>118107254</v>
      </c>
      <c r="S294">
        <v>119879474</v>
      </c>
      <c r="T294">
        <v>1774646</v>
      </c>
      <c r="V294">
        <v>136610</v>
      </c>
      <c r="W294">
        <v>8023180</v>
      </c>
      <c r="Y294">
        <v>74242</v>
      </c>
      <c r="Z294">
        <v>9087</v>
      </c>
      <c r="AA294">
        <v>2561963</v>
      </c>
      <c r="AB294">
        <v>119915518</v>
      </c>
      <c r="AC294">
        <v>122477481</v>
      </c>
      <c r="AD294">
        <v>-2598007</v>
      </c>
      <c r="AE294">
        <v>-1808264</v>
      </c>
      <c r="AF294">
        <v>-789743</v>
      </c>
      <c r="AG294">
        <v>16691626</v>
      </c>
      <c r="AH294">
        <v>0.1063195401095136</v>
      </c>
      <c r="AI294" t="b">
        <v>1</v>
      </c>
      <c r="AK294">
        <v>7.2499999999999995E-2</v>
      </c>
      <c r="AL294">
        <v>7.0999999999999994E-2</v>
      </c>
      <c r="AM294">
        <v>7.0999999999999994E-2</v>
      </c>
      <c r="AN294">
        <v>7.2499999999999995E-2</v>
      </c>
      <c r="AO294">
        <v>1</v>
      </c>
      <c r="AP294">
        <v>0</v>
      </c>
      <c r="AS294">
        <v>11727131</v>
      </c>
      <c r="AT294">
        <v>-14615181</v>
      </c>
      <c r="BB294">
        <f t="shared" si="672"/>
        <v>1.0216718251533203</v>
      </c>
      <c r="BD294">
        <f t="shared" si="673"/>
        <v>14325138</v>
      </c>
      <c r="BE294">
        <f t="shared" si="674"/>
        <v>-12017174</v>
      </c>
      <c r="BF294">
        <f t="shared" si="675"/>
        <v>11.949616996150651</v>
      </c>
      <c r="BG294">
        <f t="shared" si="676"/>
        <v>-10.024379986852463</v>
      </c>
      <c r="BH294">
        <f t="shared" si="677"/>
        <v>10.986998491501556</v>
      </c>
      <c r="BI294">
        <f t="shared" si="678"/>
        <v>96.261850464909443</v>
      </c>
      <c r="BJ294">
        <f t="shared" si="679"/>
        <v>11</v>
      </c>
      <c r="BK294">
        <f>IF($BJ294&lt;=30,IF($B294=2015,VLOOKUP($BJ294,'Treasury Yields'!$C$5:$N$34,$E294,FALSE)/100,IF($B294=2016,VLOOKUP($BJ294,'Treasury Yields'!$C$40:$N$69,$E294,FALSE)/100,IF($B294=2017,VLOOKUP($BJ294,'Treasury Yields'!$C$75:$N$104,$E294,FALSE)/100,IF($B294=2018,VLOOKUP($BJ294,'Treasury Yields'!$C$110:$N$139,$E294,FALSE)/100,IF($B294=2019,VLOOKUP($BJ294,'Treasury Yields'!$C$145:$N$174,$E294,FALSE)/100,IF($B294=2020,VLOOKUP($BJ294,'Treasury Yields'!$C$180:$N$209,$E294,FALSE)/100,IF($B294=2021,VLOOKUP($BJ294,'Treasury Yields'!$C$215:$N$244,$E294,FALSE)/100,IF($B294=2022,VLOOKUP($BJ294,'Treasury Yields'!$C$250:$N$279,$E294,FALSE)/100)))))))),0)</f>
        <v>2.9273236363636365E-2</v>
      </c>
      <c r="BL294">
        <f t="shared" si="680"/>
        <v>1.4601930119315341</v>
      </c>
      <c r="BM294">
        <f t="shared" si="681"/>
        <v>172459386.94922271</v>
      </c>
      <c r="BN294">
        <f t="shared" si="682"/>
        <v>52543868.949222714</v>
      </c>
      <c r="BP294">
        <f>IF($BJ294&lt;=30,IF($B294=2015,VLOOKUP($BJ294,'Treasury Yields'!$C$40:$N$69,$E294,FALSE)/100,IF($B294=2016,VLOOKUP($BJ294,'Treasury Yields'!$C$75:$N$104,$E294,FALSE)/100,IF($B294=2017,VLOOKUP($BJ294,'Treasury Yields'!$C$110:$N$139,$E294,FALSE)/100,IF($B294=2018,VLOOKUP($BJ294,'Treasury Yields'!$C$145:$N$174,$E294,FALSE)/100,IF($B294=2019,VLOOKUP($BJ294,'Treasury Yields'!$C$180:$N$209,$E294,FALSE)/100,IF($B294=2020,VLOOKUP($BJ294,'Treasury Yields'!$C$215:$N$244,$E294,FALSE)/100,IF($B294=2021,VLOOKUP($BJ294,'Treasury Yields'!$C$250:$N$279,$E294,FALSE)/100,IF($B294=2022,VLOOKUP($BJ294,'Treasury Yields'!$C$285:$N$314,$E294,FALSE)/100)))))))),0)</f>
        <v>2.1722000000000002E-2</v>
      </c>
      <c r="BQ294">
        <f t="shared" si="683"/>
        <v>1.560476214685466</v>
      </c>
      <c r="BR294">
        <f t="shared" si="684"/>
        <v>187069067.80600473</v>
      </c>
      <c r="BS294">
        <f t="shared" si="685"/>
        <v>64591586.806004733</v>
      </c>
      <c r="BU294">
        <f t="shared" si="602"/>
        <v>14</v>
      </c>
      <c r="BV294">
        <f t="shared" si="686"/>
        <v>2.2599774563403168</v>
      </c>
      <c r="BW294">
        <f t="shared" si="687"/>
        <v>3454154.064225453</v>
      </c>
      <c r="BX294" s="5">
        <f t="shared" si="688"/>
        <v>4935649.8186526541</v>
      </c>
      <c r="BY294" s="5">
        <f t="shared" si="689"/>
        <v>1425334.5165707623</v>
      </c>
      <c r="BZ294" s="5">
        <f t="shared" si="690"/>
        <v>9717807</v>
      </c>
      <c r="CA294" s="5">
        <f t="shared" si="691"/>
        <v>4879488.5807962157</v>
      </c>
      <c r="CC294" s="5">
        <f t="shared" si="692"/>
        <v>187069067.80600473</v>
      </c>
      <c r="CD294" s="5" t="str">
        <f t="shared" si="693"/>
        <v>New York</v>
      </c>
      <c r="CE294" s="5">
        <f t="shared" si="600"/>
        <v>1.0216718251533203</v>
      </c>
      <c r="CF294" s="10">
        <f t="shared" si="694"/>
        <v>0.6547179736150297</v>
      </c>
    </row>
    <row r="295" spans="1:84" x14ac:dyDescent="0.2">
      <c r="A295">
        <v>33000000015801</v>
      </c>
      <c r="B295">
        <v>2020</v>
      </c>
      <c r="C295">
        <v>399</v>
      </c>
      <c r="D295" t="s">
        <v>506</v>
      </c>
      <c r="E295">
        <v>6</v>
      </c>
      <c r="F295" t="s">
        <v>507</v>
      </c>
      <c r="G295" t="s">
        <v>508</v>
      </c>
      <c r="H295" t="s">
        <v>509</v>
      </c>
      <c r="I295" t="b">
        <v>1</v>
      </c>
      <c r="J295">
        <v>1563222</v>
      </c>
      <c r="K295">
        <v>8418885</v>
      </c>
      <c r="L295">
        <v>678</v>
      </c>
      <c r="M295">
        <v>1169842</v>
      </c>
      <c r="N295">
        <v>-285424</v>
      </c>
      <c r="O295">
        <v>7503901</v>
      </c>
      <c r="Q295">
        <v>3363302</v>
      </c>
      <c r="R295">
        <v>119879474</v>
      </c>
      <c r="S295">
        <v>123242776</v>
      </c>
      <c r="T295">
        <v>1504688</v>
      </c>
      <c r="V295">
        <v>145034</v>
      </c>
      <c r="W295">
        <v>3923633</v>
      </c>
      <c r="Y295">
        <v>71385</v>
      </c>
      <c r="Z295">
        <v>3955</v>
      </c>
      <c r="AA295">
        <v>-1997876</v>
      </c>
      <c r="AB295">
        <v>122477481</v>
      </c>
      <c r="AC295">
        <v>120479505</v>
      </c>
      <c r="AD295">
        <v>2763271</v>
      </c>
      <c r="AE295">
        <v>-2598007</v>
      </c>
      <c r="AF295">
        <v>5361278</v>
      </c>
      <c r="AG295">
        <v>16973171</v>
      </c>
      <c r="AH295">
        <v>8.8650965691678948E-2</v>
      </c>
      <c r="AI295" t="b">
        <v>1</v>
      </c>
      <c r="AK295">
        <v>7.0999999999999994E-2</v>
      </c>
      <c r="AL295">
        <v>7.0999999999999994E-2</v>
      </c>
      <c r="AM295">
        <v>7.0999999999999994E-2</v>
      </c>
      <c r="AN295">
        <v>7.0999999999999994E-2</v>
      </c>
      <c r="AO295">
        <v>1</v>
      </c>
      <c r="AP295">
        <v>0</v>
      </c>
      <c r="AS295">
        <v>17454630</v>
      </c>
      <c r="AT295">
        <v>-9566502</v>
      </c>
      <c r="BB295">
        <f t="shared" si="672"/>
        <v>0.97757863714462256</v>
      </c>
      <c r="BD295">
        <f t="shared" si="673"/>
        <v>14691359</v>
      </c>
      <c r="BE295">
        <f t="shared" si="674"/>
        <v>-12329773</v>
      </c>
      <c r="BF295">
        <f t="shared" si="675"/>
        <v>11.920665435189482</v>
      </c>
      <c r="BG295">
        <f t="shared" si="676"/>
        <v>-10.004459003747206</v>
      </c>
      <c r="BH295">
        <f t="shared" si="677"/>
        <v>10.962562219468344</v>
      </c>
      <c r="BI295">
        <f t="shared" si="678"/>
        <v>95.810321572113878</v>
      </c>
      <c r="BJ295">
        <f t="shared" si="679"/>
        <v>11</v>
      </c>
      <c r="BK295">
        <f>IF($BJ295&lt;=30,IF($B295=2015,VLOOKUP($BJ295,'Treasury Yields'!$C$5:$N$34,$E295,FALSE)/100,IF($B295=2016,VLOOKUP($BJ295,'Treasury Yields'!$C$40:$N$69,$E295,FALSE)/100,IF($B295=2017,VLOOKUP($BJ295,'Treasury Yields'!$C$75:$N$104,$E295,FALSE)/100,IF($B295=2018,VLOOKUP($BJ295,'Treasury Yields'!$C$110:$N$139,$E295,FALSE)/100,IF($B295=2019,VLOOKUP($BJ295,'Treasury Yields'!$C$145:$N$174,$E295,FALSE)/100,IF($B295=2020,VLOOKUP($BJ295,'Treasury Yields'!$C$180:$N$209,$E295,FALSE)/100,IF($B295=2021,VLOOKUP($BJ295,'Treasury Yields'!$C$215:$N$244,$E295,FALSE)/100,IF($B295=2022,VLOOKUP($BJ295,'Treasury Yields'!$C$250:$N$279,$E295,FALSE)/100)))))))),0)</f>
        <v>2.1722000000000002E-2</v>
      </c>
      <c r="BL295">
        <f t="shared" si="680"/>
        <v>1.5426414623349609</v>
      </c>
      <c r="BM295">
        <f t="shared" si="681"/>
        <v>184931047.07530594</v>
      </c>
      <c r="BN295">
        <f t="shared" si="682"/>
        <v>62453566.075305939</v>
      </c>
      <c r="BP295">
        <f>IF($BJ295&lt;=30,IF($B295=2015,VLOOKUP($BJ295,'Treasury Yields'!$C$40:$N$69,$E295,FALSE)/100,IF($B295=2016,VLOOKUP($BJ295,'Treasury Yields'!$C$75:$N$104,$E295,FALSE)/100,IF($B295=2017,VLOOKUP($BJ295,'Treasury Yields'!$C$110:$N$139,$E295,FALSE)/100,IF($B295=2018,VLOOKUP($BJ295,'Treasury Yields'!$C$145:$N$174,$E295,FALSE)/100,IF($B295=2019,VLOOKUP($BJ295,'Treasury Yields'!$C$180:$N$209,$E295,FALSE)/100,IF($B295=2020,VLOOKUP($BJ295,'Treasury Yields'!$C$215:$N$244,$E295,FALSE)/100,IF($B295=2021,VLOOKUP($BJ295,'Treasury Yields'!$C$250:$N$279,$E295,FALSE)/100,IF($B295=2022,VLOOKUP($BJ295,'Treasury Yields'!$C$285:$N$314,$E295,FALSE)/100)))))))),0)</f>
        <v>1.4551090909090908E-2</v>
      </c>
      <c r="BQ295">
        <f t="shared" si="683"/>
        <v>1.6220111574677569</v>
      </c>
      <c r="BR295">
        <f t="shared" si="684"/>
        <v>199901157.7492995</v>
      </c>
      <c r="BS295">
        <f t="shared" si="685"/>
        <v>79421652.749299496</v>
      </c>
      <c r="BU295">
        <f t="shared" si="602"/>
        <v>14</v>
      </c>
      <c r="BV295">
        <f t="shared" si="686"/>
        <v>2.4627633841514096</v>
      </c>
      <c r="BW295">
        <f t="shared" si="687"/>
        <v>3849845.9028999349</v>
      </c>
      <c r="BX295" s="5">
        <f t="shared" si="688"/>
        <v>3937698.8197505879</v>
      </c>
      <c r="BY295" s="5">
        <f t="shared" si="689"/>
        <v>1277242.9774685882</v>
      </c>
      <c r="BZ295" s="5">
        <f t="shared" si="690"/>
        <v>9982107</v>
      </c>
      <c r="CA295" s="5">
        <f t="shared" si="691"/>
        <v>5127088.8803685233</v>
      </c>
      <c r="CC295" s="5">
        <f t="shared" si="692"/>
        <v>199901157.7492995</v>
      </c>
      <c r="CD295" s="5" t="str">
        <f t="shared" si="693"/>
        <v>New York</v>
      </c>
      <c r="CE295" s="5">
        <f t="shared" si="600"/>
        <v>0.97757863714462256</v>
      </c>
      <c r="CF295" s="10">
        <f t="shared" si="694"/>
        <v>0.60269538384112831</v>
      </c>
    </row>
    <row r="296" spans="1:84" x14ac:dyDescent="0.2">
      <c r="A296">
        <v>33000000015801</v>
      </c>
      <c r="B296">
        <v>2021</v>
      </c>
      <c r="C296">
        <v>399</v>
      </c>
      <c r="D296" t="s">
        <v>506</v>
      </c>
      <c r="E296">
        <v>6</v>
      </c>
      <c r="F296" t="s">
        <v>507</v>
      </c>
      <c r="G296" t="s">
        <v>508</v>
      </c>
      <c r="H296" t="s">
        <v>509</v>
      </c>
      <c r="I296" t="b">
        <v>1</v>
      </c>
      <c r="J296">
        <v>1755405</v>
      </c>
      <c r="K296">
        <v>8752345</v>
      </c>
      <c r="L296">
        <v>0</v>
      </c>
      <c r="M296">
        <v>558905</v>
      </c>
      <c r="N296">
        <v>4241884</v>
      </c>
      <c r="O296">
        <v>7731900</v>
      </c>
      <c r="Q296">
        <v>7576639</v>
      </c>
      <c r="R296">
        <v>123242776</v>
      </c>
      <c r="S296">
        <v>130819415</v>
      </c>
      <c r="T296">
        <v>1618437</v>
      </c>
      <c r="V296">
        <v>159874</v>
      </c>
      <c r="W296">
        <v>33668008</v>
      </c>
      <c r="Y296">
        <v>55492</v>
      </c>
      <c r="Z296">
        <v>10025</v>
      </c>
      <c r="AA296">
        <v>27668952</v>
      </c>
      <c r="AB296">
        <v>120479505</v>
      </c>
      <c r="AC296">
        <v>148148457</v>
      </c>
      <c r="AD296">
        <v>-17329042</v>
      </c>
      <c r="AE296">
        <v>2763271</v>
      </c>
      <c r="AF296">
        <v>-20092313</v>
      </c>
      <c r="AG296">
        <v>16973207</v>
      </c>
      <c r="AI296" t="b">
        <v>1</v>
      </c>
      <c r="AK296">
        <v>7.0999999999999994E-2</v>
      </c>
      <c r="AL296">
        <v>6.9500000000000006E-2</v>
      </c>
      <c r="AM296">
        <v>6.9500000000000006E-2</v>
      </c>
      <c r="AN296">
        <v>7.0999999999999994E-2</v>
      </c>
      <c r="AS296">
        <v>-1818430</v>
      </c>
      <c r="AT296">
        <v>-30364586</v>
      </c>
      <c r="AU296" t="s">
        <v>216</v>
      </c>
      <c r="AV296" t="s">
        <v>512</v>
      </c>
      <c r="BB296">
        <f t="shared" si="672"/>
        <v>1.1324653683858776</v>
      </c>
      <c r="BD296">
        <f t="shared" si="673"/>
        <v>15510612</v>
      </c>
      <c r="BE296">
        <f t="shared" si="674"/>
        <v>-13035544</v>
      </c>
      <c r="BF296">
        <f t="shared" si="675"/>
        <v>11.856506161566308</v>
      </c>
      <c r="BG296">
        <f t="shared" si="676"/>
        <v>-9.9645331696369386</v>
      </c>
      <c r="BH296">
        <f t="shared" si="677"/>
        <v>10.910519665601623</v>
      </c>
      <c r="BI296">
        <f t="shared" si="678"/>
        <v>94.598649596468533</v>
      </c>
      <c r="BJ296">
        <f t="shared" si="679"/>
        <v>11</v>
      </c>
      <c r="BK296">
        <f>IF($BJ296&lt;=30,IF($B296=2015,VLOOKUP($BJ296,'Treasury Yields'!$C$5:$N$34,$E296,FALSE)/100,IF($B296=2016,VLOOKUP($BJ296,'Treasury Yields'!$C$40:$N$69,$E296,FALSE)/100,IF($B296=2017,VLOOKUP($BJ296,'Treasury Yields'!$C$75:$N$104,$E296,FALSE)/100,IF($B296=2018,VLOOKUP($BJ296,'Treasury Yields'!$C$110:$N$139,$E296,FALSE)/100,IF($B296=2019,VLOOKUP($BJ296,'Treasury Yields'!$C$145:$N$174,$E296,FALSE)/100,IF($B296=2020,VLOOKUP($BJ296,'Treasury Yields'!$C$180:$N$209,$E296,FALSE)/100,IF($B296=2021,VLOOKUP($BJ296,'Treasury Yields'!$C$215:$N$244,$E296,FALSE)/100,IF($B296=2022,VLOOKUP($BJ296,'Treasury Yields'!$C$250:$N$279,$E296,FALSE)/100)))))))),0)</f>
        <v>1.4551090909090908E-2</v>
      </c>
      <c r="BL296">
        <f t="shared" si="680"/>
        <v>1.6025405358500002</v>
      </c>
      <c r="BM296">
        <f t="shared" si="681"/>
        <v>197501544.29068154</v>
      </c>
      <c r="BN296">
        <f t="shared" si="682"/>
        <v>77022039.290681541</v>
      </c>
      <c r="BP296">
        <f>IF($BJ296&lt;=30,IF($B296=2015,VLOOKUP($BJ296,'Treasury Yields'!$C$40:$N$69,$E296,FALSE)/100,IF($B296=2016,VLOOKUP($BJ296,'Treasury Yields'!$C$75:$N$104,$E296,FALSE)/100,IF($B296=2017,VLOOKUP($BJ296,'Treasury Yields'!$C$110:$N$139,$E296,FALSE)/100,IF($B296=2018,VLOOKUP($BJ296,'Treasury Yields'!$C$145:$N$174,$E296,FALSE)/100,IF($B296=2019,VLOOKUP($BJ296,'Treasury Yields'!$C$180:$N$209,$E296,FALSE)/100,IF($B296=2020,VLOOKUP($BJ296,'Treasury Yields'!$C$215:$N$244,$E296,FALSE)/100,IF($B296=2021,VLOOKUP($BJ296,'Treasury Yields'!$C$250:$N$279,$E296,FALSE)/100,IF($B296=2022,VLOOKUP($BJ296,'Treasury Yields'!$C$285:$N$314,$E296,FALSE)/100)))))))),0)</f>
        <v>2.1554272727272727E-2</v>
      </c>
      <c r="BQ296">
        <f t="shared" si="683"/>
        <v>1.5419234597345943</v>
      </c>
      <c r="BR296">
        <f t="shared" si="684"/>
        <v>201713524.97725567</v>
      </c>
      <c r="BS296">
        <f t="shared" si="685"/>
        <v>53565067.977255672</v>
      </c>
      <c r="BU296">
        <f t="shared" si="602"/>
        <v>14</v>
      </c>
      <c r="BV296">
        <f t="shared" si="686"/>
        <v>2.7076083023104807</v>
      </c>
      <c r="BW296">
        <f t="shared" si="687"/>
        <v>4752949.1519173291</v>
      </c>
      <c r="BX296" s="5">
        <f t="shared" si="688"/>
        <v>2830515.9410553873</v>
      </c>
      <c r="BY296" s="5">
        <f t="shared" si="689"/>
        <v>1077407.7111181144</v>
      </c>
      <c r="BZ296" s="5">
        <f t="shared" si="690"/>
        <v>10507750</v>
      </c>
      <c r="CA296" s="5">
        <f t="shared" si="691"/>
        <v>5830356.8630354432</v>
      </c>
      <c r="CC296" s="5">
        <f t="shared" si="692"/>
        <v>201713524.97725567</v>
      </c>
      <c r="CD296" s="5" t="str">
        <f t="shared" si="693"/>
        <v>New York</v>
      </c>
      <c r="CE296" s="5">
        <f t="shared" si="600"/>
        <v>1.1324653683858776</v>
      </c>
      <c r="CF296" s="10">
        <f t="shared" si="694"/>
        <v>0.73444979466153582</v>
      </c>
    </row>
    <row r="297" spans="1:84" x14ac:dyDescent="0.2">
      <c r="A297">
        <v>33000000015801</v>
      </c>
      <c r="B297">
        <v>2022</v>
      </c>
      <c r="C297">
        <v>399</v>
      </c>
      <c r="D297" t="s">
        <v>506</v>
      </c>
      <c r="E297">
        <v>6</v>
      </c>
      <c r="F297" t="s">
        <v>507</v>
      </c>
      <c r="G297" t="s">
        <v>508</v>
      </c>
      <c r="H297" t="s">
        <v>509</v>
      </c>
      <c r="I297" t="b">
        <v>1</v>
      </c>
      <c r="J297">
        <v>1751453</v>
      </c>
      <c r="K297">
        <v>8959475</v>
      </c>
      <c r="L297">
        <v>10091</v>
      </c>
      <c r="M297">
        <v>251733</v>
      </c>
      <c r="N297">
        <v>69931</v>
      </c>
      <c r="O297">
        <v>7978624</v>
      </c>
      <c r="Q297">
        <v>3064059</v>
      </c>
      <c r="R297">
        <v>130819415</v>
      </c>
      <c r="S297">
        <v>133883474</v>
      </c>
      <c r="T297">
        <v>1735255</v>
      </c>
      <c r="V297">
        <v>190853</v>
      </c>
      <c r="W297">
        <v>-10078814</v>
      </c>
      <c r="Y297">
        <v>61230</v>
      </c>
      <c r="Z297">
        <v>8685</v>
      </c>
      <c r="AA297">
        <v>-16183875</v>
      </c>
      <c r="AB297">
        <v>148148457</v>
      </c>
      <c r="AC297">
        <v>131964582</v>
      </c>
      <c r="AD297">
        <v>1918892</v>
      </c>
      <c r="AE297">
        <v>-17329042</v>
      </c>
      <c r="AF297">
        <v>19247934</v>
      </c>
      <c r="AG297">
        <v>17715273</v>
      </c>
      <c r="AI297" t="b">
        <v>1</v>
      </c>
      <c r="AK297">
        <v>6.9500000000000006E-2</v>
      </c>
      <c r="AL297">
        <v>6.9500000000000006E-2</v>
      </c>
      <c r="AM297">
        <v>6.9500000000000006E-2</v>
      </c>
      <c r="AN297">
        <v>6.9500000000000006E-2</v>
      </c>
      <c r="AS297">
        <v>17693081</v>
      </c>
      <c r="AT297">
        <v>-11347098</v>
      </c>
      <c r="AV297" t="s">
        <v>513</v>
      </c>
      <c r="BB297">
        <f t="shared" si="672"/>
        <v>0.98566744690237129</v>
      </c>
      <c r="BD297">
        <f t="shared" si="673"/>
        <v>15774189</v>
      </c>
      <c r="BE297">
        <f t="shared" si="674"/>
        <v>-13265990</v>
      </c>
      <c r="BF297">
        <f t="shared" si="675"/>
        <v>11.782028452593037</v>
      </c>
      <c r="BG297">
        <f t="shared" si="676"/>
        <v>-9.9086090341515938</v>
      </c>
      <c r="BH297">
        <f t="shared" si="677"/>
        <v>10.845318743372315</v>
      </c>
      <c r="BI297">
        <f t="shared" si="678"/>
        <v>93.670970922072129</v>
      </c>
      <c r="BJ297">
        <f t="shared" si="679"/>
        <v>11</v>
      </c>
      <c r="BK297">
        <f>IF($BJ297&lt;=30,IF($B297=2015,VLOOKUP($BJ297,'Treasury Yields'!$C$5:$N$34,$E297,FALSE)/100,IF($B297=2016,VLOOKUP($BJ297,'Treasury Yields'!$C$40:$N$69,$E297,FALSE)/100,IF($B297=2017,VLOOKUP($BJ297,'Treasury Yields'!$C$75:$N$104,$E297,FALSE)/100,IF($B297=2018,VLOOKUP($BJ297,'Treasury Yields'!$C$110:$N$139,$E297,FALSE)/100,IF($B297=2019,VLOOKUP($BJ297,'Treasury Yields'!$C$145:$N$174,$E297,FALSE)/100,IF($B297=2020,VLOOKUP($BJ297,'Treasury Yields'!$C$180:$N$209,$E297,FALSE)/100,IF($B297=2021,VLOOKUP($BJ297,'Treasury Yields'!$C$215:$N$244,$E297,FALSE)/100,IF($B297=2022,VLOOKUP($BJ297,'Treasury Yields'!$C$250:$N$279,$E297,FALSE)/100)))))))),0)</f>
        <v>2.1554272727272727E-2</v>
      </c>
      <c r="BL297">
        <f t="shared" si="680"/>
        <v>1.5222854874192371</v>
      </c>
      <c r="BM297">
        <f t="shared" si="681"/>
        <v>199144496.92717445</v>
      </c>
      <c r="BN297">
        <f t="shared" si="682"/>
        <v>50996039.927174449</v>
      </c>
      <c r="BP297">
        <f>IF($BJ297&lt;=30,IF($B297=2015,VLOOKUP($BJ297,'Treasury Yields'!$C$40:$N$69,$E297,FALSE)/100,IF($B297=2016,VLOOKUP($BJ297,'Treasury Yields'!$C$75:$N$104,$E297,FALSE)/100,IF($B297=2017,VLOOKUP($BJ297,'Treasury Yields'!$C$110:$N$139,$E297,FALSE)/100,IF($B297=2018,VLOOKUP($BJ297,'Treasury Yields'!$C$145:$N$174,$E297,FALSE)/100,IF($B297=2019,VLOOKUP($BJ297,'Treasury Yields'!$C$180:$N$209,$E297,FALSE)/100,IF($B297=2020,VLOOKUP($BJ297,'Treasury Yields'!$C$215:$N$244,$E297,FALSE)/100,IF($B297=2021,VLOOKUP($BJ297,'Treasury Yields'!$C$250:$N$279,$E297,FALSE)/100,IF($B297=2022,VLOOKUP($BJ297,'Treasury Yields'!$C$285:$N$314,$E297,FALSE)/100)))))))),0)</f>
        <v>3.1935909090909091E-2</v>
      </c>
      <c r="BQ297">
        <f t="shared" si="683"/>
        <v>1.4088056001399318</v>
      </c>
      <c r="BR297">
        <f t="shared" si="684"/>
        <v>188615787.93738896</v>
      </c>
      <c r="BS297">
        <f t="shared" si="685"/>
        <v>56651205.937388957</v>
      </c>
      <c r="BU297">
        <f t="shared" si="602"/>
        <v>14</v>
      </c>
      <c r="BV297">
        <f t="shared" si="686"/>
        <v>2.4065570265991272</v>
      </c>
      <c r="BW297">
        <f t="shared" si="687"/>
        <v>4214971.5239081215</v>
      </c>
      <c r="BX297" s="5">
        <f t="shared" si="688"/>
        <v>4211292.0069834841</v>
      </c>
      <c r="BY297" s="5">
        <f t="shared" si="689"/>
        <v>1018059.7606808477</v>
      </c>
      <c r="BZ297" s="5">
        <f t="shared" si="690"/>
        <v>10710928</v>
      </c>
      <c r="CA297" s="5">
        <f t="shared" si="691"/>
        <v>5233031.2845889693</v>
      </c>
      <c r="CC297" s="5">
        <f t="shared" si="692"/>
        <v>188615787.93738896</v>
      </c>
      <c r="CD297" s="5" t="str">
        <f t="shared" si="693"/>
        <v>New York</v>
      </c>
      <c r="CE297" s="5">
        <f t="shared" si="600"/>
        <v>0.98566744690237129</v>
      </c>
      <c r="CF297" s="10">
        <f t="shared" si="694"/>
        <v>0.69964759282932176</v>
      </c>
    </row>
    <row r="298" spans="1:84" x14ac:dyDescent="0.2">
      <c r="A298">
        <v>34000000003803</v>
      </c>
      <c r="B298">
        <v>2015</v>
      </c>
      <c r="C298">
        <v>570</v>
      </c>
      <c r="D298" t="s">
        <v>514</v>
      </c>
      <c r="E298">
        <v>6</v>
      </c>
      <c r="F298" t="s">
        <v>515</v>
      </c>
      <c r="G298" t="s">
        <v>516</v>
      </c>
      <c r="H298" t="s">
        <v>517</v>
      </c>
      <c r="I298" t="b">
        <v>1</v>
      </c>
      <c r="J298">
        <v>1562846</v>
      </c>
      <c r="K298">
        <v>4803766</v>
      </c>
      <c r="L298">
        <v>0</v>
      </c>
      <c r="M298">
        <v>-278170</v>
      </c>
      <c r="N298">
        <v>0</v>
      </c>
      <c r="O298">
        <v>4184410</v>
      </c>
      <c r="Q298">
        <v>1904032</v>
      </c>
      <c r="R298">
        <v>66788196</v>
      </c>
      <c r="S298">
        <v>68692228</v>
      </c>
      <c r="T298">
        <v>1262988</v>
      </c>
      <c r="V298">
        <v>854306</v>
      </c>
      <c r="W298">
        <v>1468624</v>
      </c>
      <c r="Y298">
        <v>10646</v>
      </c>
      <c r="Z298">
        <v>393</v>
      </c>
      <c r="AA298">
        <v>-608745</v>
      </c>
      <c r="AB298">
        <v>65615775</v>
      </c>
      <c r="AC298">
        <v>65007030</v>
      </c>
      <c r="AD298">
        <v>3685198</v>
      </c>
      <c r="AE298">
        <v>1172421</v>
      </c>
      <c r="AF298">
        <v>2512777</v>
      </c>
      <c r="AG298">
        <v>13803148</v>
      </c>
      <c r="AH298">
        <v>9.1499996957215848E-2</v>
      </c>
      <c r="AI298" t="b">
        <v>1</v>
      </c>
      <c r="AK298">
        <v>7.2499999999999995E-2</v>
      </c>
      <c r="AL298">
        <v>7.2499999999999995E-2</v>
      </c>
      <c r="AM298">
        <v>7.2499999999999995E-2</v>
      </c>
      <c r="AN298">
        <v>7.2499999999999995E-2</v>
      </c>
      <c r="AO298">
        <v>1</v>
      </c>
      <c r="AP298">
        <v>0</v>
      </c>
      <c r="AS298">
        <v>11091429</v>
      </c>
      <c r="AT298">
        <v>-2599843</v>
      </c>
      <c r="AU298" t="s">
        <v>518</v>
      </c>
      <c r="AV298" t="s">
        <v>519</v>
      </c>
      <c r="BB298">
        <f t="shared" ref="BB298:BB305" si="695">AC298/S298</f>
        <v>0.94635203854503014</v>
      </c>
      <c r="BD298">
        <f t="shared" ref="BD298:BD305" si="696">AS298-AD298</f>
        <v>7406231</v>
      </c>
      <c r="BE298">
        <f t="shared" ref="BE298:BE305" si="697">AT298-AD298</f>
        <v>-6285041</v>
      </c>
      <c r="BF298">
        <f t="shared" ref="BF298:BF305" si="698">BD298/S298*100</f>
        <v>10.781759764729133</v>
      </c>
      <c r="BG298">
        <f t="shared" ref="BG298:BG305" si="699">BE298/S298*100</f>
        <v>-9.1495663818037762</v>
      </c>
      <c r="BH298">
        <f t="shared" ref="BH298:BH305" si="700">(BD298-BE298)/(2*S298)*100</f>
        <v>9.9656630732664553</v>
      </c>
      <c r="BI298">
        <f t="shared" ref="BI298:BI305" si="701">(BD298+BE298)/(2*S298*(0.01^2))</f>
        <v>81.60966914626789</v>
      </c>
      <c r="BJ298">
        <f t="shared" ref="BJ298:BJ305" si="702">ROUND(BH298,0)</f>
        <v>10</v>
      </c>
      <c r="BK298">
        <f>IF($BJ298&lt;=30,IF($B298=2015,VLOOKUP($BJ298,'Treasury Yields'!$C$5:$N$34,$E298,FALSE)/100,IF($B298=2016,VLOOKUP($BJ298,'Treasury Yields'!$C$40:$N$69,$E298,FALSE)/100,IF($B298=2017,VLOOKUP($BJ298,'Treasury Yields'!$C$75:$N$104,$E298,FALSE)/100,IF($B298=2018,VLOOKUP($BJ298,'Treasury Yields'!$C$110:$N$139,$E298,FALSE)/100,IF($B298=2019,VLOOKUP($BJ298,'Treasury Yields'!$C$145:$N$174,$E298,FALSE)/100,IF($B298=2020,VLOOKUP($BJ298,'Treasury Yields'!$C$180:$N$209,$E298,FALSE)/100,IF($B298=2021,VLOOKUP($BJ298,'Treasury Yields'!$C$215:$N$244,$E298,FALSE)/100,IF($B298=2022,VLOOKUP($BJ298,'Treasury Yields'!$C$250:$N$279,$E298,FALSE)/100)))))))),0)</f>
        <v>2.7109999999999999E-2</v>
      </c>
      <c r="BL298">
        <f t="shared" ref="BL298:BL305" si="703">1+BH298*(AL298-BK298)+(AL298-BK298)^2</f>
        <v>1.4544016989955644</v>
      </c>
      <c r="BM298">
        <f t="shared" ref="BM298:BM305" si="704">BL298*R298</f>
        <v>97136865.735248759</v>
      </c>
      <c r="BN298">
        <f t="shared" ref="BN298:BN305" si="705">BM298-AB298</f>
        <v>31521090.735248759</v>
      </c>
      <c r="BP298">
        <f>IF($BJ298&lt;=30,IF($B298=2015,VLOOKUP($BJ298,'Treasury Yields'!$C$40:$N$69,$E298,FALSE)/100,IF($B298=2016,VLOOKUP($BJ298,'Treasury Yields'!$C$75:$N$104,$E298,FALSE)/100,IF($B298=2017,VLOOKUP($BJ298,'Treasury Yields'!$C$110:$N$139,$E298,FALSE)/100,IF($B298=2018,VLOOKUP($BJ298,'Treasury Yields'!$C$145:$N$174,$E298,FALSE)/100,IF($B298=2019,VLOOKUP($BJ298,'Treasury Yields'!$C$180:$N$209,$E298,FALSE)/100,IF($B298=2020,VLOOKUP($BJ298,'Treasury Yields'!$C$215:$N$244,$E298,FALSE)/100,IF($B298=2021,VLOOKUP($BJ298,'Treasury Yields'!$C$250:$N$279,$E298,FALSE)/100,IF($B298=2022,VLOOKUP($BJ298,'Treasury Yields'!$C$285:$N$314,$E298,FALSE)/100)))))))),0)</f>
        <v>2.5470000000000003E-2</v>
      </c>
      <c r="BQ298">
        <f t="shared" ref="BQ298:BQ305" si="706">1+BH298*(AN298-BP298)+(AN298-BP298)^2</f>
        <v>1.4708969552357212</v>
      </c>
      <c r="BR298">
        <f t="shared" ref="BR298:BR305" si="707">BQ298*S298</f>
        <v>101039189.01355796</v>
      </c>
      <c r="BS298">
        <f t="shared" ref="BS298:BS305" si="708">BR298-AC298</f>
        <v>36032159.013557956</v>
      </c>
      <c r="BU298">
        <f t="shared" si="602"/>
        <v>13</v>
      </c>
      <c r="BV298">
        <f t="shared" ref="BV298:BV305" si="709">1+(BH298+BU298)*(AN298-BK298)+(AN298-BK298)^2*BI298</f>
        <v>2.210547939134468</v>
      </c>
      <c r="BW298">
        <f t="shared" ref="BW298:BW305" si="710">BV298*J298</f>
        <v>3454746.0044845468</v>
      </c>
      <c r="BX298" s="5">
        <f t="shared" ref="BX298:BX305" si="711">(BM298+BW298-O298)*BK298</f>
        <v>2613599.2391641699</v>
      </c>
      <c r="BY298" s="5">
        <f t="shared" ref="BY298:BY305" si="712">BK298*(BN298+BW298-O298)</f>
        <v>834755.57891416992</v>
      </c>
      <c r="BZ298" s="5">
        <f t="shared" ref="BZ298:BZ305" si="713">SUM(J298:K298)</f>
        <v>6366612</v>
      </c>
      <c r="CA298" s="5">
        <f t="shared" ref="CA298:CA305" si="714">SUM(BW298+BY298)</f>
        <v>4289501.5833987165</v>
      </c>
      <c r="CC298" s="5">
        <f t="shared" ref="CC298:CC305" si="715">BR298</f>
        <v>101039189.01355796</v>
      </c>
      <c r="CD298" s="5" t="str">
        <f t="shared" ref="CD298:CD305" si="716">F298</f>
        <v>North Carolina</v>
      </c>
      <c r="CE298" s="5">
        <f t="shared" si="600"/>
        <v>0.94635203854503014</v>
      </c>
      <c r="CF298" s="10">
        <f t="shared" ref="CF298:CF305" si="717">AC298/CC298</f>
        <v>0.64338432082305241</v>
      </c>
    </row>
    <row r="299" spans="1:84" x14ac:dyDescent="0.2">
      <c r="A299">
        <v>34000000003803</v>
      </c>
      <c r="B299">
        <v>2016</v>
      </c>
      <c r="C299">
        <v>570</v>
      </c>
      <c r="D299" t="s">
        <v>514</v>
      </c>
      <c r="E299">
        <v>6</v>
      </c>
      <c r="F299" t="s">
        <v>515</v>
      </c>
      <c r="G299" t="s">
        <v>516</v>
      </c>
      <c r="H299" t="s">
        <v>517</v>
      </c>
      <c r="I299" t="b">
        <v>1</v>
      </c>
      <c r="J299">
        <v>1580544</v>
      </c>
      <c r="K299">
        <v>4937464</v>
      </c>
      <c r="L299">
        <v>35605</v>
      </c>
      <c r="M299">
        <v>-190178</v>
      </c>
      <c r="N299">
        <v>1743836</v>
      </c>
      <c r="O299">
        <v>4339637</v>
      </c>
      <c r="Q299">
        <v>3767634</v>
      </c>
      <c r="R299">
        <v>68692228</v>
      </c>
      <c r="S299">
        <v>72459862</v>
      </c>
      <c r="T299">
        <v>1275003</v>
      </c>
      <c r="V299">
        <v>864151</v>
      </c>
      <c r="W299">
        <v>472174</v>
      </c>
      <c r="Y299">
        <v>10217</v>
      </c>
      <c r="Z299">
        <v>325</v>
      </c>
      <c r="AA299">
        <v>-1738201</v>
      </c>
      <c r="AB299">
        <v>65007030</v>
      </c>
      <c r="AC299">
        <v>63268829</v>
      </c>
      <c r="AD299">
        <v>9191033</v>
      </c>
      <c r="AE299">
        <v>3685198</v>
      </c>
      <c r="AF299">
        <v>5505835</v>
      </c>
      <c r="AG299">
        <v>13934459</v>
      </c>
      <c r="AH299">
        <v>9.1500000107646806E-2</v>
      </c>
      <c r="AI299" t="b">
        <v>1</v>
      </c>
      <c r="AK299">
        <v>7.2499999999999995E-2</v>
      </c>
      <c r="AL299">
        <v>7.2499999999999995E-2</v>
      </c>
      <c r="AM299">
        <v>7.2499999999999995E-2</v>
      </c>
      <c r="AN299">
        <v>7.2499999999999995E-2</v>
      </c>
      <c r="AO299">
        <v>1</v>
      </c>
      <c r="AP299">
        <v>0</v>
      </c>
      <c r="AS299">
        <v>17286557</v>
      </c>
      <c r="AT299">
        <v>2383807</v>
      </c>
      <c r="BB299">
        <f t="shared" si="695"/>
        <v>0.87315690719918848</v>
      </c>
      <c r="BD299">
        <f t="shared" si="696"/>
        <v>8095524</v>
      </c>
      <c r="BE299">
        <f t="shared" si="697"/>
        <v>-6807226</v>
      </c>
      <c r="BF299">
        <f t="shared" si="698"/>
        <v>11.172425362885731</v>
      </c>
      <c r="BG299">
        <f t="shared" si="699"/>
        <v>-9.3944782837151966</v>
      </c>
      <c r="BH299">
        <f t="shared" si="700"/>
        <v>10.283451823300464</v>
      </c>
      <c r="BI299">
        <f t="shared" si="701"/>
        <v>88.897353958526722</v>
      </c>
      <c r="BJ299">
        <f t="shared" si="702"/>
        <v>10</v>
      </c>
      <c r="BK299">
        <f>IF($BJ299&lt;=30,IF($B299=2015,VLOOKUP($BJ299,'Treasury Yields'!$C$5:$N$34,$E299,FALSE)/100,IF($B299=2016,VLOOKUP($BJ299,'Treasury Yields'!$C$40:$N$69,$E299,FALSE)/100,IF($B299=2017,VLOOKUP($BJ299,'Treasury Yields'!$C$75:$N$104,$E299,FALSE)/100,IF($B299=2018,VLOOKUP($BJ299,'Treasury Yields'!$C$110:$N$139,$E299,FALSE)/100,IF($B299=2019,VLOOKUP($BJ299,'Treasury Yields'!$C$145:$N$174,$E299,FALSE)/100,IF($B299=2020,VLOOKUP($BJ299,'Treasury Yields'!$C$180:$N$209,$E299,FALSE)/100,IF($B299=2021,VLOOKUP($BJ299,'Treasury Yields'!$C$215:$N$244,$E299,FALSE)/100,IF($B299=2022,VLOOKUP($BJ299,'Treasury Yields'!$C$250:$N$279,$E299,FALSE)/100)))))))),0)</f>
        <v>2.5470000000000003E-2</v>
      </c>
      <c r="BL299">
        <f t="shared" si="703"/>
        <v>1.4858425601498206</v>
      </c>
      <c r="BM299">
        <f t="shared" si="704"/>
        <v>102065835.91391519</v>
      </c>
      <c r="BN299">
        <f t="shared" si="705"/>
        <v>37058805.913915187</v>
      </c>
      <c r="BP299">
        <f>IF($BJ299&lt;=30,IF($B299=2015,VLOOKUP($BJ299,'Treasury Yields'!$C$40:$N$69,$E299,FALSE)/100,IF($B299=2016,VLOOKUP($BJ299,'Treasury Yields'!$C$75:$N$104,$E299,FALSE)/100,IF($B299=2017,VLOOKUP($BJ299,'Treasury Yields'!$C$110:$N$139,$E299,FALSE)/100,IF($B299=2018,VLOOKUP($BJ299,'Treasury Yields'!$C$145:$N$174,$E299,FALSE)/100,IF($B299=2019,VLOOKUP($BJ299,'Treasury Yields'!$C$180:$N$209,$E299,FALSE)/100,IF($B299=2020,VLOOKUP($BJ299,'Treasury Yields'!$C$215:$N$244,$E299,FALSE)/100,IF($B299=2021,VLOOKUP($BJ299,'Treasury Yields'!$C$250:$N$279,$E299,FALSE)/100,IF($B299=2022,VLOOKUP($BJ299,'Treasury Yields'!$C$285:$N$314,$E299,FALSE)/100)))))))),0)</f>
        <v>1.635E-2</v>
      </c>
      <c r="BQ299">
        <f t="shared" si="706"/>
        <v>1.580568642378321</v>
      </c>
      <c r="BR299">
        <f t="shared" si="707"/>
        <v>114527785.70826049</v>
      </c>
      <c r="BS299">
        <f t="shared" si="708"/>
        <v>51258956.708260491</v>
      </c>
      <c r="BU299">
        <f t="shared" si="602"/>
        <v>13</v>
      </c>
      <c r="BV299">
        <f t="shared" si="709"/>
        <v>2.2916457646899873</v>
      </c>
      <c r="BW299">
        <f t="shared" si="710"/>
        <v>3622046.963506171</v>
      </c>
      <c r="BX299" s="5">
        <f t="shared" si="711"/>
        <v>2581339.8224979225</v>
      </c>
      <c r="BY299" s="5">
        <f t="shared" si="712"/>
        <v>925610.76839792205</v>
      </c>
      <c r="BZ299" s="5">
        <f t="shared" si="713"/>
        <v>6518008</v>
      </c>
      <c r="CA299" s="5">
        <f t="shared" si="714"/>
        <v>4547657.7319040932</v>
      </c>
      <c r="CC299" s="5">
        <f t="shared" si="715"/>
        <v>114527785.70826049</v>
      </c>
      <c r="CD299" s="5" t="str">
        <f t="shared" si="716"/>
        <v>North Carolina</v>
      </c>
      <c r="CE299" s="5">
        <f t="shared" si="600"/>
        <v>0.87315690719918848</v>
      </c>
      <c r="CF299" s="10">
        <f t="shared" si="717"/>
        <v>0.55243213346642606</v>
      </c>
    </row>
    <row r="300" spans="1:84" x14ac:dyDescent="0.2">
      <c r="A300">
        <v>34000000003803</v>
      </c>
      <c r="B300">
        <v>2017</v>
      </c>
      <c r="C300">
        <v>570</v>
      </c>
      <c r="D300" t="s">
        <v>514</v>
      </c>
      <c r="E300">
        <v>6</v>
      </c>
      <c r="F300" t="s">
        <v>515</v>
      </c>
      <c r="G300" t="s">
        <v>516</v>
      </c>
      <c r="H300" t="s">
        <v>517</v>
      </c>
      <c r="I300" t="b">
        <v>1</v>
      </c>
      <c r="J300">
        <v>1469395</v>
      </c>
      <c r="K300">
        <v>5195104</v>
      </c>
      <c r="L300">
        <v>449563</v>
      </c>
      <c r="M300">
        <v>229339</v>
      </c>
      <c r="N300">
        <v>381934</v>
      </c>
      <c r="O300">
        <v>4545296</v>
      </c>
      <c r="Q300">
        <v>3180039</v>
      </c>
      <c r="R300">
        <v>72459862</v>
      </c>
      <c r="S300">
        <v>75639901</v>
      </c>
      <c r="T300">
        <v>1441194</v>
      </c>
      <c r="V300">
        <v>894538</v>
      </c>
      <c r="W300">
        <v>6656652</v>
      </c>
      <c r="Y300">
        <v>11265</v>
      </c>
      <c r="Z300">
        <v>808</v>
      </c>
      <c r="AA300">
        <v>4436631</v>
      </c>
      <c r="AB300">
        <v>63268829</v>
      </c>
      <c r="AC300">
        <v>67705460</v>
      </c>
      <c r="AD300">
        <v>7934441</v>
      </c>
      <c r="AE300">
        <v>9191033</v>
      </c>
      <c r="AF300">
        <v>-1256592</v>
      </c>
      <c r="AG300">
        <v>14440822</v>
      </c>
      <c r="AH300">
        <v>9.9799997534766371E-2</v>
      </c>
      <c r="AI300" t="b">
        <v>1</v>
      </c>
      <c r="AK300">
        <v>7.2499999999999995E-2</v>
      </c>
      <c r="AL300">
        <v>7.1999999999999995E-2</v>
      </c>
      <c r="AM300">
        <v>7.1999999999999995E-2</v>
      </c>
      <c r="AN300">
        <v>7.2499999999999995E-2</v>
      </c>
      <c r="AO300">
        <v>1</v>
      </c>
      <c r="AP300">
        <v>0</v>
      </c>
      <c r="AS300">
        <v>16332364</v>
      </c>
      <c r="AT300">
        <v>898052</v>
      </c>
      <c r="AU300" t="s">
        <v>520</v>
      </c>
      <c r="AV300" t="s">
        <v>521</v>
      </c>
      <c r="BB300">
        <f t="shared" si="695"/>
        <v>0.89510244070784806</v>
      </c>
      <c r="BD300">
        <f t="shared" si="696"/>
        <v>8397923</v>
      </c>
      <c r="BE300">
        <f t="shared" si="697"/>
        <v>-7036389</v>
      </c>
      <c r="BF300">
        <f t="shared" si="698"/>
        <v>11.102503954890159</v>
      </c>
      <c r="BG300">
        <f t="shared" si="699"/>
        <v>-9.3024830902409565</v>
      </c>
      <c r="BH300">
        <f t="shared" si="700"/>
        <v>10.202493522565558</v>
      </c>
      <c r="BI300">
        <f t="shared" si="701"/>
        <v>90.001043232460077</v>
      </c>
      <c r="BJ300">
        <f t="shared" si="702"/>
        <v>10</v>
      </c>
      <c r="BK300">
        <f>IF($BJ300&lt;=30,IF($B300=2015,VLOOKUP($BJ300,'Treasury Yields'!$C$5:$N$34,$E300,FALSE)/100,IF($B300=2016,VLOOKUP($BJ300,'Treasury Yields'!$C$40:$N$69,$E300,FALSE)/100,IF($B300=2017,VLOOKUP($BJ300,'Treasury Yields'!$C$75:$N$104,$E300,FALSE)/100,IF($B300=2018,VLOOKUP($BJ300,'Treasury Yields'!$C$110:$N$139,$E300,FALSE)/100,IF($B300=2019,VLOOKUP($BJ300,'Treasury Yields'!$C$145:$N$174,$E300,FALSE)/100,IF($B300=2020,VLOOKUP($BJ300,'Treasury Yields'!$C$180:$N$209,$E300,FALSE)/100,IF($B300=2021,VLOOKUP($BJ300,'Treasury Yields'!$C$215:$N$244,$E300,FALSE)/100,IF($B300=2022,VLOOKUP($BJ300,'Treasury Yields'!$C$250:$N$279,$E300,FALSE)/100)))))))),0)</f>
        <v>1.635E-2</v>
      </c>
      <c r="BL300">
        <f t="shared" si="703"/>
        <v>1.5708656870307731</v>
      </c>
      <c r="BM300">
        <f t="shared" si="704"/>
        <v>113824710.902785</v>
      </c>
      <c r="BN300">
        <f t="shared" si="705"/>
        <v>50555881.902785003</v>
      </c>
      <c r="BP300">
        <f>IF($BJ300&lt;=30,IF($B300=2015,VLOOKUP($BJ300,'Treasury Yields'!$C$40:$N$69,$E300,FALSE)/100,IF($B300=2016,VLOOKUP($BJ300,'Treasury Yields'!$C$75:$N$104,$E300,FALSE)/100,IF($B300=2017,VLOOKUP($BJ300,'Treasury Yields'!$C$110:$N$139,$E300,FALSE)/100,IF($B300=2018,VLOOKUP($BJ300,'Treasury Yields'!$C$145:$N$174,$E300,FALSE)/100,IF($B300=2019,VLOOKUP($BJ300,'Treasury Yields'!$C$180:$N$209,$E300,FALSE)/100,IF($B300=2020,VLOOKUP($BJ300,'Treasury Yields'!$C$215:$N$244,$E300,FALSE)/100,IF($B300=2021,VLOOKUP($BJ300,'Treasury Yields'!$C$250:$N$279,$E300,FALSE)/100,IF($B300=2022,VLOOKUP($BJ300,'Treasury Yields'!$C$285:$N$314,$E300,FALSE)/100)))))))),0)</f>
        <v>2.4670000000000001E-2</v>
      </c>
      <c r="BQ300">
        <f t="shared" si="706"/>
        <v>1.4902729740843106</v>
      </c>
      <c r="BR300">
        <f t="shared" si="707"/>
        <v>112724100.22271281</v>
      </c>
      <c r="BS300">
        <f t="shared" si="708"/>
        <v>45018640.222712815</v>
      </c>
      <c r="BU300">
        <f t="shared" si="602"/>
        <v>13</v>
      </c>
      <c r="BV300">
        <f t="shared" si="709"/>
        <v>2.5865773254188285</v>
      </c>
      <c r="BW300">
        <f t="shared" si="710"/>
        <v>3800703.7890837993</v>
      </c>
      <c r="BX300" s="5">
        <f t="shared" si="711"/>
        <v>1848859.9406120549</v>
      </c>
      <c r="BY300" s="5">
        <f t="shared" si="712"/>
        <v>814414.58646205498</v>
      </c>
      <c r="BZ300" s="5">
        <f t="shared" si="713"/>
        <v>6664499</v>
      </c>
      <c r="CA300" s="5">
        <f t="shared" si="714"/>
        <v>4615118.3755458547</v>
      </c>
      <c r="CC300" s="5">
        <f t="shared" si="715"/>
        <v>112724100.22271281</v>
      </c>
      <c r="CD300" s="5" t="str">
        <f t="shared" si="716"/>
        <v>North Carolina</v>
      </c>
      <c r="CE300" s="5">
        <f t="shared" si="600"/>
        <v>0.89510244070784806</v>
      </c>
      <c r="CF300" s="10">
        <f t="shared" si="717"/>
        <v>0.60062985525040369</v>
      </c>
    </row>
    <row r="301" spans="1:84" x14ac:dyDescent="0.2">
      <c r="A301">
        <v>34000000003803</v>
      </c>
      <c r="B301">
        <v>2018</v>
      </c>
      <c r="C301">
        <v>570</v>
      </c>
      <c r="D301" t="s">
        <v>514</v>
      </c>
      <c r="E301">
        <v>6</v>
      </c>
      <c r="F301" t="s">
        <v>515</v>
      </c>
      <c r="G301" t="s">
        <v>516</v>
      </c>
      <c r="H301" t="s">
        <v>517</v>
      </c>
      <c r="I301" t="b">
        <v>1</v>
      </c>
      <c r="J301">
        <v>1630323</v>
      </c>
      <c r="K301">
        <v>5281004</v>
      </c>
      <c r="L301">
        <v>44339</v>
      </c>
      <c r="M301">
        <v>815911</v>
      </c>
      <c r="N301">
        <v>1637700</v>
      </c>
      <c r="O301">
        <v>4666391</v>
      </c>
      <c r="Q301">
        <v>4742886</v>
      </c>
      <c r="R301">
        <v>75639901</v>
      </c>
      <c r="S301">
        <v>80382787</v>
      </c>
      <c r="T301">
        <v>1602901</v>
      </c>
      <c r="V301">
        <v>910797</v>
      </c>
      <c r="W301">
        <v>4885354</v>
      </c>
      <c r="Y301">
        <v>11604</v>
      </c>
      <c r="Z301">
        <v>181</v>
      </c>
      <c r="AA301">
        <v>2721238</v>
      </c>
      <c r="AB301">
        <v>67705460</v>
      </c>
      <c r="AC301">
        <v>70426698</v>
      </c>
      <c r="AD301">
        <v>9956089</v>
      </c>
      <c r="AE301">
        <v>7934441</v>
      </c>
      <c r="AF301">
        <v>2021648</v>
      </c>
      <c r="AG301">
        <v>14869212</v>
      </c>
      <c r="AH301">
        <v>0.10779999639523601</v>
      </c>
      <c r="AI301" t="b">
        <v>1</v>
      </c>
      <c r="AK301">
        <v>7.1999999999999995E-2</v>
      </c>
      <c r="AL301">
        <v>7.0000000000000007E-2</v>
      </c>
      <c r="AM301">
        <v>7.0000000000000007E-2</v>
      </c>
      <c r="AN301">
        <v>7.1999999999999995E-2</v>
      </c>
      <c r="AO301">
        <v>1</v>
      </c>
      <c r="AP301">
        <v>0</v>
      </c>
      <c r="AS301">
        <v>18987949</v>
      </c>
      <c r="AT301">
        <v>2377464</v>
      </c>
      <c r="AU301" t="s">
        <v>522</v>
      </c>
      <c r="AV301" t="s">
        <v>523</v>
      </c>
      <c r="BB301">
        <f t="shared" si="695"/>
        <v>0.87614153015122509</v>
      </c>
      <c r="BD301">
        <f t="shared" si="696"/>
        <v>9031860</v>
      </c>
      <c r="BE301">
        <f t="shared" si="697"/>
        <v>-7578625</v>
      </c>
      <c r="BF301">
        <f t="shared" si="698"/>
        <v>11.236062267908178</v>
      </c>
      <c r="BG301">
        <f t="shared" si="699"/>
        <v>-9.4281689934438315</v>
      </c>
      <c r="BH301">
        <f t="shared" si="700"/>
        <v>10.332115630676006</v>
      </c>
      <c r="BI301">
        <f t="shared" si="701"/>
        <v>90.394663723217249</v>
      </c>
      <c r="BJ301">
        <f t="shared" si="702"/>
        <v>10</v>
      </c>
      <c r="BK301">
        <f>IF($BJ301&lt;=30,IF($B301=2015,VLOOKUP($BJ301,'Treasury Yields'!$C$5:$N$34,$E301,FALSE)/100,IF($B301=2016,VLOOKUP($BJ301,'Treasury Yields'!$C$40:$N$69,$E301,FALSE)/100,IF($B301=2017,VLOOKUP($BJ301,'Treasury Yields'!$C$75:$N$104,$E301,FALSE)/100,IF($B301=2018,VLOOKUP($BJ301,'Treasury Yields'!$C$110:$N$139,$E301,FALSE)/100,IF($B301=2019,VLOOKUP($BJ301,'Treasury Yields'!$C$145:$N$174,$E301,FALSE)/100,IF($B301=2020,VLOOKUP($BJ301,'Treasury Yields'!$C$180:$N$209,$E301,FALSE)/100,IF($B301=2021,VLOOKUP($BJ301,'Treasury Yields'!$C$215:$N$244,$E301,FALSE)/100,IF($B301=2022,VLOOKUP($BJ301,'Treasury Yields'!$C$250:$N$279,$E301,FALSE)/100)))))))),0)</f>
        <v>2.4670000000000001E-2</v>
      </c>
      <c r="BL301">
        <f t="shared" si="703"/>
        <v>1.4704096104385436</v>
      </c>
      <c r="BM301">
        <f t="shared" si="704"/>
        <v>111221637.36302</v>
      </c>
      <c r="BN301">
        <f t="shared" si="705"/>
        <v>43516177.363020003</v>
      </c>
      <c r="BP301">
        <f>IF($BJ301&lt;=30,IF($B301=2015,VLOOKUP($BJ301,'Treasury Yields'!$C$40:$N$69,$E301,FALSE)/100,IF($B301=2016,VLOOKUP($BJ301,'Treasury Yields'!$C$75:$N$104,$E301,FALSE)/100,IF($B301=2017,VLOOKUP($BJ301,'Treasury Yields'!$C$110:$N$139,$E301,FALSE)/100,IF($B301=2018,VLOOKUP($BJ301,'Treasury Yields'!$C$145:$N$174,$E301,FALSE)/100,IF($B301=2019,VLOOKUP($BJ301,'Treasury Yields'!$C$180:$N$209,$E301,FALSE)/100,IF($B301=2020,VLOOKUP($BJ301,'Treasury Yields'!$C$215:$N$244,$E301,FALSE)/100,IF($B301=2021,VLOOKUP($BJ301,'Treasury Yields'!$C$250:$N$279,$E301,FALSE)/100,IF($B301=2022,VLOOKUP($BJ301,'Treasury Yields'!$C$285:$N$314,$E301,FALSE)/100)))))))),0)</f>
        <v>2.964E-2</v>
      </c>
      <c r="BQ301">
        <f t="shared" si="706"/>
        <v>1.4394627877154356</v>
      </c>
      <c r="BR301">
        <f t="shared" si="707"/>
        <v>115708030.65935607</v>
      </c>
      <c r="BS301">
        <f t="shared" si="708"/>
        <v>45281332.659356073</v>
      </c>
      <c r="BU301">
        <f t="shared" si="602"/>
        <v>13</v>
      </c>
      <c r="BV301">
        <f t="shared" si="709"/>
        <v>2.3068047314120559</v>
      </c>
      <c r="BW301">
        <f t="shared" si="710"/>
        <v>3760836.8101298972</v>
      </c>
      <c r="BX301" s="5">
        <f t="shared" si="711"/>
        <v>2721497.7718816083</v>
      </c>
      <c r="BY301" s="5">
        <f t="shared" si="712"/>
        <v>1051204.0736816081</v>
      </c>
      <c r="BZ301" s="5">
        <f t="shared" si="713"/>
        <v>6911327</v>
      </c>
      <c r="CA301" s="5">
        <f t="shared" si="714"/>
        <v>4812040.8838115055</v>
      </c>
      <c r="CC301" s="5">
        <f t="shared" si="715"/>
        <v>115708030.65935607</v>
      </c>
      <c r="CD301" s="5" t="str">
        <f t="shared" si="716"/>
        <v>North Carolina</v>
      </c>
      <c r="CE301" s="5">
        <f t="shared" si="600"/>
        <v>0.87614153015122509</v>
      </c>
      <c r="CF301" s="10">
        <f t="shared" si="717"/>
        <v>0.60865868685757762</v>
      </c>
    </row>
    <row r="302" spans="1:84" x14ac:dyDescent="0.2">
      <c r="A302">
        <v>34000000003803</v>
      </c>
      <c r="B302">
        <v>2019</v>
      </c>
      <c r="C302">
        <v>570</v>
      </c>
      <c r="D302" t="s">
        <v>514</v>
      </c>
      <c r="E302">
        <v>6</v>
      </c>
      <c r="F302" t="s">
        <v>515</v>
      </c>
      <c r="G302" t="s">
        <v>516</v>
      </c>
      <c r="H302" t="s">
        <v>517</v>
      </c>
      <c r="I302" t="b">
        <v>1</v>
      </c>
      <c r="J302">
        <v>1782475</v>
      </c>
      <c r="K302">
        <v>5460427</v>
      </c>
      <c r="L302">
        <v>0</v>
      </c>
      <c r="M302">
        <v>535860</v>
      </c>
      <c r="N302">
        <v>0</v>
      </c>
      <c r="O302">
        <v>4835144</v>
      </c>
      <c r="Q302">
        <v>2943618</v>
      </c>
      <c r="R302">
        <v>80382787</v>
      </c>
      <c r="S302">
        <v>83326405</v>
      </c>
      <c r="T302">
        <v>1915146</v>
      </c>
      <c r="V302">
        <v>951566</v>
      </c>
      <c r="W302">
        <v>4514117</v>
      </c>
      <c r="Y302">
        <v>11815</v>
      </c>
      <c r="Z302">
        <v>-1120</v>
      </c>
      <c r="AA302">
        <v>2532750</v>
      </c>
      <c r="AB302">
        <v>70426698</v>
      </c>
      <c r="AC302">
        <v>72959448</v>
      </c>
      <c r="AD302">
        <v>10366957</v>
      </c>
      <c r="AE302">
        <v>9956089</v>
      </c>
      <c r="AF302">
        <v>410868</v>
      </c>
      <c r="AG302">
        <v>15582963</v>
      </c>
      <c r="AH302">
        <v>0.12289999020083664</v>
      </c>
      <c r="AI302" t="b">
        <v>1</v>
      </c>
      <c r="AK302">
        <v>7.0000000000000007E-2</v>
      </c>
      <c r="AL302">
        <v>7.0000000000000007E-2</v>
      </c>
      <c r="AM302">
        <v>7.0000000000000007E-2</v>
      </c>
      <c r="AN302">
        <v>7.0000000000000007E-2</v>
      </c>
      <c r="AO302">
        <v>1</v>
      </c>
      <c r="AP302">
        <v>0</v>
      </c>
      <c r="AS302">
        <v>19731203</v>
      </c>
      <c r="AT302">
        <v>2511548</v>
      </c>
      <c r="AU302" t="s">
        <v>172</v>
      </c>
      <c r="AV302" t="s">
        <v>524</v>
      </c>
      <c r="BB302">
        <f t="shared" si="695"/>
        <v>0.87558617223435953</v>
      </c>
      <c r="BD302">
        <f t="shared" si="696"/>
        <v>9364246</v>
      </c>
      <c r="BE302">
        <f t="shared" si="697"/>
        <v>-7855409</v>
      </c>
      <c r="BF302">
        <f t="shared" si="698"/>
        <v>11.238029529775105</v>
      </c>
      <c r="BG302">
        <f t="shared" si="699"/>
        <v>-9.4272745836088809</v>
      </c>
      <c r="BH302">
        <f t="shared" si="700"/>
        <v>10.332652056691993</v>
      </c>
      <c r="BI302">
        <f t="shared" si="701"/>
        <v>90.537747308311225</v>
      </c>
      <c r="BJ302">
        <f t="shared" si="702"/>
        <v>10</v>
      </c>
      <c r="BK302">
        <f>IF($BJ302&lt;=30,IF($B302=2015,VLOOKUP($BJ302,'Treasury Yields'!$C$5:$N$34,$E302,FALSE)/100,IF($B302=2016,VLOOKUP($BJ302,'Treasury Yields'!$C$40:$N$69,$E302,FALSE)/100,IF($B302=2017,VLOOKUP($BJ302,'Treasury Yields'!$C$75:$N$104,$E302,FALSE)/100,IF($B302=2018,VLOOKUP($BJ302,'Treasury Yields'!$C$110:$N$139,$E302,FALSE)/100,IF($B302=2019,VLOOKUP($BJ302,'Treasury Yields'!$C$145:$N$174,$E302,FALSE)/100,IF($B302=2020,VLOOKUP($BJ302,'Treasury Yields'!$C$180:$N$209,$E302,FALSE)/100,IF($B302=2021,VLOOKUP($BJ302,'Treasury Yields'!$C$215:$N$244,$E302,FALSE)/100,IF($B302=2022,VLOOKUP($BJ302,'Treasury Yields'!$C$250:$N$279,$E302,FALSE)/100)))))))),0)</f>
        <v>2.964E-2</v>
      </c>
      <c r="BL302">
        <f t="shared" si="703"/>
        <v>1.4186547666080889</v>
      </c>
      <c r="BM302">
        <f t="shared" si="704"/>
        <v>114035423.93079272</v>
      </c>
      <c r="BN302">
        <f t="shared" si="705"/>
        <v>43608725.930792719</v>
      </c>
      <c r="BP302">
        <f>IF($BJ302&lt;=30,IF($B302=2015,VLOOKUP($BJ302,'Treasury Yields'!$C$40:$N$69,$E302,FALSE)/100,IF($B302=2016,VLOOKUP($BJ302,'Treasury Yields'!$C$75:$N$104,$E302,FALSE)/100,IF($B302=2017,VLOOKUP($BJ302,'Treasury Yields'!$C$110:$N$139,$E302,FALSE)/100,IF($B302=2018,VLOOKUP($BJ302,'Treasury Yields'!$C$145:$N$174,$E302,FALSE)/100,IF($B302=2019,VLOOKUP($BJ302,'Treasury Yields'!$C$180:$N$209,$E302,FALSE)/100,IF($B302=2020,VLOOKUP($BJ302,'Treasury Yields'!$C$215:$N$244,$E302,FALSE)/100,IF($B302=2021,VLOOKUP($BJ302,'Treasury Yields'!$C$250:$N$279,$E302,FALSE)/100,IF($B302=2022,VLOOKUP($BJ302,'Treasury Yields'!$C$285:$N$314,$E302,FALSE)/100)))))))),0)</f>
        <v>2.1259999999999998E-2</v>
      </c>
      <c r="BQ302">
        <f t="shared" si="706"/>
        <v>1.5059890488431678</v>
      </c>
      <c r="BR302">
        <f t="shared" si="707"/>
        <v>125488653.40947057</v>
      </c>
      <c r="BS302">
        <f t="shared" si="708"/>
        <v>52529205.409470573</v>
      </c>
      <c r="BU302">
        <f t="shared" si="602"/>
        <v>13</v>
      </c>
      <c r="BV302">
        <f t="shared" si="709"/>
        <v>2.0891854535159173</v>
      </c>
      <c r="BW302">
        <f t="shared" si="710"/>
        <v>3723920.841255785</v>
      </c>
      <c r="BX302" s="5">
        <f t="shared" si="711"/>
        <v>3347073.3108835174</v>
      </c>
      <c r="BY302" s="5">
        <f t="shared" si="712"/>
        <v>1259625.9821635177</v>
      </c>
      <c r="BZ302" s="5">
        <f t="shared" si="713"/>
        <v>7242902</v>
      </c>
      <c r="CA302" s="5">
        <f t="shared" si="714"/>
        <v>4983546.8234193027</v>
      </c>
      <c r="CC302" s="5">
        <f t="shared" si="715"/>
        <v>125488653.40947057</v>
      </c>
      <c r="CD302" s="5" t="str">
        <f t="shared" si="716"/>
        <v>North Carolina</v>
      </c>
      <c r="CE302" s="5">
        <f t="shared" si="600"/>
        <v>0.87558617223435953</v>
      </c>
      <c r="CF302" s="10">
        <f t="shared" si="717"/>
        <v>0.58140274851729168</v>
      </c>
    </row>
    <row r="303" spans="1:84" x14ac:dyDescent="0.2">
      <c r="A303">
        <v>34000000003803</v>
      </c>
      <c r="B303">
        <v>2020</v>
      </c>
      <c r="C303">
        <v>570</v>
      </c>
      <c r="D303" t="s">
        <v>514</v>
      </c>
      <c r="E303">
        <v>6</v>
      </c>
      <c r="F303" t="s">
        <v>515</v>
      </c>
      <c r="G303" t="s">
        <v>516</v>
      </c>
      <c r="H303" t="s">
        <v>517</v>
      </c>
      <c r="I303" t="b">
        <v>1</v>
      </c>
      <c r="J303">
        <v>1851058</v>
      </c>
      <c r="K303">
        <v>5663045</v>
      </c>
      <c r="L303">
        <v>0</v>
      </c>
      <c r="M303">
        <v>258502</v>
      </c>
      <c r="N303">
        <v>0</v>
      </c>
      <c r="O303">
        <v>4934999</v>
      </c>
      <c r="Q303">
        <v>2837606</v>
      </c>
      <c r="R303">
        <v>83326405</v>
      </c>
      <c r="S303">
        <v>86164011</v>
      </c>
      <c r="T303">
        <v>2055075</v>
      </c>
      <c r="V303">
        <v>964544</v>
      </c>
      <c r="W303">
        <v>3050585</v>
      </c>
      <c r="Y303">
        <v>12910</v>
      </c>
      <c r="Z303">
        <v>271</v>
      </c>
      <c r="AA303">
        <v>1122566</v>
      </c>
      <c r="AB303">
        <v>72959448</v>
      </c>
      <c r="AC303">
        <v>74082014</v>
      </c>
      <c r="AD303">
        <v>12081997</v>
      </c>
      <c r="AE303">
        <v>10366957</v>
      </c>
      <c r="AF303">
        <v>1715040</v>
      </c>
      <c r="AG303">
        <v>15844834</v>
      </c>
      <c r="AH303">
        <v>0.12970000190598399</v>
      </c>
      <c r="AI303" t="b">
        <v>1</v>
      </c>
      <c r="AK303">
        <v>7.0000000000000007E-2</v>
      </c>
      <c r="AL303">
        <v>7.0000000000000007E-2</v>
      </c>
      <c r="AM303">
        <v>7.0000000000000007E-2</v>
      </c>
      <c r="AN303">
        <v>7.0000000000000007E-2</v>
      </c>
      <c r="AO303">
        <v>1</v>
      </c>
      <c r="AP303">
        <v>0</v>
      </c>
      <c r="AS303">
        <v>21744757</v>
      </c>
      <c r="AT303">
        <v>3976941</v>
      </c>
      <c r="BB303">
        <f t="shared" si="695"/>
        <v>0.85977907876178139</v>
      </c>
      <c r="BD303">
        <f t="shared" si="696"/>
        <v>9662760</v>
      </c>
      <c r="BE303">
        <f t="shared" si="697"/>
        <v>-8105056</v>
      </c>
      <c r="BF303">
        <f t="shared" si="698"/>
        <v>11.214380444754365</v>
      </c>
      <c r="BG303">
        <f t="shared" si="699"/>
        <v>-9.4065444562463565</v>
      </c>
      <c r="BH303">
        <f t="shared" si="700"/>
        <v>10.31046245050036</v>
      </c>
      <c r="BI303">
        <f t="shared" si="701"/>
        <v>90.391799425400464</v>
      </c>
      <c r="BJ303">
        <f t="shared" si="702"/>
        <v>10</v>
      </c>
      <c r="BK303">
        <f>IF($BJ303&lt;=30,IF($B303=2015,VLOOKUP($BJ303,'Treasury Yields'!$C$5:$N$34,$E303,FALSE)/100,IF($B303=2016,VLOOKUP($BJ303,'Treasury Yields'!$C$40:$N$69,$E303,FALSE)/100,IF($B303=2017,VLOOKUP($BJ303,'Treasury Yields'!$C$75:$N$104,$E303,FALSE)/100,IF($B303=2018,VLOOKUP($BJ303,'Treasury Yields'!$C$110:$N$139,$E303,FALSE)/100,IF($B303=2019,VLOOKUP($BJ303,'Treasury Yields'!$C$145:$N$174,$E303,FALSE)/100,IF($B303=2020,VLOOKUP($BJ303,'Treasury Yields'!$C$180:$N$209,$E303,FALSE)/100,IF($B303=2021,VLOOKUP($BJ303,'Treasury Yields'!$C$215:$N$244,$E303,FALSE)/100,IF($B303=2022,VLOOKUP($BJ303,'Treasury Yields'!$C$250:$N$279,$E303,FALSE)/100)))))))),0)</f>
        <v>2.1259999999999998E-2</v>
      </c>
      <c r="BL303">
        <f t="shared" si="703"/>
        <v>1.5049075274373878</v>
      </c>
      <c r="BM303">
        <f t="shared" si="704"/>
        <v>125398534.11879638</v>
      </c>
      <c r="BN303">
        <f t="shared" si="705"/>
        <v>52439086.118796378</v>
      </c>
      <c r="BP303">
        <f>IF($BJ303&lt;=30,IF($B303=2015,VLOOKUP($BJ303,'Treasury Yields'!$C$40:$N$69,$E303,FALSE)/100,IF($B303=2016,VLOOKUP($BJ303,'Treasury Yields'!$C$75:$N$104,$E303,FALSE)/100,IF($B303=2017,VLOOKUP($BJ303,'Treasury Yields'!$C$110:$N$139,$E303,FALSE)/100,IF($B303=2018,VLOOKUP($BJ303,'Treasury Yields'!$C$145:$N$174,$E303,FALSE)/100,IF($B303=2019,VLOOKUP($BJ303,'Treasury Yields'!$C$180:$N$209,$E303,FALSE)/100,IF($B303=2020,VLOOKUP($BJ303,'Treasury Yields'!$C$215:$N$244,$E303,FALSE)/100,IF($B303=2021,VLOOKUP($BJ303,'Treasury Yields'!$C$250:$N$279,$E303,FALSE)/100,IF($B303=2022,VLOOKUP($BJ303,'Treasury Yields'!$C$285:$N$314,$E303,FALSE)/100)))))))),0)</f>
        <v>1.5412727272727269E-2</v>
      </c>
      <c r="BQ303">
        <f t="shared" si="706"/>
        <v>1.5657997960735697</v>
      </c>
      <c r="BR303">
        <f t="shared" si="707"/>
        <v>134915590.8526808</v>
      </c>
      <c r="BS303">
        <f t="shared" si="708"/>
        <v>60833576.852680802</v>
      </c>
      <c r="BU303">
        <f t="shared" si="602"/>
        <v>13</v>
      </c>
      <c r="BV303">
        <f t="shared" si="709"/>
        <v>2.350885577694056</v>
      </c>
      <c r="BW303">
        <f t="shared" si="710"/>
        <v>4351625.5556752039</v>
      </c>
      <c r="BX303" s="5">
        <f t="shared" si="711"/>
        <v>2653570.3159392658</v>
      </c>
      <c r="BY303" s="5">
        <f t="shared" si="712"/>
        <v>1102452.4514592655</v>
      </c>
      <c r="BZ303" s="5">
        <f t="shared" si="713"/>
        <v>7514103</v>
      </c>
      <c r="CA303" s="5">
        <f t="shared" si="714"/>
        <v>5454078.0071344692</v>
      </c>
      <c r="CC303" s="5">
        <f t="shared" si="715"/>
        <v>134915590.8526808</v>
      </c>
      <c r="CD303" s="5" t="str">
        <f t="shared" si="716"/>
        <v>North Carolina</v>
      </c>
      <c r="CE303" s="5">
        <f t="shared" si="600"/>
        <v>0.85977907876178139</v>
      </c>
      <c r="CF303" s="10">
        <f t="shared" si="717"/>
        <v>0.54909898501569643</v>
      </c>
    </row>
    <row r="304" spans="1:84" x14ac:dyDescent="0.2">
      <c r="A304">
        <v>34000000003803</v>
      </c>
      <c r="B304">
        <v>2021</v>
      </c>
      <c r="C304">
        <v>570</v>
      </c>
      <c r="D304" t="s">
        <v>514</v>
      </c>
      <c r="E304">
        <v>6</v>
      </c>
      <c r="F304" t="s">
        <v>515</v>
      </c>
      <c r="G304" t="s">
        <v>516</v>
      </c>
      <c r="H304" t="s">
        <v>517</v>
      </c>
      <c r="I304" t="b">
        <v>1</v>
      </c>
      <c r="J304">
        <v>1906954</v>
      </c>
      <c r="K304">
        <v>5857546</v>
      </c>
      <c r="L304">
        <v>0</v>
      </c>
      <c r="M304">
        <v>-141796</v>
      </c>
      <c r="N304">
        <v>2341992</v>
      </c>
      <c r="O304">
        <v>5055075</v>
      </c>
      <c r="Q304">
        <v>4909621</v>
      </c>
      <c r="R304">
        <v>86164011</v>
      </c>
      <c r="S304">
        <v>91073632</v>
      </c>
      <c r="T304">
        <v>2373252</v>
      </c>
      <c r="V304">
        <v>981051</v>
      </c>
      <c r="W304">
        <v>14023684</v>
      </c>
      <c r="Y304">
        <v>13870</v>
      </c>
      <c r="Z304">
        <v>-25</v>
      </c>
      <c r="AA304">
        <v>12309017</v>
      </c>
      <c r="AB304">
        <v>74082014</v>
      </c>
      <c r="AC304">
        <v>86391031</v>
      </c>
      <c r="AD304">
        <v>4682601</v>
      </c>
      <c r="AE304">
        <v>12081997</v>
      </c>
      <c r="AF304">
        <v>-7399396</v>
      </c>
      <c r="AG304">
        <v>16057185</v>
      </c>
      <c r="AI304" t="b">
        <v>1</v>
      </c>
      <c r="AK304">
        <v>7.0000000000000007E-2</v>
      </c>
      <c r="AL304">
        <v>6.5000000000000002E-2</v>
      </c>
      <c r="AM304">
        <v>6.5000000000000002E-2</v>
      </c>
      <c r="AN304">
        <v>7.0000000000000007E-2</v>
      </c>
      <c r="AS304">
        <v>15707208</v>
      </c>
      <c r="AT304">
        <v>-4481611</v>
      </c>
      <c r="AU304" t="s">
        <v>115</v>
      </c>
      <c r="AV304" t="s">
        <v>525</v>
      </c>
      <c r="BB304">
        <f t="shared" si="695"/>
        <v>0.94858444867994285</v>
      </c>
      <c r="BD304">
        <f t="shared" si="696"/>
        <v>11024607</v>
      </c>
      <c r="BE304">
        <f t="shared" si="697"/>
        <v>-9164212</v>
      </c>
      <c r="BF304">
        <f t="shared" si="698"/>
        <v>12.105157945166829</v>
      </c>
      <c r="BG304">
        <f t="shared" si="699"/>
        <v>-10.062420701526431</v>
      </c>
      <c r="BH304">
        <f t="shared" si="700"/>
        <v>11.083789323346629</v>
      </c>
      <c r="BI304">
        <f t="shared" si="701"/>
        <v>102.13686218201993</v>
      </c>
      <c r="BJ304">
        <f t="shared" si="702"/>
        <v>11</v>
      </c>
      <c r="BK304">
        <f>IF($BJ304&lt;=30,IF($B304=2015,VLOOKUP($BJ304,'Treasury Yields'!$C$5:$N$34,$E304,FALSE)/100,IF($B304=2016,VLOOKUP($BJ304,'Treasury Yields'!$C$40:$N$69,$E304,FALSE)/100,IF($B304=2017,VLOOKUP($BJ304,'Treasury Yields'!$C$75:$N$104,$E304,FALSE)/100,IF($B304=2018,VLOOKUP($BJ304,'Treasury Yields'!$C$110:$N$139,$E304,FALSE)/100,IF($B304=2019,VLOOKUP($BJ304,'Treasury Yields'!$C$145:$N$174,$E304,FALSE)/100,IF($B304=2020,VLOOKUP($BJ304,'Treasury Yields'!$C$180:$N$209,$E304,FALSE)/100,IF($B304=2021,VLOOKUP($BJ304,'Treasury Yields'!$C$215:$N$244,$E304,FALSE)/100,IF($B304=2022,VLOOKUP($BJ304,'Treasury Yields'!$C$250:$N$279,$E304,FALSE)/100)))))))),0)</f>
        <v>1.4551090909090908E-2</v>
      </c>
      <c r="BL304">
        <f t="shared" si="703"/>
        <v>1.5617101723847659</v>
      </c>
      <c r="BM304">
        <f t="shared" si="704"/>
        <v>134563212.47217286</v>
      </c>
      <c r="BN304">
        <f t="shared" si="705"/>
        <v>60481198.472172856</v>
      </c>
      <c r="BP304">
        <f>IF($BJ304&lt;=30,IF($B304=2015,VLOOKUP($BJ304,'Treasury Yields'!$C$40:$N$69,$E304,FALSE)/100,IF($B304=2016,VLOOKUP($BJ304,'Treasury Yields'!$C$75:$N$104,$E304,FALSE)/100,IF($B304=2017,VLOOKUP($BJ304,'Treasury Yields'!$C$110:$N$139,$E304,FALSE)/100,IF($B304=2018,VLOOKUP($BJ304,'Treasury Yields'!$C$145:$N$174,$E304,FALSE)/100,IF($B304=2019,VLOOKUP($BJ304,'Treasury Yields'!$C$180:$N$209,$E304,FALSE)/100,IF($B304=2020,VLOOKUP($BJ304,'Treasury Yields'!$C$215:$N$244,$E304,FALSE)/100,IF($B304=2021,VLOOKUP($BJ304,'Treasury Yields'!$C$250:$N$279,$E304,FALSE)/100,IF($B304=2022,VLOOKUP($BJ304,'Treasury Yields'!$C$285:$N$314,$E304,FALSE)/100)))))))),0)</f>
        <v>2.1554272727272727E-2</v>
      </c>
      <c r="BQ304">
        <f t="shared" si="706"/>
        <v>1.5393092231982006</v>
      </c>
      <c r="BR304">
        <f t="shared" si="707"/>
        <v>140190481.7277588</v>
      </c>
      <c r="BS304">
        <f t="shared" si="708"/>
        <v>53799450.727758795</v>
      </c>
      <c r="BU304">
        <f t="shared" si="602"/>
        <v>14</v>
      </c>
      <c r="BV304">
        <f t="shared" si="709"/>
        <v>2.704896862757237</v>
      </c>
      <c r="BW304">
        <f t="shared" si="710"/>
        <v>5158113.8920223638</v>
      </c>
      <c r="BX304" s="5">
        <f t="shared" si="711"/>
        <v>1959540.8659868923</v>
      </c>
      <c r="BY304" s="5">
        <f t="shared" si="712"/>
        <v>881566.74554434675</v>
      </c>
      <c r="BZ304" s="5">
        <f t="shared" si="713"/>
        <v>7764500</v>
      </c>
      <c r="CA304" s="5">
        <f t="shared" si="714"/>
        <v>6039680.6375667108</v>
      </c>
      <c r="CC304" s="5">
        <f t="shared" si="715"/>
        <v>140190481.7277588</v>
      </c>
      <c r="CD304" s="5" t="str">
        <f t="shared" si="716"/>
        <v>North Carolina</v>
      </c>
      <c r="CE304" s="5">
        <f t="shared" si="600"/>
        <v>0.94858444867994285</v>
      </c>
      <c r="CF304" s="10">
        <f t="shared" si="717"/>
        <v>0.61624034624380575</v>
      </c>
    </row>
    <row r="305" spans="1:84" x14ac:dyDescent="0.2">
      <c r="A305">
        <v>34000000003803</v>
      </c>
      <c r="B305">
        <v>2022</v>
      </c>
      <c r="C305">
        <v>570</v>
      </c>
      <c r="D305" t="s">
        <v>514</v>
      </c>
      <c r="E305">
        <v>6</v>
      </c>
      <c r="F305" t="s">
        <v>515</v>
      </c>
      <c r="G305" t="s">
        <v>516</v>
      </c>
      <c r="H305" t="s">
        <v>517</v>
      </c>
      <c r="I305" t="b">
        <v>1</v>
      </c>
      <c r="J305">
        <v>1918712</v>
      </c>
      <c r="K305">
        <v>5874188</v>
      </c>
      <c r="L305">
        <v>205169</v>
      </c>
      <c r="M305">
        <v>-175206</v>
      </c>
      <c r="N305">
        <v>0</v>
      </c>
      <c r="O305">
        <v>5324253</v>
      </c>
      <c r="Q305">
        <v>2498610</v>
      </c>
      <c r="R305">
        <v>91073632</v>
      </c>
      <c r="S305">
        <v>93572242</v>
      </c>
      <c r="T305">
        <v>2761946</v>
      </c>
      <c r="V305">
        <v>1030635</v>
      </c>
      <c r="W305">
        <v>-6118110</v>
      </c>
      <c r="Y305">
        <v>13945</v>
      </c>
      <c r="Z305">
        <v>2700</v>
      </c>
      <c r="AA305">
        <v>-7661027</v>
      </c>
      <c r="AB305">
        <v>86391031</v>
      </c>
      <c r="AC305">
        <v>78730004</v>
      </c>
      <c r="AD305">
        <v>14842238</v>
      </c>
      <c r="AE305">
        <v>4682601</v>
      </c>
      <c r="AF305">
        <v>10159637</v>
      </c>
      <c r="AG305">
        <v>16861697</v>
      </c>
      <c r="AI305" t="b">
        <v>1</v>
      </c>
      <c r="AK305">
        <v>6.5000000000000002E-2</v>
      </c>
      <c r="AL305">
        <v>6.5000000000000002E-2</v>
      </c>
      <c r="AM305">
        <v>6.5000000000000002E-2</v>
      </c>
      <c r="AN305">
        <v>6.5000000000000002E-2</v>
      </c>
      <c r="AS305">
        <v>26241833</v>
      </c>
      <c r="AT305">
        <v>5432784</v>
      </c>
      <c r="AV305" t="s">
        <v>526</v>
      </c>
      <c r="BB305">
        <f t="shared" si="695"/>
        <v>0.84138204148191731</v>
      </c>
      <c r="BD305">
        <f t="shared" si="696"/>
        <v>11399595</v>
      </c>
      <c r="BE305">
        <f t="shared" si="697"/>
        <v>-9409454</v>
      </c>
      <c r="BF305">
        <f t="shared" si="698"/>
        <v>12.182667376934283</v>
      </c>
      <c r="BG305">
        <f t="shared" si="699"/>
        <v>-10.055817621640401</v>
      </c>
      <c r="BH305">
        <f t="shared" si="700"/>
        <v>11.119242499287342</v>
      </c>
      <c r="BI305">
        <f t="shared" si="701"/>
        <v>106.34248776469414</v>
      </c>
      <c r="BJ305">
        <f t="shared" si="702"/>
        <v>11</v>
      </c>
      <c r="BK305">
        <f>IF($BJ305&lt;=30,IF($B305=2015,VLOOKUP($BJ305,'Treasury Yields'!$C$5:$N$34,$E305,FALSE)/100,IF($B305=2016,VLOOKUP($BJ305,'Treasury Yields'!$C$40:$N$69,$E305,FALSE)/100,IF($B305=2017,VLOOKUP($BJ305,'Treasury Yields'!$C$75:$N$104,$E305,FALSE)/100,IF($B305=2018,VLOOKUP($BJ305,'Treasury Yields'!$C$110:$N$139,$E305,FALSE)/100,IF($B305=2019,VLOOKUP($BJ305,'Treasury Yields'!$C$145:$N$174,$E305,FALSE)/100,IF($B305=2020,VLOOKUP($BJ305,'Treasury Yields'!$C$180:$N$209,$E305,FALSE)/100,IF($B305=2021,VLOOKUP($BJ305,'Treasury Yields'!$C$215:$N$244,$E305,FALSE)/100,IF($B305=2022,VLOOKUP($BJ305,'Treasury Yields'!$C$250:$N$279,$E305,FALSE)/100)))))))),0)</f>
        <v>2.1554272727272727E-2</v>
      </c>
      <c r="BL305">
        <f t="shared" si="703"/>
        <v>1.4849711083216126</v>
      </c>
      <c r="BM305">
        <f t="shared" si="704"/>
        <v>135241712.24991468</v>
      </c>
      <c r="BN305">
        <f t="shared" si="705"/>
        <v>48850681.249914676</v>
      </c>
      <c r="BP305">
        <f>IF($BJ305&lt;=30,IF($B305=2015,VLOOKUP($BJ305,'Treasury Yields'!$C$40:$N$69,$E305,FALSE)/100,IF($B305=2016,VLOOKUP($BJ305,'Treasury Yields'!$C$75:$N$104,$E305,FALSE)/100,IF($B305=2017,VLOOKUP($BJ305,'Treasury Yields'!$C$110:$N$139,$E305,FALSE)/100,IF($B305=2018,VLOOKUP($BJ305,'Treasury Yields'!$C$145:$N$174,$E305,FALSE)/100,IF($B305=2019,VLOOKUP($BJ305,'Treasury Yields'!$C$180:$N$209,$E305,FALSE)/100,IF($B305=2020,VLOOKUP($BJ305,'Treasury Yields'!$C$215:$N$244,$E305,FALSE)/100,IF($B305=2021,VLOOKUP($BJ305,'Treasury Yields'!$C$250:$N$279,$E305,FALSE)/100,IF($B305=2022,VLOOKUP($BJ305,'Treasury Yields'!$C$285:$N$314,$E305,FALSE)/100)))))))),0)</f>
        <v>3.1935909090909091E-2</v>
      </c>
      <c r="BQ305">
        <f t="shared" si="706"/>
        <v>1.3687408789443085</v>
      </c>
      <c r="BR305">
        <f t="shared" si="707"/>
        <v>128076152.75986955</v>
      </c>
      <c r="BS305">
        <f t="shared" si="708"/>
        <v>49346148.759869546</v>
      </c>
      <c r="BU305">
        <f t="shared" si="602"/>
        <v>14</v>
      </c>
      <c r="BV305">
        <f t="shared" si="709"/>
        <v>2.292048524404426</v>
      </c>
      <c r="BW305">
        <f t="shared" si="710"/>
        <v>4397781.0083570648</v>
      </c>
      <c r="BX305" s="5">
        <f t="shared" si="711"/>
        <v>2895067.3199559506</v>
      </c>
      <c r="BY305" s="5">
        <f t="shared" si="712"/>
        <v>1032971.4765916776</v>
      </c>
      <c r="BZ305" s="5">
        <f t="shared" si="713"/>
        <v>7792900</v>
      </c>
      <c r="CA305" s="5">
        <f t="shared" si="714"/>
        <v>5430752.4849487422</v>
      </c>
      <c r="CC305" s="5">
        <f t="shared" si="715"/>
        <v>128076152.75986955</v>
      </c>
      <c r="CD305" s="5" t="str">
        <f t="shared" si="716"/>
        <v>North Carolina</v>
      </c>
      <c r="CE305" s="5">
        <f t="shared" si="600"/>
        <v>0.84138204148191731</v>
      </c>
      <c r="CF305" s="10">
        <f t="shared" si="717"/>
        <v>0.61471243712021217</v>
      </c>
    </row>
    <row r="306" spans="1:84" x14ac:dyDescent="0.2">
      <c r="A306">
        <v>35000000090001</v>
      </c>
      <c r="B306">
        <v>2015</v>
      </c>
      <c r="C306">
        <v>405</v>
      </c>
      <c r="D306" t="s">
        <v>527</v>
      </c>
      <c r="E306">
        <v>6</v>
      </c>
      <c r="F306" t="s">
        <v>528</v>
      </c>
      <c r="G306" t="s">
        <v>529</v>
      </c>
      <c r="H306" t="s">
        <v>69</v>
      </c>
      <c r="I306" t="b">
        <v>1</v>
      </c>
      <c r="J306">
        <v>60618</v>
      </c>
      <c r="K306">
        <v>249064</v>
      </c>
      <c r="L306">
        <v>0</v>
      </c>
      <c r="M306">
        <v>2209</v>
      </c>
      <c r="N306">
        <v>171325</v>
      </c>
      <c r="O306">
        <v>172239</v>
      </c>
      <c r="Q306">
        <v>310977</v>
      </c>
      <c r="R306">
        <v>3138800</v>
      </c>
      <c r="S306">
        <v>3449777</v>
      </c>
      <c r="T306">
        <v>78422</v>
      </c>
      <c r="U306">
        <v>1773</v>
      </c>
      <c r="V306">
        <v>72268</v>
      </c>
      <c r="W306">
        <v>73205</v>
      </c>
      <c r="Y306">
        <v>1923</v>
      </c>
      <c r="Z306">
        <v>1773</v>
      </c>
      <c r="AA306">
        <v>51506</v>
      </c>
      <c r="AB306">
        <v>2090415</v>
      </c>
      <c r="AC306">
        <v>2141921</v>
      </c>
      <c r="AD306">
        <v>1307856</v>
      </c>
      <c r="AE306">
        <v>1048385</v>
      </c>
      <c r="AF306">
        <v>259471</v>
      </c>
      <c r="AG306">
        <v>615105</v>
      </c>
      <c r="AH306">
        <v>0.12749367994082311</v>
      </c>
      <c r="AI306" t="b">
        <v>1</v>
      </c>
      <c r="AK306">
        <v>0.08</v>
      </c>
      <c r="AL306">
        <v>7.7499999999999999E-2</v>
      </c>
      <c r="AM306">
        <v>7.7499999999999999E-2</v>
      </c>
      <c r="AN306">
        <v>0.08</v>
      </c>
      <c r="AO306">
        <v>1</v>
      </c>
      <c r="AP306">
        <v>0</v>
      </c>
      <c r="AS306">
        <v>1728392.47</v>
      </c>
      <c r="AT306">
        <v>957135.96699999995</v>
      </c>
      <c r="BB306">
        <f t="shared" ref="BB306:BB313" si="718">AC306/S306</f>
        <v>0.62088679934963908</v>
      </c>
      <c r="BD306">
        <f t="shared" ref="BD306:BD312" si="719">AS306-AD306</f>
        <v>420536.47</v>
      </c>
      <c r="BE306">
        <f t="shared" ref="BE306:BE313" si="720">AT306-AD306</f>
        <v>-350720.03300000005</v>
      </c>
      <c r="BF306">
        <f t="shared" ref="BF306:BF313" si="721">BD306/S306*100</f>
        <v>12.190250848098296</v>
      </c>
      <c r="BG306">
        <f t="shared" ref="BG306:BG313" si="722">BE306/S306*100</f>
        <v>-10.16645519406037</v>
      </c>
      <c r="BH306">
        <f t="shared" ref="BH306:BH312" si="723">(BD306-BE306)/(2*S306)*100</f>
        <v>11.178353021079333</v>
      </c>
      <c r="BI306">
        <f t="shared" ref="BI306:BI313" si="724">(BD306+BE306)/(2*S306*(0.01^2))</f>
        <v>101.18978270189626</v>
      </c>
      <c r="BJ306">
        <f t="shared" ref="BJ306:BJ313" si="725">ROUND(BH306,0)</f>
        <v>11</v>
      </c>
      <c r="BK306">
        <f>IF($BJ306&lt;=30,IF($B306=2015,VLOOKUP($BJ306,'Treasury Yields'!$C$5:$N$34,$E306,FALSE)/100,IF($B306=2016,VLOOKUP($BJ306,'Treasury Yields'!$C$40:$N$69,$E306,FALSE)/100,IF($B306=2017,VLOOKUP($BJ306,'Treasury Yields'!$C$75:$N$104,$E306,FALSE)/100,IF($B306=2018,VLOOKUP($BJ306,'Treasury Yields'!$C$110:$N$139,$E306,FALSE)/100,IF($B306=2019,VLOOKUP($BJ306,'Treasury Yields'!$C$145:$N$174,$E306,FALSE)/100,IF($B306=2020,VLOOKUP($BJ306,'Treasury Yields'!$C$180:$N$209,$E306,FALSE)/100,IF($B306=2021,VLOOKUP($BJ306,'Treasury Yields'!$C$215:$N$244,$E306,FALSE)/100,IF($B306=2022,VLOOKUP($BJ306,'Treasury Yields'!$C$250:$N$279,$E306,FALSE)/100)))))))),0)</f>
        <v>2.8147999999999999E-2</v>
      </c>
      <c r="BL306">
        <f t="shared" ref="BL306:BL313" si="726">1+BH306*(AL306-BK306)+(AL306-BK306)^2</f>
        <v>1.5541096982003073</v>
      </c>
      <c r="BM306">
        <f t="shared" ref="BM306:BM313" si="727">BL306*R306</f>
        <v>4878039.5207111249</v>
      </c>
      <c r="BN306">
        <f t="shared" ref="BN306:BN313" si="728">BM306-AB306</f>
        <v>2787624.5207111249</v>
      </c>
      <c r="BP306">
        <f>IF($BJ306&lt;=30,IF($B306=2015,VLOOKUP($BJ306,'Treasury Yields'!$C$40:$N$69,$E306,FALSE)/100,IF($B306=2016,VLOOKUP($BJ306,'Treasury Yields'!$C$75:$N$104,$E306,FALSE)/100,IF($B306=2017,VLOOKUP($BJ306,'Treasury Yields'!$C$110:$N$139,$E306,FALSE)/100,IF($B306=2018,VLOOKUP($BJ306,'Treasury Yields'!$C$145:$N$174,$E306,FALSE)/100,IF($B306=2019,VLOOKUP($BJ306,'Treasury Yields'!$C$180:$N$209,$E306,FALSE)/100,IF($B306=2020,VLOOKUP($BJ306,'Treasury Yields'!$C$215:$N$244,$E306,FALSE)/100,IF($B306=2021,VLOOKUP($BJ306,'Treasury Yields'!$C$250:$N$279,$E306,FALSE)/100,IF($B306=2022,VLOOKUP($BJ306,'Treasury Yields'!$C$285:$N$314,$E306,FALSE)/100)))))))),0)</f>
        <v>2.6258E-2</v>
      </c>
      <c r="BQ306">
        <f t="shared" ref="BQ306:BQ313" si="729">1+BH306*(AN306-BP306)+(AN306-BP306)^2</f>
        <v>1.6036352506228455</v>
      </c>
      <c r="BR306">
        <f t="shared" ref="BR306:BR313" si="730">BQ306*S306</f>
        <v>5532184.0039879279</v>
      </c>
      <c r="BS306">
        <f t="shared" ref="BS306:BS313" si="731">BR306-AC306</f>
        <v>3390263.0039879279</v>
      </c>
      <c r="BU306">
        <f t="shared" si="602"/>
        <v>14</v>
      </c>
      <c r="BV306">
        <f t="shared" ref="BV306:BV313" si="732">1+(BH306+BU306)*(AN306-BK306)+(AN306-BK306)^2*BI306</f>
        <v>2.577609836600586</v>
      </c>
      <c r="BW306">
        <f t="shared" ref="BW306:BW313" si="733">BV306*J306</f>
        <v>156249.55307505431</v>
      </c>
      <c r="BX306" s="5">
        <f t="shared" ref="BX306:BX312" si="734">(BM306+BW306-O306)*BK306</f>
        <v>136856.98547693339</v>
      </c>
      <c r="BY306" s="5">
        <f t="shared" ref="BY306:BY313" si="735">BK306*(BN306+BW306-O306)</f>
        <v>78015.984056933361</v>
      </c>
      <c r="BZ306" s="5">
        <f t="shared" ref="BZ306:BZ313" si="736">SUM(J306:K306)</f>
        <v>309682</v>
      </c>
      <c r="CA306" s="5">
        <f t="shared" ref="CA306:CA313" si="737">SUM(BW306+BY306)</f>
        <v>234265.53713198769</v>
      </c>
      <c r="CC306" s="5">
        <f t="shared" ref="CC306:CC313" si="738">BR306</f>
        <v>5532184.0039879279</v>
      </c>
      <c r="CD306" s="5" t="str">
        <f t="shared" ref="CD306:CD313" si="739">F306</f>
        <v>North Dakota</v>
      </c>
      <c r="CE306" s="5">
        <f t="shared" si="600"/>
        <v>0.62088679934963908</v>
      </c>
      <c r="CF306" s="10">
        <f t="shared" ref="CF306:CF313" si="740">AC306/CC306</f>
        <v>0.38717457670532573</v>
      </c>
    </row>
    <row r="307" spans="1:84" x14ac:dyDescent="0.2">
      <c r="A307">
        <v>35000000090001</v>
      </c>
      <c r="B307">
        <v>2016</v>
      </c>
      <c r="C307">
        <v>405</v>
      </c>
      <c r="D307" t="s">
        <v>527</v>
      </c>
      <c r="E307">
        <v>6</v>
      </c>
      <c r="F307" t="s">
        <v>528</v>
      </c>
      <c r="G307" t="s">
        <v>529</v>
      </c>
      <c r="H307" t="s">
        <v>69</v>
      </c>
      <c r="I307" t="b">
        <v>1</v>
      </c>
      <c r="J307">
        <v>68239</v>
      </c>
      <c r="K307">
        <v>265440</v>
      </c>
      <c r="M307">
        <v>-8093</v>
      </c>
      <c r="N307">
        <v>0</v>
      </c>
      <c r="O307">
        <v>185969</v>
      </c>
      <c r="Q307">
        <v>139617</v>
      </c>
      <c r="R307">
        <v>3449777</v>
      </c>
      <c r="S307">
        <v>3589394</v>
      </c>
      <c r="T307">
        <v>82840</v>
      </c>
      <c r="U307">
        <v>2813</v>
      </c>
      <c r="V307">
        <v>76343</v>
      </c>
      <c r="W307">
        <v>8239</v>
      </c>
      <c r="Y307">
        <v>1852</v>
      </c>
      <c r="Z307">
        <v>2813</v>
      </c>
      <c r="AA307">
        <v>-17586</v>
      </c>
      <c r="AB307">
        <v>2141921</v>
      </c>
      <c r="AC307">
        <v>2124335</v>
      </c>
      <c r="AD307">
        <v>1465059</v>
      </c>
      <c r="AE307">
        <v>1307856</v>
      </c>
      <c r="AF307">
        <v>157203</v>
      </c>
      <c r="AG307">
        <v>649725</v>
      </c>
      <c r="AH307">
        <v>0.12750009619454383</v>
      </c>
      <c r="AI307" t="b">
        <v>1</v>
      </c>
      <c r="AK307">
        <v>7.7499999999999999E-2</v>
      </c>
      <c r="AL307">
        <v>7.7499999999999999E-2</v>
      </c>
      <c r="AM307">
        <v>7.7499999999999999E-2</v>
      </c>
      <c r="AN307">
        <v>7.7499999999999999E-2</v>
      </c>
      <c r="AO307">
        <v>1</v>
      </c>
      <c r="AP307">
        <v>0</v>
      </c>
      <c r="AS307">
        <v>1900291</v>
      </c>
      <c r="AT307">
        <v>1102551</v>
      </c>
      <c r="AU307" t="s">
        <v>152</v>
      </c>
      <c r="AV307" t="s">
        <v>530</v>
      </c>
      <c r="BB307">
        <f t="shared" si="718"/>
        <v>0.59183667215134361</v>
      </c>
      <c r="BD307">
        <f t="shared" si="719"/>
        <v>435232</v>
      </c>
      <c r="BE307">
        <f t="shared" si="720"/>
        <v>-362508</v>
      </c>
      <c r="BF307">
        <f t="shared" si="721"/>
        <v>12.125500850561403</v>
      </c>
      <c r="BG307">
        <f t="shared" si="722"/>
        <v>-10.099420682154147</v>
      </c>
      <c r="BH307">
        <f t="shared" si="723"/>
        <v>11.112460766357774</v>
      </c>
      <c r="BI307">
        <f t="shared" si="724"/>
        <v>101.30400842036288</v>
      </c>
      <c r="BJ307">
        <f t="shared" si="725"/>
        <v>11</v>
      </c>
      <c r="BK307">
        <f>IF($BJ307&lt;=30,IF($B307=2015,VLOOKUP($BJ307,'Treasury Yields'!$C$5:$N$34,$E307,FALSE)/100,IF($B307=2016,VLOOKUP($BJ307,'Treasury Yields'!$C$40:$N$69,$E307,FALSE)/100,IF($B307=2017,VLOOKUP($BJ307,'Treasury Yields'!$C$75:$N$104,$E307,FALSE)/100,IF($B307=2018,VLOOKUP($BJ307,'Treasury Yields'!$C$110:$N$139,$E307,FALSE)/100,IF($B307=2019,VLOOKUP($BJ307,'Treasury Yields'!$C$145:$N$174,$E307,FALSE)/100,IF($B307=2020,VLOOKUP($BJ307,'Treasury Yields'!$C$180:$N$209,$E307,FALSE)/100,IF($B307=2021,VLOOKUP($BJ307,'Treasury Yields'!$C$215:$N$244,$E307,FALSE)/100,IF($B307=2022,VLOOKUP($BJ307,'Treasury Yields'!$C$250:$N$279,$E307,FALSE)/100)))))))),0)</f>
        <v>2.6258E-2</v>
      </c>
      <c r="BL307">
        <f t="shared" si="726"/>
        <v>1.5720504571537048</v>
      </c>
      <c r="BM307">
        <f t="shared" si="727"/>
        <v>5423223.5099283364</v>
      </c>
      <c r="BN307">
        <f t="shared" si="728"/>
        <v>3281302.5099283364</v>
      </c>
      <c r="BP307">
        <f>IF($BJ307&lt;=30,IF($B307=2015,VLOOKUP($BJ307,'Treasury Yields'!$C$40:$N$69,$E307,FALSE)/100,IF($B307=2016,VLOOKUP($BJ307,'Treasury Yields'!$C$75:$N$104,$E307,FALSE)/100,IF($B307=2017,VLOOKUP($BJ307,'Treasury Yields'!$C$110:$N$139,$E307,FALSE)/100,IF($B307=2018,VLOOKUP($BJ307,'Treasury Yields'!$C$145:$N$174,$E307,FALSE)/100,IF($B307=2019,VLOOKUP($BJ307,'Treasury Yields'!$C$180:$N$209,$E307,FALSE)/100,IF($B307=2020,VLOOKUP($BJ307,'Treasury Yields'!$C$215:$N$244,$E307,FALSE)/100,IF($B307=2021,VLOOKUP($BJ307,'Treasury Yields'!$C$250:$N$279,$E307,FALSE)/100,IF($B307=2022,VLOOKUP($BJ307,'Treasury Yields'!$C$285:$N$314,$E307,FALSE)/100)))))))),0)</f>
        <v>1.6948000000000001E-2</v>
      </c>
      <c r="BQ307">
        <f t="shared" si="729"/>
        <v>1.6765482690284959</v>
      </c>
      <c r="BR307">
        <f t="shared" si="730"/>
        <v>6017792.2975612693</v>
      </c>
      <c r="BS307">
        <f t="shared" si="731"/>
        <v>3893457.2975612693</v>
      </c>
      <c r="BU307">
        <f t="shared" si="602"/>
        <v>14</v>
      </c>
      <c r="BV307">
        <f t="shared" si="732"/>
        <v>2.5528109614028662</v>
      </c>
      <c r="BW307">
        <f t="shared" si="733"/>
        <v>174201.26719517019</v>
      </c>
      <c r="BX307" s="5">
        <f t="shared" si="734"/>
        <v>142094.00579570903</v>
      </c>
      <c r="BY307" s="5">
        <f t="shared" si="735"/>
        <v>85851.44417770904</v>
      </c>
      <c r="BZ307" s="5">
        <f t="shared" si="736"/>
        <v>333679</v>
      </c>
      <c r="CA307" s="5">
        <f t="shared" si="737"/>
        <v>260052.71137287922</v>
      </c>
      <c r="CC307" s="5">
        <f t="shared" si="738"/>
        <v>6017792.2975612693</v>
      </c>
      <c r="CD307" s="5" t="str">
        <f t="shared" si="739"/>
        <v>North Dakota</v>
      </c>
      <c r="CE307" s="5">
        <f t="shared" si="600"/>
        <v>0.59183667215134361</v>
      </c>
      <c r="CF307" s="10">
        <f t="shared" si="740"/>
        <v>0.35300902639343235</v>
      </c>
    </row>
    <row r="308" spans="1:84" x14ac:dyDescent="0.2">
      <c r="A308">
        <v>35000000090001</v>
      </c>
      <c r="B308">
        <v>2017</v>
      </c>
      <c r="C308">
        <v>405</v>
      </c>
      <c r="D308" t="s">
        <v>527</v>
      </c>
      <c r="E308">
        <v>6</v>
      </c>
      <c r="F308" t="s">
        <v>528</v>
      </c>
      <c r="G308" t="s">
        <v>529</v>
      </c>
      <c r="H308" t="s">
        <v>69</v>
      </c>
      <c r="I308" t="b">
        <v>1</v>
      </c>
      <c r="J308">
        <v>75476</v>
      </c>
      <c r="K308">
        <v>276412</v>
      </c>
      <c r="M308">
        <v>-10749</v>
      </c>
      <c r="N308">
        <v>0</v>
      </c>
      <c r="O308">
        <v>196516</v>
      </c>
      <c r="Q308">
        <v>144623</v>
      </c>
      <c r="R308">
        <v>3589394</v>
      </c>
      <c r="S308">
        <v>3734017</v>
      </c>
      <c r="T308">
        <v>86059</v>
      </c>
      <c r="U308">
        <v>2789</v>
      </c>
      <c r="V308">
        <v>79309</v>
      </c>
      <c r="W308">
        <v>266688</v>
      </c>
      <c r="Y308">
        <v>2173</v>
      </c>
      <c r="AA308">
        <v>236156</v>
      </c>
      <c r="AB308">
        <v>2124335</v>
      </c>
      <c r="AC308">
        <v>2360491</v>
      </c>
      <c r="AD308">
        <v>1373526</v>
      </c>
      <c r="AE308">
        <v>1465059</v>
      </c>
      <c r="AF308">
        <v>-91533</v>
      </c>
      <c r="AG308">
        <v>674971</v>
      </c>
      <c r="AH308">
        <v>0.12750029260516377</v>
      </c>
      <c r="AI308" t="b">
        <v>1</v>
      </c>
      <c r="AK308">
        <v>7.7499999999999999E-2</v>
      </c>
      <c r="AL308">
        <v>7.7499999999999999E-2</v>
      </c>
      <c r="AM308">
        <v>7.7499999999999999E-2</v>
      </c>
      <c r="AN308">
        <v>7.7499999999999999E-2</v>
      </c>
      <c r="AO308">
        <v>1</v>
      </c>
      <c r="AP308">
        <v>0</v>
      </c>
      <c r="AS308">
        <v>1826127</v>
      </c>
      <c r="AT308">
        <v>996749</v>
      </c>
      <c r="AU308" t="s">
        <v>283</v>
      </c>
      <c r="AV308" t="s">
        <v>531</v>
      </c>
      <c r="BB308">
        <f t="shared" si="718"/>
        <v>0.63215861095436898</v>
      </c>
      <c r="BD308">
        <f t="shared" si="719"/>
        <v>452601</v>
      </c>
      <c r="BE308">
        <f t="shared" si="720"/>
        <v>-376777</v>
      </c>
      <c r="BF308">
        <f t="shared" si="721"/>
        <v>12.121021409382978</v>
      </c>
      <c r="BG308">
        <f t="shared" si="722"/>
        <v>-10.090393268161339</v>
      </c>
      <c r="BH308">
        <f t="shared" si="723"/>
        <v>11.105707338772158</v>
      </c>
      <c r="BI308">
        <f t="shared" si="724"/>
        <v>101.53140706108194</v>
      </c>
      <c r="BJ308">
        <f t="shared" si="725"/>
        <v>11</v>
      </c>
      <c r="BK308">
        <f>IF($BJ308&lt;=30,IF($B308=2015,VLOOKUP($BJ308,'Treasury Yields'!$C$5:$N$34,$E308,FALSE)/100,IF($B308=2016,VLOOKUP($BJ308,'Treasury Yields'!$C$40:$N$69,$E308,FALSE)/100,IF($B308=2017,VLOOKUP($BJ308,'Treasury Yields'!$C$75:$N$104,$E308,FALSE)/100,IF($B308=2018,VLOOKUP($BJ308,'Treasury Yields'!$C$110:$N$139,$E308,FALSE)/100,IF($B308=2019,VLOOKUP($BJ308,'Treasury Yields'!$C$145:$N$174,$E308,FALSE)/100,IF($B308=2020,VLOOKUP($BJ308,'Treasury Yields'!$C$180:$N$209,$E308,FALSE)/100,IF($B308=2021,VLOOKUP($BJ308,'Treasury Yields'!$C$215:$N$244,$E308,FALSE)/100,IF($B308=2022,VLOOKUP($BJ308,'Treasury Yields'!$C$250:$N$279,$E308,FALSE)/100)))))))),0)</f>
        <v>1.6948000000000001E-2</v>
      </c>
      <c r="BL308">
        <f t="shared" si="726"/>
        <v>1.6761393354813316</v>
      </c>
      <c r="BM308">
        <f t="shared" si="727"/>
        <v>6016324.4739406789</v>
      </c>
      <c r="BN308">
        <f t="shared" si="728"/>
        <v>3891989.4739406789</v>
      </c>
      <c r="BP308">
        <f>IF($BJ308&lt;=30,IF($B308=2015,VLOOKUP($BJ308,'Treasury Yields'!$C$40:$N$69,$E308,FALSE)/100,IF($B308=2016,VLOOKUP($BJ308,'Treasury Yields'!$C$75:$N$104,$E308,FALSE)/100,IF($B308=2017,VLOOKUP($BJ308,'Treasury Yields'!$C$110:$N$139,$E308,FALSE)/100,IF($B308=2018,VLOOKUP($BJ308,'Treasury Yields'!$C$145:$N$174,$E308,FALSE)/100,IF($B308=2019,VLOOKUP($BJ308,'Treasury Yields'!$C$180:$N$209,$E308,FALSE)/100,IF($B308=2020,VLOOKUP($BJ308,'Treasury Yields'!$C$215:$N$244,$E308,FALSE)/100,IF($B308=2021,VLOOKUP($BJ308,'Treasury Yields'!$C$250:$N$279,$E308,FALSE)/100,IF($B308=2022,VLOOKUP($BJ308,'Treasury Yields'!$C$285:$N$314,$E308,FALSE)/100)))))))),0)</f>
        <v>2.5068799999999999E-2</v>
      </c>
      <c r="BQ308">
        <f t="shared" si="729"/>
        <v>1.5850345933540706</v>
      </c>
      <c r="BR308">
        <f t="shared" si="730"/>
        <v>5918546.1171721863</v>
      </c>
      <c r="BS308">
        <f t="shared" si="731"/>
        <v>3558055.1171721863</v>
      </c>
      <c r="BU308">
        <f t="shared" si="602"/>
        <v>14</v>
      </c>
      <c r="BV308">
        <f t="shared" si="732"/>
        <v>2.8924702336268098</v>
      </c>
      <c r="BW308">
        <f t="shared" si="733"/>
        <v>218312.08335321708</v>
      </c>
      <c r="BX308" s="5">
        <f t="shared" si="734"/>
        <v>102334.06720501695</v>
      </c>
      <c r="BY308" s="5">
        <f t="shared" si="735"/>
        <v>66330.837625016953</v>
      </c>
      <c r="BZ308" s="5">
        <f t="shared" si="736"/>
        <v>351888</v>
      </c>
      <c r="CA308" s="5">
        <f t="shared" si="737"/>
        <v>284642.92097823403</v>
      </c>
      <c r="CC308" s="5">
        <f t="shared" si="738"/>
        <v>5918546.1171721863</v>
      </c>
      <c r="CD308" s="5" t="str">
        <f t="shared" si="739"/>
        <v>North Dakota</v>
      </c>
      <c r="CE308" s="5">
        <f t="shared" si="600"/>
        <v>0.63215861095436898</v>
      </c>
      <c r="CF308" s="10">
        <f t="shared" si="740"/>
        <v>0.39882953571168855</v>
      </c>
    </row>
    <row r="309" spans="1:84" x14ac:dyDescent="0.2">
      <c r="A309">
        <v>35000000090001</v>
      </c>
      <c r="B309">
        <v>2018</v>
      </c>
      <c r="C309">
        <v>405</v>
      </c>
      <c r="D309" t="s">
        <v>527</v>
      </c>
      <c r="E309">
        <v>6</v>
      </c>
      <c r="F309" t="s">
        <v>528</v>
      </c>
      <c r="G309" t="s">
        <v>529</v>
      </c>
      <c r="H309" t="s">
        <v>69</v>
      </c>
      <c r="I309" t="b">
        <v>1</v>
      </c>
      <c r="J309">
        <v>78041</v>
      </c>
      <c r="K309">
        <v>287375</v>
      </c>
      <c r="M309">
        <v>-27939</v>
      </c>
      <c r="N309">
        <v>0</v>
      </c>
      <c r="O309">
        <v>207979</v>
      </c>
      <c r="Q309">
        <v>129498</v>
      </c>
      <c r="R309">
        <v>3734017</v>
      </c>
      <c r="S309">
        <v>3863515</v>
      </c>
      <c r="T309">
        <v>86676</v>
      </c>
      <c r="U309">
        <v>2375</v>
      </c>
      <c r="V309">
        <v>79878</v>
      </c>
      <c r="W309">
        <v>211345</v>
      </c>
      <c r="Y309">
        <v>2129</v>
      </c>
      <c r="AA309">
        <v>170166</v>
      </c>
      <c r="AB309">
        <v>2360491</v>
      </c>
      <c r="AC309">
        <v>2530657</v>
      </c>
      <c r="AD309">
        <v>1332858</v>
      </c>
      <c r="AE309">
        <v>1373526</v>
      </c>
      <c r="AF309">
        <v>-40668</v>
      </c>
      <c r="AG309">
        <v>679809</v>
      </c>
      <c r="AH309">
        <v>0.12750051852799832</v>
      </c>
      <c r="AI309" t="b">
        <v>1</v>
      </c>
      <c r="AK309">
        <v>7.7499999999999999E-2</v>
      </c>
      <c r="AL309">
        <v>7.7499999999999999E-2</v>
      </c>
      <c r="AM309">
        <v>7.7499999999999999E-2</v>
      </c>
      <c r="AN309">
        <v>7.7499999999999999E-2</v>
      </c>
      <c r="AO309">
        <v>1</v>
      </c>
      <c r="AP309">
        <v>0</v>
      </c>
      <c r="AS309">
        <v>1799744</v>
      </c>
      <c r="AT309">
        <v>944554</v>
      </c>
      <c r="AU309" t="s">
        <v>332</v>
      </c>
      <c r="AV309" t="s">
        <v>532</v>
      </c>
      <c r="BB309">
        <f t="shared" si="718"/>
        <v>0.65501415162099796</v>
      </c>
      <c r="BD309">
        <f t="shared" si="719"/>
        <v>466886</v>
      </c>
      <c r="BE309">
        <f t="shared" si="720"/>
        <v>-388304</v>
      </c>
      <c r="BF309">
        <f t="shared" si="721"/>
        <v>12.084487830382438</v>
      </c>
      <c r="BG309">
        <f t="shared" si="722"/>
        <v>-10.050536881570279</v>
      </c>
      <c r="BH309">
        <f t="shared" si="723"/>
        <v>11.067512355976358</v>
      </c>
      <c r="BI309">
        <f t="shared" si="724"/>
        <v>101.69754744060783</v>
      </c>
      <c r="BJ309">
        <f t="shared" si="725"/>
        <v>11</v>
      </c>
      <c r="BK309">
        <f>IF($BJ309&lt;=30,IF($B309=2015,VLOOKUP($BJ309,'Treasury Yields'!$C$5:$N$34,$E309,FALSE)/100,IF($B309=2016,VLOOKUP($BJ309,'Treasury Yields'!$C$40:$N$69,$E309,FALSE)/100,IF($B309=2017,VLOOKUP($BJ309,'Treasury Yields'!$C$75:$N$104,$E309,FALSE)/100,IF($B309=2018,VLOOKUP($BJ309,'Treasury Yields'!$C$110:$N$139,$E309,FALSE)/100,IF($B309=2019,VLOOKUP($BJ309,'Treasury Yields'!$C$145:$N$174,$E309,FALSE)/100,IF($B309=2020,VLOOKUP($BJ309,'Treasury Yields'!$C$180:$N$209,$E309,FALSE)/100,IF($B309=2021,VLOOKUP($BJ309,'Treasury Yields'!$C$215:$N$244,$E309,FALSE)/100,IF($B309=2022,VLOOKUP($BJ309,'Treasury Yields'!$C$250:$N$279,$E309,FALSE)/100)))))))),0)</f>
        <v>2.5068799999999999E-2</v>
      </c>
      <c r="BL309">
        <f t="shared" si="726"/>
        <v>1.5830319845721075</v>
      </c>
      <c r="BM309">
        <f t="shared" si="727"/>
        <v>5911068.3419359867</v>
      </c>
      <c r="BN309">
        <f t="shared" si="728"/>
        <v>3550577.3419359867</v>
      </c>
      <c r="BP309">
        <f>IF($BJ309&lt;=30,IF($B309=2015,VLOOKUP($BJ309,'Treasury Yields'!$C$40:$N$69,$E309,FALSE)/100,IF($B309=2016,VLOOKUP($BJ309,'Treasury Yields'!$C$75:$N$104,$E309,FALSE)/100,IF($B309=2017,VLOOKUP($BJ309,'Treasury Yields'!$C$110:$N$139,$E309,FALSE)/100,IF($B309=2018,VLOOKUP($BJ309,'Treasury Yields'!$C$145:$N$174,$E309,FALSE)/100,IF($B309=2019,VLOOKUP($BJ309,'Treasury Yields'!$C$180:$N$209,$E309,FALSE)/100,IF($B309=2020,VLOOKUP($BJ309,'Treasury Yields'!$C$215:$N$244,$E309,FALSE)/100,IF($B309=2021,VLOOKUP($BJ309,'Treasury Yields'!$C$250:$N$279,$E309,FALSE)/100,IF($B309=2022,VLOOKUP($BJ309,'Treasury Yields'!$C$285:$N$314,$E309,FALSE)/100)))))))),0)</f>
        <v>2.9273236363636365E-2</v>
      </c>
      <c r="BQ309">
        <f t="shared" si="729"/>
        <v>1.5360761231650435</v>
      </c>
      <c r="BR309">
        <f t="shared" si="730"/>
        <v>5934653.1429899931</v>
      </c>
      <c r="BS309">
        <f t="shared" si="731"/>
        <v>3403996.1429899931</v>
      </c>
      <c r="BU309">
        <f t="shared" si="602"/>
        <v>14</v>
      </c>
      <c r="BV309">
        <f t="shared" si="732"/>
        <v>2.5938894372683707</v>
      </c>
      <c r="BW309">
        <f t="shared" si="733"/>
        <v>202429.72557386092</v>
      </c>
      <c r="BX309" s="5">
        <f t="shared" si="734"/>
        <v>148044.27639959086</v>
      </c>
      <c r="BY309" s="5">
        <f t="shared" si="735"/>
        <v>88869.59961879086</v>
      </c>
      <c r="BZ309" s="5">
        <f t="shared" si="736"/>
        <v>365416</v>
      </c>
      <c r="CA309" s="5">
        <f t="shared" si="737"/>
        <v>291299.32519265177</v>
      </c>
      <c r="CC309" s="5">
        <f t="shared" si="738"/>
        <v>5934653.1429899931</v>
      </c>
      <c r="CD309" s="5" t="str">
        <f t="shared" si="739"/>
        <v>North Dakota</v>
      </c>
      <c r="CE309" s="5">
        <f t="shared" si="600"/>
        <v>0.65501415162099796</v>
      </c>
      <c r="CF309" s="10">
        <f t="shared" si="740"/>
        <v>0.42642037184417592</v>
      </c>
    </row>
    <row r="310" spans="1:84" x14ac:dyDescent="0.2">
      <c r="A310">
        <v>35000000090001</v>
      </c>
      <c r="B310">
        <v>2019</v>
      </c>
      <c r="C310">
        <v>405</v>
      </c>
      <c r="D310" t="s">
        <v>527</v>
      </c>
      <c r="E310">
        <v>6</v>
      </c>
      <c r="F310" t="s">
        <v>528</v>
      </c>
      <c r="G310" t="s">
        <v>529</v>
      </c>
      <c r="H310" t="s">
        <v>69</v>
      </c>
      <c r="I310" t="b">
        <v>1</v>
      </c>
      <c r="J310">
        <v>77756</v>
      </c>
      <c r="K310">
        <v>296876</v>
      </c>
      <c r="M310">
        <v>-23495</v>
      </c>
      <c r="N310">
        <v>0</v>
      </c>
      <c r="O310">
        <v>221228</v>
      </c>
      <c r="Q310">
        <v>129909</v>
      </c>
      <c r="R310">
        <v>3863515</v>
      </c>
      <c r="S310">
        <v>3993424</v>
      </c>
      <c r="T310">
        <v>89445</v>
      </c>
      <c r="U310">
        <v>2076</v>
      </c>
      <c r="V310">
        <v>82429</v>
      </c>
      <c r="W310">
        <v>135043</v>
      </c>
      <c r="Y310">
        <v>2251</v>
      </c>
      <c r="AA310">
        <v>85514</v>
      </c>
      <c r="AB310">
        <v>2530657</v>
      </c>
      <c r="AC310">
        <v>2616171</v>
      </c>
      <c r="AD310">
        <v>1377253</v>
      </c>
      <c r="AE310">
        <v>1332858</v>
      </c>
      <c r="AF310">
        <v>44395</v>
      </c>
      <c r="AG310">
        <v>701528</v>
      </c>
      <c r="AH310">
        <v>0.12750025658277361</v>
      </c>
      <c r="AI310" t="b">
        <v>1</v>
      </c>
      <c r="AK310">
        <v>7.7499999999999999E-2</v>
      </c>
      <c r="AL310">
        <v>7.7499999999999999E-2</v>
      </c>
      <c r="AM310">
        <v>7.7499999999999999E-2</v>
      </c>
      <c r="AN310">
        <v>7.7499999999999999E-2</v>
      </c>
      <c r="AO310">
        <v>1</v>
      </c>
      <c r="AP310">
        <v>0</v>
      </c>
      <c r="AS310">
        <v>1859994</v>
      </c>
      <c r="AT310">
        <v>976082</v>
      </c>
      <c r="AU310" t="s">
        <v>283</v>
      </c>
      <c r="AV310" t="s">
        <v>533</v>
      </c>
      <c r="BB310">
        <f t="shared" si="718"/>
        <v>0.65511976689677831</v>
      </c>
      <c r="BD310">
        <f t="shared" si="719"/>
        <v>482741</v>
      </c>
      <c r="BE310">
        <f t="shared" si="720"/>
        <v>-401171</v>
      </c>
      <c r="BF310">
        <f t="shared" si="721"/>
        <v>12.08839832684934</v>
      </c>
      <c r="BG310">
        <f t="shared" si="722"/>
        <v>-10.045790279219036</v>
      </c>
      <c r="BH310">
        <f t="shared" si="723"/>
        <v>11.067094303034187</v>
      </c>
      <c r="BI310">
        <f t="shared" si="724"/>
        <v>102.13040238151521</v>
      </c>
      <c r="BJ310">
        <f t="shared" si="725"/>
        <v>11</v>
      </c>
      <c r="BK310">
        <f>IF($BJ310&lt;=30,IF($B310=2015,VLOOKUP($BJ310,'Treasury Yields'!$C$5:$N$34,$E310,FALSE)/100,IF($B310=2016,VLOOKUP($BJ310,'Treasury Yields'!$C$40:$N$69,$E310,FALSE)/100,IF($B310=2017,VLOOKUP($BJ310,'Treasury Yields'!$C$75:$N$104,$E310,FALSE)/100,IF($B310=2018,VLOOKUP($BJ310,'Treasury Yields'!$C$110:$N$139,$E310,FALSE)/100,IF($B310=2019,VLOOKUP($BJ310,'Treasury Yields'!$C$145:$N$174,$E310,FALSE)/100,IF($B310=2020,VLOOKUP($BJ310,'Treasury Yields'!$C$180:$N$209,$E310,FALSE)/100,IF($B310=2021,VLOOKUP($BJ310,'Treasury Yields'!$C$215:$N$244,$E310,FALSE)/100,IF($B310=2022,VLOOKUP($BJ310,'Treasury Yields'!$C$250:$N$279,$E310,FALSE)/100)))))))),0)</f>
        <v>2.9273236363636365E-2</v>
      </c>
      <c r="BL310">
        <f t="shared" si="726"/>
        <v>1.5360559618246139</v>
      </c>
      <c r="BM310">
        <f t="shared" si="727"/>
        <v>5934575.249348823</v>
      </c>
      <c r="BN310">
        <f t="shared" si="728"/>
        <v>3403918.249348823</v>
      </c>
      <c r="BP310">
        <f>IF($BJ310&lt;=30,IF($B310=2015,VLOOKUP($BJ310,'Treasury Yields'!$C$40:$N$69,$E310,FALSE)/100,IF($B310=2016,VLOOKUP($BJ310,'Treasury Yields'!$C$75:$N$104,$E310,FALSE)/100,IF($B310=2017,VLOOKUP($BJ310,'Treasury Yields'!$C$110:$N$139,$E310,FALSE)/100,IF($B310=2018,VLOOKUP($BJ310,'Treasury Yields'!$C$145:$N$174,$E310,FALSE)/100,IF($B310=2019,VLOOKUP($BJ310,'Treasury Yields'!$C$180:$N$209,$E310,FALSE)/100,IF($B310=2020,VLOOKUP($BJ310,'Treasury Yields'!$C$215:$N$244,$E310,FALSE)/100,IF($B310=2021,VLOOKUP($BJ310,'Treasury Yields'!$C$250:$N$279,$E310,FALSE)/100,IF($B310=2022,VLOOKUP($BJ310,'Treasury Yields'!$C$285:$N$314,$E310,FALSE)/100)))))))),0)</f>
        <v>2.1722000000000002E-2</v>
      </c>
      <c r="BQ310">
        <f t="shared" si="729"/>
        <v>1.6204115713186409</v>
      </c>
      <c r="BR310">
        <f t="shared" si="730"/>
        <v>6470990.4587815721</v>
      </c>
      <c r="BS310">
        <f t="shared" si="731"/>
        <v>3854819.4587815721</v>
      </c>
      <c r="BU310">
        <f t="shared" si="602"/>
        <v>14</v>
      </c>
      <c r="BV310">
        <f t="shared" si="732"/>
        <v>2.4464418391105895</v>
      </c>
      <c r="BW310">
        <f t="shared" si="733"/>
        <v>190225.53164188299</v>
      </c>
      <c r="BX310" s="5">
        <f t="shared" si="734"/>
        <v>172816.68140787099</v>
      </c>
      <c r="BY310" s="5">
        <f t="shared" si="735"/>
        <v>98736.160891580075</v>
      </c>
      <c r="BZ310" s="5">
        <f t="shared" si="736"/>
        <v>374632</v>
      </c>
      <c r="CA310" s="5">
        <f t="shared" si="737"/>
        <v>288961.69253346307</v>
      </c>
      <c r="CC310" s="5">
        <f t="shared" si="738"/>
        <v>6470990.4587815721</v>
      </c>
      <c r="CD310" s="5" t="str">
        <f t="shared" si="739"/>
        <v>North Dakota</v>
      </c>
      <c r="CE310" s="5">
        <f t="shared" si="600"/>
        <v>0.65511976689677831</v>
      </c>
      <c r="CF310" s="10">
        <f t="shared" si="740"/>
        <v>0.4042922048277291</v>
      </c>
    </row>
    <row r="311" spans="1:84" x14ac:dyDescent="0.2">
      <c r="A311">
        <v>35000000090001</v>
      </c>
      <c r="B311">
        <v>2020</v>
      </c>
      <c r="C311">
        <v>405</v>
      </c>
      <c r="D311" t="s">
        <v>527</v>
      </c>
      <c r="E311">
        <v>6</v>
      </c>
      <c r="F311" t="s">
        <v>528</v>
      </c>
      <c r="G311" t="s">
        <v>529</v>
      </c>
      <c r="H311" t="s">
        <v>69</v>
      </c>
      <c r="I311" t="b">
        <v>1</v>
      </c>
      <c r="J311">
        <v>80591</v>
      </c>
      <c r="K311">
        <v>306791</v>
      </c>
      <c r="M311">
        <v>-20732</v>
      </c>
      <c r="N311">
        <v>51813</v>
      </c>
      <c r="O311">
        <v>230851</v>
      </c>
      <c r="Q311">
        <v>187612</v>
      </c>
      <c r="R311">
        <v>3993424</v>
      </c>
      <c r="S311">
        <v>4181036</v>
      </c>
      <c r="T311">
        <v>93032</v>
      </c>
      <c r="U311">
        <v>2334</v>
      </c>
      <c r="V311">
        <v>85735</v>
      </c>
      <c r="W311">
        <v>86206</v>
      </c>
      <c r="Y311">
        <v>2095</v>
      </c>
      <c r="AA311">
        <v>34361</v>
      </c>
      <c r="AB311">
        <v>2616171</v>
      </c>
      <c r="AC311">
        <v>2650532</v>
      </c>
      <c r="AD311">
        <v>1530504</v>
      </c>
      <c r="AE311">
        <v>1377253</v>
      </c>
      <c r="AF311">
        <v>153251</v>
      </c>
      <c r="AG311">
        <v>729661</v>
      </c>
      <c r="AH311">
        <v>0.12750030493612788</v>
      </c>
      <c r="AI311" t="b">
        <v>1</v>
      </c>
      <c r="AK311">
        <v>7.7499999999999999E-2</v>
      </c>
      <c r="AL311">
        <v>7.2499999999999995E-2</v>
      </c>
      <c r="AM311">
        <v>7.2499999999999995E-2</v>
      </c>
      <c r="AN311">
        <v>7.7499999999999999E-2</v>
      </c>
      <c r="AO311">
        <v>1</v>
      </c>
      <c r="AP311">
        <v>0</v>
      </c>
      <c r="AS311">
        <v>2038548</v>
      </c>
      <c r="AT311">
        <v>1108292</v>
      </c>
      <c r="AU311" t="s">
        <v>283</v>
      </c>
      <c r="AV311" t="s">
        <v>533</v>
      </c>
      <c r="BB311">
        <f t="shared" si="718"/>
        <v>0.63394144417795018</v>
      </c>
      <c r="BD311">
        <f t="shared" si="719"/>
        <v>508044</v>
      </c>
      <c r="BE311">
        <f t="shared" si="720"/>
        <v>-422212</v>
      </c>
      <c r="BF311">
        <f t="shared" si="721"/>
        <v>12.151151054427659</v>
      </c>
      <c r="BG311">
        <f t="shared" si="722"/>
        <v>-10.098262727228372</v>
      </c>
      <c r="BH311">
        <f t="shared" si="723"/>
        <v>11.124706890828016</v>
      </c>
      <c r="BI311">
        <f t="shared" si="724"/>
        <v>102.64441635996437</v>
      </c>
      <c r="BJ311">
        <f t="shared" si="725"/>
        <v>11</v>
      </c>
      <c r="BK311">
        <f>IF($BJ311&lt;=30,IF($B311=2015,VLOOKUP($BJ311,'Treasury Yields'!$C$5:$N$34,$E311,FALSE)/100,IF($B311=2016,VLOOKUP($BJ311,'Treasury Yields'!$C$40:$N$69,$E311,FALSE)/100,IF($B311=2017,VLOOKUP($BJ311,'Treasury Yields'!$C$75:$N$104,$E311,FALSE)/100,IF($B311=2018,VLOOKUP($BJ311,'Treasury Yields'!$C$110:$N$139,$E311,FALSE)/100,IF($B311=2019,VLOOKUP($BJ311,'Treasury Yields'!$C$145:$N$174,$E311,FALSE)/100,IF($B311=2020,VLOOKUP($BJ311,'Treasury Yields'!$C$180:$N$209,$E311,FALSE)/100,IF($B311=2021,VLOOKUP($BJ311,'Treasury Yields'!$C$215:$N$244,$E311,FALSE)/100,IF($B311=2022,VLOOKUP($BJ311,'Treasury Yields'!$C$250:$N$279,$E311,FALSE)/100)))))))),0)</f>
        <v>2.1722000000000002E-2</v>
      </c>
      <c r="BL311">
        <f t="shared" si="726"/>
        <v>1.567468771786465</v>
      </c>
      <c r="BM311">
        <f t="shared" si="727"/>
        <v>6259567.4125025924</v>
      </c>
      <c r="BN311">
        <f t="shared" si="728"/>
        <v>3643396.4125025924</v>
      </c>
      <c r="BP311">
        <f>IF($BJ311&lt;=30,IF($B311=2015,VLOOKUP($BJ311,'Treasury Yields'!$C$40:$N$69,$E311,FALSE)/100,IF($B311=2016,VLOOKUP($BJ311,'Treasury Yields'!$C$75:$N$104,$E311,FALSE)/100,IF($B311=2017,VLOOKUP($BJ311,'Treasury Yields'!$C$110:$N$139,$E311,FALSE)/100,IF($B311=2018,VLOOKUP($BJ311,'Treasury Yields'!$C$145:$N$174,$E311,FALSE)/100,IF($B311=2019,VLOOKUP($BJ311,'Treasury Yields'!$C$180:$N$209,$E311,FALSE)/100,IF($B311=2020,VLOOKUP($BJ311,'Treasury Yields'!$C$215:$N$244,$E311,FALSE)/100,IF($B311=2021,VLOOKUP($BJ311,'Treasury Yields'!$C$250:$N$279,$E311,FALSE)/100,IF($B311=2022,VLOOKUP($BJ311,'Treasury Yields'!$C$285:$N$314,$E311,FALSE)/100)))))))),0)</f>
        <v>1.4551090909090908E-2</v>
      </c>
      <c r="BQ311">
        <f t="shared" si="729"/>
        <v>1.7042507278894783</v>
      </c>
      <c r="BR311">
        <f t="shared" si="730"/>
        <v>7125533.6463321131</v>
      </c>
      <c r="BS311">
        <f t="shared" si="731"/>
        <v>4475001.6463321131</v>
      </c>
      <c r="BU311">
        <f t="shared" si="602"/>
        <v>14</v>
      </c>
      <c r="BV311">
        <f t="shared" si="732"/>
        <v>2.7207516986204947</v>
      </c>
      <c r="BW311">
        <f t="shared" si="733"/>
        <v>219268.10014352429</v>
      </c>
      <c r="BX311" s="5">
        <f t="shared" si="734"/>
        <v>135718.71958369896</v>
      </c>
      <c r="BY311" s="5">
        <f t="shared" si="735"/>
        <v>78890.253121698959</v>
      </c>
      <c r="BZ311" s="5">
        <f t="shared" si="736"/>
        <v>387382</v>
      </c>
      <c r="CA311" s="5">
        <f t="shared" si="737"/>
        <v>298158.35326522327</v>
      </c>
      <c r="CC311" s="5">
        <f t="shared" si="738"/>
        <v>7125533.6463321131</v>
      </c>
      <c r="CD311" s="5" t="str">
        <f t="shared" si="739"/>
        <v>North Dakota</v>
      </c>
      <c r="CE311" s="5">
        <f t="shared" si="600"/>
        <v>0.63394144417795018</v>
      </c>
      <c r="CF311" s="10">
        <f t="shared" si="740"/>
        <v>0.37197663102248746</v>
      </c>
    </row>
    <row r="312" spans="1:84" x14ac:dyDescent="0.2">
      <c r="A312">
        <v>35000000090001</v>
      </c>
      <c r="B312">
        <v>2021</v>
      </c>
      <c r="C312">
        <v>405</v>
      </c>
      <c r="D312" t="s">
        <v>527</v>
      </c>
      <c r="E312">
        <v>6</v>
      </c>
      <c r="F312" t="s">
        <v>528</v>
      </c>
      <c r="G312" t="s">
        <v>529</v>
      </c>
      <c r="H312" t="s">
        <v>69</v>
      </c>
      <c r="I312" t="b">
        <v>1</v>
      </c>
      <c r="J312">
        <v>87088</v>
      </c>
      <c r="K312">
        <v>300698</v>
      </c>
      <c r="M312">
        <v>8366</v>
      </c>
      <c r="N312">
        <v>0</v>
      </c>
      <c r="O312">
        <v>241128</v>
      </c>
      <c r="Q312">
        <v>155024</v>
      </c>
      <c r="R312">
        <v>4181036</v>
      </c>
      <c r="S312">
        <v>4336060</v>
      </c>
      <c r="T312">
        <v>98264</v>
      </c>
      <c r="U312">
        <v>2685</v>
      </c>
      <c r="V312">
        <v>90557</v>
      </c>
      <c r="W312">
        <v>684173</v>
      </c>
      <c r="Y312">
        <v>2678</v>
      </c>
      <c r="AA312">
        <v>631873</v>
      </c>
      <c r="AB312">
        <v>2650532</v>
      </c>
      <c r="AC312">
        <v>3282405</v>
      </c>
      <c r="AD312">
        <v>1053655</v>
      </c>
      <c r="AE312">
        <v>1530504</v>
      </c>
      <c r="AF312">
        <v>-476849</v>
      </c>
      <c r="AG312">
        <v>770700</v>
      </c>
      <c r="AI312" t="b">
        <v>1</v>
      </c>
      <c r="AK312">
        <v>7.2499999999999995E-2</v>
      </c>
      <c r="AL312">
        <v>7.2499999999999995E-2</v>
      </c>
      <c r="AM312">
        <v>7.2499999999999995E-2</v>
      </c>
      <c r="AN312">
        <v>7.2499999999999995E-2</v>
      </c>
      <c r="AS312">
        <v>1582103</v>
      </c>
      <c r="AT312">
        <v>614833</v>
      </c>
      <c r="BB312">
        <f t="shared" si="718"/>
        <v>0.75700174813079157</v>
      </c>
      <c r="BD312">
        <f t="shared" si="719"/>
        <v>528448</v>
      </c>
      <c r="BE312">
        <f t="shared" si="720"/>
        <v>-438822</v>
      </c>
      <c r="BF312">
        <f t="shared" si="721"/>
        <v>12.187285231292925</v>
      </c>
      <c r="BG312">
        <f t="shared" si="722"/>
        <v>-10.120293538373547</v>
      </c>
      <c r="BH312">
        <f t="shared" si="723"/>
        <v>11.153789384833237</v>
      </c>
      <c r="BI312">
        <f t="shared" si="724"/>
        <v>103.34958464596892</v>
      </c>
      <c r="BJ312">
        <f t="shared" si="725"/>
        <v>11</v>
      </c>
      <c r="BK312">
        <f>IF($BJ312&lt;=30,IF($B312=2015,VLOOKUP($BJ312,'Treasury Yields'!$C$5:$N$34,$E312,FALSE)/100,IF($B312=2016,VLOOKUP($BJ312,'Treasury Yields'!$C$40:$N$69,$E312,FALSE)/100,IF($B312=2017,VLOOKUP($BJ312,'Treasury Yields'!$C$75:$N$104,$E312,FALSE)/100,IF($B312=2018,VLOOKUP($BJ312,'Treasury Yields'!$C$110:$N$139,$E312,FALSE)/100,IF($B312=2019,VLOOKUP($BJ312,'Treasury Yields'!$C$145:$N$174,$E312,FALSE)/100,IF($B312=2020,VLOOKUP($BJ312,'Treasury Yields'!$C$180:$N$209,$E312,FALSE)/100,IF($B312=2021,VLOOKUP($BJ312,'Treasury Yields'!$C$215:$N$244,$E312,FALSE)/100,IF($B312=2022,VLOOKUP($BJ312,'Treasury Yields'!$C$250:$N$279,$E312,FALSE)/100)))))))),0)</f>
        <v>1.4551090909090908E-2</v>
      </c>
      <c r="BL312">
        <f t="shared" si="726"/>
        <v>1.6497080031456743</v>
      </c>
      <c r="BM312">
        <f t="shared" si="727"/>
        <v>6897488.5506401779</v>
      </c>
      <c r="BN312">
        <f t="shared" si="728"/>
        <v>4246956.5506401779</v>
      </c>
      <c r="BP312">
        <f>IF($BJ312&lt;=30,IF($B312=2015,VLOOKUP($BJ312,'Treasury Yields'!$C$40:$N$69,$E312,FALSE)/100,IF($B312=2016,VLOOKUP($BJ312,'Treasury Yields'!$C$75:$N$104,$E312,FALSE)/100,IF($B312=2017,VLOOKUP($BJ312,'Treasury Yields'!$C$110:$N$139,$E312,FALSE)/100,IF($B312=2018,VLOOKUP($BJ312,'Treasury Yields'!$C$145:$N$174,$E312,FALSE)/100,IF($B312=2019,VLOOKUP($BJ312,'Treasury Yields'!$C$180:$N$209,$E312,FALSE)/100,IF($B312=2020,VLOOKUP($BJ312,'Treasury Yields'!$C$215:$N$244,$E312,FALSE)/100,IF($B312=2021,VLOOKUP($BJ312,'Treasury Yields'!$C$250:$N$279,$E312,FALSE)/100,IF($B312=2022,VLOOKUP($BJ312,'Treasury Yields'!$C$285:$N$314,$E312,FALSE)/100)))))))),0)</f>
        <v>2.1554272727272727E-2</v>
      </c>
      <c r="BQ312">
        <f t="shared" si="729"/>
        <v>1.5708333791845017</v>
      </c>
      <c r="BR312">
        <f t="shared" si="730"/>
        <v>6811227.7821467509</v>
      </c>
      <c r="BS312">
        <f t="shared" si="731"/>
        <v>3528822.7821467509</v>
      </c>
      <c r="BU312">
        <f t="shared" si="602"/>
        <v>14</v>
      </c>
      <c r="BV312">
        <f t="shared" si="732"/>
        <v>2.8046904208629586</v>
      </c>
      <c r="BW312">
        <f t="shared" si="733"/>
        <v>244254.87937211333</v>
      </c>
      <c r="BX312" s="5">
        <f t="shared" si="734"/>
        <v>100411.4824507843</v>
      </c>
      <c r="BY312" s="5">
        <f t="shared" si="735"/>
        <v>61843.350361329758</v>
      </c>
      <c r="BZ312" s="5">
        <f t="shared" si="736"/>
        <v>387786</v>
      </c>
      <c r="CA312" s="5">
        <f t="shared" si="737"/>
        <v>306098.22973344306</v>
      </c>
      <c r="CC312" s="5">
        <f t="shared" si="738"/>
        <v>6811227.7821467509</v>
      </c>
      <c r="CD312" s="5" t="str">
        <f t="shared" si="739"/>
        <v>North Dakota</v>
      </c>
      <c r="CE312" s="5">
        <f t="shared" si="600"/>
        <v>0.75700174813079157</v>
      </c>
      <c r="CF312" s="10">
        <f t="shared" si="740"/>
        <v>0.48191091312548312</v>
      </c>
    </row>
    <row r="313" spans="1:84" x14ac:dyDescent="0.2">
      <c r="A313">
        <v>35000000090001</v>
      </c>
      <c r="B313">
        <v>2022</v>
      </c>
      <c r="C313">
        <v>405</v>
      </c>
      <c r="D313" t="s">
        <v>527</v>
      </c>
      <c r="E313">
        <v>6</v>
      </c>
      <c r="F313" t="s">
        <v>528</v>
      </c>
      <c r="G313" t="s">
        <v>529</v>
      </c>
      <c r="H313" t="s">
        <v>69</v>
      </c>
      <c r="I313" t="b">
        <v>1</v>
      </c>
      <c r="J313">
        <v>92336</v>
      </c>
      <c r="K313">
        <v>311929</v>
      </c>
      <c r="M313">
        <v>-8505</v>
      </c>
      <c r="N313">
        <v>0</v>
      </c>
      <c r="O313">
        <v>251847</v>
      </c>
      <c r="Q313">
        <v>143913</v>
      </c>
      <c r="R313">
        <v>4336060</v>
      </c>
      <c r="S313">
        <v>4479973</v>
      </c>
      <c r="T313">
        <v>100331</v>
      </c>
      <c r="U313">
        <v>2042</v>
      </c>
      <c r="V313">
        <v>92462</v>
      </c>
      <c r="W313">
        <v>-198881</v>
      </c>
      <c r="Y313">
        <v>2592</v>
      </c>
      <c r="AA313">
        <v>-258485</v>
      </c>
      <c r="AB313">
        <v>3282405</v>
      </c>
      <c r="AC313">
        <v>3023920</v>
      </c>
      <c r="AD313">
        <v>1456053</v>
      </c>
      <c r="AE313">
        <v>1053655</v>
      </c>
      <c r="AF313">
        <v>402398</v>
      </c>
      <c r="AG313">
        <v>786912</v>
      </c>
      <c r="AI313" t="b">
        <v>1</v>
      </c>
      <c r="AK313">
        <v>7.2499999999999995E-2</v>
      </c>
      <c r="AL313">
        <v>7.2499999999999995E-2</v>
      </c>
      <c r="AM313">
        <v>7.2499999999999995E-2</v>
      </c>
      <c r="AN313">
        <v>7.2499999999999995E-2</v>
      </c>
      <c r="AS313" s="12">
        <v>2000483</v>
      </c>
      <c r="AT313" s="12">
        <v>1004517</v>
      </c>
      <c r="AV313" t="s">
        <v>534</v>
      </c>
      <c r="BB313">
        <f t="shared" si="718"/>
        <v>0.67498621085439581</v>
      </c>
      <c r="BD313">
        <f>AS313-AD313</f>
        <v>544430</v>
      </c>
      <c r="BE313">
        <f t="shared" si="720"/>
        <v>-451536</v>
      </c>
      <c r="BF313">
        <f t="shared" si="721"/>
        <v>12.152528597828603</v>
      </c>
      <c r="BG313">
        <f t="shared" si="722"/>
        <v>-10.078989315337392</v>
      </c>
      <c r="BH313">
        <f>(BD313-BE313)/(2*S313)*100</f>
        <v>11.115758956582997</v>
      </c>
      <c r="BI313">
        <f t="shared" si="724"/>
        <v>103.67696412456057</v>
      </c>
      <c r="BJ313">
        <f t="shared" si="725"/>
        <v>11</v>
      </c>
      <c r="BK313">
        <f>IF($BJ313&lt;=30,IF($B313=2015,VLOOKUP($BJ313,'Treasury Yields'!$C$5:$N$34,$E313,FALSE)/100,IF($B313=2016,VLOOKUP($BJ313,'Treasury Yields'!$C$40:$N$69,$E313,FALSE)/100,IF($B313=2017,VLOOKUP($BJ313,'Treasury Yields'!$C$75:$N$104,$E313,FALSE)/100,IF($B313=2018,VLOOKUP($BJ313,'Treasury Yields'!$C$110:$N$139,$E313,FALSE)/100,IF($B313=2019,VLOOKUP($BJ313,'Treasury Yields'!$C$145:$N$174,$E313,FALSE)/100,IF($B313=2020,VLOOKUP($BJ313,'Treasury Yields'!$C$180:$N$209,$E313,FALSE)/100,IF($B313=2021,VLOOKUP($BJ313,'Treasury Yields'!$C$215:$N$244,$E313,FALSE)/100,IF($B313=2022,VLOOKUP($BJ313,'Treasury Yields'!$C$250:$N$279,$E313,FALSE)/100)))))))),0)</f>
        <v>2.1554272727272727E-2</v>
      </c>
      <c r="BL313">
        <f t="shared" si="726"/>
        <v>1.5688958913587998</v>
      </c>
      <c r="BM313">
        <f t="shared" si="727"/>
        <v>6802826.7186852377</v>
      </c>
      <c r="BN313">
        <f t="shared" si="728"/>
        <v>3520421.7186852377</v>
      </c>
      <c r="BP313">
        <f>IF($BJ313&lt;=30,IF($B313=2015,VLOOKUP($BJ313,'Treasury Yields'!$C$40:$N$69,$E313,FALSE)/100,IF($B313=2016,VLOOKUP($BJ313,'Treasury Yields'!$C$75:$N$104,$E313,FALSE)/100,IF($B313=2017,VLOOKUP($BJ313,'Treasury Yields'!$C$110:$N$139,$E313,FALSE)/100,IF($B313=2018,VLOOKUP($BJ313,'Treasury Yields'!$C$145:$N$174,$E313,FALSE)/100,IF($B313=2019,VLOOKUP($BJ313,'Treasury Yields'!$C$180:$N$209,$E313,FALSE)/100,IF($B313=2020,VLOOKUP($BJ313,'Treasury Yields'!$C$215:$N$244,$E313,FALSE)/100,IF($B313=2021,VLOOKUP($BJ313,'Treasury Yields'!$C$250:$N$279,$E313,FALSE)/100,IF($B313=2022,VLOOKUP($BJ313,'Treasury Yields'!$C$285:$N$314,$E313,FALSE)/100)))))))),0)</f>
        <v>3.1935909090909091E-2</v>
      </c>
      <c r="BQ313">
        <f t="shared" si="729"/>
        <v>1.4525461023096553</v>
      </c>
      <c r="BR313">
        <f t="shared" si="730"/>
        <v>6507367.3196024932</v>
      </c>
      <c r="BS313">
        <f t="shared" si="731"/>
        <v>3483447.3196024932</v>
      </c>
      <c r="BU313">
        <f t="shared" si="602"/>
        <v>14</v>
      </c>
      <c r="BV313">
        <f t="shared" si="732"/>
        <v>2.5486307582980765</v>
      </c>
      <c r="BW313">
        <f t="shared" si="733"/>
        <v>235330.3696982112</v>
      </c>
      <c r="BX313" s="5">
        <f>(BM313+BW313-O313)*BK313</f>
        <v>146273.97845685916</v>
      </c>
      <c r="BY313" s="5">
        <f t="shared" si="735"/>
        <v>75524.125885495509</v>
      </c>
      <c r="BZ313" s="5">
        <f t="shared" si="736"/>
        <v>404265</v>
      </c>
      <c r="CA313" s="5">
        <f t="shared" si="737"/>
        <v>310854.49558370671</v>
      </c>
      <c r="CC313" s="5">
        <f t="shared" si="738"/>
        <v>6507367.3196024932</v>
      </c>
      <c r="CD313" s="5" t="str">
        <f t="shared" si="739"/>
        <v>North Dakota</v>
      </c>
      <c r="CE313" s="5">
        <f t="shared" si="600"/>
        <v>0.67498621085439581</v>
      </c>
      <c r="CF313" s="10">
        <f t="shared" si="740"/>
        <v>0.46469176419331409</v>
      </c>
    </row>
    <row r="314" spans="1:84" x14ac:dyDescent="0.2">
      <c r="A314">
        <v>36000000010201</v>
      </c>
      <c r="B314">
        <v>2015</v>
      </c>
      <c r="C314">
        <v>564</v>
      </c>
      <c r="D314" t="s">
        <v>535</v>
      </c>
      <c r="E314">
        <v>6</v>
      </c>
      <c r="F314" t="s">
        <v>536</v>
      </c>
      <c r="G314" t="s">
        <v>537</v>
      </c>
      <c r="H314" t="s">
        <v>509</v>
      </c>
      <c r="I314" t="b">
        <v>1</v>
      </c>
      <c r="J314">
        <v>1111077.953</v>
      </c>
      <c r="K314">
        <v>7272034.5489999996</v>
      </c>
      <c r="L314">
        <v>0</v>
      </c>
      <c r="M314">
        <v>1355346.5260000001</v>
      </c>
      <c r="N314">
        <v>0</v>
      </c>
      <c r="O314">
        <v>6890862.3880000003</v>
      </c>
      <c r="Q314">
        <v>2847596.64</v>
      </c>
      <c r="R314">
        <v>96167057.104000002</v>
      </c>
      <c r="S314">
        <v>99014653.744000003</v>
      </c>
      <c r="T314">
        <v>1481167.5120000001</v>
      </c>
      <c r="V314">
        <v>1259134.8370000001</v>
      </c>
      <c r="W314">
        <v>3671844.9160000002</v>
      </c>
      <c r="Y314">
        <v>61183.163999999997</v>
      </c>
      <c r="Z314">
        <v>113626.54399999999</v>
      </c>
      <c r="AA314">
        <v>-426271.74300000002</v>
      </c>
      <c r="AB314">
        <v>71843596.331</v>
      </c>
      <c r="AC314">
        <v>71377578.736000001</v>
      </c>
      <c r="AD314">
        <v>27637075.008000001</v>
      </c>
      <c r="AE314">
        <v>24323460.773000002</v>
      </c>
      <c r="AF314">
        <v>3313614.2349999994</v>
      </c>
      <c r="AG314">
        <v>10948586</v>
      </c>
      <c r="AH314">
        <v>0.13528390899062218</v>
      </c>
      <c r="AI314" t="b">
        <v>1</v>
      </c>
      <c r="AK314">
        <v>7.7499999999999999E-2</v>
      </c>
      <c r="AL314">
        <v>7.7499999999999999E-2</v>
      </c>
      <c r="AM314">
        <v>7.7499999999999999E-2</v>
      </c>
      <c r="AN314">
        <v>7.7499999999999999E-2</v>
      </c>
      <c r="AO314">
        <v>1</v>
      </c>
      <c r="AP314">
        <v>0</v>
      </c>
      <c r="AS314" s="12">
        <v>38389981.920000002</v>
      </c>
      <c r="AT314">
        <v>18543888.515999999</v>
      </c>
      <c r="BB314">
        <f t="shared" ref="BB314:BB321" si="741">AC314/S314</f>
        <v>0.72087894101558958</v>
      </c>
      <c r="BD314">
        <f t="shared" ref="BD314:BD321" si="742">AS314-AD314</f>
        <v>10752906.912</v>
      </c>
      <c r="BE314">
        <f t="shared" ref="BE314:BE321" si="743">AT314-AD314</f>
        <v>-9093186.4920000024</v>
      </c>
      <c r="BF314">
        <f t="shared" ref="BF314:BF321" si="744">BD314/S314*100</f>
        <v>10.859914674651474</v>
      </c>
      <c r="BG314">
        <f t="shared" ref="BG314:BG321" si="745">BE314/S314*100</f>
        <v>-9.1836775145527607</v>
      </c>
      <c r="BH314">
        <f t="shared" ref="BH314:BH321" si="746">(BD314-BE314)/(2*S314)*100</f>
        <v>10.021796094602117</v>
      </c>
      <c r="BI314">
        <f t="shared" ref="BI314:BI321" si="747">(BD314+BE314)/(2*S314*(0.01^2))</f>
        <v>83.811858004935573</v>
      </c>
      <c r="BJ314">
        <f t="shared" ref="BJ314:BJ321" si="748">ROUND(BH314,0)</f>
        <v>10</v>
      </c>
      <c r="BK314">
        <f>IF($BJ314&lt;=30,IF($B314=2015,VLOOKUP($BJ314,'Treasury Yields'!$C$5:$N$34,$E314,FALSE)/100,IF($B314=2016,VLOOKUP($BJ314,'Treasury Yields'!$C$40:$N$69,$E314,FALSE)/100,IF($B314=2017,VLOOKUP($BJ314,'Treasury Yields'!$C$75:$N$104,$E314,FALSE)/100,IF($B314=2018,VLOOKUP($BJ314,'Treasury Yields'!$C$110:$N$139,$E314,FALSE)/100,IF($B314=2019,VLOOKUP($BJ314,'Treasury Yields'!$C$145:$N$174,$E314,FALSE)/100,IF($B314=2020,VLOOKUP($BJ314,'Treasury Yields'!$C$180:$N$209,$E314,FALSE)/100,IF($B314=2021,VLOOKUP($BJ314,'Treasury Yields'!$C$215:$N$244,$E314,FALSE)/100,IF($B314=2022,VLOOKUP($BJ314,'Treasury Yields'!$C$250:$N$279,$E314,FALSE)/100)))))))),0)</f>
        <v>2.7109999999999999E-2</v>
      </c>
      <c r="BL314">
        <f t="shared" ref="BL314:BL321" si="749">1+BH314*(AL314-BK314)+(AL314-BK314)^2</f>
        <v>1.5075374573070006</v>
      </c>
      <c r="BM314">
        <f t="shared" ref="BM314:BM321" si="750">BL314*R314</f>
        <v>144975440.74326131</v>
      </c>
      <c r="BN314">
        <f t="shared" ref="BN314:BN321" si="751">BM314-AB314</f>
        <v>73131844.412261307</v>
      </c>
      <c r="BP314">
        <f>IF($BJ314&lt;=30,IF($B314=2015,VLOOKUP($BJ314,'Treasury Yields'!$C$40:$N$69,$E314,FALSE)/100,IF($B314=2016,VLOOKUP($BJ314,'Treasury Yields'!$C$75:$N$104,$E314,FALSE)/100,IF($B314=2017,VLOOKUP($BJ314,'Treasury Yields'!$C$110:$N$139,$E314,FALSE)/100,IF($B314=2018,VLOOKUP($BJ314,'Treasury Yields'!$C$145:$N$174,$E314,FALSE)/100,IF($B314=2019,VLOOKUP($BJ314,'Treasury Yields'!$C$180:$N$209,$E314,FALSE)/100,IF($B314=2020,VLOOKUP($BJ314,'Treasury Yields'!$C$215:$N$244,$E314,FALSE)/100,IF($B314=2021,VLOOKUP($BJ314,'Treasury Yields'!$C$250:$N$279,$E314,FALSE)/100,IF($B314=2022,VLOOKUP($BJ314,'Treasury Yields'!$C$285:$N$314,$E314,FALSE)/100)))))))),0)</f>
        <v>2.5470000000000003E-2</v>
      </c>
      <c r="BQ314">
        <f t="shared" ref="BQ314:BQ321" si="752">1+BH314*(AN314-BP314)+(AN314-BP314)^2</f>
        <v>1.524141171702148</v>
      </c>
      <c r="BR314">
        <f t="shared" ref="BR314:BR321" si="753">BQ314*S314</f>
        <v>150912310.37306264</v>
      </c>
      <c r="BS314">
        <f t="shared" ref="BS314:BS321" si="754">BR314-AC314</f>
        <v>79534731.637062639</v>
      </c>
      <c r="BU314">
        <f t="shared" si="602"/>
        <v>13</v>
      </c>
      <c r="BV314">
        <f t="shared" ref="BV314:BV321" si="755">1+(BH314+BU314)*(AN314-BK314)+(AN314-BK314)^2*BI314</f>
        <v>2.3728793604651348</v>
      </c>
      <c r="BW314">
        <f t="shared" ref="BW314:BW321" si="756">BV314*J314</f>
        <v>2636453.9425415508</v>
      </c>
      <c r="BX314" s="5">
        <f t="shared" ref="BX314:BX321" si="757">(BM314+BW314-O314)*BK314</f>
        <v>3814947.1855934346</v>
      </c>
      <c r="BY314" s="5">
        <f t="shared" ref="BY314:BY321" si="758">BK314*(BN314+BW314-O314)</f>
        <v>1867267.2890600255</v>
      </c>
      <c r="BZ314" s="5">
        <f t="shared" ref="BZ314:BZ321" si="759">SUM(J314:K314)</f>
        <v>8383112.5019999994</v>
      </c>
      <c r="CA314" s="5">
        <f t="shared" ref="CA314:CA321" si="760">SUM(BW314+BY314)</f>
        <v>4503721.2316015763</v>
      </c>
      <c r="CC314" s="5">
        <f t="shared" ref="CC314:CC321" si="761">BR314</f>
        <v>150912310.37306264</v>
      </c>
      <c r="CD314" s="5" t="str">
        <f t="shared" ref="CD314:CD321" si="762">F314</f>
        <v>Ohio</v>
      </c>
      <c r="CE314" s="5">
        <f t="shared" ref="CE314:CE377" si="763">BB314</f>
        <v>0.72087894101558958</v>
      </c>
      <c r="CF314" s="10">
        <f t="shared" ref="CF314:CF321" si="764">AC314/CC314</f>
        <v>0.47297386515090201</v>
      </c>
    </row>
    <row r="315" spans="1:84" x14ac:dyDescent="0.2">
      <c r="A315">
        <v>36000000010201</v>
      </c>
      <c r="B315">
        <v>2016</v>
      </c>
      <c r="C315">
        <v>564</v>
      </c>
      <c r="D315" t="s">
        <v>535</v>
      </c>
      <c r="E315">
        <v>6</v>
      </c>
      <c r="F315" t="s">
        <v>536</v>
      </c>
      <c r="G315" t="s">
        <v>537</v>
      </c>
      <c r="H315" t="s">
        <v>509</v>
      </c>
      <c r="I315" t="b">
        <v>1</v>
      </c>
      <c r="J315">
        <v>1058987</v>
      </c>
      <c r="K315">
        <v>7472169</v>
      </c>
      <c r="M315">
        <v>527725</v>
      </c>
      <c r="O315">
        <v>7317113</v>
      </c>
      <c r="Q315">
        <v>1741768</v>
      </c>
      <c r="R315">
        <v>99014654</v>
      </c>
      <c r="S315">
        <v>100756422</v>
      </c>
      <c r="T315">
        <v>1545103</v>
      </c>
      <c r="V315">
        <v>1372033</v>
      </c>
      <c r="W315">
        <v>372871</v>
      </c>
      <c r="Y315">
        <v>67071</v>
      </c>
      <c r="AA315">
        <v>-4094171</v>
      </c>
      <c r="AB315">
        <v>71377579</v>
      </c>
      <c r="AC315">
        <v>67283408</v>
      </c>
      <c r="AD315">
        <v>33473014</v>
      </c>
      <c r="AE315">
        <v>27637075</v>
      </c>
      <c r="AF315">
        <v>5835939</v>
      </c>
      <c r="AG315">
        <v>11099607</v>
      </c>
      <c r="AH315">
        <v>0.13920339702117382</v>
      </c>
      <c r="AI315" t="b">
        <v>1</v>
      </c>
      <c r="AK315">
        <v>7.7499999999999999E-2</v>
      </c>
      <c r="AL315">
        <v>7.7499999999999999E-2</v>
      </c>
      <c r="AM315">
        <v>7.7499999999999999E-2</v>
      </c>
      <c r="AN315">
        <v>7.7499999999999999E-2</v>
      </c>
      <c r="AO315">
        <v>1</v>
      </c>
      <c r="AP315">
        <v>0</v>
      </c>
      <c r="AS315">
        <v>44482916</v>
      </c>
      <c r="AT315">
        <v>24185513</v>
      </c>
      <c r="AU315" t="s">
        <v>538</v>
      </c>
      <c r="AV315" t="s">
        <v>539</v>
      </c>
      <c r="BB315">
        <f t="shared" si="741"/>
        <v>0.6677828238084913</v>
      </c>
      <c r="BD315">
        <f t="shared" si="742"/>
        <v>11009902</v>
      </c>
      <c r="BE315">
        <f t="shared" si="743"/>
        <v>-9287501</v>
      </c>
      <c r="BF315">
        <f t="shared" si="744"/>
        <v>10.927245907958106</v>
      </c>
      <c r="BG315">
        <f t="shared" si="745"/>
        <v>-9.2177757165692125</v>
      </c>
      <c r="BH315">
        <f t="shared" si="746"/>
        <v>10.072510812263658</v>
      </c>
      <c r="BI315">
        <f t="shared" si="747"/>
        <v>85.473509569444616</v>
      </c>
      <c r="BJ315">
        <f t="shared" si="748"/>
        <v>10</v>
      </c>
      <c r="BK315">
        <f>IF($BJ315&lt;=30,IF($B315=2015,VLOOKUP($BJ315,'Treasury Yields'!$C$5:$N$34,$E315,FALSE)/100,IF($B315=2016,VLOOKUP($BJ315,'Treasury Yields'!$C$40:$N$69,$E315,FALSE)/100,IF($B315=2017,VLOOKUP($BJ315,'Treasury Yields'!$C$75:$N$104,$E315,FALSE)/100,IF($B315=2018,VLOOKUP($BJ315,'Treasury Yields'!$C$110:$N$139,$E315,FALSE)/100,IF($B315=2019,VLOOKUP($BJ315,'Treasury Yields'!$C$145:$N$174,$E315,FALSE)/100,IF($B315=2020,VLOOKUP($BJ315,'Treasury Yields'!$C$180:$N$209,$E315,FALSE)/100,IF($B315=2021,VLOOKUP($BJ315,'Treasury Yields'!$C$215:$N$244,$E315,FALSE)/100,IF($B315=2022,VLOOKUP($BJ315,'Treasury Yields'!$C$250:$N$279,$E315,FALSE)/100)))))))),0)</f>
        <v>2.5470000000000003E-2</v>
      </c>
      <c r="BL315">
        <f t="shared" si="749"/>
        <v>1.526779858462078</v>
      </c>
      <c r="BM315">
        <f t="shared" si="750"/>
        <v>151173579.41979161</v>
      </c>
      <c r="BN315">
        <f t="shared" si="751"/>
        <v>79796000.419791609</v>
      </c>
      <c r="BP315">
        <f>IF($BJ315&lt;=30,IF($B315=2015,VLOOKUP($BJ315,'Treasury Yields'!$C$40:$N$69,$E315,FALSE)/100,IF($B315=2016,VLOOKUP($BJ315,'Treasury Yields'!$C$75:$N$104,$E315,FALSE)/100,IF($B315=2017,VLOOKUP($BJ315,'Treasury Yields'!$C$110:$N$139,$E315,FALSE)/100,IF($B315=2018,VLOOKUP($BJ315,'Treasury Yields'!$C$145:$N$174,$E315,FALSE)/100,IF($B315=2019,VLOOKUP($BJ315,'Treasury Yields'!$C$180:$N$209,$E315,FALSE)/100,IF($B315=2020,VLOOKUP($BJ315,'Treasury Yields'!$C$215:$N$244,$E315,FALSE)/100,IF($B315=2021,VLOOKUP($BJ315,'Treasury Yields'!$C$250:$N$279,$E315,FALSE)/100,IF($B315=2022,VLOOKUP($BJ315,'Treasury Yields'!$C$285:$N$314,$E315,FALSE)/100)))))))),0)</f>
        <v>1.635E-2</v>
      </c>
      <c r="BQ315">
        <f t="shared" si="752"/>
        <v>1.6196733586699228</v>
      </c>
      <c r="BR315">
        <f t="shared" si="753"/>
        <v>163192492.42830411</v>
      </c>
      <c r="BS315">
        <f t="shared" si="754"/>
        <v>95909084.428304106</v>
      </c>
      <c r="BU315">
        <f t="shared" ref="BU315:BU378" si="765">IF(BJ315="","",ROUND(BJ315+$BT$2,0))</f>
        <v>13</v>
      </c>
      <c r="BV315">
        <f t="shared" si="755"/>
        <v>2.4318498617138715</v>
      </c>
      <c r="BW315">
        <f t="shared" si="756"/>
        <v>2575297.3895067875</v>
      </c>
      <c r="BX315" s="5">
        <f t="shared" si="757"/>
        <v>3729617.0242228308</v>
      </c>
      <c r="BY315" s="5">
        <f t="shared" si="758"/>
        <v>1911630.0870928303</v>
      </c>
      <c r="BZ315" s="5">
        <f t="shared" si="759"/>
        <v>8531156</v>
      </c>
      <c r="CA315" s="5">
        <f t="shared" si="760"/>
        <v>4486927.4765996179</v>
      </c>
      <c r="CC315" s="5">
        <f t="shared" si="761"/>
        <v>163192492.42830411</v>
      </c>
      <c r="CD315" s="5" t="str">
        <f t="shared" si="762"/>
        <v>Ohio</v>
      </c>
      <c r="CE315" s="5">
        <f t="shared" si="763"/>
        <v>0.6677828238084913</v>
      </c>
      <c r="CF315" s="10">
        <f t="shared" si="764"/>
        <v>0.41229475081128403</v>
      </c>
    </row>
    <row r="316" spans="1:84" x14ac:dyDescent="0.2">
      <c r="A316">
        <v>36000000010201</v>
      </c>
      <c r="B316">
        <v>2017</v>
      </c>
      <c r="C316">
        <v>564</v>
      </c>
      <c r="D316" t="s">
        <v>535</v>
      </c>
      <c r="E316">
        <v>6</v>
      </c>
      <c r="F316" t="s">
        <v>536</v>
      </c>
      <c r="G316" t="s">
        <v>537</v>
      </c>
      <c r="H316" t="s">
        <v>509</v>
      </c>
      <c r="I316" t="b">
        <v>1</v>
      </c>
      <c r="J316">
        <v>1067687</v>
      </c>
      <c r="K316">
        <v>7611942</v>
      </c>
      <c r="L316">
        <v>-12353691</v>
      </c>
      <c r="M316">
        <v>-239322</v>
      </c>
      <c r="N316">
        <v>6494408</v>
      </c>
      <c r="O316">
        <v>7211006</v>
      </c>
      <c r="Q316">
        <v>-4629982</v>
      </c>
      <c r="R316">
        <v>100756422</v>
      </c>
      <c r="S316">
        <v>96126440</v>
      </c>
      <c r="T316">
        <v>1590869</v>
      </c>
      <c r="V316">
        <v>1537677</v>
      </c>
      <c r="W316">
        <v>9233930</v>
      </c>
      <c r="Y316">
        <v>63652</v>
      </c>
      <c r="AA316">
        <v>5087818</v>
      </c>
      <c r="AB316">
        <v>67283408</v>
      </c>
      <c r="AC316">
        <v>72371226</v>
      </c>
      <c r="AD316">
        <v>23755214</v>
      </c>
      <c r="AE316">
        <v>33473014</v>
      </c>
      <c r="AF316">
        <v>-9717800</v>
      </c>
      <c r="AG316">
        <v>11557147</v>
      </c>
      <c r="AH316">
        <v>0.1376523981221317</v>
      </c>
      <c r="AI316" t="b">
        <v>1</v>
      </c>
      <c r="AK316">
        <v>7.7499999999999999E-2</v>
      </c>
      <c r="AL316">
        <v>7.4499999999999997E-2</v>
      </c>
      <c r="AM316">
        <v>7.4499999999999997E-2</v>
      </c>
      <c r="AN316">
        <v>7.7499999999999999E-2</v>
      </c>
      <c r="AO316">
        <v>1</v>
      </c>
      <c r="AP316">
        <v>0</v>
      </c>
      <c r="AS316">
        <v>34052291</v>
      </c>
      <c r="AT316">
        <v>15081470</v>
      </c>
      <c r="AU316" t="s">
        <v>540</v>
      </c>
      <c r="AV316" t="s">
        <v>541</v>
      </c>
      <c r="BB316">
        <f t="shared" si="741"/>
        <v>0.75287533794032113</v>
      </c>
      <c r="BD316">
        <f t="shared" si="742"/>
        <v>10297077</v>
      </c>
      <c r="BE316">
        <f t="shared" si="743"/>
        <v>-8673744</v>
      </c>
      <c r="BF316">
        <f t="shared" si="744"/>
        <v>10.712013260867666</v>
      </c>
      <c r="BG316">
        <f t="shared" si="745"/>
        <v>-9.0232656072564428</v>
      </c>
      <c r="BH316">
        <f t="shared" si="746"/>
        <v>9.8676394340620543</v>
      </c>
      <c r="BI316">
        <f t="shared" si="747"/>
        <v>84.437382680561143</v>
      </c>
      <c r="BJ316">
        <f t="shared" si="748"/>
        <v>10</v>
      </c>
      <c r="BK316">
        <f>IF($BJ316&lt;=30,IF($B316=2015,VLOOKUP($BJ316,'Treasury Yields'!$C$5:$N$34,$E316,FALSE)/100,IF($B316=2016,VLOOKUP($BJ316,'Treasury Yields'!$C$40:$N$69,$E316,FALSE)/100,IF($B316=2017,VLOOKUP($BJ316,'Treasury Yields'!$C$75:$N$104,$E316,FALSE)/100,IF($B316=2018,VLOOKUP($BJ316,'Treasury Yields'!$C$110:$N$139,$E316,FALSE)/100,IF($B316=2019,VLOOKUP($BJ316,'Treasury Yields'!$C$145:$N$174,$E316,FALSE)/100,IF($B316=2020,VLOOKUP($BJ316,'Treasury Yields'!$C$180:$N$209,$E316,FALSE)/100,IF($B316=2021,VLOOKUP($BJ316,'Treasury Yields'!$C$215:$N$244,$E316,FALSE)/100,IF($B316=2022,VLOOKUP($BJ316,'Treasury Yields'!$C$250:$N$279,$E316,FALSE)/100)))))))),0)</f>
        <v>1.635E-2</v>
      </c>
      <c r="BL316">
        <f t="shared" si="749"/>
        <v>1.5771846555907083</v>
      </c>
      <c r="BM316">
        <f t="shared" si="750"/>
        <v>158911482.73062205</v>
      </c>
      <c r="BN316">
        <f t="shared" si="751"/>
        <v>91628074.730622053</v>
      </c>
      <c r="BP316">
        <f>IF($BJ316&lt;=30,IF($B316=2015,VLOOKUP($BJ316,'Treasury Yields'!$C$40:$N$69,$E316,FALSE)/100,IF($B316=2016,VLOOKUP($BJ316,'Treasury Yields'!$C$75:$N$104,$E316,FALSE)/100,IF($B316=2017,VLOOKUP($BJ316,'Treasury Yields'!$C$110:$N$139,$E316,FALSE)/100,IF($B316=2018,VLOOKUP($BJ316,'Treasury Yields'!$C$145:$N$174,$E316,FALSE)/100,IF($B316=2019,VLOOKUP($BJ316,'Treasury Yields'!$C$180:$N$209,$E316,FALSE)/100,IF($B316=2020,VLOOKUP($BJ316,'Treasury Yields'!$C$215:$N$244,$E316,FALSE)/100,IF($B316=2021,VLOOKUP($BJ316,'Treasury Yields'!$C$250:$N$279,$E316,FALSE)/100,IF($B316=2022,VLOOKUP($BJ316,'Treasury Yields'!$C$285:$N$314,$E316,FALSE)/100)))))))),0)</f>
        <v>2.4670000000000001E-2</v>
      </c>
      <c r="BQ316">
        <f t="shared" si="752"/>
        <v>1.5240984002014986</v>
      </c>
      <c r="BR316">
        <f t="shared" si="753"/>
        <v>146506153.42106533</v>
      </c>
      <c r="BS316">
        <f t="shared" si="754"/>
        <v>74134927.421065331</v>
      </c>
      <c r="BU316">
        <f t="shared" si="765"/>
        <v>13</v>
      </c>
      <c r="BV316">
        <f t="shared" si="755"/>
        <v>2.714094756291427</v>
      </c>
      <c r="BW316">
        <f t="shared" si="756"/>
        <v>2897803.6880605249</v>
      </c>
      <c r="BX316" s="5">
        <f t="shared" si="757"/>
        <v>2527681.8848454603</v>
      </c>
      <c r="BY316" s="5">
        <f t="shared" si="758"/>
        <v>1427598.1640454601</v>
      </c>
      <c r="BZ316" s="5">
        <f>SUM(J316:K316)</f>
        <v>8679629</v>
      </c>
      <c r="CA316" s="5">
        <f t="shared" si="760"/>
        <v>4325401.8521059845</v>
      </c>
      <c r="CC316" s="5">
        <f t="shared" si="761"/>
        <v>146506153.42106533</v>
      </c>
      <c r="CD316" s="5" t="str">
        <f t="shared" si="762"/>
        <v>Ohio</v>
      </c>
      <c r="CE316" s="5">
        <f t="shared" si="763"/>
        <v>0.75287533794032113</v>
      </c>
      <c r="CF316" s="10">
        <f t="shared" si="764"/>
        <v>0.49398079404898315</v>
      </c>
    </row>
    <row r="317" spans="1:84" x14ac:dyDescent="0.2">
      <c r="A317">
        <v>36000000010201</v>
      </c>
      <c r="B317">
        <v>2018</v>
      </c>
      <c r="C317">
        <v>564</v>
      </c>
      <c r="D317" t="s">
        <v>535</v>
      </c>
      <c r="E317">
        <v>6</v>
      </c>
      <c r="F317" t="s">
        <v>536</v>
      </c>
      <c r="G317" t="s">
        <v>537</v>
      </c>
      <c r="H317" t="s">
        <v>509</v>
      </c>
      <c r="I317" t="b">
        <v>1</v>
      </c>
      <c r="J317">
        <v>1075334</v>
      </c>
      <c r="K317">
        <v>6974353</v>
      </c>
      <c r="L317">
        <v>0</v>
      </c>
      <c r="M317">
        <v>31732</v>
      </c>
      <c r="N317">
        <v>0</v>
      </c>
      <c r="O317">
        <v>7303802</v>
      </c>
      <c r="Q317">
        <v>777617</v>
      </c>
      <c r="R317">
        <v>96126440</v>
      </c>
      <c r="S317">
        <v>96904057</v>
      </c>
      <c r="T317">
        <v>1634027</v>
      </c>
      <c r="V317">
        <v>1580430</v>
      </c>
      <c r="W317">
        <v>6737457</v>
      </c>
      <c r="Y317">
        <v>63307</v>
      </c>
      <c r="AA317">
        <v>2545076</v>
      </c>
      <c r="AB317">
        <v>72371226</v>
      </c>
      <c r="AC317">
        <v>74916302</v>
      </c>
      <c r="AD317">
        <v>21987755</v>
      </c>
      <c r="AE317">
        <v>23755214</v>
      </c>
      <c r="AF317">
        <v>-1767459</v>
      </c>
      <c r="AG317">
        <v>11923688</v>
      </c>
      <c r="AH317">
        <v>0.13704040226480263</v>
      </c>
      <c r="AI317" t="b">
        <v>1</v>
      </c>
      <c r="AK317">
        <v>7.4499999999999997E-2</v>
      </c>
      <c r="AL317">
        <v>7.4499999999999997E-2</v>
      </c>
      <c r="AM317">
        <v>7.4499999999999997E-2</v>
      </c>
      <c r="AN317">
        <v>7.4499999999999997E-2</v>
      </c>
      <c r="AO317">
        <v>1</v>
      </c>
      <c r="AP317">
        <v>0</v>
      </c>
      <c r="AS317">
        <v>32110221</v>
      </c>
      <c r="AT317">
        <v>13240460</v>
      </c>
      <c r="AU317" t="s">
        <v>540</v>
      </c>
      <c r="AV317" t="s">
        <v>542</v>
      </c>
      <c r="BB317">
        <f t="shared" si="741"/>
        <v>0.77309768361916986</v>
      </c>
      <c r="BD317">
        <f t="shared" si="742"/>
        <v>10122466</v>
      </c>
      <c r="BE317">
        <f t="shared" si="743"/>
        <v>-8747295</v>
      </c>
      <c r="BF317">
        <f t="shared" si="744"/>
        <v>10.445863995147283</v>
      </c>
      <c r="BG317">
        <f t="shared" si="745"/>
        <v>-9.0267582914510989</v>
      </c>
      <c r="BH317">
        <f t="shared" si="746"/>
        <v>9.73631114329919</v>
      </c>
      <c r="BI317">
        <f t="shared" si="747"/>
        <v>70.955285184809128</v>
      </c>
      <c r="BJ317">
        <f t="shared" si="748"/>
        <v>10</v>
      </c>
      <c r="BK317">
        <f>IF($BJ317&lt;=30,IF($B317=2015,VLOOKUP($BJ317,'Treasury Yields'!$C$5:$N$34,$E317,FALSE)/100,IF($B317=2016,VLOOKUP($BJ317,'Treasury Yields'!$C$40:$N$69,$E317,FALSE)/100,IF($B317=2017,VLOOKUP($BJ317,'Treasury Yields'!$C$75:$N$104,$E317,FALSE)/100,IF($B317=2018,VLOOKUP($BJ317,'Treasury Yields'!$C$110:$N$139,$E317,FALSE)/100,IF($B317=2019,VLOOKUP($BJ317,'Treasury Yields'!$C$145:$N$174,$E317,FALSE)/100,IF($B317=2020,VLOOKUP($BJ317,'Treasury Yields'!$C$180:$N$209,$E317,FALSE)/100,IF($B317=2021,VLOOKUP($BJ317,'Treasury Yields'!$C$215:$N$244,$E317,FALSE)/100,IF($B317=2022,VLOOKUP($BJ317,'Treasury Yields'!$C$250:$N$279,$E317,FALSE)/100)))))))),0)</f>
        <v>2.4670000000000001E-2</v>
      </c>
      <c r="BL317">
        <f t="shared" si="749"/>
        <v>1.4876434131705987</v>
      </c>
      <c r="BM317">
        <f t="shared" si="750"/>
        <v>143001865.29753876</v>
      </c>
      <c r="BN317">
        <f t="shared" si="751"/>
        <v>70630639.297538757</v>
      </c>
      <c r="BP317">
        <f>IF($BJ317&lt;=30,IF($B317=2015,VLOOKUP($BJ317,'Treasury Yields'!$C$40:$N$69,$E317,FALSE)/100,IF($B317=2016,VLOOKUP($BJ317,'Treasury Yields'!$C$75:$N$104,$E317,FALSE)/100,IF($B317=2017,VLOOKUP($BJ317,'Treasury Yields'!$C$110:$N$139,$E317,FALSE)/100,IF($B317=2018,VLOOKUP($BJ317,'Treasury Yields'!$C$145:$N$174,$E317,FALSE)/100,IF($B317=2019,VLOOKUP($BJ317,'Treasury Yields'!$C$180:$N$209,$E317,FALSE)/100,IF($B317=2020,VLOOKUP($BJ317,'Treasury Yields'!$C$215:$N$244,$E317,FALSE)/100,IF($B317=2021,VLOOKUP($BJ317,'Treasury Yields'!$C$250:$N$279,$E317,FALSE)/100,IF($B317=2022,VLOOKUP($BJ317,'Treasury Yields'!$C$285:$N$314,$E317,FALSE)/100)))))))),0)</f>
        <v>2.964E-2</v>
      </c>
      <c r="BQ317">
        <f t="shared" si="752"/>
        <v>1.4387833374884016</v>
      </c>
      <c r="BR317">
        <f t="shared" si="753"/>
        <v>139423942.5466263</v>
      </c>
      <c r="BS317">
        <f t="shared" si="754"/>
        <v>64507640.5466263</v>
      </c>
      <c r="BU317">
        <f t="shared" si="765"/>
        <v>13</v>
      </c>
      <c r="BV317">
        <f t="shared" si="755"/>
        <v>2.3091344079922216</v>
      </c>
      <c r="BW317">
        <f t="shared" si="756"/>
        <v>2483090.7394839078</v>
      </c>
      <c r="BX317" s="5">
        <f t="shared" si="757"/>
        <v>3408929.0700933491</v>
      </c>
      <c r="BY317" s="5">
        <f t="shared" si="758"/>
        <v>1623530.9246733491</v>
      </c>
      <c r="BZ317" s="5">
        <f t="shared" si="759"/>
        <v>8049687</v>
      </c>
      <c r="CA317" s="5">
        <f t="shared" si="760"/>
        <v>4106621.6641572569</v>
      </c>
      <c r="CC317" s="5">
        <f t="shared" si="761"/>
        <v>139423942.5466263</v>
      </c>
      <c r="CD317" s="5" t="str">
        <f t="shared" si="762"/>
        <v>Ohio</v>
      </c>
      <c r="CE317" s="5">
        <f t="shared" si="763"/>
        <v>0.77309768361916986</v>
      </c>
      <c r="CF317" s="10">
        <f t="shared" si="764"/>
        <v>0.53732738173679473</v>
      </c>
    </row>
    <row r="318" spans="1:84" x14ac:dyDescent="0.2">
      <c r="A318">
        <v>36000000010201</v>
      </c>
      <c r="B318">
        <v>2019</v>
      </c>
      <c r="C318">
        <v>564</v>
      </c>
      <c r="D318" t="s">
        <v>535</v>
      </c>
      <c r="E318">
        <v>6</v>
      </c>
      <c r="F318" t="s">
        <v>536</v>
      </c>
      <c r="G318" t="s">
        <v>537</v>
      </c>
      <c r="H318" t="s">
        <v>509</v>
      </c>
      <c r="I318" t="b">
        <v>1</v>
      </c>
      <c r="J318">
        <v>1129449</v>
      </c>
      <c r="K318">
        <v>7036514</v>
      </c>
      <c r="M318">
        <v>69329</v>
      </c>
      <c r="O318">
        <v>7298405</v>
      </c>
      <c r="Q318">
        <v>936887</v>
      </c>
      <c r="R318">
        <v>96904057</v>
      </c>
      <c r="S318">
        <v>97840944</v>
      </c>
      <c r="T318">
        <v>1702154</v>
      </c>
      <c r="V318">
        <v>1623095</v>
      </c>
      <c r="W318">
        <v>4847517</v>
      </c>
      <c r="Y318">
        <v>64118</v>
      </c>
      <c r="AA318">
        <v>810243</v>
      </c>
      <c r="AB318">
        <v>74916302</v>
      </c>
      <c r="AC318">
        <v>75726545</v>
      </c>
      <c r="AD318">
        <v>22114399</v>
      </c>
      <c r="AE318">
        <v>21987755</v>
      </c>
      <c r="AF318">
        <v>126644</v>
      </c>
      <c r="AG318">
        <v>12296800</v>
      </c>
      <c r="AH318">
        <v>0.13842251642703793</v>
      </c>
      <c r="AI318" t="b">
        <v>1</v>
      </c>
      <c r="AK318">
        <v>7.4499999999999997E-2</v>
      </c>
      <c r="AL318">
        <v>7.4499999999999997E-2</v>
      </c>
      <c r="AM318">
        <v>7.4499999999999997E-2</v>
      </c>
      <c r="AN318">
        <v>7.4499999999999997E-2</v>
      </c>
      <c r="AO318">
        <v>1</v>
      </c>
      <c r="AP318">
        <v>0</v>
      </c>
      <c r="AS318">
        <v>32317731</v>
      </c>
      <c r="AT318">
        <v>13476756</v>
      </c>
      <c r="AU318" t="s">
        <v>543</v>
      </c>
      <c r="AV318" t="s">
        <v>544</v>
      </c>
      <c r="BB318">
        <f t="shared" si="741"/>
        <v>0.77397602582411718</v>
      </c>
      <c r="BD318">
        <f t="shared" si="742"/>
        <v>10203332</v>
      </c>
      <c r="BE318">
        <f t="shared" si="743"/>
        <v>-8637643</v>
      </c>
      <c r="BF318">
        <f t="shared" si="744"/>
        <v>10.428488915642514</v>
      </c>
      <c r="BG318">
        <f t="shared" si="745"/>
        <v>-8.8282498582597491</v>
      </c>
      <c r="BH318">
        <f t="shared" si="746"/>
        <v>9.6283693869511318</v>
      </c>
      <c r="BI318">
        <f t="shared" si="747"/>
        <v>80.011952869138298</v>
      </c>
      <c r="BJ318">
        <f t="shared" si="748"/>
        <v>10</v>
      </c>
      <c r="BK318">
        <f>IF($BJ318&lt;=30,IF($B318=2015,VLOOKUP($BJ318,'Treasury Yields'!$C$5:$N$34,$E318,FALSE)/100,IF($B318=2016,VLOOKUP($BJ318,'Treasury Yields'!$C$40:$N$69,$E318,FALSE)/100,IF($B318=2017,VLOOKUP($BJ318,'Treasury Yields'!$C$75:$N$104,$E318,FALSE)/100,IF($B318=2018,VLOOKUP($BJ318,'Treasury Yields'!$C$110:$N$139,$E318,FALSE)/100,IF($B318=2019,VLOOKUP($BJ318,'Treasury Yields'!$C$145:$N$174,$E318,FALSE)/100,IF($B318=2020,VLOOKUP($BJ318,'Treasury Yields'!$C$180:$N$209,$E318,FALSE)/100,IF($B318=2021,VLOOKUP($BJ318,'Treasury Yields'!$C$215:$N$244,$E318,FALSE)/100,IF($B318=2022,VLOOKUP($BJ318,'Treasury Yields'!$C$250:$N$279,$E318,FALSE)/100)))))))),0)</f>
        <v>2.964E-2</v>
      </c>
      <c r="BL318">
        <f t="shared" si="749"/>
        <v>1.4339410702986277</v>
      </c>
      <c r="BM318">
        <f t="shared" si="750"/>
        <v>138954707.21085924</v>
      </c>
      <c r="BN318">
        <f t="shared" si="751"/>
        <v>64038405.210859239</v>
      </c>
      <c r="BP318">
        <f>IF($BJ318&lt;=30,IF($B318=2015,VLOOKUP($BJ318,'Treasury Yields'!$C$40:$N$69,$E318,FALSE)/100,IF($B318=2016,VLOOKUP($BJ318,'Treasury Yields'!$C$75:$N$104,$E318,FALSE)/100,IF($B318=2017,VLOOKUP($BJ318,'Treasury Yields'!$C$110:$N$139,$E318,FALSE)/100,IF($B318=2018,VLOOKUP($BJ318,'Treasury Yields'!$C$145:$N$174,$E318,FALSE)/100,IF($B318=2019,VLOOKUP($BJ318,'Treasury Yields'!$C$180:$N$209,$E318,FALSE)/100,IF($B318=2020,VLOOKUP($BJ318,'Treasury Yields'!$C$215:$N$244,$E318,FALSE)/100,IF($B318=2021,VLOOKUP($BJ318,'Treasury Yields'!$C$250:$N$279,$E318,FALSE)/100,IF($B318=2022,VLOOKUP($BJ318,'Treasury Yields'!$C$285:$N$314,$E318,FALSE)/100)))))))),0)</f>
        <v>2.1259999999999998E-2</v>
      </c>
      <c r="BQ318">
        <f t="shared" si="752"/>
        <v>1.5154488837612783</v>
      </c>
      <c r="BR318">
        <f t="shared" si="753"/>
        <v>148272949.37094975</v>
      </c>
      <c r="BS318">
        <f t="shared" si="754"/>
        <v>72546404.370949745</v>
      </c>
      <c r="BU318">
        <f t="shared" si="765"/>
        <v>13</v>
      </c>
      <c r="BV318">
        <f t="shared" si="755"/>
        <v>2.1761262728867581</v>
      </c>
      <c r="BW318">
        <f t="shared" si="756"/>
        <v>2457823.6427856758</v>
      </c>
      <c r="BX318" s="5">
        <f t="shared" si="757"/>
        <v>3975142.6903020348</v>
      </c>
      <c r="BY318" s="5">
        <f t="shared" si="758"/>
        <v>1754623.4990220352</v>
      </c>
      <c r="BZ318" s="5">
        <f t="shared" si="759"/>
        <v>8165963</v>
      </c>
      <c r="CA318" s="5">
        <f t="shared" si="760"/>
        <v>4212447.1418077108</v>
      </c>
      <c r="CC318" s="5">
        <f t="shared" si="761"/>
        <v>148272949.37094975</v>
      </c>
      <c r="CD318" s="5" t="str">
        <f t="shared" si="762"/>
        <v>Ohio</v>
      </c>
      <c r="CE318" s="5">
        <f t="shared" si="763"/>
        <v>0.77397602582411718</v>
      </c>
      <c r="CF318" s="10">
        <f t="shared" si="764"/>
        <v>0.51072394068689553</v>
      </c>
    </row>
    <row r="319" spans="1:84" x14ac:dyDescent="0.2">
      <c r="A319">
        <v>36000000010201</v>
      </c>
      <c r="B319">
        <v>2020</v>
      </c>
      <c r="C319">
        <v>564</v>
      </c>
      <c r="D319" t="s">
        <v>535</v>
      </c>
      <c r="E319">
        <v>6</v>
      </c>
      <c r="F319" t="s">
        <v>536</v>
      </c>
      <c r="G319" t="s">
        <v>537</v>
      </c>
      <c r="H319" t="s">
        <v>509</v>
      </c>
      <c r="I319" t="b">
        <v>1</v>
      </c>
      <c r="J319">
        <v>1150526</v>
      </c>
      <c r="K319">
        <v>7108056</v>
      </c>
      <c r="M319">
        <v>-133569</v>
      </c>
      <c r="O319">
        <v>7293669</v>
      </c>
      <c r="Q319">
        <v>831344</v>
      </c>
      <c r="R319">
        <v>97840944</v>
      </c>
      <c r="S319">
        <v>98672288</v>
      </c>
      <c r="T319">
        <v>1746249</v>
      </c>
      <c r="V319">
        <v>1670406</v>
      </c>
      <c r="W319">
        <v>2692076</v>
      </c>
      <c r="Y319">
        <v>65761</v>
      </c>
      <c r="AA319">
        <v>-1250699</v>
      </c>
      <c r="AB319">
        <v>75726545</v>
      </c>
      <c r="AC319">
        <v>74475846</v>
      </c>
      <c r="AD319">
        <v>24196442</v>
      </c>
      <c r="AE319">
        <v>22114399</v>
      </c>
      <c r="AF319">
        <v>2082043</v>
      </c>
      <c r="AG319">
        <v>12671208</v>
      </c>
      <c r="AH319">
        <v>0.13781235380241569</v>
      </c>
      <c r="AI319" t="b">
        <v>1</v>
      </c>
      <c r="AK319">
        <v>7.4499999999999997E-2</v>
      </c>
      <c r="AL319">
        <v>7.4499999999999997E-2</v>
      </c>
      <c r="AM319">
        <v>7.4499999999999997E-2</v>
      </c>
      <c r="AN319">
        <v>7.4499999999999997E-2</v>
      </c>
      <c r="AO319">
        <v>1</v>
      </c>
      <c r="AP319">
        <v>0</v>
      </c>
      <c r="AS319">
        <v>34451521</v>
      </c>
      <c r="AT319">
        <v>15506117</v>
      </c>
      <c r="AU319" t="s">
        <v>543</v>
      </c>
      <c r="AV319" t="s">
        <v>544</v>
      </c>
      <c r="BB319">
        <f t="shared" si="741"/>
        <v>0.75477976146656289</v>
      </c>
      <c r="BD319">
        <f t="shared" si="742"/>
        <v>10255079</v>
      </c>
      <c r="BE319">
        <f t="shared" si="743"/>
        <v>-8690325</v>
      </c>
      <c r="BF319">
        <f t="shared" si="744"/>
        <v>10.393069024608003</v>
      </c>
      <c r="BG319">
        <f t="shared" si="745"/>
        <v>-8.8072600485356123</v>
      </c>
      <c r="BH319">
        <f t="shared" si="746"/>
        <v>9.6001645365718069</v>
      </c>
      <c r="BI319">
        <f t="shared" si="747"/>
        <v>79.290448803619512</v>
      </c>
      <c r="BJ319">
        <f t="shared" si="748"/>
        <v>10</v>
      </c>
      <c r="BK319">
        <f>IF($BJ319&lt;=30,IF($B319=2015,VLOOKUP($BJ319,'Treasury Yields'!$C$5:$N$34,$E319,FALSE)/100,IF($B319=2016,VLOOKUP($BJ319,'Treasury Yields'!$C$40:$N$69,$E319,FALSE)/100,IF($B319=2017,VLOOKUP($BJ319,'Treasury Yields'!$C$75:$N$104,$E319,FALSE)/100,IF($B319=2018,VLOOKUP($BJ319,'Treasury Yields'!$C$110:$N$139,$E319,FALSE)/100,IF($B319=2019,VLOOKUP($BJ319,'Treasury Yields'!$C$145:$N$174,$E319,FALSE)/100,IF($B319=2020,VLOOKUP($BJ319,'Treasury Yields'!$C$180:$N$209,$E319,FALSE)/100,IF($B319=2021,VLOOKUP($BJ319,'Treasury Yields'!$C$215:$N$244,$E319,FALSE)/100,IF($B319=2022,VLOOKUP($BJ319,'Treasury Yields'!$C$250:$N$279,$E319,FALSE)/100)))))))),0)</f>
        <v>2.1259999999999998E-2</v>
      </c>
      <c r="BL319">
        <f t="shared" si="749"/>
        <v>1.5139472575270829</v>
      </c>
      <c r="BM319">
        <f t="shared" si="750"/>
        <v>148126028.8426609</v>
      </c>
      <c r="BN319">
        <f t="shared" si="751"/>
        <v>72399483.842660904</v>
      </c>
      <c r="BP319">
        <f>IF($BJ319&lt;=30,IF($B319=2015,VLOOKUP($BJ319,'Treasury Yields'!$C$40:$N$69,$E319,FALSE)/100,IF($B319=2016,VLOOKUP($BJ319,'Treasury Yields'!$C$75:$N$104,$E319,FALSE)/100,IF($B319=2017,VLOOKUP($BJ319,'Treasury Yields'!$C$110:$N$139,$E319,FALSE)/100,IF($B319=2018,VLOOKUP($BJ319,'Treasury Yields'!$C$145:$N$174,$E319,FALSE)/100,IF($B319=2019,VLOOKUP($BJ319,'Treasury Yields'!$C$180:$N$209,$E319,FALSE)/100,IF($B319=2020,VLOOKUP($BJ319,'Treasury Yields'!$C$215:$N$244,$E319,FALSE)/100,IF($B319=2021,VLOOKUP($BJ319,'Treasury Yields'!$C$250:$N$279,$E319,FALSE)/100,IF($B319=2022,VLOOKUP($BJ319,'Treasury Yields'!$C$285:$N$314,$E319,FALSE)/100)))))))),0)</f>
        <v>1.5412727272727269E-2</v>
      </c>
      <c r="BQ319">
        <f t="shared" si="752"/>
        <v>1.5707388459974572</v>
      </c>
      <c r="BR319">
        <f t="shared" si="753"/>
        <v>154988395.78504875</v>
      </c>
      <c r="BS319">
        <f t="shared" si="754"/>
        <v>80512549.785048753</v>
      </c>
      <c r="BU319">
        <f t="shared" si="765"/>
        <v>13</v>
      </c>
      <c r="BV319">
        <f t="shared" si="755"/>
        <v>2.4279813467638651</v>
      </c>
      <c r="BW319">
        <f t="shared" si="756"/>
        <v>2793455.6669668425</v>
      </c>
      <c r="BX319" s="5">
        <f t="shared" si="757"/>
        <v>3053484.8377346857</v>
      </c>
      <c r="BY319" s="5">
        <f t="shared" si="758"/>
        <v>1443538.4910346856</v>
      </c>
      <c r="BZ319" s="5">
        <f t="shared" si="759"/>
        <v>8258582</v>
      </c>
      <c r="CA319" s="5">
        <f t="shared" si="760"/>
        <v>4236994.1580015281</v>
      </c>
      <c r="CC319" s="5">
        <f t="shared" si="761"/>
        <v>154988395.78504875</v>
      </c>
      <c r="CD319" s="5" t="str">
        <f t="shared" si="762"/>
        <v>Ohio</v>
      </c>
      <c r="CE319" s="5">
        <f t="shared" si="763"/>
        <v>0.75477976146656289</v>
      </c>
      <c r="CF319" s="10">
        <f t="shared" si="764"/>
        <v>0.48052530399301324</v>
      </c>
    </row>
    <row r="320" spans="1:84" x14ac:dyDescent="0.2">
      <c r="A320">
        <v>36000000010201</v>
      </c>
      <c r="B320">
        <v>2021</v>
      </c>
      <c r="C320">
        <v>564</v>
      </c>
      <c r="D320" t="s">
        <v>535</v>
      </c>
      <c r="E320">
        <v>6</v>
      </c>
      <c r="F320" t="s">
        <v>536</v>
      </c>
      <c r="G320" t="s">
        <v>537</v>
      </c>
      <c r="H320" t="s">
        <v>509</v>
      </c>
      <c r="I320" t="b">
        <v>1</v>
      </c>
      <c r="J320">
        <v>1189664</v>
      </c>
      <c r="K320">
        <v>7171680</v>
      </c>
      <c r="L320">
        <v>0</v>
      </c>
      <c r="M320">
        <v>451180</v>
      </c>
      <c r="N320">
        <v>4433797</v>
      </c>
      <c r="O320">
        <v>7327202</v>
      </c>
      <c r="Q320">
        <v>5919118</v>
      </c>
      <c r="R320">
        <v>98672288</v>
      </c>
      <c r="S320">
        <v>104591406</v>
      </c>
      <c r="T320">
        <v>1803178</v>
      </c>
      <c r="V320">
        <v>1706818</v>
      </c>
      <c r="W320">
        <v>21212679</v>
      </c>
      <c r="Y320">
        <v>65811</v>
      </c>
      <c r="AA320">
        <v>17329661</v>
      </c>
      <c r="AB320">
        <v>74475846</v>
      </c>
      <c r="AC320">
        <v>91805507</v>
      </c>
      <c r="AD320">
        <v>12785899</v>
      </c>
      <c r="AE320">
        <v>24196442</v>
      </c>
      <c r="AF320">
        <v>-11410543</v>
      </c>
      <c r="AG320">
        <v>12929843</v>
      </c>
      <c r="AI320" t="b">
        <v>1</v>
      </c>
      <c r="AK320">
        <v>7.4499999999999997E-2</v>
      </c>
      <c r="AL320">
        <v>7.0000000000000007E-2</v>
      </c>
      <c r="AM320">
        <v>7.0000000000000007E-2</v>
      </c>
      <c r="AN320">
        <v>7.4499999999999997E-2</v>
      </c>
      <c r="AS320">
        <v>23943203</v>
      </c>
      <c r="AT320">
        <v>3358001</v>
      </c>
      <c r="BB320">
        <f t="shared" si="741"/>
        <v>0.87775382807264302</v>
      </c>
      <c r="BD320">
        <f t="shared" si="742"/>
        <v>11157304</v>
      </c>
      <c r="BE320">
        <f t="shared" si="743"/>
        <v>-9427898</v>
      </c>
      <c r="BF320">
        <f t="shared" si="744"/>
        <v>10.667515072892318</v>
      </c>
      <c r="BG320">
        <f t="shared" si="745"/>
        <v>-9.0140274048902267</v>
      </c>
      <c r="BH320">
        <f t="shared" si="746"/>
        <v>9.8407712388912714</v>
      </c>
      <c r="BI320">
        <f t="shared" si="747"/>
        <v>82.674383400104588</v>
      </c>
      <c r="BJ320">
        <f t="shared" si="748"/>
        <v>10</v>
      </c>
      <c r="BK320">
        <f>IF($BJ320&lt;=30,IF($B320=2015,VLOOKUP($BJ320,'Treasury Yields'!$C$5:$N$34,$E320,FALSE)/100,IF($B320=2016,VLOOKUP($BJ320,'Treasury Yields'!$C$40:$N$69,$E320,FALSE)/100,IF($B320=2017,VLOOKUP($BJ320,'Treasury Yields'!$C$75:$N$104,$E320,FALSE)/100,IF($B320=2018,VLOOKUP($BJ320,'Treasury Yields'!$C$110:$N$139,$E320,FALSE)/100,IF($B320=2019,VLOOKUP($BJ320,'Treasury Yields'!$C$145:$N$174,$E320,FALSE)/100,IF($B320=2020,VLOOKUP($BJ320,'Treasury Yields'!$C$180:$N$209,$E320,FALSE)/100,IF($B320=2021,VLOOKUP($BJ320,'Treasury Yields'!$C$215:$N$244,$E320,FALSE)/100,IF($B320=2022,VLOOKUP($BJ320,'Treasury Yields'!$C$250:$N$279,$E320,FALSE)/100)))))))),0)</f>
        <v>1.5412727272727269E-2</v>
      </c>
      <c r="BL320">
        <f t="shared" si="749"/>
        <v>1.5401606338078613</v>
      </c>
      <c r="BM320">
        <f t="shared" si="750"/>
        <v>151971173.62535182</v>
      </c>
      <c r="BN320">
        <f t="shared" si="751"/>
        <v>77495327.625351816</v>
      </c>
      <c r="BP320">
        <f>IF($BJ320&lt;=30,IF($B320=2015,VLOOKUP($BJ320,'Treasury Yields'!$C$40:$N$69,$E320,FALSE)/100,IF($B320=2016,VLOOKUP($BJ320,'Treasury Yields'!$C$75:$N$104,$E320,FALSE)/100,IF($B320=2017,VLOOKUP($BJ320,'Treasury Yields'!$C$110:$N$139,$E320,FALSE)/100,IF($B320=2018,VLOOKUP($BJ320,'Treasury Yields'!$C$145:$N$174,$E320,FALSE)/100,IF($B320=2019,VLOOKUP($BJ320,'Treasury Yields'!$C$180:$N$209,$E320,FALSE)/100,IF($B320=2020,VLOOKUP($BJ320,'Treasury Yields'!$C$215:$N$244,$E320,FALSE)/100,IF($B320=2021,VLOOKUP($BJ320,'Treasury Yields'!$C$250:$N$279,$E320,FALSE)/100,IF($B320=2022,VLOOKUP($BJ320,'Treasury Yields'!$C$285:$N$314,$E320,FALSE)/100)))))))),0)</f>
        <v>2.202272727272727E-2</v>
      </c>
      <c r="BQ320">
        <f t="shared" si="752"/>
        <v>1.5191707003028914</v>
      </c>
      <c r="BR320">
        <f t="shared" si="753"/>
        <v>158892199.49868402</v>
      </c>
      <c r="BS320">
        <f t="shared" si="754"/>
        <v>67086692.498684019</v>
      </c>
      <c r="BU320">
        <f t="shared" si="765"/>
        <v>13</v>
      </c>
      <c r="BV320">
        <f t="shared" si="755"/>
        <v>2.6382404336331726</v>
      </c>
      <c r="BW320">
        <f t="shared" si="756"/>
        <v>3138619.6672377745</v>
      </c>
      <c r="BX320" s="5">
        <f t="shared" si="757"/>
        <v>2277732.7752496032</v>
      </c>
      <c r="BY320" s="5">
        <f t="shared" si="758"/>
        <v>1129856.8724459668</v>
      </c>
      <c r="BZ320" s="5">
        <f t="shared" si="759"/>
        <v>8361344</v>
      </c>
      <c r="CA320" s="5">
        <f t="shared" si="760"/>
        <v>4268476.5396837415</v>
      </c>
      <c r="CC320" s="5">
        <f t="shared" si="761"/>
        <v>158892199.49868402</v>
      </c>
      <c r="CD320" s="5" t="str">
        <f t="shared" si="762"/>
        <v>Ohio</v>
      </c>
      <c r="CE320" s="5">
        <f t="shared" si="763"/>
        <v>0.87775382807264302</v>
      </c>
      <c r="CF320" s="10">
        <f t="shared" si="764"/>
        <v>0.57778485847419059</v>
      </c>
    </row>
    <row r="321" spans="1:84" x14ac:dyDescent="0.2">
      <c r="A321">
        <v>36000000010201</v>
      </c>
      <c r="B321">
        <v>2022</v>
      </c>
      <c r="C321">
        <v>564</v>
      </c>
      <c r="D321" t="s">
        <v>535</v>
      </c>
      <c r="E321">
        <v>6</v>
      </c>
      <c r="F321" t="s">
        <v>536</v>
      </c>
      <c r="G321" t="s">
        <v>537</v>
      </c>
      <c r="H321" t="s">
        <v>509</v>
      </c>
      <c r="I321" t="b">
        <v>1</v>
      </c>
      <c r="J321">
        <v>1344767</v>
      </c>
      <c r="K321">
        <v>7158610</v>
      </c>
      <c r="L321">
        <v>2348518</v>
      </c>
      <c r="M321">
        <v>-42146</v>
      </c>
      <c r="N321">
        <v>-2669900</v>
      </c>
      <c r="O321">
        <v>7466930</v>
      </c>
      <c r="Q321">
        <v>672918</v>
      </c>
      <c r="R321">
        <v>104591406</v>
      </c>
      <c r="S321">
        <v>105264325</v>
      </c>
      <c r="T321">
        <v>1932372</v>
      </c>
      <c r="V321">
        <v>1806217</v>
      </c>
      <c r="W321">
        <v>-4976660</v>
      </c>
      <c r="Y321">
        <v>66308</v>
      </c>
      <c r="AA321">
        <v>-8771309</v>
      </c>
      <c r="AB321">
        <v>91805507</v>
      </c>
      <c r="AC321">
        <v>83034199</v>
      </c>
      <c r="AD321">
        <v>22230126</v>
      </c>
      <c r="AE321">
        <v>12785899</v>
      </c>
      <c r="AF321">
        <v>9444227</v>
      </c>
      <c r="AG321">
        <v>13624858</v>
      </c>
      <c r="AI321" t="b">
        <v>1</v>
      </c>
      <c r="AK321">
        <v>7.0000000000000007E-2</v>
      </c>
      <c r="AL321">
        <v>7.0000000000000007E-2</v>
      </c>
      <c r="AM321">
        <v>7.0000000000000007E-2</v>
      </c>
      <c r="AN321">
        <v>7.0000000000000007E-2</v>
      </c>
      <c r="AS321">
        <v>33581628</v>
      </c>
      <c r="AT321">
        <v>12630270</v>
      </c>
      <c r="AV321" t="s">
        <v>544</v>
      </c>
      <c r="BB321">
        <f t="shared" si="741"/>
        <v>0.7888161445009978</v>
      </c>
      <c r="BD321">
        <f t="shared" si="742"/>
        <v>11351502</v>
      </c>
      <c r="BE321">
        <f t="shared" si="743"/>
        <v>-9599856</v>
      </c>
      <c r="BF321">
        <f t="shared" si="744"/>
        <v>10.78380733453618</v>
      </c>
      <c r="BG321">
        <f t="shared" si="745"/>
        <v>-9.1197620846378857</v>
      </c>
      <c r="BH321">
        <f t="shared" si="746"/>
        <v>9.9517847095870327</v>
      </c>
      <c r="BI321">
        <f t="shared" si="747"/>
        <v>83.202262494914578</v>
      </c>
      <c r="BJ321">
        <f t="shared" si="748"/>
        <v>10</v>
      </c>
      <c r="BK321">
        <f>IF($BJ321&lt;=30,IF($B321=2015,VLOOKUP($BJ321,'Treasury Yields'!$C$5:$N$34,$E321,FALSE)/100,IF($B321=2016,VLOOKUP($BJ321,'Treasury Yields'!$C$40:$N$69,$E321,FALSE)/100,IF($B321=2017,VLOOKUP($BJ321,'Treasury Yields'!$C$75:$N$104,$E321,FALSE)/100,IF($B321=2018,VLOOKUP($BJ321,'Treasury Yields'!$C$110:$N$139,$E321,FALSE)/100,IF($B321=2019,VLOOKUP($BJ321,'Treasury Yields'!$C$145:$N$174,$E321,FALSE)/100,IF($B321=2020,VLOOKUP($BJ321,'Treasury Yields'!$C$180:$N$209,$E321,FALSE)/100,IF($B321=2021,VLOOKUP($BJ321,'Treasury Yields'!$C$215:$N$244,$E321,FALSE)/100,IF($B321=2022,VLOOKUP($BJ321,'Treasury Yields'!$C$250:$N$279,$E321,FALSE)/100)))))))),0)</f>
        <v>2.202272727272727E-2</v>
      </c>
      <c r="BL321">
        <f t="shared" si="749"/>
        <v>1.4797613078333067</v>
      </c>
      <c r="BM321">
        <f t="shared" si="750"/>
        <v>154770315.73068437</v>
      </c>
      <c r="BN321">
        <f t="shared" si="751"/>
        <v>62964808.73068437</v>
      </c>
      <c r="BP321">
        <f>IF($BJ321&lt;=30,IF($B321=2015,VLOOKUP($BJ321,'Treasury Yields'!$C$40:$N$69,$E321,FALSE)/100,IF($B321=2016,VLOOKUP($BJ321,'Treasury Yields'!$C$75:$N$104,$E321,FALSE)/100,IF($B321=2017,VLOOKUP($BJ321,'Treasury Yields'!$C$110:$N$139,$E321,FALSE)/100,IF($B321=2018,VLOOKUP($BJ321,'Treasury Yields'!$C$145:$N$174,$E321,FALSE)/100,IF($B321=2019,VLOOKUP($BJ321,'Treasury Yields'!$C$180:$N$209,$E321,FALSE)/100,IF($B321=2020,VLOOKUP($BJ321,'Treasury Yields'!$C$215:$N$244,$E321,FALSE)/100,IF($B321=2021,VLOOKUP($BJ321,'Treasury Yields'!$C$250:$N$279,$E321,FALSE)/100,IF($B321=2022,VLOOKUP($BJ321,'Treasury Yields'!$C$285:$N$314,$E321,FALSE)/100)))))))),0)</f>
        <v>3.1469545454545458E-2</v>
      </c>
      <c r="BQ321">
        <f t="shared" si="752"/>
        <v>1.3849313843263722</v>
      </c>
      <c r="BR321">
        <f t="shared" si="753"/>
        <v>145783867.34243116</v>
      </c>
      <c r="BS321">
        <f t="shared" si="754"/>
        <v>62749668.342431158</v>
      </c>
      <c r="BU321">
        <f t="shared" si="765"/>
        <v>13</v>
      </c>
      <c r="BV321">
        <f t="shared" si="755"/>
        <v>2.2926805581450838</v>
      </c>
      <c r="BW321">
        <f t="shared" si="756"/>
        <v>3083121.1561350897</v>
      </c>
      <c r="BX321" s="5">
        <f t="shared" si="757"/>
        <v>3311921.0266665462</v>
      </c>
      <c r="BY321" s="5">
        <f t="shared" si="758"/>
        <v>1290113.383871092</v>
      </c>
      <c r="BZ321" s="5">
        <f t="shared" si="759"/>
        <v>8503377</v>
      </c>
      <c r="CA321" s="5">
        <f t="shared" si="760"/>
        <v>4373234.5400061812</v>
      </c>
      <c r="CC321" s="5">
        <f t="shared" si="761"/>
        <v>145783867.34243116</v>
      </c>
      <c r="CD321" s="5" t="str">
        <f t="shared" si="762"/>
        <v>Ohio</v>
      </c>
      <c r="CE321" s="5">
        <f t="shared" si="763"/>
        <v>0.7888161445009978</v>
      </c>
      <c r="CF321" s="10">
        <f t="shared" si="764"/>
        <v>0.56957056026618702</v>
      </c>
    </row>
    <row r="322" spans="1:84" x14ac:dyDescent="0.2">
      <c r="A322">
        <v>37000000012701</v>
      </c>
      <c r="B322">
        <v>2015</v>
      </c>
      <c r="C322">
        <v>420</v>
      </c>
      <c r="D322" t="s">
        <v>545</v>
      </c>
      <c r="E322">
        <v>6</v>
      </c>
      <c r="F322" t="s">
        <v>546</v>
      </c>
      <c r="G322" t="s">
        <v>547</v>
      </c>
      <c r="H322" t="s">
        <v>69</v>
      </c>
      <c r="I322" t="b">
        <v>1</v>
      </c>
      <c r="J322">
        <v>415702.261</v>
      </c>
      <c r="K322">
        <v>1538893.9820000001</v>
      </c>
      <c r="L322">
        <v>0</v>
      </c>
      <c r="M322">
        <v>-159980.41399999999</v>
      </c>
      <c r="N322">
        <v>346488.63</v>
      </c>
      <c r="O322">
        <v>1201350.9069999999</v>
      </c>
      <c r="P322">
        <v>35240.175999999999</v>
      </c>
      <c r="Q322">
        <v>904513.37600000005</v>
      </c>
      <c r="R322">
        <v>19646619.191</v>
      </c>
      <c r="S322">
        <v>20551132.567000002</v>
      </c>
      <c r="T322">
        <v>728442.07</v>
      </c>
      <c r="V322">
        <v>303677.304</v>
      </c>
      <c r="W322">
        <v>428855.74800000002</v>
      </c>
      <c r="Y322">
        <v>4358.9380000000001</v>
      </c>
      <c r="AA322">
        <v>220025.101</v>
      </c>
      <c r="AB322">
        <v>14229481.368000001</v>
      </c>
      <c r="AC322">
        <v>14449506.469000001</v>
      </c>
      <c r="AD322">
        <v>6101626.0980000002</v>
      </c>
      <c r="AE322">
        <v>5417137.8229999989</v>
      </c>
      <c r="AF322">
        <v>684488.2750000013</v>
      </c>
      <c r="AG322">
        <v>4338247</v>
      </c>
      <c r="AH322">
        <v>0.16791161729611059</v>
      </c>
      <c r="AI322" t="b">
        <v>1</v>
      </c>
      <c r="AK322">
        <v>0.08</v>
      </c>
      <c r="AL322">
        <v>0.08</v>
      </c>
      <c r="AM322">
        <v>0.08</v>
      </c>
      <c r="AN322">
        <v>0.08</v>
      </c>
      <c r="AO322">
        <v>1</v>
      </c>
      <c r="AP322">
        <v>0</v>
      </c>
      <c r="AS322">
        <v>8434863.0270000007</v>
      </c>
      <c r="AT322">
        <v>4140434.4210000001</v>
      </c>
      <c r="BB322">
        <f t="shared" ref="BB322:BB329" si="766">AC322/S322</f>
        <v>0.70310025113663599</v>
      </c>
      <c r="BD322">
        <f t="shared" ref="BD322:BD329" si="767">AS322-AD322</f>
        <v>2333236.9290000005</v>
      </c>
      <c r="BE322">
        <f t="shared" ref="BE322:BE329" si="768">AT322-AD322</f>
        <v>-1961191.6770000001</v>
      </c>
      <c r="BF322">
        <f t="shared" ref="BF322:BF329" si="769">BD322/S322*100</f>
        <v>11.353325279729827</v>
      </c>
      <c r="BG322">
        <f t="shared" ref="BG322:BG329" si="770">BE322/S322*100</f>
        <v>-9.5429858700302734</v>
      </c>
      <c r="BH322">
        <f t="shared" ref="BH322:BH329" si="771">(BD322-BE322)/(2*S322)*100</f>
        <v>10.448155574880051</v>
      </c>
      <c r="BI322">
        <f t="shared" ref="BI322:BI329" si="772">(BD322+BE322)/(2*S322*(0.01^2))</f>
        <v>90.51697048497762</v>
      </c>
      <c r="BJ322">
        <f t="shared" ref="BJ322:BJ329" si="773">ROUND(BH322,0)</f>
        <v>10</v>
      </c>
      <c r="BK322">
        <f>IF($BJ322&lt;=30,IF($B322=2015,VLOOKUP($BJ322,'Treasury Yields'!$C$5:$N$34,$E322,FALSE)/100,IF($B322=2016,VLOOKUP($BJ322,'Treasury Yields'!$C$40:$N$69,$E322,FALSE)/100,IF($B322=2017,VLOOKUP($BJ322,'Treasury Yields'!$C$75:$N$104,$E322,FALSE)/100,IF($B322=2018,VLOOKUP($BJ322,'Treasury Yields'!$C$110:$N$139,$E322,FALSE)/100,IF($B322=2019,VLOOKUP($BJ322,'Treasury Yields'!$C$145:$N$174,$E322,FALSE)/100,IF($B322=2020,VLOOKUP($BJ322,'Treasury Yields'!$C$180:$N$209,$E322,FALSE)/100,IF($B322=2021,VLOOKUP($BJ322,'Treasury Yields'!$C$215:$N$244,$E322,FALSE)/100,IF($B322=2022,VLOOKUP($BJ322,'Treasury Yields'!$C$250:$N$279,$E322,FALSE)/100)))))))),0)</f>
        <v>2.7109999999999999E-2</v>
      </c>
      <c r="BL322">
        <f t="shared" ref="BL322:BL329" si="774">1+BH322*(AL322-BK322)+(AL322-BK322)^2</f>
        <v>1.555400300455406</v>
      </c>
      <c r="BM322">
        <f t="shared" ref="BM322:BM329" si="775">BL322*R322</f>
        <v>30558357.392614346</v>
      </c>
      <c r="BN322">
        <f t="shared" ref="BN322:BN329" si="776">BM322-AB322</f>
        <v>16328876.024614345</v>
      </c>
      <c r="BP322">
        <f>IF($BJ322&lt;=30,IF($B322=2015,VLOOKUP($BJ322,'Treasury Yields'!$C$40:$N$69,$E322,FALSE)/100,IF($B322=2016,VLOOKUP($BJ322,'Treasury Yields'!$C$75:$N$104,$E322,FALSE)/100,IF($B322=2017,VLOOKUP($BJ322,'Treasury Yields'!$C$110:$N$139,$E322,FALSE)/100,IF($B322=2018,VLOOKUP($BJ322,'Treasury Yields'!$C$145:$N$174,$E322,FALSE)/100,IF($B322=2019,VLOOKUP($BJ322,'Treasury Yields'!$C$180:$N$209,$E322,FALSE)/100,IF($B322=2020,VLOOKUP($BJ322,'Treasury Yields'!$C$215:$N$244,$E322,FALSE)/100,IF($B322=2021,VLOOKUP($BJ322,'Treasury Yields'!$C$250:$N$279,$E322,FALSE)/100,IF($B322=2022,VLOOKUP($BJ322,'Treasury Yields'!$C$285:$N$314,$E322,FALSE)/100)))))))),0)</f>
        <v>2.5470000000000003E-2</v>
      </c>
      <c r="BQ322">
        <f t="shared" ref="BQ322:BQ329" si="777">1+BH322*(AN322-BP322)+(AN322-BP322)^2</f>
        <v>1.5727114443982091</v>
      </c>
      <c r="BR322">
        <f t="shared" ref="BR322:BR329" si="778">BQ322*S322</f>
        <v>32321001.383465648</v>
      </c>
      <c r="BS322">
        <f t="shared" ref="BS322:BS329" si="779">BR322-AC322</f>
        <v>17871494.914465647</v>
      </c>
      <c r="BU322">
        <f t="shared" si="765"/>
        <v>13</v>
      </c>
      <c r="BV322">
        <f t="shared" ref="BV322:BV329" si="780">1+(BH322+BU322)*(AN322-BK322)+(AN322-BK322)^2*BI322</f>
        <v>2.4933807858271964</v>
      </c>
      <c r="BW322">
        <f t="shared" ref="BW322:BW329" si="781">BV322*J322</f>
        <v>1036504.0302023223</v>
      </c>
      <c r="BX322" s="5">
        <f t="shared" ref="BX322:BX329" si="782">(BM322+BW322-O322)*BK322</f>
        <v>823968.07008378976</v>
      </c>
      <c r="BY322" s="5">
        <f t="shared" ref="BY322:BY329" si="783">BK322*(BN322+BW322-O322)</f>
        <v>438206.83019730984</v>
      </c>
      <c r="BZ322" s="5">
        <f t="shared" ref="BZ322:BZ329" si="784">SUM(J322:K322)</f>
        <v>1954596.243</v>
      </c>
      <c r="CA322" s="5">
        <f t="shared" ref="CA322:CA329" si="785">SUM(BW322+BY322)</f>
        <v>1474710.8603996322</v>
      </c>
      <c r="CC322" s="5">
        <f t="shared" ref="CC322:CC329" si="786">BR322</f>
        <v>32321001.383465648</v>
      </c>
      <c r="CD322" s="5" t="str">
        <f t="shared" ref="CD322:CD329" si="787">F322</f>
        <v>Oklahoma</v>
      </c>
      <c r="CE322" s="5">
        <f t="shared" si="763"/>
        <v>0.70310025113663599</v>
      </c>
      <c r="CF322" s="10">
        <f t="shared" ref="CF322:CF329" si="788">AC322/CC322</f>
        <v>0.44706246250129766</v>
      </c>
    </row>
    <row r="323" spans="1:84" x14ac:dyDescent="0.2">
      <c r="A323">
        <v>37000000012701</v>
      </c>
      <c r="B323">
        <v>2016</v>
      </c>
      <c r="C323">
        <v>420</v>
      </c>
      <c r="D323" t="s">
        <v>545</v>
      </c>
      <c r="E323">
        <v>6</v>
      </c>
      <c r="F323" t="s">
        <v>546</v>
      </c>
      <c r="G323" t="s">
        <v>547</v>
      </c>
      <c r="H323" t="s">
        <v>69</v>
      </c>
      <c r="I323" t="b">
        <v>1</v>
      </c>
      <c r="J323">
        <v>428905</v>
      </c>
      <c r="K323">
        <v>1609511</v>
      </c>
      <c r="M323">
        <v>-36212</v>
      </c>
      <c r="N323">
        <v>933295</v>
      </c>
      <c r="O323">
        <v>1257277</v>
      </c>
      <c r="P323">
        <v>36110</v>
      </c>
      <c r="Q323">
        <v>1642112</v>
      </c>
      <c r="R323">
        <v>20551133</v>
      </c>
      <c r="S323">
        <v>22193244</v>
      </c>
      <c r="T323">
        <v>725425</v>
      </c>
      <c r="V323">
        <v>294459</v>
      </c>
      <c r="W323">
        <v>-357443</v>
      </c>
      <c r="Y323">
        <v>4458</v>
      </c>
      <c r="AA323">
        <v>-635404</v>
      </c>
      <c r="AB323">
        <v>14449506</v>
      </c>
      <c r="AC323">
        <v>13814103</v>
      </c>
      <c r="AD323">
        <v>8379142</v>
      </c>
      <c r="AE323">
        <v>6101626</v>
      </c>
      <c r="AF323">
        <v>2277516</v>
      </c>
      <c r="AG323">
        <v>4206558</v>
      </c>
      <c r="AH323">
        <v>0.17245096822627906</v>
      </c>
      <c r="AI323" t="b">
        <v>1</v>
      </c>
      <c r="AK323">
        <v>0.08</v>
      </c>
      <c r="AL323">
        <v>7.4999999999999997E-2</v>
      </c>
      <c r="AM323">
        <v>7.4999999999999997E-2</v>
      </c>
      <c r="AN323">
        <v>0.08</v>
      </c>
      <c r="AO323">
        <v>1</v>
      </c>
      <c r="AP323">
        <v>0</v>
      </c>
      <c r="AS323">
        <v>10969615</v>
      </c>
      <c r="AT323">
        <v>6210965</v>
      </c>
      <c r="AU323" t="s">
        <v>277</v>
      </c>
      <c r="AV323" t="s">
        <v>549</v>
      </c>
      <c r="BB323">
        <f t="shared" si="766"/>
        <v>0.62244631744687706</v>
      </c>
      <c r="BD323">
        <f t="shared" si="767"/>
        <v>2590473</v>
      </c>
      <c r="BE323">
        <f t="shared" si="768"/>
        <v>-2168177</v>
      </c>
      <c r="BF323">
        <f t="shared" si="769"/>
        <v>11.672349477165213</v>
      </c>
      <c r="BG323">
        <f t="shared" si="770"/>
        <v>-9.7695361705571298</v>
      </c>
      <c r="BH323">
        <f t="shared" si="771"/>
        <v>10.72094282386117</v>
      </c>
      <c r="BI323">
        <f t="shared" si="772"/>
        <v>95.140665330404161</v>
      </c>
      <c r="BJ323">
        <f t="shared" si="773"/>
        <v>11</v>
      </c>
      <c r="BK323">
        <f>IF($BJ323&lt;=30,IF($B323=2015,VLOOKUP($BJ323,'Treasury Yields'!$C$5:$N$34,$E323,FALSE)/100,IF($B323=2016,VLOOKUP($BJ323,'Treasury Yields'!$C$40:$N$69,$E323,FALSE)/100,IF($B323=2017,VLOOKUP($BJ323,'Treasury Yields'!$C$75:$N$104,$E323,FALSE)/100,IF($B323=2018,VLOOKUP($BJ323,'Treasury Yields'!$C$110:$N$139,$E323,FALSE)/100,IF($B323=2019,VLOOKUP($BJ323,'Treasury Yields'!$C$145:$N$174,$E323,FALSE)/100,IF($B323=2020,VLOOKUP($BJ323,'Treasury Yields'!$C$180:$N$209,$E323,FALSE)/100,IF($B323=2021,VLOOKUP($BJ323,'Treasury Yields'!$C$215:$N$244,$E323,FALSE)/100,IF($B323=2022,VLOOKUP($BJ323,'Treasury Yields'!$C$250:$N$279,$E323,FALSE)/100)))))))),0)</f>
        <v>2.6258E-2</v>
      </c>
      <c r="BL323">
        <f t="shared" si="774"/>
        <v>1.5249359776846412</v>
      </c>
      <c r="BM323">
        <f t="shared" si="775"/>
        <v>31339162.093882091</v>
      </c>
      <c r="BN323">
        <f t="shared" si="776"/>
        <v>16889656.093882091</v>
      </c>
      <c r="BP323">
        <f>IF($BJ323&lt;=30,IF($B323=2015,VLOOKUP($BJ323,'Treasury Yields'!$C$40:$N$69,$E323,FALSE)/100,IF($B323=2016,VLOOKUP($BJ323,'Treasury Yields'!$C$75:$N$104,$E323,FALSE)/100,IF($B323=2017,VLOOKUP($BJ323,'Treasury Yields'!$C$110:$N$139,$E323,FALSE)/100,IF($B323=2018,VLOOKUP($BJ323,'Treasury Yields'!$C$145:$N$174,$E323,FALSE)/100,IF($B323=2019,VLOOKUP($BJ323,'Treasury Yields'!$C$180:$N$209,$E323,FALSE)/100,IF($B323=2020,VLOOKUP($BJ323,'Treasury Yields'!$C$215:$N$244,$E323,FALSE)/100,IF($B323=2021,VLOOKUP($BJ323,'Treasury Yields'!$C$250:$N$279,$E323,FALSE)/100,IF($B323=2022,VLOOKUP($BJ323,'Treasury Yields'!$C$285:$N$314,$E323,FALSE)/100)))))))),0)</f>
        <v>1.6948000000000001E-2</v>
      </c>
      <c r="BQ323">
        <f t="shared" si="777"/>
        <v>1.6799524416340945</v>
      </c>
      <c r="BR323">
        <f t="shared" si="778"/>
        <v>37283594.44558122</v>
      </c>
      <c r="BS323">
        <f t="shared" si="779"/>
        <v>23469491.44558122</v>
      </c>
      <c r="BU323">
        <f t="shared" si="765"/>
        <v>14</v>
      </c>
      <c r="BV323">
        <f t="shared" si="780"/>
        <v>2.6033384227878864</v>
      </c>
      <c r="BW323">
        <f t="shared" si="781"/>
        <v>1116584.8662258384</v>
      </c>
      <c r="BX323" s="5">
        <f t="shared" si="782"/>
        <v>819209.42421251407</v>
      </c>
      <c r="BY323" s="5">
        <f t="shared" si="783"/>
        <v>439794.29566451401</v>
      </c>
      <c r="BZ323" s="5">
        <f t="shared" si="784"/>
        <v>2038416</v>
      </c>
      <c r="CA323" s="5">
        <f t="shared" si="785"/>
        <v>1556379.1618903524</v>
      </c>
      <c r="CC323" s="5">
        <f t="shared" si="786"/>
        <v>37283594.44558122</v>
      </c>
      <c r="CD323" s="5" t="str">
        <f t="shared" si="787"/>
        <v>Oklahoma</v>
      </c>
      <c r="CE323" s="5">
        <f t="shared" si="763"/>
        <v>0.62244631744687706</v>
      </c>
      <c r="CF323" s="10">
        <f t="shared" si="788"/>
        <v>0.37051424910661263</v>
      </c>
    </row>
    <row r="324" spans="1:84" x14ac:dyDescent="0.2">
      <c r="A324">
        <v>37000000012701</v>
      </c>
      <c r="B324">
        <v>2017</v>
      </c>
      <c r="C324">
        <v>420</v>
      </c>
      <c r="D324" t="s">
        <v>545</v>
      </c>
      <c r="E324">
        <v>6</v>
      </c>
      <c r="F324" t="s">
        <v>546</v>
      </c>
      <c r="G324" t="s">
        <v>547</v>
      </c>
      <c r="H324" t="s">
        <v>69</v>
      </c>
      <c r="I324" t="b">
        <v>1</v>
      </c>
      <c r="J324">
        <v>446729</v>
      </c>
      <c r="K324">
        <v>1599026</v>
      </c>
      <c r="L324">
        <v>0</v>
      </c>
      <c r="M324">
        <v>-40944</v>
      </c>
      <c r="N324">
        <v>-482043</v>
      </c>
      <c r="O324">
        <v>1281817</v>
      </c>
      <c r="P324">
        <v>40944</v>
      </c>
      <c r="Q324">
        <v>-132978</v>
      </c>
      <c r="R324">
        <v>21758362</v>
      </c>
      <c r="S324">
        <v>21625384</v>
      </c>
      <c r="T324">
        <v>698696</v>
      </c>
      <c r="V324">
        <v>292949</v>
      </c>
      <c r="W324">
        <v>1945899</v>
      </c>
      <c r="Y324">
        <v>4028</v>
      </c>
      <c r="AA324">
        <v>1610755</v>
      </c>
      <c r="AB324">
        <v>13379220</v>
      </c>
      <c r="AC324">
        <v>14989975</v>
      </c>
      <c r="AD324">
        <v>6635409</v>
      </c>
      <c r="AE324">
        <v>8379142</v>
      </c>
      <c r="AF324">
        <v>-1743733</v>
      </c>
      <c r="AG324">
        <v>4070724</v>
      </c>
      <c r="AH324">
        <v>0.17163924648293521</v>
      </c>
      <c r="AI324" t="b">
        <v>1</v>
      </c>
      <c r="AK324">
        <v>7.4999999999999997E-2</v>
      </c>
      <c r="AL324">
        <v>7.4999999999999997E-2</v>
      </c>
      <c r="AM324">
        <v>7.4999999999999997E-2</v>
      </c>
      <c r="AN324">
        <v>7.4999999999999997E-2</v>
      </c>
      <c r="AO324">
        <v>1</v>
      </c>
      <c r="AP324">
        <v>0</v>
      </c>
      <c r="AS324">
        <v>9139040</v>
      </c>
      <c r="AT324">
        <v>4539582</v>
      </c>
      <c r="AU324" t="s">
        <v>550</v>
      </c>
      <c r="AV324" t="s">
        <v>551</v>
      </c>
      <c r="BB324">
        <f t="shared" si="766"/>
        <v>0.69316572598202186</v>
      </c>
      <c r="BD324">
        <f t="shared" si="767"/>
        <v>2503631</v>
      </c>
      <c r="BE324">
        <f t="shared" si="768"/>
        <v>-2095827</v>
      </c>
      <c r="BF324">
        <f t="shared" si="769"/>
        <v>11.5772788127138</v>
      </c>
      <c r="BG324">
        <f t="shared" si="770"/>
        <v>-9.69151345474374</v>
      </c>
      <c r="BH324">
        <f t="shared" si="771"/>
        <v>10.634396133728769</v>
      </c>
      <c r="BI324">
        <f t="shared" si="772"/>
        <v>94.28826789850298</v>
      </c>
      <c r="BJ324">
        <f t="shared" si="773"/>
        <v>11</v>
      </c>
      <c r="BK324">
        <f>IF($BJ324&lt;=30,IF($B324=2015,VLOOKUP($BJ324,'Treasury Yields'!$C$5:$N$34,$E324,FALSE)/100,IF($B324=2016,VLOOKUP($BJ324,'Treasury Yields'!$C$40:$N$69,$E324,FALSE)/100,IF($B324=2017,VLOOKUP($BJ324,'Treasury Yields'!$C$75:$N$104,$E324,FALSE)/100,IF($B324=2018,VLOOKUP($BJ324,'Treasury Yields'!$C$110:$N$139,$E324,FALSE)/100,IF($B324=2019,VLOOKUP($BJ324,'Treasury Yields'!$C$145:$N$174,$E324,FALSE)/100,IF($B324=2020,VLOOKUP($BJ324,'Treasury Yields'!$C$180:$N$209,$E324,FALSE)/100,IF($B324=2021,VLOOKUP($BJ324,'Treasury Yields'!$C$215:$N$244,$E324,FALSE)/100,IF($B324=2022,VLOOKUP($BJ324,'Treasury Yields'!$C$250:$N$279,$E324,FALSE)/100)))))))),0)</f>
        <v>1.6948000000000001E-2</v>
      </c>
      <c r="BL324">
        <f t="shared" si="774"/>
        <v>1.6207179990592224</v>
      </c>
      <c r="BM324">
        <f t="shared" si="775"/>
        <v>35264168.923446223</v>
      </c>
      <c r="BN324">
        <f t="shared" si="776"/>
        <v>21884948.923446223</v>
      </c>
      <c r="BP324">
        <f>IF($BJ324&lt;=30,IF($B324=2015,VLOOKUP($BJ324,'Treasury Yields'!$C$40:$N$69,$E324,FALSE)/100,IF($B324=2016,VLOOKUP($BJ324,'Treasury Yields'!$C$75:$N$104,$E324,FALSE)/100,IF($B324=2017,VLOOKUP($BJ324,'Treasury Yields'!$C$110:$N$139,$E324,FALSE)/100,IF($B324=2018,VLOOKUP($BJ324,'Treasury Yields'!$C$145:$N$174,$E324,FALSE)/100,IF($B324=2019,VLOOKUP($BJ324,'Treasury Yields'!$C$180:$N$209,$E324,FALSE)/100,IF($B324=2020,VLOOKUP($BJ324,'Treasury Yields'!$C$215:$N$244,$E324,FALSE)/100,IF($B324=2021,VLOOKUP($BJ324,'Treasury Yields'!$C$250:$N$279,$E324,FALSE)/100,IF($B324=2022,VLOOKUP($BJ324,'Treasury Yields'!$C$285:$N$314,$E324,FALSE)/100)))))))),0)</f>
        <v>2.5068799999999999E-2</v>
      </c>
      <c r="BQ324">
        <f t="shared" si="777"/>
        <v>1.5334812849658779</v>
      </c>
      <c r="BR324">
        <f t="shared" si="778"/>
        <v>33162121.644200537</v>
      </c>
      <c r="BS324">
        <f t="shared" si="779"/>
        <v>18172146.644200537</v>
      </c>
      <c r="BU324">
        <f t="shared" si="765"/>
        <v>14</v>
      </c>
      <c r="BV324">
        <f t="shared" si="780"/>
        <v>2.7478306993532264</v>
      </c>
      <c r="BW324">
        <f t="shared" si="781"/>
        <v>1227535.6604913676</v>
      </c>
      <c r="BX324" s="5">
        <f t="shared" si="782"/>
        <v>596737.17477257433</v>
      </c>
      <c r="BY324" s="5">
        <f t="shared" si="783"/>
        <v>369986.1542125743</v>
      </c>
      <c r="BZ324" s="5">
        <f t="shared" si="784"/>
        <v>2045755</v>
      </c>
      <c r="CA324" s="5">
        <f t="shared" si="785"/>
        <v>1597521.8147039418</v>
      </c>
      <c r="CC324" s="5">
        <f t="shared" si="786"/>
        <v>33162121.644200537</v>
      </c>
      <c r="CD324" s="5" t="str">
        <f t="shared" si="787"/>
        <v>Oklahoma</v>
      </c>
      <c r="CE324" s="5">
        <f t="shared" si="763"/>
        <v>0.69316572598202186</v>
      </c>
      <c r="CF324" s="10">
        <f t="shared" si="788"/>
        <v>0.4520209883079504</v>
      </c>
    </row>
    <row r="325" spans="1:84" x14ac:dyDescent="0.2">
      <c r="A325">
        <v>37000000012701</v>
      </c>
      <c r="B325">
        <v>2018</v>
      </c>
      <c r="C325">
        <v>420</v>
      </c>
      <c r="D325" t="s">
        <v>545</v>
      </c>
      <c r="E325">
        <v>6</v>
      </c>
      <c r="F325" t="s">
        <v>546</v>
      </c>
      <c r="G325" t="s">
        <v>547</v>
      </c>
      <c r="H325" t="s">
        <v>69</v>
      </c>
      <c r="I325" t="b">
        <v>1</v>
      </c>
      <c r="J325">
        <v>432593</v>
      </c>
      <c r="K325">
        <v>1586869</v>
      </c>
      <c r="L325">
        <v>18411</v>
      </c>
      <c r="M325">
        <v>-42941</v>
      </c>
      <c r="N325">
        <v>0</v>
      </c>
      <c r="O325">
        <v>1323912</v>
      </c>
      <c r="P325">
        <v>42941</v>
      </c>
      <c r="Q325">
        <v>571072</v>
      </c>
      <c r="R325">
        <v>21625384</v>
      </c>
      <c r="S325">
        <v>22196456</v>
      </c>
      <c r="T325">
        <v>757679</v>
      </c>
      <c r="V325">
        <v>312867</v>
      </c>
      <c r="W325">
        <v>1455606</v>
      </c>
      <c r="Y325">
        <v>4200</v>
      </c>
      <c r="AA325">
        <v>1155134</v>
      </c>
      <c r="AB325">
        <v>14989975</v>
      </c>
      <c r="AC325">
        <v>16145109</v>
      </c>
      <c r="AD325">
        <v>6051347</v>
      </c>
      <c r="AE325">
        <v>6635409</v>
      </c>
      <c r="AF325">
        <v>-584062</v>
      </c>
      <c r="AG325">
        <v>4149557</v>
      </c>
      <c r="AH325">
        <v>0.1825927442375174</v>
      </c>
      <c r="AI325" t="b">
        <v>1</v>
      </c>
      <c r="AK325">
        <v>7.4999999999999997E-2</v>
      </c>
      <c r="AL325">
        <v>7.4999999999999997E-2</v>
      </c>
      <c r="AM325">
        <v>7.4999999999999997E-2</v>
      </c>
      <c r="AN325">
        <v>7.4999999999999997E-2</v>
      </c>
      <c r="AO325">
        <v>1</v>
      </c>
      <c r="AP325">
        <v>0</v>
      </c>
      <c r="AS325">
        <v>8604703</v>
      </c>
      <c r="AT325">
        <v>3913824</v>
      </c>
      <c r="AU325" t="s">
        <v>552</v>
      </c>
      <c r="AV325" t="s">
        <v>553</v>
      </c>
      <c r="BB325">
        <f t="shared" si="766"/>
        <v>0.7273732797704282</v>
      </c>
      <c r="BD325">
        <f t="shared" si="767"/>
        <v>2553356</v>
      </c>
      <c r="BE325">
        <f t="shared" si="768"/>
        <v>-2137523</v>
      </c>
      <c r="BF325">
        <f t="shared" si="769"/>
        <v>11.503440008621196</v>
      </c>
      <c r="BG325">
        <f t="shared" si="770"/>
        <v>-9.6300193147951187</v>
      </c>
      <c r="BH325">
        <f t="shared" si="771"/>
        <v>10.566729661708157</v>
      </c>
      <c r="BI325">
        <f t="shared" si="772"/>
        <v>93.671034691303859</v>
      </c>
      <c r="BJ325">
        <f t="shared" si="773"/>
        <v>11</v>
      </c>
      <c r="BK325">
        <f>IF($BJ325&lt;=30,IF($B325=2015,VLOOKUP($BJ325,'Treasury Yields'!$C$5:$N$34,$E325,FALSE)/100,IF($B325=2016,VLOOKUP($BJ325,'Treasury Yields'!$C$40:$N$69,$E325,FALSE)/100,IF($B325=2017,VLOOKUP($BJ325,'Treasury Yields'!$C$75:$N$104,$E325,FALSE)/100,IF($B325=2018,VLOOKUP($BJ325,'Treasury Yields'!$C$110:$N$139,$E325,FALSE)/100,IF($B325=2019,VLOOKUP($BJ325,'Treasury Yields'!$C$145:$N$174,$E325,FALSE)/100,IF($B325=2020,VLOOKUP($BJ325,'Treasury Yields'!$C$180:$N$209,$E325,FALSE)/100,IF($B325=2021,VLOOKUP($BJ325,'Treasury Yields'!$C$215:$N$244,$E325,FALSE)/100,IF($B325=2022,VLOOKUP($BJ325,'Treasury Yields'!$C$250:$N$279,$E325,FALSE)/100)))))))),0)</f>
        <v>2.5068799999999999E-2</v>
      </c>
      <c r="BL325">
        <f t="shared" si="774"/>
        <v>1.5301026168181224</v>
      </c>
      <c r="BM325">
        <f t="shared" si="775"/>
        <v>33089056.648096755</v>
      </c>
      <c r="BN325">
        <f t="shared" si="776"/>
        <v>18099081.648096755</v>
      </c>
      <c r="BP325">
        <f>IF($BJ325&lt;=30,IF($B325=2015,VLOOKUP($BJ325,'Treasury Yields'!$C$40:$N$69,$E325,FALSE)/100,IF($B325=2016,VLOOKUP($BJ325,'Treasury Yields'!$C$75:$N$104,$E325,FALSE)/100,IF($B325=2017,VLOOKUP($BJ325,'Treasury Yields'!$C$110:$N$139,$E325,FALSE)/100,IF($B325=2018,VLOOKUP($BJ325,'Treasury Yields'!$C$145:$N$174,$E325,FALSE)/100,IF($B325=2019,VLOOKUP($BJ325,'Treasury Yields'!$C$180:$N$209,$E325,FALSE)/100,IF($B325=2020,VLOOKUP($BJ325,'Treasury Yields'!$C$215:$N$244,$E325,FALSE)/100,IF($B325=2021,VLOOKUP($BJ325,'Treasury Yields'!$C$250:$N$279,$E325,FALSE)/100,IF($B325=2022,VLOOKUP($BJ325,'Treasury Yields'!$C$285:$N$314,$E325,FALSE)/100)))))))),0)</f>
        <v>2.9273236363636365E-2</v>
      </c>
      <c r="BQ325">
        <f t="shared" si="777"/>
        <v>1.4852732865629374</v>
      </c>
      <c r="BR325">
        <f t="shared" si="778"/>
        <v>32967803.153169632</v>
      </c>
      <c r="BS325">
        <f t="shared" si="779"/>
        <v>16822694.153169632</v>
      </c>
      <c r="BU325">
        <f t="shared" si="765"/>
        <v>14</v>
      </c>
      <c r="BV325">
        <f t="shared" si="780"/>
        <v>2.4601798654804883</v>
      </c>
      <c r="BW325">
        <f t="shared" si="781"/>
        <v>1064256.5885478009</v>
      </c>
      <c r="BX325" s="5">
        <f t="shared" si="782"/>
        <v>822993.6937211951</v>
      </c>
      <c r="BY325" s="5">
        <f t="shared" si="783"/>
        <v>447213.00844119501</v>
      </c>
      <c r="BZ325" s="5">
        <f t="shared" si="784"/>
        <v>2019462</v>
      </c>
      <c r="CA325" s="5">
        <f t="shared" si="785"/>
        <v>1511469.596988996</v>
      </c>
      <c r="CC325" s="5">
        <f t="shared" si="786"/>
        <v>32967803.153169632</v>
      </c>
      <c r="CD325" s="5" t="str">
        <f t="shared" si="787"/>
        <v>Oklahoma</v>
      </c>
      <c r="CE325" s="5">
        <f t="shared" si="763"/>
        <v>0.7273732797704282</v>
      </c>
      <c r="CF325" s="10">
        <f t="shared" si="788"/>
        <v>0.48972353192565565</v>
      </c>
    </row>
    <row r="326" spans="1:84" x14ac:dyDescent="0.2">
      <c r="A326">
        <v>37000000012701</v>
      </c>
      <c r="B326">
        <v>2019</v>
      </c>
      <c r="C326">
        <v>420</v>
      </c>
      <c r="D326" t="s">
        <v>545</v>
      </c>
      <c r="E326">
        <v>6</v>
      </c>
      <c r="F326" t="s">
        <v>546</v>
      </c>
      <c r="G326" t="s">
        <v>547</v>
      </c>
      <c r="H326" t="s">
        <v>69</v>
      </c>
      <c r="I326" t="b">
        <v>1</v>
      </c>
      <c r="J326">
        <v>444005</v>
      </c>
      <c r="K326">
        <v>1628247</v>
      </c>
      <c r="M326">
        <v>418186</v>
      </c>
      <c r="O326">
        <v>1376984</v>
      </c>
      <c r="P326">
        <v>38002</v>
      </c>
      <c r="Q326">
        <v>1073451</v>
      </c>
      <c r="R326">
        <v>22196455</v>
      </c>
      <c r="S326">
        <v>23269907</v>
      </c>
      <c r="T326">
        <v>817833</v>
      </c>
      <c r="V326">
        <v>325766</v>
      </c>
      <c r="W326">
        <v>785418</v>
      </c>
      <c r="Y326">
        <v>5194</v>
      </c>
      <c r="AA326">
        <v>506835</v>
      </c>
      <c r="AB326">
        <v>16145108</v>
      </c>
      <c r="AC326">
        <v>16651944</v>
      </c>
      <c r="AD326">
        <v>6617963</v>
      </c>
      <c r="AE326">
        <v>6051347</v>
      </c>
      <c r="AF326">
        <v>566616</v>
      </c>
      <c r="AG326">
        <v>4473511</v>
      </c>
      <c r="AH326">
        <v>0.18281680764839967</v>
      </c>
      <c r="AI326" t="b">
        <v>1</v>
      </c>
      <c r="AK326">
        <v>7.4999999999999997E-2</v>
      </c>
      <c r="AL326">
        <v>7.4999999999999997E-2</v>
      </c>
      <c r="AM326">
        <v>7.4999999999999997E-2</v>
      </c>
      <c r="AN326">
        <v>7.4999999999999997E-2</v>
      </c>
      <c r="AO326">
        <v>1</v>
      </c>
      <c r="AP326">
        <v>0</v>
      </c>
      <c r="AS326">
        <v>9325484</v>
      </c>
      <c r="AT326">
        <v>4353054</v>
      </c>
      <c r="AU326" t="s">
        <v>554</v>
      </c>
      <c r="AV326" t="s">
        <v>555</v>
      </c>
      <c r="BB326">
        <f t="shared" si="766"/>
        <v>0.71559993772214048</v>
      </c>
      <c r="BD326">
        <f t="shared" si="767"/>
        <v>2707521</v>
      </c>
      <c r="BE326">
        <f t="shared" si="768"/>
        <v>-2264909</v>
      </c>
      <c r="BF326">
        <f t="shared" si="769"/>
        <v>11.635289303047063</v>
      </c>
      <c r="BG326">
        <f t="shared" si="770"/>
        <v>-9.7332103647857302</v>
      </c>
      <c r="BH326">
        <f t="shared" si="771"/>
        <v>10.684249833916397</v>
      </c>
      <c r="BI326">
        <f t="shared" si="772"/>
        <v>95.103946913066721</v>
      </c>
      <c r="BJ326">
        <f t="shared" si="773"/>
        <v>11</v>
      </c>
      <c r="BK326">
        <f>IF($BJ326&lt;=30,IF($B326=2015,VLOOKUP($BJ326,'Treasury Yields'!$C$5:$N$34,$E326,FALSE)/100,IF($B326=2016,VLOOKUP($BJ326,'Treasury Yields'!$C$40:$N$69,$E326,FALSE)/100,IF($B326=2017,VLOOKUP($BJ326,'Treasury Yields'!$C$75:$N$104,$E326,FALSE)/100,IF($B326=2018,VLOOKUP($BJ326,'Treasury Yields'!$C$110:$N$139,$E326,FALSE)/100,IF($B326=2019,VLOOKUP($BJ326,'Treasury Yields'!$C$145:$N$174,$E326,FALSE)/100,IF($B326=2020,VLOOKUP($BJ326,'Treasury Yields'!$C$180:$N$209,$E326,FALSE)/100,IF($B326=2021,VLOOKUP($BJ326,'Treasury Yields'!$C$215:$N$244,$E326,FALSE)/100,IF($B326=2022,VLOOKUP($BJ326,'Treasury Yields'!$C$250:$N$279,$E326,FALSE)/100)))))))),0)</f>
        <v>2.9273236363636365E-2</v>
      </c>
      <c r="BL326">
        <f t="shared" si="774"/>
        <v>1.4906471037000082</v>
      </c>
      <c r="BM326">
        <f t="shared" si="775"/>
        <v>33087081.358157564</v>
      </c>
      <c r="BN326">
        <f t="shared" si="776"/>
        <v>16941973.358157564</v>
      </c>
      <c r="BP326">
        <f>IF($BJ326&lt;=30,IF($B326=2015,VLOOKUP($BJ326,'Treasury Yields'!$C$40:$N$69,$E326,FALSE)/100,IF($B326=2016,VLOOKUP($BJ326,'Treasury Yields'!$C$75:$N$104,$E326,FALSE)/100,IF($B326=2017,VLOOKUP($BJ326,'Treasury Yields'!$C$110:$N$139,$E326,FALSE)/100,IF($B326=2018,VLOOKUP($BJ326,'Treasury Yields'!$C$145:$N$174,$E326,FALSE)/100,IF($B326=2019,VLOOKUP($BJ326,'Treasury Yields'!$C$180:$N$209,$E326,FALSE)/100,IF($B326=2020,VLOOKUP($BJ326,'Treasury Yields'!$C$215:$N$244,$E326,FALSE)/100,IF($B326=2021,VLOOKUP($BJ326,'Treasury Yields'!$C$250:$N$279,$E326,FALSE)/100,IF($B326=2022,VLOOKUP($BJ326,'Treasury Yields'!$C$285:$N$314,$E326,FALSE)/100)))))))),0)</f>
        <v>2.1722000000000002E-2</v>
      </c>
      <c r="BQ326">
        <f t="shared" si="777"/>
        <v>1.5720740079353976</v>
      </c>
      <c r="BR326">
        <f t="shared" si="778"/>
        <v>36582015.961773962</v>
      </c>
      <c r="BS326">
        <f t="shared" si="779"/>
        <v>19930071.961773962</v>
      </c>
      <c r="BU326">
        <f t="shared" si="765"/>
        <v>14</v>
      </c>
      <c r="BV326">
        <f t="shared" si="780"/>
        <v>2.3275872108362385</v>
      </c>
      <c r="BW326">
        <f t="shared" si="781"/>
        <v>1033460.359547344</v>
      </c>
      <c r="BX326" s="5">
        <f t="shared" si="782"/>
        <v>958509.90445674548</v>
      </c>
      <c r="BY326" s="5">
        <f t="shared" si="783"/>
        <v>485890.34185630904</v>
      </c>
      <c r="BZ326" s="5">
        <f t="shared" si="784"/>
        <v>2072252</v>
      </c>
      <c r="CA326" s="5">
        <f t="shared" si="785"/>
        <v>1519350.701403653</v>
      </c>
      <c r="CC326" s="5">
        <f t="shared" si="786"/>
        <v>36582015.961773962</v>
      </c>
      <c r="CD326" s="5" t="str">
        <f t="shared" si="787"/>
        <v>Oklahoma</v>
      </c>
      <c r="CE326" s="5">
        <f t="shared" si="763"/>
        <v>0.71559993772214048</v>
      </c>
      <c r="CF326" s="10">
        <f t="shared" si="788"/>
        <v>0.45519481532675221</v>
      </c>
    </row>
    <row r="327" spans="1:84" x14ac:dyDescent="0.2">
      <c r="A327">
        <v>37000000012701</v>
      </c>
      <c r="B327">
        <v>2020</v>
      </c>
      <c r="C327">
        <v>420</v>
      </c>
      <c r="D327" t="s">
        <v>545</v>
      </c>
      <c r="E327">
        <v>6</v>
      </c>
      <c r="F327" t="s">
        <v>546</v>
      </c>
      <c r="G327" t="s">
        <v>547</v>
      </c>
      <c r="H327" t="s">
        <v>69</v>
      </c>
      <c r="I327" t="b">
        <v>1</v>
      </c>
      <c r="J327">
        <v>482233</v>
      </c>
      <c r="K327">
        <v>1709647</v>
      </c>
      <c r="L327">
        <v>425115</v>
      </c>
      <c r="M327">
        <v>247417</v>
      </c>
      <c r="N327">
        <v>1276379</v>
      </c>
      <c r="O327">
        <v>1396258</v>
      </c>
      <c r="P327">
        <v>35183</v>
      </c>
      <c r="Q327">
        <v>2709350</v>
      </c>
      <c r="R327">
        <v>23269907</v>
      </c>
      <c r="S327">
        <v>25979258</v>
      </c>
      <c r="T327">
        <v>816756</v>
      </c>
      <c r="V327">
        <v>340058</v>
      </c>
      <c r="W327">
        <v>117011</v>
      </c>
      <c r="Y327">
        <v>5266</v>
      </c>
      <c r="AA327">
        <v>-162882</v>
      </c>
      <c r="AB327">
        <v>16651944</v>
      </c>
      <c r="AC327">
        <v>16489062</v>
      </c>
      <c r="AD327">
        <v>9490196</v>
      </c>
      <c r="AE327">
        <v>6617963</v>
      </c>
      <c r="AF327">
        <v>2872233</v>
      </c>
      <c r="AG327">
        <v>4739701</v>
      </c>
      <c r="AH327">
        <v>0.17232226252246713</v>
      </c>
      <c r="AI327" t="b">
        <v>1</v>
      </c>
      <c r="AK327">
        <v>7.4999999999999997E-2</v>
      </c>
      <c r="AL327">
        <v>7.0000000000000007E-2</v>
      </c>
      <c r="AM327">
        <v>7.0000000000000007E-2</v>
      </c>
      <c r="AN327">
        <v>7.4999999999999997E-2</v>
      </c>
      <c r="AO327">
        <v>1</v>
      </c>
      <c r="AP327">
        <v>0</v>
      </c>
      <c r="AS327">
        <v>12666237</v>
      </c>
      <c r="AT327">
        <v>6860995</v>
      </c>
      <c r="AU327" t="s">
        <v>60</v>
      </c>
      <c r="AV327" t="s">
        <v>555</v>
      </c>
      <c r="BB327">
        <f t="shared" si="766"/>
        <v>0.63470103726596039</v>
      </c>
      <c r="BD327">
        <f t="shared" si="767"/>
        <v>3176041</v>
      </c>
      <c r="BE327">
        <f t="shared" si="768"/>
        <v>-2629201</v>
      </c>
      <c r="BF327">
        <f t="shared" si="769"/>
        <v>12.225295272097455</v>
      </c>
      <c r="BG327">
        <f t="shared" si="770"/>
        <v>-10.120385270433822</v>
      </c>
      <c r="BH327">
        <f t="shared" si="771"/>
        <v>11.172840271265638</v>
      </c>
      <c r="BI327">
        <f t="shared" si="772"/>
        <v>105.24550008318174</v>
      </c>
      <c r="BJ327">
        <f t="shared" si="773"/>
        <v>11</v>
      </c>
      <c r="BK327">
        <f>IF($BJ327&lt;=30,IF($B327=2015,VLOOKUP($BJ327,'Treasury Yields'!$C$5:$N$34,$E327,FALSE)/100,IF($B327=2016,VLOOKUP($BJ327,'Treasury Yields'!$C$40:$N$69,$E327,FALSE)/100,IF($B327=2017,VLOOKUP($BJ327,'Treasury Yields'!$C$75:$N$104,$E327,FALSE)/100,IF($B327=2018,VLOOKUP($BJ327,'Treasury Yields'!$C$110:$N$139,$E327,FALSE)/100,IF($B327=2019,VLOOKUP($BJ327,'Treasury Yields'!$C$145:$N$174,$E327,FALSE)/100,IF($B327=2020,VLOOKUP($BJ327,'Treasury Yields'!$C$180:$N$209,$E327,FALSE)/100,IF($B327=2021,VLOOKUP($BJ327,'Treasury Yields'!$C$215:$N$244,$E327,FALSE)/100,IF($B327=2022,VLOOKUP($BJ327,'Treasury Yields'!$C$250:$N$279,$E327,FALSE)/100)))))))),0)</f>
        <v>2.1722000000000002E-2</v>
      </c>
      <c r="BL327">
        <f t="shared" si="774"/>
        <v>1.5417331479001624</v>
      </c>
      <c r="BM327">
        <f t="shared" si="775"/>
        <v>35875986.970454022</v>
      </c>
      <c r="BN327">
        <f t="shared" si="776"/>
        <v>19224042.970454022</v>
      </c>
      <c r="BP327">
        <f>IF($BJ327&lt;=30,IF($B327=2015,VLOOKUP($BJ327,'Treasury Yields'!$C$40:$N$69,$E327,FALSE)/100,IF($B327=2016,VLOOKUP($BJ327,'Treasury Yields'!$C$75:$N$104,$E327,FALSE)/100,IF($B327=2017,VLOOKUP($BJ327,'Treasury Yields'!$C$110:$N$139,$E327,FALSE)/100,IF($B327=2018,VLOOKUP($BJ327,'Treasury Yields'!$C$145:$N$174,$E327,FALSE)/100,IF($B327=2019,VLOOKUP($BJ327,'Treasury Yields'!$C$180:$N$209,$E327,FALSE)/100,IF($B327=2020,VLOOKUP($BJ327,'Treasury Yields'!$C$215:$N$244,$E327,FALSE)/100,IF($B327=2021,VLOOKUP($BJ327,'Treasury Yields'!$C$250:$N$279,$E327,FALSE)/100,IF($B327=2022,VLOOKUP($BJ327,'Treasury Yields'!$C$285:$N$314,$E327,FALSE)/100)))))))),0)</f>
        <v>1.4551090909090908E-2</v>
      </c>
      <c r="BQ327">
        <f t="shared" si="777"/>
        <v>1.6790400764552655</v>
      </c>
      <c r="BR327">
        <f t="shared" si="778"/>
        <v>43620215.338571072</v>
      </c>
      <c r="BS327">
        <f t="shared" si="779"/>
        <v>27131153.338571072</v>
      </c>
      <c r="BU327">
        <f t="shared" si="765"/>
        <v>14</v>
      </c>
      <c r="BV327">
        <f t="shared" si="780"/>
        <v>2.6399027018958274</v>
      </c>
      <c r="BW327">
        <f t="shared" si="781"/>
        <v>1273048.1996433306</v>
      </c>
      <c r="BX327" s="5">
        <f t="shared" si="782"/>
        <v>776621.82568885467</v>
      </c>
      <c r="BY327" s="5">
        <f t="shared" si="783"/>
        <v>414908.29812085471</v>
      </c>
      <c r="BZ327" s="5">
        <f t="shared" si="784"/>
        <v>2191880</v>
      </c>
      <c r="CA327" s="5">
        <f t="shared" si="785"/>
        <v>1687956.4977641853</v>
      </c>
      <c r="CC327" s="5">
        <f t="shared" si="786"/>
        <v>43620215.338571072</v>
      </c>
      <c r="CD327" s="5" t="str">
        <f t="shared" si="787"/>
        <v>Oklahoma</v>
      </c>
      <c r="CE327" s="5">
        <f t="shared" si="763"/>
        <v>0.63470103726596039</v>
      </c>
      <c r="CF327" s="10">
        <f t="shared" si="788"/>
        <v>0.37801422739469115</v>
      </c>
    </row>
    <row r="328" spans="1:84" x14ac:dyDescent="0.2">
      <c r="A328">
        <v>37000000012701</v>
      </c>
      <c r="B328">
        <v>2021</v>
      </c>
      <c r="C328">
        <v>420</v>
      </c>
      <c r="D328" t="s">
        <v>548</v>
      </c>
      <c r="E328">
        <v>6</v>
      </c>
      <c r="F328" t="s">
        <v>546</v>
      </c>
      <c r="G328" t="s">
        <v>547</v>
      </c>
      <c r="H328" t="s">
        <v>69</v>
      </c>
      <c r="I328" t="b">
        <v>1</v>
      </c>
      <c r="J328">
        <v>516377</v>
      </c>
      <c r="K328">
        <v>1783512</v>
      </c>
      <c r="L328">
        <v>0</v>
      </c>
      <c r="M328">
        <v>-154121</v>
      </c>
      <c r="N328">
        <v>0</v>
      </c>
      <c r="O328">
        <v>1485469</v>
      </c>
      <c r="P328">
        <v>31940</v>
      </c>
      <c r="Q328">
        <v>628359</v>
      </c>
      <c r="R328">
        <v>25979258</v>
      </c>
      <c r="S328">
        <v>26607617</v>
      </c>
      <c r="T328">
        <v>769539</v>
      </c>
      <c r="V328">
        <v>343474</v>
      </c>
      <c r="W328">
        <v>5419606</v>
      </c>
      <c r="Y328">
        <v>5446</v>
      </c>
      <c r="AA328">
        <v>5009764</v>
      </c>
      <c r="AB328">
        <v>16489062</v>
      </c>
      <c r="AC328">
        <v>21498790</v>
      </c>
      <c r="AD328">
        <v>5108827</v>
      </c>
      <c r="AE328">
        <v>9490196</v>
      </c>
      <c r="AF328">
        <v>-4381369</v>
      </c>
      <c r="AG328">
        <v>4822734</v>
      </c>
      <c r="AI328" t="b">
        <v>1</v>
      </c>
      <c r="AK328">
        <v>7.0000000000000007E-2</v>
      </c>
      <c r="AL328">
        <v>7.0000000000000007E-2</v>
      </c>
      <c r="AM328">
        <v>7.0000000000000007E-2</v>
      </c>
      <c r="AN328">
        <v>7.0000000000000007E-2</v>
      </c>
      <c r="AS328">
        <v>8350462</v>
      </c>
      <c r="AT328">
        <v>2425194</v>
      </c>
      <c r="AV328" t="s">
        <v>556</v>
      </c>
      <c r="BB328">
        <f t="shared" si="766"/>
        <v>0.8079938162068403</v>
      </c>
      <c r="BD328">
        <f>AS328-AD328</f>
        <v>3241635</v>
      </c>
      <c r="BE328">
        <f t="shared" si="768"/>
        <v>-2683633</v>
      </c>
      <c r="BF328">
        <f t="shared" si="769"/>
        <v>12.183109069857704</v>
      </c>
      <c r="BG328">
        <f t="shared" si="770"/>
        <v>-10.085957716544101</v>
      </c>
      <c r="BH328">
        <f>(BD328-BE328)/(2*S328)*100</f>
        <v>11.134533393200902</v>
      </c>
      <c r="BI328">
        <f t="shared" si="772"/>
        <v>104.85756766568009</v>
      </c>
      <c r="BJ328">
        <f>ROUND(BH328,0)</f>
        <v>11</v>
      </c>
      <c r="BK328">
        <f>IF($BJ328&lt;=30,IF($B328=2015,VLOOKUP($BJ328,'Treasury Yields'!$C$5:$N$34,$E328,FALSE)/100,IF($B328=2016,VLOOKUP($BJ328,'Treasury Yields'!$C$40:$N$69,$E328,FALSE)/100,IF($B328=2017,VLOOKUP($BJ328,'Treasury Yields'!$C$75:$N$104,$E328,FALSE)/100,IF($B328=2018,VLOOKUP($BJ328,'Treasury Yields'!$C$110:$N$139,$E328,FALSE)/100,IF($B328=2019,VLOOKUP($BJ328,'Treasury Yields'!$C$145:$N$174,$E328,FALSE)/100,IF($B328=2020,VLOOKUP($BJ328,'Treasury Yields'!$C$180:$N$209,$E328,FALSE)/100,IF($B328=2021,VLOOKUP($BJ328,'Treasury Yields'!$C$215:$N$244,$E328,FALSE)/100,IF($B328=2022,VLOOKUP($BJ328,'Treasury Yields'!$C$250:$N$279,$E328,FALSE)/100)))))))),0)</f>
        <v>1.4551090909090908E-2</v>
      </c>
      <c r="BL328">
        <f t="shared" si="774"/>
        <v>1.6204723114086605</v>
      </c>
      <c r="BM328">
        <f t="shared" si="775"/>
        <v>42098668.259941936</v>
      </c>
      <c r="BN328">
        <f t="shared" si="776"/>
        <v>25609606.259941936</v>
      </c>
      <c r="BP328">
        <f>IF($BJ328&lt;=30,IF($B328=2015,VLOOKUP($BJ328,'Treasury Yields'!$C$40:$N$69,$E328,FALSE)/100,IF($B328=2016,VLOOKUP($BJ328,'Treasury Yields'!$C$75:$N$104,$E328,FALSE)/100,IF($B328=2017,VLOOKUP($BJ328,'Treasury Yields'!$C$110:$N$139,$E328,FALSE)/100,IF($B328=2018,VLOOKUP($BJ328,'Treasury Yields'!$C$145:$N$174,$E328,FALSE)/100,IF($B328=2019,VLOOKUP($BJ328,'Treasury Yields'!$C$180:$N$209,$E328,FALSE)/100,IF($B328=2020,VLOOKUP($BJ328,'Treasury Yields'!$C$215:$N$244,$E328,FALSE)/100,IF($B328=2021,VLOOKUP($BJ328,'Treasury Yields'!$C$250:$N$279,$E328,FALSE)/100,IF($B328=2022,VLOOKUP($BJ328,'Treasury Yields'!$C$285:$N$314,$E328,FALSE)/100)))))))),0)</f>
        <v>2.1554272727272727E-2</v>
      </c>
      <c r="BQ328">
        <f t="shared" si="777"/>
        <v>1.541767556567069</v>
      </c>
      <c r="BR328">
        <f t="shared" si="778"/>
        <v>41022760.64816241</v>
      </c>
      <c r="BS328">
        <f t="shared" si="779"/>
        <v>19523970.64816241</v>
      </c>
      <c r="BU328">
        <f t="shared" si="765"/>
        <v>14</v>
      </c>
      <c r="BV328">
        <f t="shared" si="780"/>
        <v>2.7160755968732047</v>
      </c>
      <c r="BW328">
        <f t="shared" si="781"/>
        <v>1402518.9684865947</v>
      </c>
      <c r="BX328" s="5">
        <f t="shared" si="782"/>
        <v>611374.53555261146</v>
      </c>
      <c r="BY328" s="5">
        <f t="shared" si="783"/>
        <v>371440.69538497517</v>
      </c>
      <c r="BZ328" s="5">
        <f t="shared" si="784"/>
        <v>2299889</v>
      </c>
      <c r="CA328" s="5">
        <f t="shared" si="785"/>
        <v>1773959.66387157</v>
      </c>
      <c r="CC328" s="5">
        <f t="shared" si="786"/>
        <v>41022760.64816241</v>
      </c>
      <c r="CD328" s="5" t="str">
        <f t="shared" si="787"/>
        <v>Oklahoma</v>
      </c>
      <c r="CE328" s="5">
        <f t="shared" si="763"/>
        <v>0.8079938162068403</v>
      </c>
      <c r="CF328" s="10">
        <f t="shared" si="788"/>
        <v>0.52406980077200205</v>
      </c>
    </row>
    <row r="329" spans="1:84" x14ac:dyDescent="0.2">
      <c r="A329">
        <v>37000000012701</v>
      </c>
      <c r="B329">
        <v>2022</v>
      </c>
      <c r="C329">
        <v>420</v>
      </c>
      <c r="D329" t="s">
        <v>548</v>
      </c>
      <c r="E329">
        <v>6</v>
      </c>
      <c r="F329" t="s">
        <v>546</v>
      </c>
      <c r="G329" t="s">
        <v>547</v>
      </c>
      <c r="H329" t="s">
        <v>69</v>
      </c>
      <c r="I329" t="b">
        <v>1</v>
      </c>
      <c r="J329">
        <v>513418</v>
      </c>
      <c r="K329">
        <v>1824570</v>
      </c>
      <c r="L329">
        <v>0</v>
      </c>
      <c r="M329">
        <v>63391</v>
      </c>
      <c r="N329">
        <v>0</v>
      </c>
      <c r="O329">
        <v>1559682</v>
      </c>
      <c r="P329">
        <v>38399</v>
      </c>
      <c r="Q329">
        <v>803298</v>
      </c>
      <c r="R329">
        <v>26607617</v>
      </c>
      <c r="S329">
        <v>27410916</v>
      </c>
      <c r="T329">
        <v>967409</v>
      </c>
      <c r="V329">
        <v>366067</v>
      </c>
      <c r="W329">
        <v>-2026811</v>
      </c>
      <c r="Y329">
        <v>5838</v>
      </c>
      <c r="AA329">
        <v>-2297253</v>
      </c>
      <c r="AB329">
        <v>21498790</v>
      </c>
      <c r="AC329">
        <v>19201537</v>
      </c>
      <c r="AD329">
        <v>8209379</v>
      </c>
      <c r="AE329">
        <v>5108827</v>
      </c>
      <c r="AF329">
        <v>3100552</v>
      </c>
      <c r="AG329">
        <v>5015139</v>
      </c>
      <c r="AI329" t="b">
        <v>1</v>
      </c>
      <c r="AK329">
        <v>7.0000000000000007E-2</v>
      </c>
      <c r="AL329">
        <v>7.0000000000000007E-2</v>
      </c>
      <c r="AM329">
        <v>7.0000000000000007E-2</v>
      </c>
      <c r="AN329">
        <v>7.0000000000000007E-2</v>
      </c>
      <c r="AS329">
        <v>11558854</v>
      </c>
      <c r="AT329">
        <v>5455717</v>
      </c>
      <c r="AV329" t="s">
        <v>557</v>
      </c>
      <c r="BB329">
        <f t="shared" si="766"/>
        <v>0.70050694402186342</v>
      </c>
      <c r="BD329">
        <f t="shared" si="767"/>
        <v>3349475</v>
      </c>
      <c r="BE329">
        <f t="shared" si="768"/>
        <v>-2753662</v>
      </c>
      <c r="BF329">
        <f t="shared" si="769"/>
        <v>12.219493139156677</v>
      </c>
      <c r="BG329">
        <f t="shared" si="770"/>
        <v>-10.045859102264222</v>
      </c>
      <c r="BH329">
        <f t="shared" si="771"/>
        <v>11.13267612071045</v>
      </c>
      <c r="BI329">
        <f t="shared" si="772"/>
        <v>108.68170184462276</v>
      </c>
      <c r="BJ329">
        <f t="shared" si="773"/>
        <v>11</v>
      </c>
      <c r="BK329">
        <f>IF($BJ329&lt;=30,IF($B329=2015,VLOOKUP($BJ329,'Treasury Yields'!$C$5:$N$34,$E329,FALSE)/100,IF($B329=2016,VLOOKUP($BJ329,'Treasury Yields'!$C$40:$N$69,$E329,FALSE)/100,IF($B329=2017,VLOOKUP($BJ329,'Treasury Yields'!$C$75:$N$104,$E329,FALSE)/100,IF($B329=2018,VLOOKUP($BJ329,'Treasury Yields'!$C$110:$N$139,$E329,FALSE)/100,IF($B329=2019,VLOOKUP($BJ329,'Treasury Yields'!$C$145:$N$174,$E329,FALSE)/100,IF($B329=2020,VLOOKUP($BJ329,'Treasury Yields'!$C$180:$N$209,$E329,FALSE)/100,IF($B329=2021,VLOOKUP($BJ329,'Treasury Yields'!$C$215:$N$244,$E329,FALSE)/100,IF($B329=2022,VLOOKUP($BJ329,'Treasury Yields'!$C$250:$N$279,$E329,FALSE)/100)))))))),0)</f>
        <v>2.1554272727272727E-2</v>
      </c>
      <c r="BL329">
        <f t="shared" si="774"/>
        <v>1.5416775796505253</v>
      </c>
      <c r="BM329">
        <f t="shared" si="775"/>
        <v>41020366.576828174</v>
      </c>
      <c r="BN329">
        <f t="shared" si="776"/>
        <v>19521576.576828174</v>
      </c>
      <c r="BP329">
        <f>IF($BJ329&lt;=30,IF($B329=2015,VLOOKUP($BJ329,'Treasury Yields'!$C$40:$N$69,$E329,FALSE)/100,IF($B329=2016,VLOOKUP($BJ329,'Treasury Yields'!$C$75:$N$104,$E329,FALSE)/100,IF($B329=2017,VLOOKUP($BJ329,'Treasury Yields'!$C$110:$N$139,$E329,FALSE)/100,IF($B329=2018,VLOOKUP($BJ329,'Treasury Yields'!$C$145:$N$174,$E329,FALSE)/100,IF($B329=2019,VLOOKUP($BJ329,'Treasury Yields'!$C$180:$N$209,$E329,FALSE)/100,IF($B329=2020,VLOOKUP($BJ329,'Treasury Yields'!$C$215:$N$244,$E329,FALSE)/100,IF($B329=2021,VLOOKUP($BJ329,'Treasury Yields'!$C$250:$N$279,$E329,FALSE)/100,IF($B329=2022,VLOOKUP($BJ329,'Treasury Yields'!$C$285:$N$314,$E329,FALSE)/100)))))))),0)</f>
        <v>3.1935909090909091E-2</v>
      </c>
      <c r="BQ329">
        <f t="shared" si="777"/>
        <v>1.4252040709369238</v>
      </c>
      <c r="BR329">
        <f t="shared" si="778"/>
        <v>39066149.071310058</v>
      </c>
      <c r="BS329">
        <f t="shared" si="779"/>
        <v>19864612.071310058</v>
      </c>
      <c r="BU329">
        <f t="shared" si="765"/>
        <v>14</v>
      </c>
      <c r="BV329">
        <f t="shared" si="780"/>
        <v>2.4726454763875507</v>
      </c>
      <c r="BW329">
        <f t="shared" si="781"/>
        <v>1269500.6951959436</v>
      </c>
      <c r="BX329" s="5">
        <f t="shared" si="782"/>
        <v>877909.5215855547</v>
      </c>
      <c r="BY329" s="5">
        <f t="shared" si="783"/>
        <v>414518.73861919111</v>
      </c>
      <c r="BZ329" s="5">
        <f t="shared" si="784"/>
        <v>2337988</v>
      </c>
      <c r="CA329" s="5">
        <f t="shared" si="785"/>
        <v>1684019.4338151347</v>
      </c>
      <c r="CC329" s="5">
        <f t="shared" si="786"/>
        <v>39066149.071310058</v>
      </c>
      <c r="CD329" s="5" t="str">
        <f t="shared" si="787"/>
        <v>Oklahoma</v>
      </c>
      <c r="CE329" s="5">
        <f t="shared" si="763"/>
        <v>0.70050694402186342</v>
      </c>
      <c r="CF329" s="10">
        <f t="shared" si="788"/>
        <v>0.4915134318703937</v>
      </c>
    </row>
    <row r="330" spans="1:84" x14ac:dyDescent="0.2">
      <c r="A330">
        <v>38000000009201</v>
      </c>
      <c r="B330">
        <v>2015</v>
      </c>
      <c r="C330">
        <v>424</v>
      </c>
      <c r="D330" t="s">
        <v>558</v>
      </c>
      <c r="E330">
        <v>6</v>
      </c>
      <c r="F330" t="s">
        <v>559</v>
      </c>
      <c r="G330" t="s">
        <v>560</v>
      </c>
      <c r="H330" t="s">
        <v>432</v>
      </c>
      <c r="I330" t="b">
        <v>1</v>
      </c>
      <c r="J330">
        <v>960900</v>
      </c>
      <c r="K330">
        <v>4779500</v>
      </c>
      <c r="L330">
        <v>5353500</v>
      </c>
      <c r="M330">
        <v>380000</v>
      </c>
      <c r="N330">
        <v>0</v>
      </c>
      <c r="O330">
        <v>3943600</v>
      </c>
      <c r="P330">
        <v>0</v>
      </c>
      <c r="Q330">
        <v>7530300</v>
      </c>
      <c r="R330">
        <v>63134800</v>
      </c>
      <c r="S330">
        <v>70665100</v>
      </c>
      <c r="T330">
        <v>1123300</v>
      </c>
      <c r="V330">
        <v>13800</v>
      </c>
      <c r="W330">
        <v>2364500</v>
      </c>
      <c r="Y330">
        <v>35700</v>
      </c>
      <c r="AA330">
        <v>-477800</v>
      </c>
      <c r="AB330">
        <v>65401400</v>
      </c>
      <c r="AC330">
        <v>64923600</v>
      </c>
      <c r="AD330">
        <v>5741500</v>
      </c>
      <c r="AE330">
        <v>-2266600</v>
      </c>
      <c r="AF330">
        <v>8008100</v>
      </c>
      <c r="AG330">
        <v>9000200</v>
      </c>
      <c r="AH330">
        <v>0.12480833759249794</v>
      </c>
      <c r="AI330" t="b">
        <v>1</v>
      </c>
      <c r="AK330">
        <v>6.7500000000000004E-2</v>
      </c>
      <c r="AL330">
        <v>7.7499999999999999E-2</v>
      </c>
      <c r="AM330">
        <v>7.7499999999999999E-2</v>
      </c>
      <c r="AN330">
        <v>7.7499999999999999E-2</v>
      </c>
      <c r="AO330">
        <v>1</v>
      </c>
      <c r="AP330">
        <v>0</v>
      </c>
      <c r="AS330">
        <v>13856800</v>
      </c>
      <c r="AT330">
        <v>-1097600</v>
      </c>
      <c r="BB330">
        <f t="shared" ref="BB330:BB337" si="789">AC330/S330</f>
        <v>0.91875055720574939</v>
      </c>
      <c r="BD330">
        <f t="shared" ref="BD330:BD337" si="790">AS330-AD330</f>
        <v>8115300</v>
      </c>
      <c r="BE330">
        <f t="shared" ref="BE330:BE337" si="791">AT330-AD330</f>
        <v>-6839100</v>
      </c>
      <c r="BF330">
        <f t="shared" ref="BF330:BF337" si="792">BD330/S330*100</f>
        <v>11.484169696214963</v>
      </c>
      <c r="BG330">
        <f t="shared" ref="BG330:BG337" si="793">BE330/S330*100</f>
        <v>-9.6781862616765562</v>
      </c>
      <c r="BH330">
        <f t="shared" ref="BH330:BH337" si="794">(BD330-BE330)/(2*S330)*100</f>
        <v>10.581177978945759</v>
      </c>
      <c r="BI330">
        <f t="shared" ref="BI330:BI337" si="795">(BD330+BE330)/(2*S330*(0.01^2))</f>
        <v>90.299171726920363</v>
      </c>
      <c r="BJ330">
        <f t="shared" ref="BJ330:BJ337" si="796">ROUND(BH330,0)</f>
        <v>11</v>
      </c>
      <c r="BK330">
        <f>IF($BJ330&lt;=30,IF($B330=2015,VLOOKUP($BJ330,'Treasury Yields'!$C$5:$N$34,$E330,FALSE)/100,IF($B330=2016,VLOOKUP($BJ330,'Treasury Yields'!$C$40:$N$69,$E330,FALSE)/100,IF($B330=2017,VLOOKUP($BJ330,'Treasury Yields'!$C$75:$N$104,$E330,FALSE)/100,IF($B330=2018,VLOOKUP($BJ330,'Treasury Yields'!$C$110:$N$139,$E330,FALSE)/100,IF($B330=2019,VLOOKUP($BJ330,'Treasury Yields'!$C$145:$N$174,$E330,FALSE)/100,IF($B330=2020,VLOOKUP($BJ330,'Treasury Yields'!$C$180:$N$209,$E330,FALSE)/100,IF($B330=2021,VLOOKUP($BJ330,'Treasury Yields'!$C$215:$N$244,$E330,FALSE)/100,IF($B330=2022,VLOOKUP($BJ330,'Treasury Yields'!$C$250:$N$279,$E330,FALSE)/100)))))))),0)</f>
        <v>2.8147999999999999E-2</v>
      </c>
      <c r="BL330">
        <f t="shared" ref="BL330:BL337" si="797">1+BH330*(AL330-BK330)+(AL330-BK330)^2</f>
        <v>1.5246379155209311</v>
      </c>
      <c r="BM330">
        <f t="shared" ref="BM330:BM337" si="798">BL330*R330</f>
        <v>96257709.868830875</v>
      </c>
      <c r="BN330">
        <f t="shared" ref="BN330:BN337" si="799">BM330-AB330</f>
        <v>30856309.868830875</v>
      </c>
      <c r="BP330">
        <f>IF($BJ330&lt;=30,IF($B330=2015,VLOOKUP($BJ330,'Treasury Yields'!$C$40:$N$69,$E330,FALSE)/100,IF($B330=2016,VLOOKUP($BJ330,'Treasury Yields'!$C$75:$N$104,$E330,FALSE)/100,IF($B330=2017,VLOOKUP($BJ330,'Treasury Yields'!$C$110:$N$139,$E330,FALSE)/100,IF($B330=2018,VLOOKUP($BJ330,'Treasury Yields'!$C$145:$N$174,$E330,FALSE)/100,IF($B330=2019,VLOOKUP($BJ330,'Treasury Yields'!$C$180:$N$209,$E330,FALSE)/100,IF($B330=2020,VLOOKUP($BJ330,'Treasury Yields'!$C$215:$N$244,$E330,FALSE)/100,IF($B330=2021,VLOOKUP($BJ330,'Treasury Yields'!$C$250:$N$279,$E330,FALSE)/100,IF($B330=2022,VLOOKUP($BJ330,'Treasury Yields'!$C$285:$N$314,$E330,FALSE)/100)))))))),0)</f>
        <v>2.6258E-2</v>
      </c>
      <c r="BQ330">
        <f t="shared" ref="BQ330:BQ337" si="800">1+BH330*(AN330-BP330)+(AN330-BP330)^2</f>
        <v>1.5448264645611385</v>
      </c>
      <c r="BR330">
        <f t="shared" ref="BR330:BR337" si="801">BQ330*S330</f>
        <v>109165316.60085931</v>
      </c>
      <c r="BS330">
        <f t="shared" ref="BS330:BS337" si="802">BR330-AC330</f>
        <v>44241716.600859314</v>
      </c>
      <c r="BU330">
        <f t="shared" si="765"/>
        <v>14</v>
      </c>
      <c r="BV330">
        <f t="shared" ref="BV330:BV337" si="803">1+(BH330+BU330)*(AN330-BK330)+(AN330-BK330)^2*BI330</f>
        <v>2.4330647555897329</v>
      </c>
      <c r="BW330">
        <f t="shared" ref="BW330:BW337" si="804">BV330*J330</f>
        <v>2337931.9236461744</v>
      </c>
      <c r="BX330" s="5">
        <f t="shared" ref="BX330:BX337" si="805">(BM330+BW330-O330)*BK330</f>
        <v>2664265.6723746439</v>
      </c>
      <c r="BY330" s="5">
        <f t="shared" ref="BY330:BY337" si="806">BK330*(BN330+BW330-O330)</f>
        <v>823347.065174644</v>
      </c>
      <c r="BZ330" s="5">
        <f t="shared" ref="BZ330:BZ337" si="807">SUM(J330:K330)</f>
        <v>5740400</v>
      </c>
      <c r="CA330" s="5">
        <f t="shared" ref="CA330:CA337" si="808">SUM(BW330+BY330)</f>
        <v>3161278.9888208183</v>
      </c>
      <c r="CC330" s="5">
        <f t="shared" ref="CC330:CC337" si="809">BR330</f>
        <v>109165316.60085931</v>
      </c>
      <c r="CD330" s="5" t="str">
        <f t="shared" ref="CD330:CD337" si="810">F330</f>
        <v>Oregon</v>
      </c>
      <c r="CE330" s="5">
        <f t="shared" si="763"/>
        <v>0.91875055720574939</v>
      </c>
      <c r="CF330" s="10">
        <f t="shared" ref="CF330:CF337" si="811">AC330/CC330</f>
        <v>0.59472735500213758</v>
      </c>
    </row>
    <row r="331" spans="1:84" x14ac:dyDescent="0.2">
      <c r="A331">
        <v>38000000009201</v>
      </c>
      <c r="B331">
        <v>2016</v>
      </c>
      <c r="C331">
        <v>424</v>
      </c>
      <c r="D331" t="s">
        <v>558</v>
      </c>
      <c r="E331">
        <v>6</v>
      </c>
      <c r="F331" t="s">
        <v>559</v>
      </c>
      <c r="G331" t="s">
        <v>560</v>
      </c>
      <c r="H331" t="s">
        <v>432</v>
      </c>
      <c r="I331" t="b">
        <v>1</v>
      </c>
      <c r="J331">
        <v>1016800</v>
      </c>
      <c r="K331">
        <v>5355300</v>
      </c>
      <c r="M331">
        <v>317300</v>
      </c>
      <c r="N331">
        <v>3946400</v>
      </c>
      <c r="O331">
        <v>4206500</v>
      </c>
      <c r="Q331">
        <v>6429300</v>
      </c>
      <c r="R331">
        <v>70665100</v>
      </c>
      <c r="S331">
        <v>77094400</v>
      </c>
      <c r="T331">
        <v>977300</v>
      </c>
      <c r="V331">
        <v>14200</v>
      </c>
      <c r="W331">
        <v>413900</v>
      </c>
      <c r="Y331">
        <v>40500</v>
      </c>
      <c r="AA331">
        <v>-2841500</v>
      </c>
      <c r="AB331">
        <v>64923600</v>
      </c>
      <c r="AC331">
        <v>62082100</v>
      </c>
      <c r="AD331">
        <v>15012300</v>
      </c>
      <c r="AE331">
        <v>5741500</v>
      </c>
      <c r="AF331">
        <v>9270800</v>
      </c>
      <c r="AG331">
        <v>9428400</v>
      </c>
      <c r="AH331">
        <v>0.10365491493784736</v>
      </c>
      <c r="AI331" t="b">
        <v>1</v>
      </c>
      <c r="AK331">
        <v>7.7499999999999999E-2</v>
      </c>
      <c r="AL331">
        <v>7.4999999999999997E-2</v>
      </c>
      <c r="AM331">
        <v>7.4999999999999997E-2</v>
      </c>
      <c r="AN331">
        <v>7.7499999999999999E-2</v>
      </c>
      <c r="AO331">
        <v>1</v>
      </c>
      <c r="AP331">
        <v>0</v>
      </c>
      <c r="AS331">
        <v>24239900</v>
      </c>
      <c r="AT331">
        <v>7299700</v>
      </c>
      <c r="AU331" t="s">
        <v>561</v>
      </c>
      <c r="AV331" t="s">
        <v>562</v>
      </c>
      <c r="BB331">
        <f t="shared" si="789"/>
        <v>0.80527379420554546</v>
      </c>
      <c r="BD331">
        <f t="shared" si="790"/>
        <v>9227600</v>
      </c>
      <c r="BE331">
        <f t="shared" si="791"/>
        <v>-7712600</v>
      </c>
      <c r="BF331">
        <f t="shared" si="792"/>
        <v>11.969222148431015</v>
      </c>
      <c r="BG331">
        <f t="shared" si="793"/>
        <v>-10.004098870994522</v>
      </c>
      <c r="BH331">
        <f t="shared" si="794"/>
        <v>10.986660509712767</v>
      </c>
      <c r="BI331">
        <f t="shared" si="795"/>
        <v>98.256163871824668</v>
      </c>
      <c r="BJ331">
        <f t="shared" si="796"/>
        <v>11</v>
      </c>
      <c r="BK331">
        <f>IF($BJ331&lt;=30,IF($B331=2015,VLOOKUP($BJ331,'Treasury Yields'!$C$5:$N$34,$E331,FALSE)/100,IF($B331=2016,VLOOKUP($BJ331,'Treasury Yields'!$C$40:$N$69,$E331,FALSE)/100,IF($B331=2017,VLOOKUP($BJ331,'Treasury Yields'!$C$75:$N$104,$E331,FALSE)/100,IF($B331=2018,VLOOKUP($BJ331,'Treasury Yields'!$C$110:$N$139,$E331,FALSE)/100,IF($B331=2019,VLOOKUP($BJ331,'Treasury Yields'!$C$145:$N$174,$E331,FALSE)/100,IF($B331=2020,VLOOKUP($BJ331,'Treasury Yields'!$C$180:$N$209,$E331,FALSE)/100,IF($B331=2021,VLOOKUP($BJ331,'Treasury Yields'!$C$215:$N$244,$E331,FALSE)/100,IF($B331=2022,VLOOKUP($BJ331,'Treasury Yields'!$C$250:$N$279,$E331,FALSE)/100)))))))),0)</f>
        <v>2.6258E-2</v>
      </c>
      <c r="BL331">
        <f t="shared" si="797"/>
        <v>1.5378875891284198</v>
      </c>
      <c r="BM331">
        <f t="shared" si="798"/>
        <v>108674980.2745187</v>
      </c>
      <c r="BN331">
        <f t="shared" si="799"/>
        <v>43751380.274518698</v>
      </c>
      <c r="BP331">
        <f>IF($BJ331&lt;=30,IF($B331=2015,VLOOKUP($BJ331,'Treasury Yields'!$C$40:$N$69,$E331,FALSE)/100,IF($B331=2016,VLOOKUP($BJ331,'Treasury Yields'!$C$75:$N$104,$E331,FALSE)/100,IF($B331=2017,VLOOKUP($BJ331,'Treasury Yields'!$C$110:$N$139,$E331,FALSE)/100,IF($B331=2018,VLOOKUP($BJ331,'Treasury Yields'!$C$145:$N$174,$E331,FALSE)/100,IF($B331=2019,VLOOKUP($BJ331,'Treasury Yields'!$C$180:$N$209,$E331,FALSE)/100,IF($B331=2020,VLOOKUP($BJ331,'Treasury Yields'!$C$215:$N$244,$E331,FALSE)/100,IF($B331=2021,VLOOKUP($BJ331,'Treasury Yields'!$C$250:$N$279,$E331,FALSE)/100,IF($B331=2022,VLOOKUP($BJ331,'Treasury Yields'!$C$285:$N$314,$E331,FALSE)/100)))))))),0)</f>
        <v>1.6948000000000001E-2</v>
      </c>
      <c r="BQ331">
        <f t="shared" si="800"/>
        <v>1.6689308118881274</v>
      </c>
      <c r="BR331">
        <f t="shared" si="801"/>
        <v>128665219.58402805</v>
      </c>
      <c r="BS331">
        <f t="shared" si="802"/>
        <v>66583119.58402805</v>
      </c>
      <c r="BU331">
        <f t="shared" si="765"/>
        <v>14</v>
      </c>
      <c r="BV331">
        <f t="shared" si="803"/>
        <v>2.5383618494923104</v>
      </c>
      <c r="BW331">
        <f t="shared" si="804"/>
        <v>2581006.328563781</v>
      </c>
      <c r="BX331" s="5">
        <f t="shared" si="805"/>
        <v>2810905.4192237398</v>
      </c>
      <c r="BY331" s="5">
        <f t="shared" si="806"/>
        <v>1106141.5304237397</v>
      </c>
      <c r="BZ331" s="5">
        <f t="shared" si="807"/>
        <v>6372100</v>
      </c>
      <c r="CA331" s="5">
        <f t="shared" si="808"/>
        <v>3687147.8589875204</v>
      </c>
      <c r="CC331" s="5">
        <f t="shared" si="809"/>
        <v>128665219.58402805</v>
      </c>
      <c r="CD331" s="5" t="str">
        <f t="shared" si="810"/>
        <v>Oregon</v>
      </c>
      <c r="CE331" s="5">
        <f t="shared" si="763"/>
        <v>0.80527379420554546</v>
      </c>
      <c r="CF331" s="10">
        <f t="shared" si="811"/>
        <v>0.48250879453445245</v>
      </c>
    </row>
    <row r="332" spans="1:84" x14ac:dyDescent="0.2">
      <c r="A332">
        <v>38000000009201</v>
      </c>
      <c r="B332">
        <v>2017</v>
      </c>
      <c r="C332">
        <v>424</v>
      </c>
      <c r="D332" t="s">
        <v>558</v>
      </c>
      <c r="E332">
        <v>6</v>
      </c>
      <c r="F332" t="s">
        <v>559</v>
      </c>
      <c r="G332" t="s">
        <v>560</v>
      </c>
      <c r="H332" t="s">
        <v>432</v>
      </c>
      <c r="I332" t="b">
        <v>1</v>
      </c>
      <c r="J332">
        <v>1105500</v>
      </c>
      <c r="K332">
        <v>5662200</v>
      </c>
      <c r="L332">
        <v>0</v>
      </c>
      <c r="M332">
        <v>351800</v>
      </c>
      <c r="N332">
        <v>0</v>
      </c>
      <c r="O332">
        <v>4362200</v>
      </c>
      <c r="Q332">
        <v>2757300</v>
      </c>
      <c r="R332">
        <v>77094400</v>
      </c>
      <c r="S332">
        <v>79851700</v>
      </c>
      <c r="T332">
        <v>1022200</v>
      </c>
      <c r="V332">
        <v>13100</v>
      </c>
      <c r="W332">
        <v>7660000</v>
      </c>
      <c r="Y332">
        <v>43500</v>
      </c>
      <c r="AA332">
        <v>4289600</v>
      </c>
      <c r="AB332">
        <v>62082100</v>
      </c>
      <c r="AC332">
        <v>66371700</v>
      </c>
      <c r="AD332">
        <v>13480000</v>
      </c>
      <c r="AE332">
        <v>15012300</v>
      </c>
      <c r="AF332">
        <v>-1532300</v>
      </c>
      <c r="AG332">
        <v>10037500</v>
      </c>
      <c r="AH332">
        <v>0.10183810709838106</v>
      </c>
      <c r="AI332" t="b">
        <v>1</v>
      </c>
      <c r="AK332">
        <v>7.4999999999999997E-2</v>
      </c>
      <c r="AL332">
        <v>7.4999999999999997E-2</v>
      </c>
      <c r="AM332">
        <v>7.4999999999999997E-2</v>
      </c>
      <c r="AN332">
        <v>7.4999999999999997E-2</v>
      </c>
      <c r="AO332">
        <v>1</v>
      </c>
      <c r="AP332">
        <v>0</v>
      </c>
      <c r="AS332">
        <v>22972400</v>
      </c>
      <c r="AT332">
        <v>5542600</v>
      </c>
      <c r="AU332" t="s">
        <v>84</v>
      </c>
      <c r="AV332" t="s">
        <v>563</v>
      </c>
      <c r="BB332">
        <f t="shared" si="789"/>
        <v>0.83118706301806977</v>
      </c>
      <c r="BD332">
        <f t="shared" si="790"/>
        <v>9492400</v>
      </c>
      <c r="BE332">
        <f t="shared" si="791"/>
        <v>-7937400</v>
      </c>
      <c r="BF332">
        <f t="shared" si="792"/>
        <v>11.88753652082548</v>
      </c>
      <c r="BG332">
        <f t="shared" si="793"/>
        <v>-9.9401766023766562</v>
      </c>
      <c r="BH332">
        <f t="shared" si="794"/>
        <v>10.913856561601069</v>
      </c>
      <c r="BI332">
        <f t="shared" si="795"/>
        <v>97.367995922441224</v>
      </c>
      <c r="BJ332">
        <f t="shared" si="796"/>
        <v>11</v>
      </c>
      <c r="BK332">
        <f>IF($BJ332&lt;=30,IF($B332=2015,VLOOKUP($BJ332,'Treasury Yields'!$C$5:$N$34,$E332,FALSE)/100,IF($B332=2016,VLOOKUP($BJ332,'Treasury Yields'!$C$40:$N$69,$E332,FALSE)/100,IF($B332=2017,VLOOKUP($BJ332,'Treasury Yields'!$C$75:$N$104,$E332,FALSE)/100,IF($B332=2018,VLOOKUP($BJ332,'Treasury Yields'!$C$110:$N$139,$E332,FALSE)/100,IF($B332=2019,VLOOKUP($BJ332,'Treasury Yields'!$C$145:$N$174,$E332,FALSE)/100,IF($B332=2020,VLOOKUP($BJ332,'Treasury Yields'!$C$180:$N$209,$E332,FALSE)/100,IF($B332=2021,VLOOKUP($BJ332,'Treasury Yields'!$C$215:$N$244,$E332,FALSE)/100,IF($B332=2022,VLOOKUP($BJ332,'Treasury Yields'!$C$250:$N$279,$E332,FALSE)/100)))))))),0)</f>
        <v>1.6948000000000001E-2</v>
      </c>
      <c r="BL332">
        <f t="shared" si="797"/>
        <v>1.6369412358180653</v>
      </c>
      <c r="BM332">
        <f t="shared" si="798"/>
        <v>126199002.41065225</v>
      </c>
      <c r="BN332">
        <f t="shared" si="799"/>
        <v>64116902.41065225</v>
      </c>
      <c r="BP332">
        <f>IF($BJ332&lt;=30,IF($B332=2015,VLOOKUP($BJ332,'Treasury Yields'!$C$40:$N$69,$E332,FALSE)/100,IF($B332=2016,VLOOKUP($BJ332,'Treasury Yields'!$C$75:$N$104,$E332,FALSE)/100,IF($B332=2017,VLOOKUP($BJ332,'Treasury Yields'!$C$110:$N$139,$E332,FALSE)/100,IF($B332=2018,VLOOKUP($BJ332,'Treasury Yields'!$C$145:$N$174,$E332,FALSE)/100,IF($B332=2019,VLOOKUP($BJ332,'Treasury Yields'!$C$180:$N$209,$E332,FALSE)/100,IF($B332=2020,VLOOKUP($BJ332,'Treasury Yields'!$C$215:$N$244,$E332,FALSE)/100,IF($B332=2021,VLOOKUP($BJ332,'Treasury Yields'!$C$250:$N$279,$E332,FALSE)/100,IF($B332=2022,VLOOKUP($BJ332,'Treasury Yields'!$C$285:$N$314,$E332,FALSE)/100)))))))),0)</f>
        <v>2.5068799999999999E-2</v>
      </c>
      <c r="BQ332">
        <f t="shared" si="800"/>
        <v>1.5474350794820553</v>
      </c>
      <c r="BR332">
        <f t="shared" si="801"/>
        <v>123565321.73627724</v>
      </c>
      <c r="BS332">
        <f t="shared" si="802"/>
        <v>57193621.736277238</v>
      </c>
      <c r="BU332">
        <f t="shared" si="765"/>
        <v>14</v>
      </c>
      <c r="BV332">
        <f t="shared" si="803"/>
        <v>2.774432726431622</v>
      </c>
      <c r="BW332">
        <f t="shared" si="804"/>
        <v>3067135.3790701581</v>
      </c>
      <c r="BX332" s="5">
        <f t="shared" si="805"/>
        <v>2116871.9376602154</v>
      </c>
      <c r="BY332" s="5">
        <f t="shared" si="806"/>
        <v>1064704.5068602154</v>
      </c>
      <c r="BZ332" s="5">
        <f t="shared" si="807"/>
        <v>6767700</v>
      </c>
      <c r="CA332" s="5">
        <f t="shared" si="808"/>
        <v>4131839.8859303733</v>
      </c>
      <c r="CC332" s="5">
        <f t="shared" si="809"/>
        <v>123565321.73627724</v>
      </c>
      <c r="CD332" s="5" t="str">
        <f t="shared" si="810"/>
        <v>Oregon</v>
      </c>
      <c r="CE332" s="5">
        <f t="shared" si="763"/>
        <v>0.83118706301806977</v>
      </c>
      <c r="CF332" s="10">
        <f t="shared" si="811"/>
        <v>0.5371385682275458</v>
      </c>
    </row>
    <row r="333" spans="1:84" x14ac:dyDescent="0.2">
      <c r="A333">
        <v>38000000009201</v>
      </c>
      <c r="B333">
        <v>2018</v>
      </c>
      <c r="C333">
        <v>424</v>
      </c>
      <c r="D333" t="s">
        <v>558</v>
      </c>
      <c r="E333">
        <v>6</v>
      </c>
      <c r="F333" t="s">
        <v>559</v>
      </c>
      <c r="G333" t="s">
        <v>560</v>
      </c>
      <c r="H333" t="s">
        <v>432</v>
      </c>
      <c r="I333" t="b">
        <v>1</v>
      </c>
      <c r="J333">
        <v>1108200</v>
      </c>
      <c r="K333">
        <v>5858200</v>
      </c>
      <c r="L333">
        <v>0</v>
      </c>
      <c r="M333">
        <v>74300</v>
      </c>
      <c r="N333">
        <v>2240300</v>
      </c>
      <c r="O333">
        <v>4656600</v>
      </c>
      <c r="Q333">
        <v>4624400</v>
      </c>
      <c r="R333">
        <v>79851700</v>
      </c>
      <c r="S333">
        <v>84476100</v>
      </c>
      <c r="T333">
        <v>1390100</v>
      </c>
      <c r="V333">
        <v>12600</v>
      </c>
      <c r="W333">
        <v>6247500</v>
      </c>
      <c r="Y333">
        <v>37800</v>
      </c>
      <c r="AA333">
        <v>2955800</v>
      </c>
      <c r="AB333">
        <v>66371700</v>
      </c>
      <c r="AC333">
        <v>69327500</v>
      </c>
      <c r="AD333">
        <v>15148600</v>
      </c>
      <c r="AE333">
        <v>13480000</v>
      </c>
      <c r="AF333">
        <v>1668600</v>
      </c>
      <c r="AG333">
        <v>10044000</v>
      </c>
      <c r="AH333">
        <v>0.13840103544404619</v>
      </c>
      <c r="AI333" t="b">
        <v>1</v>
      </c>
      <c r="AK333">
        <v>7.1999999999999995E-2</v>
      </c>
      <c r="AL333">
        <v>7.1999999999999995E-2</v>
      </c>
      <c r="AM333">
        <v>7.1999999999999995E-2</v>
      </c>
      <c r="AN333">
        <v>7.4999999999999997E-2</v>
      </c>
      <c r="AO333">
        <v>1</v>
      </c>
      <c r="AP333">
        <v>0</v>
      </c>
      <c r="AS333">
        <v>25316300</v>
      </c>
      <c r="AT333">
        <v>6756100</v>
      </c>
      <c r="AU333" t="s">
        <v>344</v>
      </c>
      <c r="AV333" t="s">
        <v>564</v>
      </c>
      <c r="BB333">
        <f t="shared" si="789"/>
        <v>0.82067590715006966</v>
      </c>
      <c r="BD333">
        <f t="shared" si="790"/>
        <v>10167700</v>
      </c>
      <c r="BE333">
        <f t="shared" si="791"/>
        <v>-8392500</v>
      </c>
      <c r="BF333">
        <f t="shared" si="792"/>
        <v>12.036185382611176</v>
      </c>
      <c r="BG333">
        <f t="shared" si="793"/>
        <v>-9.9347626133308697</v>
      </c>
      <c r="BH333">
        <f t="shared" si="794"/>
        <v>10.985473997971024</v>
      </c>
      <c r="BI333">
        <f t="shared" si="795"/>
        <v>105.07113846401526</v>
      </c>
      <c r="BJ333">
        <f t="shared" si="796"/>
        <v>11</v>
      </c>
      <c r="BK333">
        <f>IF($BJ333&lt;=30,IF($B333=2015,VLOOKUP($BJ333,'Treasury Yields'!$C$5:$N$34,$E333,FALSE)/100,IF($B333=2016,VLOOKUP($BJ333,'Treasury Yields'!$C$40:$N$69,$E333,FALSE)/100,IF($B333=2017,VLOOKUP($BJ333,'Treasury Yields'!$C$75:$N$104,$E333,FALSE)/100,IF($B333=2018,VLOOKUP($BJ333,'Treasury Yields'!$C$110:$N$139,$E333,FALSE)/100,IF($B333=2019,VLOOKUP($BJ333,'Treasury Yields'!$C$145:$N$174,$E333,FALSE)/100,IF($B333=2020,VLOOKUP($BJ333,'Treasury Yields'!$C$180:$N$209,$E333,FALSE)/100,IF($B333=2021,VLOOKUP($BJ333,'Treasury Yields'!$C$215:$N$244,$E333,FALSE)/100,IF($B333=2022,VLOOKUP($BJ333,'Treasury Yields'!$C$250:$N$279,$E333,FALSE)/100)))))))),0)</f>
        <v>2.5068799999999999E-2</v>
      </c>
      <c r="BL333">
        <f t="shared" si="797"/>
        <v>1.5177640148270175</v>
      </c>
      <c r="BM333">
        <f t="shared" si="798"/>
        <v>121196036.78276256</v>
      </c>
      <c r="BN333">
        <f t="shared" si="799"/>
        <v>54824336.782762557</v>
      </c>
      <c r="BP333">
        <f>IF($BJ333&lt;=30,IF($B333=2015,VLOOKUP($BJ333,'Treasury Yields'!$C$40:$N$69,$E333,FALSE)/100,IF($B333=2016,VLOOKUP($BJ333,'Treasury Yields'!$C$75:$N$104,$E333,FALSE)/100,IF($B333=2017,VLOOKUP($BJ333,'Treasury Yields'!$C$110:$N$139,$E333,FALSE)/100,IF($B333=2018,VLOOKUP($BJ333,'Treasury Yields'!$C$145:$N$174,$E333,FALSE)/100,IF($B333=2019,VLOOKUP($BJ333,'Treasury Yields'!$C$180:$N$209,$E333,FALSE)/100,IF($B333=2020,VLOOKUP($BJ333,'Treasury Yields'!$C$215:$N$244,$E333,FALSE)/100,IF($B333=2021,VLOOKUP($BJ333,'Treasury Yields'!$C$250:$N$279,$E333,FALSE)/100,IF($B333=2022,VLOOKUP($BJ333,'Treasury Yields'!$C$285:$N$314,$E333,FALSE)/100)))))))),0)</f>
        <v>2.9273236363636365E-2</v>
      </c>
      <c r="BQ333">
        <f t="shared" si="800"/>
        <v>1.5044211098512954</v>
      </c>
      <c r="BR333">
        <f t="shared" si="801"/>
        <v>127087628.11790901</v>
      </c>
      <c r="BS333">
        <f t="shared" si="802"/>
        <v>57760128.117909014</v>
      </c>
      <c r="BU333">
        <f t="shared" si="765"/>
        <v>14</v>
      </c>
      <c r="BV333">
        <f t="shared" si="803"/>
        <v>2.5095101533628261</v>
      </c>
      <c r="BW333">
        <f t="shared" si="804"/>
        <v>2781039.151956684</v>
      </c>
      <c r="BX333" s="5">
        <f t="shared" si="805"/>
        <v>2991221.1471122894</v>
      </c>
      <c r="BY333" s="5">
        <f t="shared" si="806"/>
        <v>1327362.2741522896</v>
      </c>
      <c r="BZ333" s="5">
        <f t="shared" si="807"/>
        <v>6966400</v>
      </c>
      <c r="CA333" s="5">
        <f t="shared" si="808"/>
        <v>4108401.4261089736</v>
      </c>
      <c r="CC333" s="5">
        <f t="shared" si="809"/>
        <v>127087628.11790901</v>
      </c>
      <c r="CD333" s="5" t="str">
        <f t="shared" si="810"/>
        <v>Oregon</v>
      </c>
      <c r="CE333" s="5">
        <f t="shared" si="763"/>
        <v>0.82067590715006966</v>
      </c>
      <c r="CF333" s="10">
        <f t="shared" si="811"/>
        <v>0.54550943334688351</v>
      </c>
    </row>
    <row r="334" spans="1:84" x14ac:dyDescent="0.2">
      <c r="A334">
        <v>38000000009201</v>
      </c>
      <c r="B334">
        <v>2019</v>
      </c>
      <c r="C334">
        <v>424</v>
      </c>
      <c r="D334" t="s">
        <v>558</v>
      </c>
      <c r="E334">
        <v>6</v>
      </c>
      <c r="F334" t="s">
        <v>559</v>
      </c>
      <c r="G334" t="s">
        <v>560</v>
      </c>
      <c r="H334" t="s">
        <v>432</v>
      </c>
      <c r="I334" t="b">
        <v>1</v>
      </c>
      <c r="J334">
        <v>1146400</v>
      </c>
      <c r="K334">
        <v>5952100</v>
      </c>
      <c r="L334">
        <v>-50600</v>
      </c>
      <c r="M334">
        <v>804200</v>
      </c>
      <c r="O334">
        <v>4815100</v>
      </c>
      <c r="P334">
        <v>11900</v>
      </c>
      <c r="Q334">
        <v>3025100</v>
      </c>
      <c r="R334">
        <v>84476100</v>
      </c>
      <c r="S334">
        <v>87501200</v>
      </c>
      <c r="T334">
        <v>1720200</v>
      </c>
      <c r="V334">
        <v>11400</v>
      </c>
      <c r="W334">
        <v>4010000</v>
      </c>
      <c r="Y334">
        <v>38400</v>
      </c>
      <c r="AA334">
        <v>87200</v>
      </c>
      <c r="AB334">
        <v>69327500</v>
      </c>
      <c r="AC334">
        <v>70203700</v>
      </c>
      <c r="AD334">
        <v>17297500</v>
      </c>
      <c r="AE334">
        <v>15148600</v>
      </c>
      <c r="AF334">
        <v>2148900</v>
      </c>
      <c r="AG334">
        <v>10716700</v>
      </c>
      <c r="AH334">
        <v>0.16051583043287579</v>
      </c>
      <c r="AI334" t="b">
        <v>1</v>
      </c>
      <c r="AK334">
        <v>7.1999999999999995E-2</v>
      </c>
      <c r="AL334">
        <v>7.1999999999999995E-2</v>
      </c>
      <c r="AM334">
        <v>7.1999999999999995E-2</v>
      </c>
      <c r="AN334">
        <v>7.1999999999999995E-2</v>
      </c>
      <c r="AO334">
        <v>1</v>
      </c>
      <c r="AP334">
        <v>0</v>
      </c>
      <c r="AQ334">
        <v>2.5000000000000001E-2</v>
      </c>
      <c r="AS334">
        <v>27700600</v>
      </c>
      <c r="AT334">
        <v>8591700</v>
      </c>
      <c r="AU334" t="s">
        <v>52</v>
      </c>
      <c r="AV334" t="s">
        <v>565</v>
      </c>
      <c r="BB334">
        <f t="shared" si="789"/>
        <v>0.80231699679547253</v>
      </c>
      <c r="BD334">
        <f t="shared" si="790"/>
        <v>10403100</v>
      </c>
      <c r="BE334">
        <f t="shared" si="791"/>
        <v>-8705800</v>
      </c>
      <c r="BF334">
        <f t="shared" si="792"/>
        <v>11.889094092423875</v>
      </c>
      <c r="BG334">
        <f t="shared" si="793"/>
        <v>-9.9493492660672072</v>
      </c>
      <c r="BH334">
        <f t="shared" si="794"/>
        <v>10.919221679245542</v>
      </c>
      <c r="BI334">
        <f t="shared" si="795"/>
        <v>96.987241317833352</v>
      </c>
      <c r="BJ334">
        <f t="shared" si="796"/>
        <v>11</v>
      </c>
      <c r="BK334">
        <f>IF($BJ334&lt;=30,IF($B334=2015,VLOOKUP($BJ334,'Treasury Yields'!$C$5:$N$34,$E334,FALSE)/100,IF($B334=2016,VLOOKUP($BJ334,'Treasury Yields'!$C$40:$N$69,$E334,FALSE)/100,IF($B334=2017,VLOOKUP($BJ334,'Treasury Yields'!$C$75:$N$104,$E334,FALSE)/100,IF($B334=2018,VLOOKUP($BJ334,'Treasury Yields'!$C$110:$N$139,$E334,FALSE)/100,IF($B334=2019,VLOOKUP($BJ334,'Treasury Yields'!$C$145:$N$174,$E334,FALSE)/100,IF($B334=2020,VLOOKUP($BJ334,'Treasury Yields'!$C$180:$N$209,$E334,FALSE)/100,IF($B334=2021,VLOOKUP($BJ334,'Treasury Yields'!$C$215:$N$244,$E334,FALSE)/100,IF($B334=2022,VLOOKUP($BJ334,'Treasury Yields'!$C$250:$N$279,$E334,FALSE)/100)))))))),0)</f>
        <v>2.9273236363636365E-2</v>
      </c>
      <c r="BL334">
        <f t="shared" si="797"/>
        <v>1.4683685801130195</v>
      </c>
      <c r="BM334">
        <f t="shared" si="798"/>
        <v>124042051.01048546</v>
      </c>
      <c r="BN334">
        <f t="shared" si="799"/>
        <v>54714551.010485455</v>
      </c>
      <c r="BP334">
        <f>IF($BJ334&lt;=30,IF($B334=2015,VLOOKUP($BJ334,'Treasury Yields'!$C$40:$N$69,$E334,FALSE)/100,IF($B334=2016,VLOOKUP($BJ334,'Treasury Yields'!$C$75:$N$104,$E334,FALSE)/100,IF($B334=2017,VLOOKUP($BJ334,'Treasury Yields'!$C$110:$N$139,$E334,FALSE)/100,IF($B334=2018,VLOOKUP($BJ334,'Treasury Yields'!$C$145:$N$174,$E334,FALSE)/100,IF($B334=2019,VLOOKUP($BJ334,'Treasury Yields'!$C$180:$N$209,$E334,FALSE)/100,IF($B334=2020,VLOOKUP($BJ334,'Treasury Yields'!$C$215:$N$244,$E334,FALSE)/100,IF($B334=2021,VLOOKUP($BJ334,'Treasury Yields'!$C$250:$N$279,$E334,FALSE)/100,IF($B334=2022,VLOOKUP($BJ334,'Treasury Yields'!$C$285:$N$314,$E334,FALSE)/100)))))))),0)</f>
        <v>2.1722000000000002E-2</v>
      </c>
      <c r="BQ334">
        <f t="shared" si="800"/>
        <v>1.5515245048731072</v>
      </c>
      <c r="BR334">
        <f t="shared" si="801"/>
        <v>135760256.00580272</v>
      </c>
      <c r="BS334">
        <f t="shared" si="802"/>
        <v>65556556.005802721</v>
      </c>
      <c r="BU334">
        <f t="shared" si="765"/>
        <v>14</v>
      </c>
      <c r="BV334">
        <f t="shared" si="803"/>
        <v>2.2417753068343518</v>
      </c>
      <c r="BW334">
        <f t="shared" si="804"/>
        <v>2569971.2117549009</v>
      </c>
      <c r="BX334" s="5">
        <f t="shared" si="805"/>
        <v>3565390.0925750765</v>
      </c>
      <c r="BY334" s="5">
        <f t="shared" si="806"/>
        <v>1535949.7985750765</v>
      </c>
      <c r="BZ334" s="5">
        <f t="shared" si="807"/>
        <v>7098500</v>
      </c>
      <c r="CA334" s="5">
        <f t="shared" si="808"/>
        <v>4105921.0103299776</v>
      </c>
      <c r="CC334" s="5">
        <f t="shared" si="809"/>
        <v>135760256.00580272</v>
      </c>
      <c r="CD334" s="5" t="str">
        <f t="shared" si="810"/>
        <v>Oregon</v>
      </c>
      <c r="CE334" s="5">
        <f t="shared" si="763"/>
        <v>0.80231699679547253</v>
      </c>
      <c r="CF334" s="10">
        <f t="shared" si="811"/>
        <v>0.5171152593952042</v>
      </c>
    </row>
    <row r="335" spans="1:84" x14ac:dyDescent="0.2">
      <c r="A335">
        <v>38000000009201</v>
      </c>
      <c r="B335">
        <v>2020</v>
      </c>
      <c r="C335">
        <v>424</v>
      </c>
      <c r="D335" t="s">
        <v>558</v>
      </c>
      <c r="E335">
        <v>6</v>
      </c>
      <c r="F335" t="s">
        <v>559</v>
      </c>
      <c r="G335" t="s">
        <v>560</v>
      </c>
      <c r="H335" t="s">
        <v>432</v>
      </c>
      <c r="I335" t="b">
        <v>1</v>
      </c>
      <c r="J335">
        <v>1187200</v>
      </c>
      <c r="K335">
        <v>6162900</v>
      </c>
      <c r="M335">
        <v>406700</v>
      </c>
      <c r="N335">
        <v>-50500</v>
      </c>
      <c r="O335">
        <v>5064800</v>
      </c>
      <c r="Q335">
        <v>2641500</v>
      </c>
      <c r="R335">
        <v>87501200</v>
      </c>
      <c r="S335">
        <v>90142700</v>
      </c>
      <c r="T335">
        <v>2299000</v>
      </c>
      <c r="V335">
        <v>10200</v>
      </c>
      <c r="W335">
        <v>923300</v>
      </c>
      <c r="Y335">
        <v>52100</v>
      </c>
      <c r="AA335">
        <v>-1884400</v>
      </c>
      <c r="AB335">
        <v>70203700</v>
      </c>
      <c r="AC335">
        <v>68319300</v>
      </c>
      <c r="AD335">
        <v>21823400</v>
      </c>
      <c r="AE335">
        <v>17297500</v>
      </c>
      <c r="AF335">
        <v>4525900</v>
      </c>
      <c r="AG335">
        <v>11574800</v>
      </c>
      <c r="AH335">
        <v>0.19862114248194354</v>
      </c>
      <c r="AI335" t="b">
        <v>1</v>
      </c>
      <c r="AK335">
        <v>7.1999999999999995E-2</v>
      </c>
      <c r="AL335">
        <v>7.1999999999999995E-2</v>
      </c>
      <c r="AM335">
        <v>7.1999999999999995E-2</v>
      </c>
      <c r="AN335">
        <v>7.1999999999999995E-2</v>
      </c>
      <c r="AO335">
        <v>1</v>
      </c>
      <c r="AP335">
        <v>0</v>
      </c>
      <c r="AQ335">
        <v>2.5000000000000001E-2</v>
      </c>
      <c r="AS335">
        <v>32406000</v>
      </c>
      <c r="AT335">
        <v>12949500</v>
      </c>
      <c r="AU335" t="s">
        <v>84</v>
      </c>
      <c r="AV335" t="s">
        <v>566</v>
      </c>
      <c r="BB335">
        <f t="shared" si="789"/>
        <v>0.75790163818035183</v>
      </c>
      <c r="BD335">
        <f t="shared" si="790"/>
        <v>10582600</v>
      </c>
      <c r="BE335">
        <f t="shared" si="791"/>
        <v>-8873900</v>
      </c>
      <c r="BF335">
        <f t="shared" si="792"/>
        <v>11.739830291304788</v>
      </c>
      <c r="BG335">
        <f t="shared" si="793"/>
        <v>-9.8442802356707748</v>
      </c>
      <c r="BH335">
        <f t="shared" si="794"/>
        <v>10.79205526348778</v>
      </c>
      <c r="BI335">
        <f t="shared" si="795"/>
        <v>94.777502781700562</v>
      </c>
      <c r="BJ335">
        <f t="shared" si="796"/>
        <v>11</v>
      </c>
      <c r="BK335">
        <f>IF($BJ335&lt;=30,IF($B335=2015,VLOOKUP($BJ335,'Treasury Yields'!$C$5:$N$34,$E335,FALSE)/100,IF($B335=2016,VLOOKUP($BJ335,'Treasury Yields'!$C$40:$N$69,$E335,FALSE)/100,IF($B335=2017,VLOOKUP($BJ335,'Treasury Yields'!$C$75:$N$104,$E335,FALSE)/100,IF($B335=2018,VLOOKUP($BJ335,'Treasury Yields'!$C$110:$N$139,$E335,FALSE)/100,IF($B335=2019,VLOOKUP($BJ335,'Treasury Yields'!$C$145:$N$174,$E335,FALSE)/100,IF($B335=2020,VLOOKUP($BJ335,'Treasury Yields'!$C$180:$N$209,$E335,FALSE)/100,IF($B335=2021,VLOOKUP($BJ335,'Treasury Yields'!$C$215:$N$244,$E335,FALSE)/100,IF($B335=2022,VLOOKUP($BJ335,'Treasury Yields'!$C$250:$N$279,$E335,FALSE)/100)))))))),0)</f>
        <v>2.1722000000000002E-2</v>
      </c>
      <c r="BL335">
        <f t="shared" si="797"/>
        <v>1.5451308318216386</v>
      </c>
      <c r="BM335">
        <f t="shared" si="798"/>
        <v>135200801.94139156</v>
      </c>
      <c r="BN335">
        <f t="shared" si="799"/>
        <v>64997101.941391557</v>
      </c>
      <c r="BP335">
        <f>IF($BJ335&lt;=30,IF($B335=2015,VLOOKUP($BJ335,'Treasury Yields'!$C$40:$N$69,$E335,FALSE)/100,IF($B335=2016,VLOOKUP($BJ335,'Treasury Yields'!$C$75:$N$104,$E335,FALSE)/100,IF($B335=2017,VLOOKUP($BJ335,'Treasury Yields'!$C$110:$N$139,$E335,FALSE)/100,IF($B335=2018,VLOOKUP($BJ335,'Treasury Yields'!$C$145:$N$174,$E335,FALSE)/100,IF($B335=2019,VLOOKUP($BJ335,'Treasury Yields'!$C$180:$N$209,$E335,FALSE)/100,IF($B335=2020,VLOOKUP($BJ335,'Treasury Yields'!$C$215:$N$244,$E335,FALSE)/100,IF($B335=2021,VLOOKUP($BJ335,'Treasury Yields'!$C$250:$N$279,$E335,FALSE)/100,IF($B335=2022,VLOOKUP($BJ335,'Treasury Yields'!$C$285:$N$314,$E335,FALSE)/100)))))))),0)</f>
        <v>1.4551090909090908E-2</v>
      </c>
      <c r="BQ335">
        <f t="shared" si="800"/>
        <v>1.6232921788919119</v>
      </c>
      <c r="BR335">
        <f t="shared" si="801"/>
        <v>146327939.89419994</v>
      </c>
      <c r="BS335">
        <f t="shared" si="802"/>
        <v>78008639.894199938</v>
      </c>
      <c r="BU335">
        <f t="shared" si="765"/>
        <v>14</v>
      </c>
      <c r="BV335">
        <f t="shared" si="803"/>
        <v>2.486080850853746</v>
      </c>
      <c r="BW335">
        <f t="shared" si="804"/>
        <v>2951475.1861335672</v>
      </c>
      <c r="BX335" s="5">
        <f t="shared" si="805"/>
        <v>2890926.1781641007</v>
      </c>
      <c r="BY335" s="5">
        <f t="shared" si="806"/>
        <v>1365961.4067641008</v>
      </c>
      <c r="BZ335" s="5">
        <f t="shared" si="807"/>
        <v>7350100</v>
      </c>
      <c r="CA335" s="5">
        <f t="shared" si="808"/>
        <v>4317436.5928976685</v>
      </c>
      <c r="CC335" s="5">
        <f t="shared" si="809"/>
        <v>146327939.89419994</v>
      </c>
      <c r="CD335" s="5" t="str">
        <f t="shared" si="810"/>
        <v>Oregon</v>
      </c>
      <c r="CE335" s="5">
        <f t="shared" si="763"/>
        <v>0.75790163818035183</v>
      </c>
      <c r="CF335" s="10">
        <f t="shared" si="811"/>
        <v>0.46689169579915613</v>
      </c>
    </row>
    <row r="336" spans="1:84" x14ac:dyDescent="0.2">
      <c r="A336">
        <v>38000000009201</v>
      </c>
      <c r="B336">
        <v>2021</v>
      </c>
      <c r="C336">
        <v>424</v>
      </c>
      <c r="D336" t="s">
        <v>558</v>
      </c>
      <c r="E336">
        <v>6</v>
      </c>
      <c r="F336" t="s">
        <v>559</v>
      </c>
      <c r="G336" t="s">
        <v>560</v>
      </c>
      <c r="H336" t="s">
        <v>432</v>
      </c>
      <c r="I336" t="b">
        <v>1</v>
      </c>
      <c r="J336">
        <v>1263500</v>
      </c>
      <c r="K336">
        <v>6349300</v>
      </c>
      <c r="L336">
        <v>148500</v>
      </c>
      <c r="M336">
        <v>600900</v>
      </c>
      <c r="N336">
        <v>3041900</v>
      </c>
      <c r="O336">
        <v>5249000</v>
      </c>
      <c r="P336">
        <v>11900</v>
      </c>
      <c r="Q336">
        <v>6155100</v>
      </c>
      <c r="R336">
        <v>90142700</v>
      </c>
      <c r="S336">
        <v>96297800</v>
      </c>
      <c r="T336">
        <v>2161500</v>
      </c>
      <c r="V336">
        <v>160300</v>
      </c>
      <c r="W336">
        <v>18998400</v>
      </c>
      <c r="Y336">
        <v>59100</v>
      </c>
      <c r="AA336">
        <v>16012000</v>
      </c>
      <c r="AB336">
        <v>68319300</v>
      </c>
      <c r="AC336">
        <v>84331300</v>
      </c>
      <c r="AD336">
        <v>11966500</v>
      </c>
      <c r="AE336">
        <v>21823400</v>
      </c>
      <c r="AF336">
        <v>-9856900</v>
      </c>
      <c r="AG336">
        <v>12235500</v>
      </c>
      <c r="AH336">
        <v>0.17665808508029912</v>
      </c>
      <c r="AI336" t="b">
        <v>1</v>
      </c>
      <c r="AK336">
        <v>7.1999999999999995E-2</v>
      </c>
      <c r="AL336">
        <v>6.9000000000000006E-2</v>
      </c>
      <c r="AM336">
        <v>6.9000000000000006E-2</v>
      </c>
      <c r="AN336">
        <v>7.1999999999999995E-2</v>
      </c>
      <c r="AS336">
        <v>23499300</v>
      </c>
      <c r="AT336">
        <v>2317700</v>
      </c>
      <c r="AV336" t="s">
        <v>567</v>
      </c>
      <c r="BB336">
        <f t="shared" si="789"/>
        <v>0.87573444045450677</v>
      </c>
      <c r="BD336">
        <f t="shared" si="790"/>
        <v>11532800</v>
      </c>
      <c r="BE336">
        <f t="shared" si="791"/>
        <v>-9648800</v>
      </c>
      <c r="BF336">
        <f t="shared" si="792"/>
        <v>11.976182218077671</v>
      </c>
      <c r="BG336">
        <f t="shared" si="793"/>
        <v>-10.019751230038484</v>
      </c>
      <c r="BH336">
        <f t="shared" si="794"/>
        <v>10.997966724058077</v>
      </c>
      <c r="BI336">
        <f t="shared" si="795"/>
        <v>97.821549401959331</v>
      </c>
      <c r="BJ336">
        <f t="shared" si="796"/>
        <v>11</v>
      </c>
      <c r="BK336">
        <f>IF($BJ336&lt;=30,IF($B336=2015,VLOOKUP($BJ336,'Treasury Yields'!$C$5:$N$34,$E336,FALSE)/100,IF($B336=2016,VLOOKUP($BJ336,'Treasury Yields'!$C$40:$N$69,$E336,FALSE)/100,IF($B336=2017,VLOOKUP($BJ336,'Treasury Yields'!$C$75:$N$104,$E336,FALSE)/100,IF($B336=2018,VLOOKUP($BJ336,'Treasury Yields'!$C$110:$N$139,$E336,FALSE)/100,IF($B336=2019,VLOOKUP($BJ336,'Treasury Yields'!$C$145:$N$174,$E336,FALSE)/100,IF($B336=2020,VLOOKUP($BJ336,'Treasury Yields'!$C$180:$N$209,$E336,FALSE)/100,IF($B336=2021,VLOOKUP($BJ336,'Treasury Yields'!$C$215:$N$244,$E336,FALSE)/100,IF($B336=2022,VLOOKUP($BJ336,'Treasury Yields'!$C$250:$N$279,$E336,FALSE)/100)))))))),0)</f>
        <v>1.4551090909090908E-2</v>
      </c>
      <c r="BL336">
        <f t="shared" si="797"/>
        <v>1.6017919740442716</v>
      </c>
      <c r="BM336">
        <f t="shared" si="798"/>
        <v>144389853.37868056</v>
      </c>
      <c r="BN336">
        <f t="shared" si="799"/>
        <v>76070553.378680557</v>
      </c>
      <c r="BP336">
        <f>IF($BJ336&lt;=30,IF($B336=2015,VLOOKUP($BJ336,'Treasury Yields'!$C$40:$N$69,$E336,FALSE)/100,IF($B336=2016,VLOOKUP($BJ336,'Treasury Yields'!$C$75:$N$104,$E336,FALSE)/100,IF($B336=2017,VLOOKUP($BJ336,'Treasury Yields'!$C$110:$N$139,$E336,FALSE)/100,IF($B336=2018,VLOOKUP($BJ336,'Treasury Yields'!$C$145:$N$174,$E336,FALSE)/100,IF($B336=2019,VLOOKUP($BJ336,'Treasury Yields'!$C$180:$N$209,$E336,FALSE)/100,IF($B336=2020,VLOOKUP($BJ336,'Treasury Yields'!$C$215:$N$244,$E336,FALSE)/100,IF($B336=2021,VLOOKUP($BJ336,'Treasury Yields'!$C$250:$N$279,$E336,FALSE)/100,IF($B336=2022,VLOOKUP($BJ336,'Treasury Yields'!$C$285:$N$314,$E336,FALSE)/100)))))))),0)</f>
        <v>2.1554272727272727E-2</v>
      </c>
      <c r="BQ336">
        <f t="shared" si="800"/>
        <v>1.5573452013164379</v>
      </c>
      <c r="BR336">
        <f t="shared" si="801"/>
        <v>149968916.72733009</v>
      </c>
      <c r="BS336">
        <f t="shared" si="802"/>
        <v>65637616.727330089</v>
      </c>
      <c r="BU336">
        <f t="shared" si="765"/>
        <v>14</v>
      </c>
      <c r="BV336">
        <f t="shared" si="803"/>
        <v>2.7589539247728645</v>
      </c>
      <c r="BW336">
        <f t="shared" si="804"/>
        <v>3485938.2839505142</v>
      </c>
      <c r="BX336" s="5">
        <f t="shared" si="805"/>
        <v>2075375.4115549137</v>
      </c>
      <c r="BY336" s="5">
        <f t="shared" si="806"/>
        <v>1081255.0664094593</v>
      </c>
      <c r="BZ336" s="5">
        <f t="shared" si="807"/>
        <v>7612800</v>
      </c>
      <c r="CA336" s="5">
        <f t="shared" si="808"/>
        <v>4567193.3503599735</v>
      </c>
      <c r="CC336" s="5">
        <f t="shared" si="809"/>
        <v>149968916.72733009</v>
      </c>
      <c r="CD336" s="5" t="str">
        <f t="shared" si="810"/>
        <v>Oregon</v>
      </c>
      <c r="CE336" s="5">
        <f t="shared" si="763"/>
        <v>0.87573444045450677</v>
      </c>
      <c r="CF336" s="10">
        <f t="shared" si="811"/>
        <v>0.56232519271529557</v>
      </c>
    </row>
    <row r="337" spans="1:84" x14ac:dyDescent="0.2">
      <c r="A337">
        <v>38000000009201</v>
      </c>
      <c r="B337">
        <v>2022</v>
      </c>
      <c r="C337">
        <v>424</v>
      </c>
      <c r="D337" t="s">
        <v>558</v>
      </c>
      <c r="E337">
        <v>6</v>
      </c>
      <c r="F337" t="s">
        <v>559</v>
      </c>
      <c r="G337" t="s">
        <v>560</v>
      </c>
      <c r="H337" t="s">
        <v>432</v>
      </c>
      <c r="I337" t="b">
        <v>1</v>
      </c>
      <c r="J337">
        <v>1387700</v>
      </c>
      <c r="K337">
        <v>6505600</v>
      </c>
      <c r="L337">
        <v>0</v>
      </c>
      <c r="M337">
        <v>-116700</v>
      </c>
      <c r="N337">
        <v>490300</v>
      </c>
      <c r="O337">
        <v>5483100</v>
      </c>
      <c r="P337">
        <v>14900</v>
      </c>
      <c r="Q337">
        <v>2783800</v>
      </c>
      <c r="R337">
        <v>96297800</v>
      </c>
      <c r="S337">
        <v>99081600</v>
      </c>
      <c r="T337">
        <v>4030200</v>
      </c>
      <c r="V337">
        <v>160100</v>
      </c>
      <c r="W337">
        <v>789800</v>
      </c>
      <c r="Y337">
        <v>58700</v>
      </c>
      <c r="AA337">
        <v>-561700</v>
      </c>
      <c r="AB337">
        <v>84331300</v>
      </c>
      <c r="AC337">
        <v>83769600</v>
      </c>
      <c r="AD337">
        <v>15312000</v>
      </c>
      <c r="AE337">
        <v>11966500</v>
      </c>
      <c r="AF337">
        <v>3345500</v>
      </c>
      <c r="AG337">
        <v>12942600</v>
      </c>
      <c r="AH337">
        <v>0.311390292522368</v>
      </c>
      <c r="AI337" t="b">
        <v>1</v>
      </c>
      <c r="AK337">
        <v>6.9000000000000006E-2</v>
      </c>
      <c r="AL337">
        <v>6.9000000000000006E-2</v>
      </c>
      <c r="AM337">
        <v>6.9000000000000006E-2</v>
      </c>
      <c r="AN337">
        <v>6.9000000000000006E-2</v>
      </c>
      <c r="AS337">
        <v>27154500</v>
      </c>
      <c r="AT337">
        <v>5400400</v>
      </c>
      <c r="AV337" t="s">
        <v>568</v>
      </c>
      <c r="BB337">
        <f t="shared" si="789"/>
        <v>0.84546071117139809</v>
      </c>
      <c r="BD337">
        <f t="shared" si="790"/>
        <v>11842500</v>
      </c>
      <c r="BE337">
        <f t="shared" si="791"/>
        <v>-9911600</v>
      </c>
      <c r="BF337">
        <f t="shared" si="792"/>
        <v>11.952269644414301</v>
      </c>
      <c r="BG337">
        <f t="shared" si="793"/>
        <v>-10.003471885799179</v>
      </c>
      <c r="BH337">
        <f t="shared" si="794"/>
        <v>10.97787076510674</v>
      </c>
      <c r="BI337">
        <f t="shared" si="795"/>
        <v>97.439887930756072</v>
      </c>
      <c r="BJ337">
        <f t="shared" si="796"/>
        <v>11</v>
      </c>
      <c r="BK337">
        <f>IF($BJ337&lt;=30,IF($B337=2015,VLOOKUP($BJ337,'Treasury Yields'!$C$5:$N$34,$E337,FALSE)/100,IF($B337=2016,VLOOKUP($BJ337,'Treasury Yields'!$C$40:$N$69,$E337,FALSE)/100,IF($B337=2017,VLOOKUP($BJ337,'Treasury Yields'!$C$75:$N$104,$E337,FALSE)/100,IF($B337=2018,VLOOKUP($BJ337,'Treasury Yields'!$C$110:$N$139,$E337,FALSE)/100,IF($B337=2019,VLOOKUP($BJ337,'Treasury Yields'!$C$145:$N$174,$E337,FALSE)/100,IF($B337=2020,VLOOKUP($BJ337,'Treasury Yields'!$C$180:$N$209,$E337,FALSE)/100,IF($B337=2021,VLOOKUP($BJ337,'Treasury Yields'!$C$215:$N$244,$E337,FALSE)/100,IF($B337=2022,VLOOKUP($BJ337,'Treasury Yields'!$C$250:$N$279,$E337,FALSE)/100)))))))),0)</f>
        <v>2.1554272727272727E-2</v>
      </c>
      <c r="BL337">
        <f t="shared" si="797"/>
        <v>1.5231041593929382</v>
      </c>
      <c r="BM337">
        <f t="shared" si="798"/>
        <v>146671579.72038928</v>
      </c>
      <c r="BN337">
        <f t="shared" si="799"/>
        <v>62340279.720389277</v>
      </c>
      <c r="BP337">
        <f>IF($BJ337&lt;=30,IF($B337=2015,VLOOKUP($BJ337,'Treasury Yields'!$C$40:$N$69,$E337,FALSE)/100,IF($B337=2016,VLOOKUP($BJ337,'Treasury Yields'!$C$75:$N$104,$E337,FALSE)/100,IF($B337=2017,VLOOKUP($BJ337,'Treasury Yields'!$C$110:$N$139,$E337,FALSE)/100,IF($B337=2018,VLOOKUP($BJ337,'Treasury Yields'!$C$145:$N$174,$E337,FALSE)/100,IF($B337=2019,VLOOKUP($BJ337,'Treasury Yields'!$C$180:$N$209,$E337,FALSE)/100,IF($B337=2020,VLOOKUP($BJ337,'Treasury Yields'!$C$215:$N$244,$E337,FALSE)/100,IF($B337=2021,VLOOKUP($BJ337,'Treasury Yields'!$C$250:$N$279,$E337,FALSE)/100,IF($B337=2022,VLOOKUP($BJ337,'Treasury Yields'!$C$285:$N$314,$E337,FALSE)/100)))))))),0)</f>
        <v>3.1935909090909091E-2</v>
      </c>
      <c r="BQ337">
        <f t="shared" si="800"/>
        <v>1.4082585468610851</v>
      </c>
      <c r="BR337">
        <f t="shared" si="801"/>
        <v>139532510.03667128</v>
      </c>
      <c r="BS337">
        <f t="shared" si="802"/>
        <v>55762910.036671281</v>
      </c>
      <c r="BU337">
        <f t="shared" si="765"/>
        <v>14</v>
      </c>
      <c r="BV337">
        <f t="shared" si="803"/>
        <v>2.4044398871264598</v>
      </c>
      <c r="BW337">
        <f t="shared" si="804"/>
        <v>3336641.2313653883</v>
      </c>
      <c r="BX337" s="5">
        <f t="shared" si="805"/>
        <v>3115133.8729361976</v>
      </c>
      <c r="BY337" s="5">
        <f t="shared" si="806"/>
        <v>1297434.0332907434</v>
      </c>
      <c r="BZ337" s="5">
        <f t="shared" si="807"/>
        <v>7893300</v>
      </c>
      <c r="CA337" s="5">
        <f t="shared" si="808"/>
        <v>4634075.2646561321</v>
      </c>
      <c r="CC337" s="5">
        <f t="shared" si="809"/>
        <v>139532510.03667128</v>
      </c>
      <c r="CD337" s="5" t="str">
        <f t="shared" si="810"/>
        <v>Oregon</v>
      </c>
      <c r="CE337" s="5">
        <f t="shared" si="763"/>
        <v>0.84546071117139809</v>
      </c>
      <c r="CF337" s="10">
        <f t="shared" si="811"/>
        <v>0.60035901294962779</v>
      </c>
    </row>
    <row r="338" spans="1:84" x14ac:dyDescent="0.2">
      <c r="A338">
        <v>39000000005701</v>
      </c>
      <c r="B338">
        <v>2015</v>
      </c>
      <c r="C338">
        <v>436</v>
      </c>
      <c r="D338" t="s">
        <v>569</v>
      </c>
      <c r="E338">
        <v>6</v>
      </c>
      <c r="F338" t="s">
        <v>570</v>
      </c>
      <c r="G338" t="s">
        <v>571</v>
      </c>
      <c r="H338" t="s">
        <v>422</v>
      </c>
      <c r="I338" t="b">
        <v>1</v>
      </c>
      <c r="J338">
        <v>1926539</v>
      </c>
      <c r="K338">
        <v>6857497</v>
      </c>
      <c r="L338">
        <v>0</v>
      </c>
      <c r="M338">
        <v>-223437</v>
      </c>
      <c r="N338">
        <v>0</v>
      </c>
      <c r="O338">
        <v>6220601</v>
      </c>
      <c r="Q338">
        <v>2339998</v>
      </c>
      <c r="R338">
        <v>92560832</v>
      </c>
      <c r="S338">
        <v>94900830</v>
      </c>
      <c r="T338">
        <v>2596731</v>
      </c>
      <c r="V338">
        <v>984634</v>
      </c>
      <c r="W338">
        <v>1327637</v>
      </c>
      <c r="Y338">
        <v>41452</v>
      </c>
      <c r="Z338">
        <v>0</v>
      </c>
      <c r="AA338">
        <v>-1353051</v>
      </c>
      <c r="AB338">
        <v>52938572</v>
      </c>
      <c r="AC338">
        <v>51585521</v>
      </c>
      <c r="AD338">
        <v>43315309</v>
      </c>
      <c r="AE338">
        <v>39622260</v>
      </c>
      <c r="AF338">
        <v>3693049</v>
      </c>
      <c r="AG338">
        <v>12866473</v>
      </c>
      <c r="AH338">
        <v>0.20182150928230294</v>
      </c>
      <c r="AI338" t="b">
        <v>1</v>
      </c>
      <c r="AK338">
        <v>7.4999999999999997E-2</v>
      </c>
      <c r="AL338">
        <v>7.4999999999999997E-2</v>
      </c>
      <c r="AM338">
        <v>7.4999999999999997E-2</v>
      </c>
      <c r="AN338">
        <v>7.4999999999999997E-2</v>
      </c>
      <c r="AO338">
        <v>1</v>
      </c>
      <c r="AP338">
        <v>0</v>
      </c>
      <c r="AS338">
        <v>53390292</v>
      </c>
      <c r="AT338">
        <v>34847279</v>
      </c>
      <c r="BB338">
        <f t="shared" ref="BB338:BB345" si="812">AC338/S338</f>
        <v>0.54357291711779554</v>
      </c>
      <c r="BD338">
        <f t="shared" ref="BD338:BD345" si="813">AS338-AD338</f>
        <v>10074983</v>
      </c>
      <c r="BE338">
        <f t="shared" ref="BE338:BE345" si="814">AT338-AD338</f>
        <v>-8468030</v>
      </c>
      <c r="BF338">
        <f t="shared" ref="BF338:BF345" si="815">BD338/S338*100</f>
        <v>10.616327591655415</v>
      </c>
      <c r="BG338">
        <f t="shared" ref="BG338:BG345" si="816">BE338/S338*100</f>
        <v>-8.9230304940430987</v>
      </c>
      <c r="BH338">
        <f t="shared" ref="BH338:BH345" si="817">(BD338-BE338)/(2*S338)*100</f>
        <v>9.7696790428492566</v>
      </c>
      <c r="BI338">
        <f t="shared" ref="BI338:BI345" si="818">(BD338+BE338)/(2*S338*(0.01^2))</f>
        <v>84.664854880615891</v>
      </c>
      <c r="BJ338">
        <f t="shared" ref="BJ338:BJ345" si="819">ROUND(BH338,0)</f>
        <v>10</v>
      </c>
      <c r="BK338">
        <f>IF($BJ338&lt;=30,IF($B338=2015,VLOOKUP($BJ338,'Treasury Yields'!$C$5:$N$34,$E338,FALSE)/100,IF($B338=2016,VLOOKUP($BJ338,'Treasury Yields'!$C$40:$N$69,$E338,FALSE)/100,IF($B338=2017,VLOOKUP($BJ338,'Treasury Yields'!$C$75:$N$104,$E338,FALSE)/100,IF($B338=2018,VLOOKUP($BJ338,'Treasury Yields'!$C$110:$N$139,$E338,FALSE)/100,IF($B338=2019,VLOOKUP($BJ338,'Treasury Yields'!$C$145:$N$174,$E338,FALSE)/100,IF($B338=2020,VLOOKUP($BJ338,'Treasury Yields'!$C$180:$N$209,$E338,FALSE)/100,IF($B338=2021,VLOOKUP($BJ338,'Treasury Yields'!$C$215:$N$244,$E338,FALSE)/100,IF($B338=2022,VLOOKUP($BJ338,'Treasury Yields'!$C$250:$N$279,$E338,FALSE)/100)))))))),0)</f>
        <v>2.7109999999999999E-2</v>
      </c>
      <c r="BL338">
        <f t="shared" ref="BL338:BL345" si="820">1+BH338*(AL338-BK338)+(AL338-BK338)^2</f>
        <v>1.4701633814620509</v>
      </c>
      <c r="BM338">
        <f t="shared" ref="BM338:BM345" si="821">BL338*R338</f>
        <v>136079545.76406083</v>
      </c>
      <c r="BN338">
        <f t="shared" ref="BN338:BN345" si="822">BM338-AB338</f>
        <v>83140973.764060825</v>
      </c>
      <c r="BP338">
        <f>IF($BJ338&lt;=30,IF($B338=2015,VLOOKUP($BJ338,'Treasury Yields'!$C$40:$N$69,$E338,FALSE)/100,IF($B338=2016,VLOOKUP($BJ338,'Treasury Yields'!$C$75:$N$104,$E338,FALSE)/100,IF($B338=2017,VLOOKUP($BJ338,'Treasury Yields'!$C$110:$N$139,$E338,FALSE)/100,IF($B338=2018,VLOOKUP($BJ338,'Treasury Yields'!$C$145:$N$174,$E338,FALSE)/100,IF($B338=2019,VLOOKUP($BJ338,'Treasury Yields'!$C$180:$N$209,$E338,FALSE)/100,IF($B338=2020,VLOOKUP($BJ338,'Treasury Yields'!$C$215:$N$244,$E338,FALSE)/100,IF($B338=2021,VLOOKUP($BJ338,'Treasury Yields'!$C$250:$N$279,$E338,FALSE)/100,IF($B338=2022,VLOOKUP($BJ338,'Treasury Yields'!$C$285:$N$314,$E338,FALSE)/100)))))))),0)</f>
        <v>2.5470000000000003E-2</v>
      </c>
      <c r="BQ338">
        <f t="shared" ref="BQ338:BQ345" si="823">1+BH338*(AN338-BP338)+(AN338-BP338)^2</f>
        <v>1.4863454238923237</v>
      </c>
      <c r="BR338">
        <f t="shared" ref="BR338:BR345" si="824">BQ338*S338</f>
        <v>141055414.39408335</v>
      </c>
      <c r="BS338">
        <f t="shared" ref="BS338:BS345" si="825">BR338-AC338</f>
        <v>89469893.394083351</v>
      </c>
      <c r="BU338">
        <f t="shared" si="765"/>
        <v>13</v>
      </c>
      <c r="BV338">
        <f t="shared" ref="BV338:BV345" si="826">1+(BH338+BU338)*(AN338-BK338)+(AN338-BK338)^2*BI338</f>
        <v>2.2846147185841947</v>
      </c>
      <c r="BW338">
        <f t="shared" ref="BW338:BW345" si="827">BV338*J338</f>
        <v>4401399.3553264756</v>
      </c>
      <c r="BX338" s="5">
        <f t="shared" ref="BX338:BX345" si="828">(BM338+BW338-O338)*BK338</f>
        <v>3639797.9290765896</v>
      </c>
      <c r="BY338" s="5">
        <f t="shared" ref="BY338:BY345" si="829">BK338*(BN338+BW338-O338)</f>
        <v>2204633.2421565894</v>
      </c>
      <c r="BZ338" s="5">
        <f t="shared" ref="BZ338:BZ345" si="830">SUM(J338:K338)</f>
        <v>8784036</v>
      </c>
      <c r="CA338" s="5">
        <f t="shared" ref="CA338:CA345" si="831">SUM(BW338+BY338)</f>
        <v>6606032.597483065</v>
      </c>
      <c r="CC338" s="5">
        <f t="shared" ref="CC338:CC345" si="832">BR338</f>
        <v>141055414.39408335</v>
      </c>
      <c r="CD338" s="5" t="str">
        <f t="shared" ref="CD338:CD345" si="833">F338</f>
        <v>Pennsylvania</v>
      </c>
      <c r="CE338" s="5">
        <f t="shared" si="763"/>
        <v>0.54357291711779554</v>
      </c>
      <c r="CF338" s="10">
        <f t="shared" ref="CF338:CF345" si="834">AC338/CC338</f>
        <v>0.36571103081431083</v>
      </c>
    </row>
    <row r="339" spans="1:84" x14ac:dyDescent="0.2">
      <c r="A339">
        <v>39000000005701</v>
      </c>
      <c r="B339">
        <v>2016</v>
      </c>
      <c r="C339">
        <v>436</v>
      </c>
      <c r="D339" t="s">
        <v>569</v>
      </c>
      <c r="E339">
        <v>6</v>
      </c>
      <c r="F339" t="s">
        <v>570</v>
      </c>
      <c r="G339" t="s">
        <v>571</v>
      </c>
      <c r="H339" t="s">
        <v>422</v>
      </c>
      <c r="I339" t="b">
        <v>1</v>
      </c>
      <c r="J339">
        <v>1932401</v>
      </c>
      <c r="K339">
        <v>7028292</v>
      </c>
      <c r="M339">
        <v>-348429</v>
      </c>
      <c r="N339">
        <v>2236118</v>
      </c>
      <c r="O339">
        <v>6360325</v>
      </c>
      <c r="Q339">
        <v>4488057</v>
      </c>
      <c r="R339">
        <v>94900830</v>
      </c>
      <c r="S339">
        <v>99388887</v>
      </c>
      <c r="T339">
        <v>3189510</v>
      </c>
      <c r="V339">
        <v>989266</v>
      </c>
      <c r="W339">
        <v>473206</v>
      </c>
      <c r="Y339">
        <v>45118</v>
      </c>
      <c r="AA339">
        <v>-1753461</v>
      </c>
      <c r="AB339">
        <v>51585521</v>
      </c>
      <c r="AC339">
        <v>49832060</v>
      </c>
      <c r="AD339">
        <v>49556827</v>
      </c>
      <c r="AE339">
        <v>43315309</v>
      </c>
      <c r="AF339">
        <v>6241518</v>
      </c>
      <c r="AG339">
        <v>12951077</v>
      </c>
      <c r="AH339">
        <v>0.24627372688773297</v>
      </c>
      <c r="AI339" t="b">
        <v>1</v>
      </c>
      <c r="AK339">
        <v>7.4999999999999997E-2</v>
      </c>
      <c r="AL339">
        <v>7.2499999999999995E-2</v>
      </c>
      <c r="AM339">
        <v>7.2499999999999995E-2</v>
      </c>
      <c r="AN339">
        <v>7.4999999999999997E-2</v>
      </c>
      <c r="AO339">
        <v>1</v>
      </c>
      <c r="AP339">
        <v>0</v>
      </c>
      <c r="AS339">
        <v>60621334</v>
      </c>
      <c r="AT339">
        <v>40259380</v>
      </c>
      <c r="AU339" t="s">
        <v>184</v>
      </c>
      <c r="AV339" t="s">
        <v>572</v>
      </c>
      <c r="BB339">
        <f t="shared" si="812"/>
        <v>0.50138462663335792</v>
      </c>
      <c r="BD339">
        <f t="shared" si="813"/>
        <v>11064507</v>
      </c>
      <c r="BE339">
        <f t="shared" si="814"/>
        <v>-9297447</v>
      </c>
      <c r="BF339">
        <f t="shared" si="815"/>
        <v>11.132539395475874</v>
      </c>
      <c r="BG339">
        <f t="shared" si="816"/>
        <v>-9.3546142638663419</v>
      </c>
      <c r="BH339">
        <f t="shared" si="817"/>
        <v>10.243576829671108</v>
      </c>
      <c r="BI339">
        <f t="shared" si="818"/>
        <v>88.896256580476631</v>
      </c>
      <c r="BJ339">
        <f t="shared" si="819"/>
        <v>10</v>
      </c>
      <c r="BK339">
        <f>IF($BJ339&lt;=30,IF($B339=2015,VLOOKUP($BJ339,'Treasury Yields'!$C$5:$N$34,$E339,FALSE)/100,IF($B339=2016,VLOOKUP($BJ339,'Treasury Yields'!$C$40:$N$69,$E339,FALSE)/100,IF($B339=2017,VLOOKUP($BJ339,'Treasury Yields'!$C$75:$N$104,$E339,FALSE)/100,IF($B339=2018,VLOOKUP($BJ339,'Treasury Yields'!$C$110:$N$139,$E339,FALSE)/100,IF($B339=2019,VLOOKUP($BJ339,'Treasury Yields'!$C$145:$N$174,$E339,FALSE)/100,IF($B339=2020,VLOOKUP($BJ339,'Treasury Yields'!$C$180:$N$209,$E339,FALSE)/100,IF($B339=2021,VLOOKUP($BJ339,'Treasury Yields'!$C$215:$N$244,$E339,FALSE)/100,IF($B339=2022,VLOOKUP($BJ339,'Treasury Yields'!$C$250:$N$279,$E339,FALSE)/100)))))))),0)</f>
        <v>2.5470000000000003E-2</v>
      </c>
      <c r="BL339">
        <f t="shared" si="820"/>
        <v>1.4839672391994321</v>
      </c>
      <c r="BM339">
        <f t="shared" si="821"/>
        <v>140829722.69283465</v>
      </c>
      <c r="BN339">
        <f t="shared" si="822"/>
        <v>89244201.692834646</v>
      </c>
      <c r="BP339">
        <f>IF($BJ339&lt;=30,IF($B339=2015,VLOOKUP($BJ339,'Treasury Yields'!$C$40:$N$69,$E339,FALSE)/100,IF($B339=2016,VLOOKUP($BJ339,'Treasury Yields'!$C$75:$N$104,$E339,FALSE)/100,IF($B339=2017,VLOOKUP($BJ339,'Treasury Yields'!$C$110:$N$139,$E339,FALSE)/100,IF($B339=2018,VLOOKUP($BJ339,'Treasury Yields'!$C$145:$N$174,$E339,FALSE)/100,IF($B339=2019,VLOOKUP($BJ339,'Treasury Yields'!$C$180:$N$209,$E339,FALSE)/100,IF($B339=2020,VLOOKUP($BJ339,'Treasury Yields'!$C$215:$N$244,$E339,FALSE)/100,IF($B339=2021,VLOOKUP($BJ339,'Treasury Yields'!$C$250:$N$279,$E339,FALSE)/100,IF($B339=2022,VLOOKUP($BJ339,'Treasury Yields'!$C$285:$N$314,$E339,FALSE)/100)))))))),0)</f>
        <v>1.635E-2</v>
      </c>
      <c r="BQ339">
        <f t="shared" si="823"/>
        <v>1.6042256035602105</v>
      </c>
      <c r="BR339">
        <f t="shared" si="824"/>
        <v>159442197.23475257</v>
      </c>
      <c r="BS339">
        <f t="shared" si="825"/>
        <v>109610137.23475257</v>
      </c>
      <c r="BU339">
        <f t="shared" si="765"/>
        <v>13</v>
      </c>
      <c r="BV339">
        <f t="shared" si="826"/>
        <v>2.3693365149485976</v>
      </c>
      <c r="BW339">
        <f t="shared" si="827"/>
        <v>4578508.2508231848</v>
      </c>
      <c r="BX339" s="5">
        <f t="shared" si="828"/>
        <v>3541550.1643849649</v>
      </c>
      <c r="BY339" s="5">
        <f t="shared" si="829"/>
        <v>2227666.9445149652</v>
      </c>
      <c r="BZ339" s="5">
        <f t="shared" si="830"/>
        <v>8960693</v>
      </c>
      <c r="CA339" s="5">
        <f t="shared" si="831"/>
        <v>6806175.1953381505</v>
      </c>
      <c r="CC339" s="5">
        <f t="shared" si="832"/>
        <v>159442197.23475257</v>
      </c>
      <c r="CD339" s="5" t="str">
        <f t="shared" si="833"/>
        <v>Pennsylvania</v>
      </c>
      <c r="CE339" s="5">
        <f t="shared" si="763"/>
        <v>0.50138462663335792</v>
      </c>
      <c r="CF339" s="10">
        <f t="shared" si="834"/>
        <v>0.31253997288202467</v>
      </c>
    </row>
    <row r="340" spans="1:84" x14ac:dyDescent="0.2">
      <c r="A340">
        <v>39000000005701</v>
      </c>
      <c r="B340">
        <v>2017</v>
      </c>
      <c r="C340">
        <v>436</v>
      </c>
      <c r="D340" t="s">
        <v>569</v>
      </c>
      <c r="E340">
        <v>6</v>
      </c>
      <c r="F340" t="s">
        <v>570</v>
      </c>
      <c r="G340" t="s">
        <v>571</v>
      </c>
      <c r="H340" t="s">
        <v>422</v>
      </c>
      <c r="I340" t="b">
        <v>1</v>
      </c>
      <c r="J340">
        <v>1873844</v>
      </c>
      <c r="K340">
        <v>7110987</v>
      </c>
      <c r="L340">
        <v>-449</v>
      </c>
      <c r="M340">
        <v>644051</v>
      </c>
      <c r="N340">
        <v>0</v>
      </c>
      <c r="O340">
        <v>6473579</v>
      </c>
      <c r="Q340">
        <v>3154854</v>
      </c>
      <c r="R340">
        <v>99388887</v>
      </c>
      <c r="S340">
        <v>102543741</v>
      </c>
      <c r="T340">
        <v>3832773</v>
      </c>
      <c r="V340">
        <v>1013847</v>
      </c>
      <c r="W340">
        <v>4995362</v>
      </c>
      <c r="Y340">
        <v>45127</v>
      </c>
      <c r="AA340">
        <v>3323276</v>
      </c>
      <c r="AB340">
        <v>49832060</v>
      </c>
      <c r="AC340">
        <v>53155336</v>
      </c>
      <c r="AD340">
        <v>49388405</v>
      </c>
      <c r="AE340">
        <v>49556827</v>
      </c>
      <c r="AF340">
        <v>-168422</v>
      </c>
      <c r="AG340">
        <v>13313900</v>
      </c>
      <c r="AH340">
        <v>0.2878775565386551</v>
      </c>
      <c r="AI340" t="b">
        <v>1</v>
      </c>
      <c r="AK340">
        <v>7.2499999999999995E-2</v>
      </c>
      <c r="AL340">
        <v>7.2499999999999995E-2</v>
      </c>
      <c r="AM340">
        <v>7.2499999999999995E-2</v>
      </c>
      <c r="AN340">
        <v>7.2499999999999995E-2</v>
      </c>
      <c r="AO340">
        <v>1</v>
      </c>
      <c r="AP340">
        <v>0</v>
      </c>
      <c r="AS340">
        <v>60792831</v>
      </c>
      <c r="AT340">
        <v>39759842</v>
      </c>
      <c r="AU340" t="s">
        <v>82</v>
      </c>
      <c r="AV340" t="s">
        <v>573</v>
      </c>
      <c r="BB340">
        <f t="shared" si="812"/>
        <v>0.51836743502463012</v>
      </c>
      <c r="BD340">
        <f t="shared" si="813"/>
        <v>11404426</v>
      </c>
      <c r="BE340">
        <f t="shared" si="814"/>
        <v>-9628563</v>
      </c>
      <c r="BF340">
        <f t="shared" si="815"/>
        <v>11.12152325318422</v>
      </c>
      <c r="BG340">
        <f t="shared" si="816"/>
        <v>-9.3897130201247485</v>
      </c>
      <c r="BH340">
        <f t="shared" si="817"/>
        <v>10.255618136654483</v>
      </c>
      <c r="BI340">
        <f t="shared" si="818"/>
        <v>86.590511652973532</v>
      </c>
      <c r="BJ340">
        <f t="shared" si="819"/>
        <v>10</v>
      </c>
      <c r="BK340">
        <f>IF($BJ340&lt;=30,IF($B340=2015,VLOOKUP($BJ340,'Treasury Yields'!$C$5:$N$34,$E340,FALSE)/100,IF($B340=2016,VLOOKUP($BJ340,'Treasury Yields'!$C$40:$N$69,$E340,FALSE)/100,IF($B340=2017,VLOOKUP($BJ340,'Treasury Yields'!$C$75:$N$104,$E340,FALSE)/100,IF($B340=2018,VLOOKUP($BJ340,'Treasury Yields'!$C$110:$N$139,$E340,FALSE)/100,IF($B340=2019,VLOOKUP($BJ340,'Treasury Yields'!$C$145:$N$174,$E340,FALSE)/100,IF($B340=2020,VLOOKUP($BJ340,'Treasury Yields'!$C$180:$N$209,$E340,FALSE)/100,IF($B340=2021,VLOOKUP($BJ340,'Treasury Yields'!$C$215:$N$244,$E340,FALSE)/100,IF($B340=2022,VLOOKUP($BJ340,'Treasury Yields'!$C$250:$N$279,$E340,FALSE)/100)))))))),0)</f>
        <v>1.635E-2</v>
      </c>
      <c r="BL340">
        <f t="shared" si="820"/>
        <v>1.579005780873149</v>
      </c>
      <c r="BM340">
        <f t="shared" si="821"/>
        <v>156935627.12754816</v>
      </c>
      <c r="BN340">
        <f t="shared" si="822"/>
        <v>107103567.12754816</v>
      </c>
      <c r="BP340">
        <f>IF($BJ340&lt;=30,IF($B340=2015,VLOOKUP($BJ340,'Treasury Yields'!$C$40:$N$69,$E340,FALSE)/100,IF($B340=2016,VLOOKUP($BJ340,'Treasury Yields'!$C$75:$N$104,$E340,FALSE)/100,IF($B340=2017,VLOOKUP($BJ340,'Treasury Yields'!$C$110:$N$139,$E340,FALSE)/100,IF($B340=2018,VLOOKUP($BJ340,'Treasury Yields'!$C$145:$N$174,$E340,FALSE)/100,IF($B340=2019,VLOOKUP($BJ340,'Treasury Yields'!$C$180:$N$209,$E340,FALSE)/100,IF($B340=2020,VLOOKUP($BJ340,'Treasury Yields'!$C$215:$N$244,$E340,FALSE)/100,IF($B340=2021,VLOOKUP($BJ340,'Treasury Yields'!$C$250:$N$279,$E340,FALSE)/100,IF($B340=2022,VLOOKUP($BJ340,'Treasury Yields'!$C$285:$N$314,$E340,FALSE)/100)))))))),0)</f>
        <v>2.4670000000000001E-2</v>
      </c>
      <c r="BQ340">
        <f t="shared" si="823"/>
        <v>1.492813924376184</v>
      </c>
      <c r="BR340">
        <f t="shared" si="824"/>
        <v>153078724.422425</v>
      </c>
      <c r="BS340">
        <f t="shared" si="825"/>
        <v>99923388.422425002</v>
      </c>
      <c r="BU340">
        <f t="shared" si="765"/>
        <v>13</v>
      </c>
      <c r="BV340">
        <f t="shared" si="826"/>
        <v>2.5788074717991556</v>
      </c>
      <c r="BW340">
        <f t="shared" si="827"/>
        <v>4832282.9081860166</v>
      </c>
      <c r="BX340" s="5">
        <f t="shared" si="828"/>
        <v>2539062.3124342537</v>
      </c>
      <c r="BY340" s="5">
        <f t="shared" si="829"/>
        <v>1724308.1314342539</v>
      </c>
      <c r="BZ340" s="5">
        <f t="shared" si="830"/>
        <v>8984831</v>
      </c>
      <c r="CA340" s="5">
        <f t="shared" si="831"/>
        <v>6556591.039620271</v>
      </c>
      <c r="CC340" s="5">
        <f t="shared" si="832"/>
        <v>153078724.422425</v>
      </c>
      <c r="CD340" s="5" t="str">
        <f t="shared" si="833"/>
        <v>Pennsylvania</v>
      </c>
      <c r="CE340" s="5">
        <f t="shared" si="763"/>
        <v>0.51836743502463012</v>
      </c>
      <c r="CF340" s="10">
        <f t="shared" si="834"/>
        <v>0.34724182737057807</v>
      </c>
    </row>
    <row r="341" spans="1:84" x14ac:dyDescent="0.2">
      <c r="A341">
        <v>39000000005701</v>
      </c>
      <c r="B341">
        <v>2018</v>
      </c>
      <c r="C341">
        <v>436</v>
      </c>
      <c r="D341" t="s">
        <v>569</v>
      </c>
      <c r="E341">
        <v>6</v>
      </c>
      <c r="F341" t="s">
        <v>570</v>
      </c>
      <c r="G341" t="s">
        <v>571</v>
      </c>
      <c r="H341" t="s">
        <v>422</v>
      </c>
      <c r="I341" t="b">
        <v>1</v>
      </c>
      <c r="J341">
        <v>1890906</v>
      </c>
      <c r="K341">
        <v>7334484</v>
      </c>
      <c r="M341">
        <v>-745306</v>
      </c>
      <c r="N341">
        <v>0</v>
      </c>
      <c r="O341">
        <v>6655146</v>
      </c>
      <c r="Q341">
        <v>1824938</v>
      </c>
      <c r="R341">
        <v>102543741</v>
      </c>
      <c r="S341">
        <v>104368679</v>
      </c>
      <c r="T341">
        <v>4249611</v>
      </c>
      <c r="V341">
        <v>1026375</v>
      </c>
      <c r="W341">
        <v>4714158</v>
      </c>
      <c r="Y341">
        <v>46544</v>
      </c>
      <c r="AA341">
        <v>3208378</v>
      </c>
      <c r="AB341">
        <v>53155336</v>
      </c>
      <c r="AC341">
        <v>56363714</v>
      </c>
      <c r="AD341">
        <v>48004965</v>
      </c>
      <c r="AE341">
        <v>49388405</v>
      </c>
      <c r="AF341">
        <v>-1383440</v>
      </c>
      <c r="AG341">
        <v>13466526</v>
      </c>
      <c r="AH341">
        <v>0.31556846955183543</v>
      </c>
      <c r="AI341" t="b">
        <v>1</v>
      </c>
      <c r="AK341">
        <v>7.2499999999999995E-2</v>
      </c>
      <c r="AL341">
        <v>7.2499999999999995E-2</v>
      </c>
      <c r="AM341">
        <v>7.2499999999999995E-2</v>
      </c>
      <c r="AN341">
        <v>7.2499999999999995E-2</v>
      </c>
      <c r="AO341">
        <v>1</v>
      </c>
      <c r="AP341">
        <v>0</v>
      </c>
      <c r="AS341">
        <v>59505689</v>
      </c>
      <c r="AT341">
        <v>38280768</v>
      </c>
      <c r="AU341" t="s">
        <v>574</v>
      </c>
      <c r="AV341" t="s">
        <v>575</v>
      </c>
      <c r="BB341">
        <f t="shared" si="812"/>
        <v>0.54004433648144579</v>
      </c>
      <c r="BD341">
        <f t="shared" si="813"/>
        <v>11500724</v>
      </c>
      <c r="BE341">
        <f t="shared" si="814"/>
        <v>-9724197</v>
      </c>
      <c r="BF341">
        <f t="shared" si="815"/>
        <v>11.019325060155259</v>
      </c>
      <c r="BG341">
        <f t="shared" si="816"/>
        <v>-9.3171601798275141</v>
      </c>
      <c r="BH341">
        <f t="shared" si="817"/>
        <v>10.168242619991387</v>
      </c>
      <c r="BI341">
        <f t="shared" si="818"/>
        <v>85.108244016387317</v>
      </c>
      <c r="BJ341">
        <f t="shared" si="819"/>
        <v>10</v>
      </c>
      <c r="BK341">
        <f>IF($BJ341&lt;=30,IF($B341=2015,VLOOKUP($BJ341,'Treasury Yields'!$C$5:$N$34,$E341,FALSE)/100,IF($B341=2016,VLOOKUP($BJ341,'Treasury Yields'!$C$40:$N$69,$E341,FALSE)/100,IF($B341=2017,VLOOKUP($BJ341,'Treasury Yields'!$C$75:$N$104,$E341,FALSE)/100,IF($B341=2018,VLOOKUP($BJ341,'Treasury Yields'!$C$110:$N$139,$E341,FALSE)/100,IF($B341=2019,VLOOKUP($BJ341,'Treasury Yields'!$C$145:$N$174,$E341,FALSE)/100,IF($B341=2020,VLOOKUP($BJ341,'Treasury Yields'!$C$180:$N$209,$E341,FALSE)/100,IF($B341=2021,VLOOKUP($BJ341,'Treasury Yields'!$C$215:$N$244,$E341,FALSE)/100,IF($B341=2022,VLOOKUP($BJ341,'Treasury Yields'!$C$250:$N$279,$E341,FALSE)/100)))))))),0)</f>
        <v>2.4670000000000001E-2</v>
      </c>
      <c r="BL341">
        <f t="shared" si="820"/>
        <v>1.4886347534141879</v>
      </c>
      <c r="BM341">
        <f t="shared" si="821"/>
        <v>152650176.59770337</v>
      </c>
      <c r="BN341">
        <f t="shared" si="822"/>
        <v>99494840.597703367</v>
      </c>
      <c r="BP341">
        <f>IF($BJ341&lt;=30,IF($B341=2015,VLOOKUP($BJ341,'Treasury Yields'!$C$40:$N$69,$E341,FALSE)/100,IF($B341=2016,VLOOKUP($BJ341,'Treasury Yields'!$C$75:$N$104,$E341,FALSE)/100,IF($B341=2017,VLOOKUP($BJ341,'Treasury Yields'!$C$110:$N$139,$E341,FALSE)/100,IF($B341=2018,VLOOKUP($BJ341,'Treasury Yields'!$C$145:$N$174,$E341,FALSE)/100,IF($B341=2019,VLOOKUP($BJ341,'Treasury Yields'!$C$180:$N$209,$E341,FALSE)/100,IF($B341=2020,VLOOKUP($BJ341,'Treasury Yields'!$C$215:$N$244,$E341,FALSE)/100,IF($B341=2021,VLOOKUP($BJ341,'Treasury Yields'!$C$250:$N$279,$E341,FALSE)/100,IF($B341=2022,VLOOKUP($BJ341,'Treasury Yields'!$C$285:$N$314,$E341,FALSE)/100)))))))),0)</f>
        <v>2.964E-2</v>
      </c>
      <c r="BQ341">
        <f t="shared" si="823"/>
        <v>1.4376478582928307</v>
      </c>
      <c r="BR341">
        <f t="shared" si="824"/>
        <v>150045407.83720192</v>
      </c>
      <c r="BS341">
        <f t="shared" si="825"/>
        <v>93681693.837201923</v>
      </c>
      <c r="BU341">
        <f t="shared" si="765"/>
        <v>13</v>
      </c>
      <c r="BV341">
        <f t="shared" si="826"/>
        <v>2.3028399318138488</v>
      </c>
      <c r="BW341">
        <f t="shared" si="827"/>
        <v>4354453.8441063976</v>
      </c>
      <c r="BX341" s="5">
        <f t="shared" si="828"/>
        <v>3709121.7811794472</v>
      </c>
      <c r="BY341" s="5">
        <f t="shared" si="829"/>
        <v>2397779.6420594468</v>
      </c>
      <c r="BZ341" s="5">
        <f t="shared" si="830"/>
        <v>9225390</v>
      </c>
      <c r="CA341" s="5">
        <f t="shared" si="831"/>
        <v>6752233.4861658439</v>
      </c>
      <c r="CC341" s="5">
        <f t="shared" si="832"/>
        <v>150045407.83720192</v>
      </c>
      <c r="CD341" s="5" t="str">
        <f t="shared" si="833"/>
        <v>Pennsylvania</v>
      </c>
      <c r="CE341" s="5">
        <f t="shared" si="763"/>
        <v>0.54004433648144579</v>
      </c>
      <c r="CF341" s="10">
        <f t="shared" si="834"/>
        <v>0.37564437867471545</v>
      </c>
    </row>
    <row r="342" spans="1:84" x14ac:dyDescent="0.2">
      <c r="A342">
        <v>39000000005701</v>
      </c>
      <c r="B342">
        <v>2019</v>
      </c>
      <c r="C342">
        <v>436</v>
      </c>
      <c r="D342" t="s">
        <v>569</v>
      </c>
      <c r="E342">
        <v>6</v>
      </c>
      <c r="F342" t="s">
        <v>570</v>
      </c>
      <c r="G342" t="s">
        <v>571</v>
      </c>
      <c r="H342" t="s">
        <v>422</v>
      </c>
      <c r="I342" t="b">
        <v>1</v>
      </c>
      <c r="J342">
        <v>1921417</v>
      </c>
      <c r="K342">
        <v>7465228</v>
      </c>
      <c r="M342">
        <v>-1477660</v>
      </c>
      <c r="N342">
        <v>0</v>
      </c>
      <c r="O342">
        <v>6761172</v>
      </c>
      <c r="Q342">
        <v>1147813</v>
      </c>
      <c r="R342">
        <v>104368679</v>
      </c>
      <c r="S342">
        <v>105516492</v>
      </c>
      <c r="T342">
        <v>4487520</v>
      </c>
      <c r="V342">
        <v>1064043</v>
      </c>
      <c r="W342">
        <v>3628710</v>
      </c>
      <c r="Y342">
        <v>48931</v>
      </c>
      <c r="AA342">
        <v>2370170</v>
      </c>
      <c r="AB342">
        <v>56363714</v>
      </c>
      <c r="AC342">
        <v>58733884</v>
      </c>
      <c r="AD342">
        <v>46782608</v>
      </c>
      <c r="AE342">
        <v>48004965</v>
      </c>
      <c r="AF342">
        <v>-1222357</v>
      </c>
      <c r="AG342">
        <v>13791197</v>
      </c>
      <c r="AH342">
        <v>0.32539017461646003</v>
      </c>
      <c r="AI342" t="b">
        <v>1</v>
      </c>
      <c r="AK342">
        <v>7.2499999999999995E-2</v>
      </c>
      <c r="AL342">
        <v>7.2499999999999995E-2</v>
      </c>
      <c r="AM342">
        <v>7.2499999999999995E-2</v>
      </c>
      <c r="AN342">
        <v>7.2499999999999995E-2</v>
      </c>
      <c r="AO342">
        <v>1</v>
      </c>
      <c r="AP342">
        <v>0</v>
      </c>
      <c r="AS342">
        <v>58272877</v>
      </c>
      <c r="AT342">
        <v>37053172</v>
      </c>
      <c r="AU342" t="s">
        <v>84</v>
      </c>
      <c r="AV342" t="s">
        <v>576</v>
      </c>
      <c r="BB342">
        <f t="shared" si="812"/>
        <v>0.55663226559882217</v>
      </c>
      <c r="BD342">
        <f t="shared" si="813"/>
        <v>11490269</v>
      </c>
      <c r="BE342">
        <f t="shared" si="814"/>
        <v>-9729436</v>
      </c>
      <c r="BF342">
        <f t="shared" si="815"/>
        <v>10.889547958057589</v>
      </c>
      <c r="BG342">
        <f t="shared" si="816"/>
        <v>-9.2207728058283056</v>
      </c>
      <c r="BH342">
        <f t="shared" si="817"/>
        <v>10.055160381942947</v>
      </c>
      <c r="BI342">
        <f t="shared" si="818"/>
        <v>83.438757611464183</v>
      </c>
      <c r="BJ342">
        <f t="shared" si="819"/>
        <v>10</v>
      </c>
      <c r="BK342">
        <f>IF($BJ342&lt;=30,IF($B342=2015,VLOOKUP($BJ342,'Treasury Yields'!$C$5:$N$34,$E342,FALSE)/100,IF($B342=2016,VLOOKUP($BJ342,'Treasury Yields'!$C$40:$N$69,$E342,FALSE)/100,IF($B342=2017,VLOOKUP($BJ342,'Treasury Yields'!$C$75:$N$104,$E342,FALSE)/100,IF($B342=2018,VLOOKUP($BJ342,'Treasury Yields'!$C$110:$N$139,$E342,FALSE)/100,IF($B342=2019,VLOOKUP($BJ342,'Treasury Yields'!$C$145:$N$174,$E342,FALSE)/100,IF($B342=2020,VLOOKUP($BJ342,'Treasury Yields'!$C$180:$N$209,$E342,FALSE)/100,IF($B342=2021,VLOOKUP($BJ342,'Treasury Yields'!$C$215:$N$244,$E342,FALSE)/100,IF($B342=2022,VLOOKUP($BJ342,'Treasury Yields'!$C$250:$N$279,$E342,FALSE)/100)))))))),0)</f>
        <v>2.964E-2</v>
      </c>
      <c r="BL342">
        <f t="shared" si="820"/>
        <v>1.4328011535700746</v>
      </c>
      <c r="BM342">
        <f t="shared" si="821"/>
        <v>149539563.66778481</v>
      </c>
      <c r="BN342">
        <f t="shared" si="822"/>
        <v>93175849.66778481</v>
      </c>
      <c r="BP342">
        <f>IF($BJ342&lt;=30,IF($B342=2015,VLOOKUP($BJ342,'Treasury Yields'!$C$40:$N$69,$E342,FALSE)/100,IF($B342=2016,VLOOKUP($BJ342,'Treasury Yields'!$C$75:$N$104,$E342,FALSE)/100,IF($B342=2017,VLOOKUP($BJ342,'Treasury Yields'!$C$110:$N$139,$E342,FALSE)/100,IF($B342=2018,VLOOKUP($BJ342,'Treasury Yields'!$C$145:$N$174,$E342,FALSE)/100,IF($B342=2019,VLOOKUP($BJ342,'Treasury Yields'!$C$180:$N$209,$E342,FALSE)/100,IF($B342=2020,VLOOKUP($BJ342,'Treasury Yields'!$C$215:$N$244,$E342,FALSE)/100,IF($B342=2021,VLOOKUP($BJ342,'Treasury Yields'!$C$250:$N$279,$E342,FALSE)/100,IF($B342=2022,VLOOKUP($BJ342,'Treasury Yields'!$C$285:$N$314,$E342,FALSE)/100)))))))),0)</f>
        <v>2.1259999999999998E-2</v>
      </c>
      <c r="BQ342">
        <f t="shared" si="823"/>
        <v>1.5178519555707564</v>
      </c>
      <c r="BR342">
        <f t="shared" si="824"/>
        <v>160158413.72716606</v>
      </c>
      <c r="BS342">
        <f t="shared" si="825"/>
        <v>101424529.72716606</v>
      </c>
      <c r="BU342">
        <f t="shared" si="765"/>
        <v>13</v>
      </c>
      <c r="BV342">
        <f t="shared" si="826"/>
        <v>2.1414194695516788</v>
      </c>
      <c r="BW342">
        <f t="shared" si="827"/>
        <v>4114559.7729275781</v>
      </c>
      <c r="BX342" s="5">
        <f t="shared" si="828"/>
        <v>4353907.0807027156</v>
      </c>
      <c r="BY342" s="5">
        <f t="shared" si="829"/>
        <v>2683286.5977427154</v>
      </c>
      <c r="BZ342" s="5">
        <f t="shared" si="830"/>
        <v>9386645</v>
      </c>
      <c r="CA342" s="5">
        <f t="shared" si="831"/>
        <v>6797846.3706702935</v>
      </c>
      <c r="CC342" s="5">
        <f t="shared" si="832"/>
        <v>160158413.72716606</v>
      </c>
      <c r="CD342" s="5" t="str">
        <f t="shared" si="833"/>
        <v>Pennsylvania</v>
      </c>
      <c r="CE342" s="5">
        <f t="shared" si="763"/>
        <v>0.55663226559882217</v>
      </c>
      <c r="CF342" s="10">
        <f t="shared" si="834"/>
        <v>0.36672368708680314</v>
      </c>
    </row>
    <row r="343" spans="1:84" x14ac:dyDescent="0.2">
      <c r="A343">
        <v>39000000005701</v>
      </c>
      <c r="B343">
        <v>2020</v>
      </c>
      <c r="C343">
        <v>436</v>
      </c>
      <c r="D343" t="s">
        <v>569</v>
      </c>
      <c r="E343">
        <v>6</v>
      </c>
      <c r="F343" t="s">
        <v>570</v>
      </c>
      <c r="G343" t="s">
        <v>571</v>
      </c>
      <c r="H343" t="s">
        <v>422</v>
      </c>
      <c r="I343" t="b">
        <v>1</v>
      </c>
      <c r="J343">
        <v>1949427</v>
      </c>
      <c r="K343">
        <v>7546367</v>
      </c>
      <c r="M343">
        <v>-339969</v>
      </c>
      <c r="N343">
        <v>0</v>
      </c>
      <c r="O343">
        <v>6876515</v>
      </c>
      <c r="Q343">
        <v>2279310</v>
      </c>
      <c r="R343">
        <v>105516492</v>
      </c>
      <c r="S343">
        <v>107795802</v>
      </c>
      <c r="T343">
        <v>4676413</v>
      </c>
      <c r="V343">
        <v>1067957</v>
      </c>
      <c r="W343">
        <v>1001846</v>
      </c>
      <c r="Y343">
        <v>46799</v>
      </c>
      <c r="AA343">
        <v>-177098</v>
      </c>
      <c r="AB343">
        <v>58733884</v>
      </c>
      <c r="AC343">
        <v>58556786</v>
      </c>
      <c r="AD343">
        <v>49239016</v>
      </c>
      <c r="AE343">
        <v>46782608</v>
      </c>
      <c r="AF343">
        <v>2456408</v>
      </c>
      <c r="AG343">
        <v>14036006</v>
      </c>
      <c r="AH343">
        <v>0.33317262759790783</v>
      </c>
      <c r="AI343" t="b">
        <v>1</v>
      </c>
      <c r="AK343">
        <v>7.2499999999999995E-2</v>
      </c>
      <c r="AL343">
        <v>7.2499999999999995E-2</v>
      </c>
      <c r="AM343">
        <v>7.2499999999999995E-2</v>
      </c>
      <c r="AN343">
        <v>7.2499999999999995E-2</v>
      </c>
      <c r="AO343">
        <v>1</v>
      </c>
      <c r="AP343">
        <v>0</v>
      </c>
      <c r="AS343">
        <v>60919067</v>
      </c>
      <c r="AT343">
        <v>39344381</v>
      </c>
      <c r="AU343" t="s">
        <v>344</v>
      </c>
      <c r="AV343" t="s">
        <v>577</v>
      </c>
      <c r="BB343">
        <f t="shared" si="812"/>
        <v>0.54321954021920071</v>
      </c>
      <c r="BD343">
        <f t="shared" si="813"/>
        <v>11680051</v>
      </c>
      <c r="BE343">
        <f t="shared" si="814"/>
        <v>-9894635</v>
      </c>
      <c r="BF343">
        <f t="shared" si="815"/>
        <v>10.835348671555874</v>
      </c>
      <c r="BG343">
        <f t="shared" si="816"/>
        <v>-9.1790541156695511</v>
      </c>
      <c r="BH343">
        <f t="shared" si="817"/>
        <v>10.007201393612712</v>
      </c>
      <c r="BI343">
        <f t="shared" si="818"/>
        <v>82.814727794316141</v>
      </c>
      <c r="BJ343">
        <f t="shared" si="819"/>
        <v>10</v>
      </c>
      <c r="BK343">
        <f>IF($BJ343&lt;=30,IF($B343=2015,VLOOKUP($BJ343,'Treasury Yields'!$C$5:$N$34,$E343,FALSE)/100,IF($B343=2016,VLOOKUP($BJ343,'Treasury Yields'!$C$40:$N$69,$E343,FALSE)/100,IF($B343=2017,VLOOKUP($BJ343,'Treasury Yields'!$C$75:$N$104,$E343,FALSE)/100,IF($B343=2018,VLOOKUP($BJ343,'Treasury Yields'!$C$110:$N$139,$E343,FALSE)/100,IF($B343=2019,VLOOKUP($BJ343,'Treasury Yields'!$C$145:$N$174,$E343,FALSE)/100,IF($B343=2020,VLOOKUP($BJ343,'Treasury Yields'!$C$180:$N$209,$E343,FALSE)/100,IF($B343=2021,VLOOKUP($BJ343,'Treasury Yields'!$C$215:$N$244,$E343,FALSE)/100,IF($B343=2022,VLOOKUP($BJ343,'Treasury Yields'!$C$250:$N$279,$E343,FALSE)/100)))))))),0)</f>
        <v>2.1259999999999998E-2</v>
      </c>
      <c r="BL343">
        <f t="shared" si="820"/>
        <v>1.5153945370087152</v>
      </c>
      <c r="BM343">
        <f t="shared" si="821"/>
        <v>159899115.54112381</v>
      </c>
      <c r="BN343">
        <f t="shared" si="822"/>
        <v>101165231.54112381</v>
      </c>
      <c r="BP343">
        <f>IF($BJ343&lt;=30,IF($B343=2015,VLOOKUP($BJ343,'Treasury Yields'!$C$40:$N$69,$E343,FALSE)/100,IF($B343=2016,VLOOKUP($BJ343,'Treasury Yields'!$C$75:$N$104,$E343,FALSE)/100,IF($B343=2017,VLOOKUP($BJ343,'Treasury Yields'!$C$110:$N$139,$E343,FALSE)/100,IF($B343=2018,VLOOKUP($BJ343,'Treasury Yields'!$C$145:$N$174,$E343,FALSE)/100,IF($B343=2019,VLOOKUP($BJ343,'Treasury Yields'!$C$180:$N$209,$E343,FALSE)/100,IF($B343=2020,VLOOKUP($BJ343,'Treasury Yields'!$C$215:$N$244,$E343,FALSE)/100,IF($B343=2021,VLOOKUP($BJ343,'Treasury Yields'!$C$250:$N$279,$E343,FALSE)/100,IF($B343=2022,VLOOKUP($BJ343,'Treasury Yields'!$C$285:$N$314,$E343,FALSE)/100)))))))),0)</f>
        <v>1.5412727272727269E-2</v>
      </c>
      <c r="BQ343">
        <f t="shared" si="823"/>
        <v>1.5745427919013504</v>
      </c>
      <c r="BR343">
        <f t="shared" si="824"/>
        <v>169729103.03632516</v>
      </c>
      <c r="BS343">
        <f t="shared" si="825"/>
        <v>111172317.03632516</v>
      </c>
      <c r="BU343">
        <f t="shared" si="765"/>
        <v>13</v>
      </c>
      <c r="BV343">
        <f t="shared" si="826"/>
        <v>2.396322181066457</v>
      </c>
      <c r="BW343">
        <f t="shared" si="827"/>
        <v>4671455.1604698403</v>
      </c>
      <c r="BX343" s="5">
        <f t="shared" si="828"/>
        <v>3352575.6242158804</v>
      </c>
      <c r="BY343" s="5">
        <f t="shared" si="829"/>
        <v>2103893.2503758809</v>
      </c>
      <c r="BZ343" s="5">
        <f t="shared" si="830"/>
        <v>9495794</v>
      </c>
      <c r="CA343" s="5">
        <f t="shared" si="831"/>
        <v>6775348.4108457211</v>
      </c>
      <c r="CC343" s="5">
        <f t="shared" si="832"/>
        <v>169729103.03632516</v>
      </c>
      <c r="CD343" s="5" t="str">
        <f t="shared" si="833"/>
        <v>Pennsylvania</v>
      </c>
      <c r="CE343" s="5">
        <f t="shared" si="763"/>
        <v>0.54321954021920071</v>
      </c>
      <c r="CF343" s="10">
        <f t="shared" si="834"/>
        <v>0.34500144614249079</v>
      </c>
    </row>
    <row r="344" spans="1:84" x14ac:dyDescent="0.2">
      <c r="A344">
        <v>39000000005701</v>
      </c>
      <c r="B344">
        <v>2021</v>
      </c>
      <c r="C344">
        <v>436</v>
      </c>
      <c r="D344" t="s">
        <v>569</v>
      </c>
      <c r="E344">
        <v>6</v>
      </c>
      <c r="F344" t="s">
        <v>570</v>
      </c>
      <c r="G344" t="s">
        <v>571</v>
      </c>
      <c r="H344" t="s">
        <v>422</v>
      </c>
      <c r="I344" t="b">
        <v>1</v>
      </c>
      <c r="J344">
        <v>1963645</v>
      </c>
      <c r="K344">
        <v>7703465</v>
      </c>
      <c r="M344">
        <v>40322</v>
      </c>
      <c r="N344">
        <v>2655180</v>
      </c>
      <c r="O344">
        <v>7134332</v>
      </c>
      <c r="Q344">
        <v>5228280</v>
      </c>
      <c r="R344">
        <v>107795802</v>
      </c>
      <c r="S344">
        <v>113024082</v>
      </c>
      <c r="T344">
        <v>4759189</v>
      </c>
      <c r="V344">
        <v>1080701</v>
      </c>
      <c r="W344">
        <v>14754624</v>
      </c>
      <c r="Y344">
        <v>49616</v>
      </c>
      <c r="AA344">
        <v>13410566</v>
      </c>
      <c r="AB344">
        <v>58556786</v>
      </c>
      <c r="AC344">
        <v>71967352</v>
      </c>
      <c r="AD344">
        <v>41056730</v>
      </c>
      <c r="AE344">
        <v>49239016</v>
      </c>
      <c r="AF344">
        <v>-8182286</v>
      </c>
      <c r="AG344">
        <v>14176097</v>
      </c>
      <c r="AH344">
        <v>0.33571927449424194</v>
      </c>
      <c r="AI344" t="b">
        <v>1</v>
      </c>
      <c r="AK344">
        <v>7.2499999999999995E-2</v>
      </c>
      <c r="AL344">
        <v>7.0000000000000007E-2</v>
      </c>
      <c r="AM344">
        <v>7.0000000000000007E-2</v>
      </c>
      <c r="AN344">
        <v>7.2499999999999995E-2</v>
      </c>
      <c r="AS344">
        <v>53888457</v>
      </c>
      <c r="AT344">
        <v>30232534</v>
      </c>
      <c r="BB344">
        <f t="shared" si="812"/>
        <v>0.63674352161515457</v>
      </c>
      <c r="BD344">
        <f t="shared" si="813"/>
        <v>12831727</v>
      </c>
      <c r="BE344">
        <f t="shared" si="814"/>
        <v>-10824196</v>
      </c>
      <c r="BF344">
        <f t="shared" si="815"/>
        <v>11.353091104955846</v>
      </c>
      <c r="BG344">
        <f t="shared" si="816"/>
        <v>-9.5768935331852543</v>
      </c>
      <c r="BH344">
        <f t="shared" si="817"/>
        <v>10.46499231907055</v>
      </c>
      <c r="BI344">
        <f t="shared" si="818"/>
        <v>88.809878588529486</v>
      </c>
      <c r="BJ344">
        <f t="shared" si="819"/>
        <v>10</v>
      </c>
      <c r="BK344">
        <f>IF($BJ344&lt;=30,IF($B344=2015,VLOOKUP($BJ344,'Treasury Yields'!$C$5:$N$34,$E344,FALSE)/100,IF($B344=2016,VLOOKUP($BJ344,'Treasury Yields'!$C$40:$N$69,$E344,FALSE)/100,IF($B344=2017,VLOOKUP($BJ344,'Treasury Yields'!$C$75:$N$104,$E344,FALSE)/100,IF($B344=2018,VLOOKUP($BJ344,'Treasury Yields'!$C$110:$N$139,$E344,FALSE)/100,IF($B344=2019,VLOOKUP($BJ344,'Treasury Yields'!$C$145:$N$174,$E344,FALSE)/100,IF($B344=2020,VLOOKUP($BJ344,'Treasury Yields'!$C$180:$N$209,$E344,FALSE)/100,IF($B344=2021,VLOOKUP($BJ344,'Treasury Yields'!$C$215:$N$244,$E344,FALSE)/100,IF($B344=2022,VLOOKUP($BJ344,'Treasury Yields'!$C$250:$N$279,$E344,FALSE)/100)))))))),0)</f>
        <v>1.5412727272727269E-2</v>
      </c>
      <c r="BL344">
        <f t="shared" si="820"/>
        <v>1.5742351601537201</v>
      </c>
      <c r="BM344">
        <f t="shared" si="821"/>
        <v>169695941.62536871</v>
      </c>
      <c r="BN344">
        <f t="shared" si="822"/>
        <v>111139155.62536871</v>
      </c>
      <c r="BP344">
        <f>IF($BJ344&lt;=30,IF($B344=2015,VLOOKUP($BJ344,'Treasury Yields'!$C$40:$N$69,$E344,FALSE)/100,IF($B344=2016,VLOOKUP($BJ344,'Treasury Yields'!$C$75:$N$104,$E344,FALSE)/100,IF($B344=2017,VLOOKUP($BJ344,'Treasury Yields'!$C$110:$N$139,$E344,FALSE)/100,IF($B344=2018,VLOOKUP($BJ344,'Treasury Yields'!$C$145:$N$174,$E344,FALSE)/100,IF($B344=2019,VLOOKUP($BJ344,'Treasury Yields'!$C$180:$N$209,$E344,FALSE)/100,IF($B344=2020,VLOOKUP($BJ344,'Treasury Yields'!$C$215:$N$244,$E344,FALSE)/100,IF($B344=2021,VLOOKUP($BJ344,'Treasury Yields'!$C$250:$N$279,$E344,FALSE)/100,IF($B344=2022,VLOOKUP($BJ344,'Treasury Yields'!$C$285:$N$314,$E344,FALSE)/100)))))))),0)</f>
        <v>2.202272727272727E-2</v>
      </c>
      <c r="BQ344">
        <f t="shared" si="823"/>
        <v>1.530792226440522</v>
      </c>
      <c r="BR344">
        <f t="shared" si="824"/>
        <v>173016386.12617612</v>
      </c>
      <c r="BS344">
        <f t="shared" si="825"/>
        <v>101049034.12617612</v>
      </c>
      <c r="BU344">
        <f t="shared" si="765"/>
        <v>13</v>
      </c>
      <c r="BV344">
        <f t="shared" si="826"/>
        <v>2.6289799655749841</v>
      </c>
      <c r="BW344">
        <f t="shared" si="827"/>
        <v>5162383.3645014893</v>
      </c>
      <c r="BX344" s="5">
        <f t="shared" si="828"/>
        <v>2585084.1610456896</v>
      </c>
      <c r="BY344" s="5">
        <f t="shared" si="829"/>
        <v>1682564.3884602354</v>
      </c>
      <c r="BZ344" s="5">
        <f t="shared" si="830"/>
        <v>9667110</v>
      </c>
      <c r="CA344" s="5">
        <f t="shared" si="831"/>
        <v>6844947.752961725</v>
      </c>
      <c r="CC344" s="5">
        <f t="shared" si="832"/>
        <v>173016386.12617612</v>
      </c>
      <c r="CD344" s="5" t="str">
        <f t="shared" si="833"/>
        <v>Pennsylvania</v>
      </c>
      <c r="CE344" s="5">
        <f t="shared" si="763"/>
        <v>0.63674352161515457</v>
      </c>
      <c r="CF344" s="10">
        <f t="shared" si="834"/>
        <v>0.41595685594494025</v>
      </c>
    </row>
    <row r="345" spans="1:84" x14ac:dyDescent="0.2">
      <c r="A345">
        <v>39000000005701</v>
      </c>
      <c r="B345">
        <v>2022</v>
      </c>
      <c r="C345">
        <v>436</v>
      </c>
      <c r="D345" t="s">
        <v>569</v>
      </c>
      <c r="E345">
        <v>6</v>
      </c>
      <c r="F345" t="s">
        <v>570</v>
      </c>
      <c r="G345" t="s">
        <v>571</v>
      </c>
      <c r="H345" t="s">
        <v>422</v>
      </c>
      <c r="I345" t="b">
        <v>1</v>
      </c>
      <c r="J345">
        <v>1826693</v>
      </c>
      <c r="K345">
        <v>7789946</v>
      </c>
      <c r="L345">
        <v>0</v>
      </c>
      <c r="M345">
        <v>-399385</v>
      </c>
      <c r="N345">
        <v>0</v>
      </c>
      <c r="O345">
        <v>7254372</v>
      </c>
      <c r="Q345">
        <v>1962882</v>
      </c>
      <c r="R345">
        <v>113024082</v>
      </c>
      <c r="S345">
        <v>114986964</v>
      </c>
      <c r="T345">
        <v>4997912</v>
      </c>
      <c r="V345">
        <v>1134051</v>
      </c>
      <c r="W345">
        <v>-267250</v>
      </c>
      <c r="Y345">
        <v>49451</v>
      </c>
      <c r="AA345">
        <v>-1439110</v>
      </c>
      <c r="AB345">
        <v>71967352</v>
      </c>
      <c r="AC345">
        <v>70528242</v>
      </c>
      <c r="AD345">
        <v>44458722</v>
      </c>
      <c r="AE345">
        <v>41056730</v>
      </c>
      <c r="AF345">
        <v>3401992</v>
      </c>
      <c r="AG345">
        <v>14704344</v>
      </c>
      <c r="AH345">
        <v>0.33989357158673655</v>
      </c>
      <c r="AI345" t="b">
        <v>1</v>
      </c>
      <c r="AK345">
        <v>7.0000000000000007E-2</v>
      </c>
      <c r="AL345">
        <v>7.0000000000000007E-2</v>
      </c>
      <c r="AM345">
        <v>7.0000000000000007E-2</v>
      </c>
      <c r="AN345">
        <v>7.0000000000000007E-2</v>
      </c>
      <c r="AS345">
        <v>57504216</v>
      </c>
      <c r="AT345">
        <v>33459707</v>
      </c>
      <c r="AV345" t="s">
        <v>578</v>
      </c>
      <c r="BB345">
        <f t="shared" si="812"/>
        <v>0.61335858906580054</v>
      </c>
      <c r="BD345">
        <f t="shared" si="813"/>
        <v>13045494</v>
      </c>
      <c r="BE345">
        <f t="shared" si="814"/>
        <v>-10999015</v>
      </c>
      <c r="BF345">
        <f t="shared" si="815"/>
        <v>11.3451938778034</v>
      </c>
      <c r="BG345">
        <f t="shared" si="816"/>
        <v>-9.5654451751591587</v>
      </c>
      <c r="BH345">
        <f t="shared" si="817"/>
        <v>10.455319526481279</v>
      </c>
      <c r="BI345">
        <f t="shared" si="818"/>
        <v>88.987435132212028</v>
      </c>
      <c r="BJ345">
        <f t="shared" si="819"/>
        <v>10</v>
      </c>
      <c r="BK345">
        <f>IF($BJ345&lt;=30,IF($B345=2015,VLOOKUP($BJ345,'Treasury Yields'!$C$5:$N$34,$E345,FALSE)/100,IF($B345=2016,VLOOKUP($BJ345,'Treasury Yields'!$C$40:$N$69,$E345,FALSE)/100,IF($B345=2017,VLOOKUP($BJ345,'Treasury Yields'!$C$75:$N$104,$E345,FALSE)/100,IF($B345=2018,VLOOKUP($BJ345,'Treasury Yields'!$C$110:$N$139,$E345,FALSE)/100,IF($B345=2019,VLOOKUP($BJ345,'Treasury Yields'!$C$145:$N$174,$E345,FALSE)/100,IF($B345=2020,VLOOKUP($BJ345,'Treasury Yields'!$C$180:$N$209,$E345,FALSE)/100,IF($B345=2021,VLOOKUP($BJ345,'Treasury Yields'!$C$215:$N$244,$E345,FALSE)/100,IF($B345=2022,VLOOKUP($BJ345,'Treasury Yields'!$C$250:$N$279,$E345,FALSE)/100)))))))),0)</f>
        <v>2.202272727272727E-2</v>
      </c>
      <c r="BL345">
        <f t="shared" si="820"/>
        <v>1.5039195350711194</v>
      </c>
      <c r="BM345">
        <f t="shared" si="821"/>
        <v>169979124.85328007</v>
      </c>
      <c r="BN345">
        <f t="shared" si="822"/>
        <v>98011772.853280067</v>
      </c>
      <c r="BP345">
        <f>IF($BJ345&lt;=30,IF($B345=2015,VLOOKUP($BJ345,'Treasury Yields'!$C$40:$N$69,$E345,FALSE)/100,IF($B345=2016,VLOOKUP($BJ345,'Treasury Yields'!$C$75:$N$104,$E345,FALSE)/100,IF($B345=2017,VLOOKUP($BJ345,'Treasury Yields'!$C$110:$N$139,$E345,FALSE)/100,IF($B345=2018,VLOOKUP($BJ345,'Treasury Yields'!$C$145:$N$174,$E345,FALSE)/100,IF($B345=2019,VLOOKUP($BJ345,'Treasury Yields'!$C$180:$N$209,$E345,FALSE)/100,IF($B345=2020,VLOOKUP($BJ345,'Treasury Yields'!$C$215:$N$244,$E345,FALSE)/100,IF($B345=2021,VLOOKUP($BJ345,'Treasury Yields'!$C$250:$N$279,$E345,FALSE)/100,IF($B345=2022,VLOOKUP($BJ345,'Treasury Yields'!$C$285:$N$314,$E345,FALSE)/100)))))))),0)</f>
        <v>3.1469545454545458E-2</v>
      </c>
      <c r="BQ345">
        <f t="shared" si="823"/>
        <v>1.4043328097007697</v>
      </c>
      <c r="BR345">
        <f t="shared" si="824"/>
        <v>161479966.23308125</v>
      </c>
      <c r="BS345">
        <f t="shared" si="825"/>
        <v>90951724.233081251</v>
      </c>
      <c r="BU345">
        <f t="shared" si="765"/>
        <v>13</v>
      </c>
      <c r="BV345">
        <f t="shared" si="826"/>
        <v>2.3301552039325939</v>
      </c>
      <c r="BW345">
        <f t="shared" si="827"/>
        <v>4256478.1999372421</v>
      </c>
      <c r="BX345" s="5">
        <f t="shared" si="828"/>
        <v>3677382.1111492626</v>
      </c>
      <c r="BY345" s="5">
        <f t="shared" si="829"/>
        <v>2092464.745512899</v>
      </c>
      <c r="BZ345" s="5">
        <f t="shared" si="830"/>
        <v>9616639</v>
      </c>
      <c r="CA345" s="5">
        <f t="shared" si="831"/>
        <v>6348942.9454501411</v>
      </c>
      <c r="CC345" s="5">
        <f t="shared" si="832"/>
        <v>161479966.23308125</v>
      </c>
      <c r="CD345" s="5" t="str">
        <f t="shared" si="833"/>
        <v>Pennsylvania</v>
      </c>
      <c r="CE345" s="5">
        <f t="shared" si="763"/>
        <v>0.61335858906580054</v>
      </c>
      <c r="CF345" s="10">
        <f t="shared" si="834"/>
        <v>0.43676156024332496</v>
      </c>
    </row>
    <row r="346" spans="1:84" x14ac:dyDescent="0.2">
      <c r="A346">
        <v>40000000002601</v>
      </c>
      <c r="B346">
        <v>2015</v>
      </c>
      <c r="C346">
        <v>211</v>
      </c>
      <c r="D346" t="s">
        <v>579</v>
      </c>
      <c r="E346">
        <v>6</v>
      </c>
      <c r="F346" t="s">
        <v>580</v>
      </c>
      <c r="G346" t="s">
        <v>581</v>
      </c>
      <c r="H346" t="s">
        <v>582</v>
      </c>
      <c r="I346" t="b">
        <v>1</v>
      </c>
      <c r="J346">
        <v>73780.964000000007</v>
      </c>
      <c r="K346">
        <v>457901.91800000001</v>
      </c>
      <c r="L346">
        <v>148006.628</v>
      </c>
      <c r="M346">
        <v>-20696.669000000002</v>
      </c>
      <c r="N346">
        <v>0</v>
      </c>
      <c r="O346">
        <v>482865.96600000001</v>
      </c>
      <c r="Q346">
        <v>176126.875</v>
      </c>
      <c r="R346">
        <v>6309901.4110000003</v>
      </c>
      <c r="S346">
        <v>6486028.2860000003</v>
      </c>
      <c r="T346">
        <v>217902.736</v>
      </c>
      <c r="V346">
        <v>36470.892999999996</v>
      </c>
      <c r="W346">
        <v>88131.990999999995</v>
      </c>
      <c r="X346">
        <v>145.179</v>
      </c>
      <c r="Y346">
        <v>3676.5639999999999</v>
      </c>
      <c r="Z346">
        <v>1016.295</v>
      </c>
      <c r="AA346">
        <v>-142875.43599999999</v>
      </c>
      <c r="AB346">
        <v>3875901.034</v>
      </c>
      <c r="AC346">
        <v>3733025.5980000002</v>
      </c>
      <c r="AD346">
        <v>2753002.6880000001</v>
      </c>
      <c r="AE346">
        <v>2434000.3770000003</v>
      </c>
      <c r="AF346">
        <v>319002.31099999975</v>
      </c>
      <c r="AG346">
        <v>966985</v>
      </c>
      <c r="AH346">
        <v>0.22534241585960485</v>
      </c>
      <c r="AI346" t="b">
        <v>1</v>
      </c>
      <c r="AK346">
        <v>7.4999999999999997E-2</v>
      </c>
      <c r="AL346">
        <v>7.4999999999999997E-2</v>
      </c>
      <c r="AM346">
        <v>7.4999999999999997E-2</v>
      </c>
      <c r="AN346">
        <v>7.4999999999999997E-2</v>
      </c>
      <c r="AO346">
        <v>1</v>
      </c>
      <c r="AP346">
        <v>0</v>
      </c>
      <c r="AS346">
        <v>3452243.2370000002</v>
      </c>
      <c r="AT346">
        <v>2180575.3309999998</v>
      </c>
      <c r="BB346">
        <f t="shared" ref="BB346:BB353" si="835">AC346/S346</f>
        <v>0.57554876935360932</v>
      </c>
      <c r="BD346">
        <f t="shared" ref="BD346:BD353" si="836">AS346-AD346</f>
        <v>699240.54900000012</v>
      </c>
      <c r="BE346">
        <f t="shared" ref="BE346:BE353" si="837">AT346-AD346</f>
        <v>-572427.35700000031</v>
      </c>
      <c r="BF346">
        <f t="shared" ref="BF346:BF353" si="838">BD346/S346*100</f>
        <v>10.780720005635819</v>
      </c>
      <c r="BG346">
        <f t="shared" ref="BG346:BG353" si="839">BE346/S346*100</f>
        <v>-8.8255451835690675</v>
      </c>
      <c r="BH346">
        <f t="shared" ref="BH346:BH353" si="840">(BD346-BE346)/(2*S346)*100</f>
        <v>9.8031325946024435</v>
      </c>
      <c r="BI346">
        <f t="shared" ref="BI346:BI353" si="841">(BD346+BE346)/(2*S346*(0.01^2))</f>
        <v>97.75874110333767</v>
      </c>
      <c r="BJ346">
        <f t="shared" ref="BJ346:BJ353" si="842">ROUND(BH346,0)</f>
        <v>10</v>
      </c>
      <c r="BK346">
        <f>IF($BJ346&lt;=30,IF($B346=2015,VLOOKUP($BJ346,'Treasury Yields'!$C$5:$N$34,$E346,FALSE)/100,IF($B346=2016,VLOOKUP($BJ346,'Treasury Yields'!$C$40:$N$69,$E346,FALSE)/100,IF($B346=2017,VLOOKUP($BJ346,'Treasury Yields'!$C$75:$N$104,$E346,FALSE)/100,IF($B346=2018,VLOOKUP($BJ346,'Treasury Yields'!$C$110:$N$139,$E346,FALSE)/100,IF($B346=2019,VLOOKUP($BJ346,'Treasury Yields'!$C$145:$N$174,$E346,FALSE)/100,IF($B346=2020,VLOOKUP($BJ346,'Treasury Yields'!$C$180:$N$209,$E346,FALSE)/100,IF($B346=2021,VLOOKUP($BJ346,'Treasury Yields'!$C$215:$N$244,$E346,FALSE)/100,IF($B346=2022,VLOOKUP($BJ346,'Treasury Yields'!$C$250:$N$279,$E346,FALSE)/100)))))))),0)</f>
        <v>2.7109999999999999E-2</v>
      </c>
      <c r="BL346">
        <f t="shared" ref="BL346:BL353" si="843">1+BH346*(AL346-BK346)+(AL346-BK346)^2</f>
        <v>1.4717654720555111</v>
      </c>
      <c r="BM346">
        <f t="shared" ref="BM346:BM353" si="844">BL346*R346</f>
        <v>9286695.0287841503</v>
      </c>
      <c r="BN346">
        <f t="shared" ref="BN346:BN353" si="845">BM346-AB346</f>
        <v>5410793.9947841503</v>
      </c>
      <c r="BP346">
        <f>IF($BJ346&lt;=30,IF($B346=2015,VLOOKUP($BJ346,'Treasury Yields'!$C$40:$N$69,$E346,FALSE)/100,IF($B346=2016,VLOOKUP($BJ346,'Treasury Yields'!$C$75:$N$104,$E346,FALSE)/100,IF($B346=2017,VLOOKUP($BJ346,'Treasury Yields'!$C$110:$N$139,$E346,FALSE)/100,IF($B346=2018,VLOOKUP($BJ346,'Treasury Yields'!$C$145:$N$174,$E346,FALSE)/100,IF($B346=2019,VLOOKUP($BJ346,'Treasury Yields'!$C$180:$N$209,$E346,FALSE)/100,IF($B346=2020,VLOOKUP($BJ346,'Treasury Yields'!$C$215:$N$244,$E346,FALSE)/100,IF($B346=2021,VLOOKUP($BJ346,'Treasury Yields'!$C$250:$N$279,$E346,FALSE)/100,IF($B346=2022,VLOOKUP($BJ346,'Treasury Yields'!$C$285:$N$314,$E346,FALSE)/100)))))))),0)</f>
        <v>2.5470000000000003E-2</v>
      </c>
      <c r="BQ346">
        <f t="shared" ref="BQ346:BQ353" si="846">1+BH346*(AN346-BP346)+(AN346-BP346)^2</f>
        <v>1.4880023783106591</v>
      </c>
      <c r="BR346">
        <f t="shared" ref="BR346:BR353" si="847">BQ346*S346</f>
        <v>9651225.5153582077</v>
      </c>
      <c r="BS346">
        <f t="shared" ref="BS346:BS353" si="848">BR346-AC346</f>
        <v>5918199.9173582075</v>
      </c>
      <c r="BU346">
        <f t="shared" si="765"/>
        <v>13</v>
      </c>
      <c r="BV346">
        <f t="shared" ref="BV346:BV353" si="849">1+(BH346+BU346)*(AN346-BK346)+(AN346-BK346)^2*BI346</f>
        <v>2.3162470100323174</v>
      </c>
      <c r="BW346">
        <f t="shared" ref="BW346:BW353" si="850">BV346*J346</f>
        <v>170894.93726230206</v>
      </c>
      <c r="BX346" s="5">
        <f t="shared" ref="BX346:BX353" si="851">(BM346+BW346-O346)*BK346</f>
        <v>243304.76764125933</v>
      </c>
      <c r="BY346" s="5">
        <f t="shared" ref="BY346:BY353" si="852">BK346*(BN346+BW346-O346)</f>
        <v>138229.09060951933</v>
      </c>
      <c r="BZ346" s="5">
        <f t="shared" ref="BZ346:BZ353" si="853">SUM(J346:K346)</f>
        <v>531682.88199999998</v>
      </c>
      <c r="CA346" s="5">
        <f t="shared" ref="CA346:CA353" si="854">SUM(BW346+BY346)</f>
        <v>309124.02787182142</v>
      </c>
      <c r="CC346" s="5">
        <f t="shared" ref="CC346:CC353" si="855">BR346</f>
        <v>9651225.5153582077</v>
      </c>
      <c r="CD346" s="5" t="str">
        <f t="shared" ref="CD346:CD353" si="856">F346</f>
        <v>Rhode Island</v>
      </c>
      <c r="CE346" s="5">
        <f t="shared" si="763"/>
        <v>0.57554876935360932</v>
      </c>
      <c r="CF346" s="10">
        <f t="shared" ref="CF346:CF353" si="857">AC346/CC346</f>
        <v>0.38679290956983176</v>
      </c>
    </row>
    <row r="347" spans="1:84" x14ac:dyDescent="0.2">
      <c r="A347">
        <v>40000000002601</v>
      </c>
      <c r="B347">
        <v>2016</v>
      </c>
      <c r="C347">
        <v>211</v>
      </c>
      <c r="D347" t="s">
        <v>579</v>
      </c>
      <c r="E347">
        <v>6</v>
      </c>
      <c r="F347" t="s">
        <v>580</v>
      </c>
      <c r="G347" t="s">
        <v>581</v>
      </c>
      <c r="H347" t="s">
        <v>582</v>
      </c>
      <c r="I347" t="b">
        <v>1</v>
      </c>
      <c r="J347">
        <v>78445</v>
      </c>
      <c r="K347">
        <v>471001</v>
      </c>
      <c r="L347">
        <v>0</v>
      </c>
      <c r="M347">
        <v>-50843</v>
      </c>
      <c r="O347">
        <v>490467</v>
      </c>
      <c r="Q347">
        <v>8136</v>
      </c>
      <c r="R347">
        <v>6486028</v>
      </c>
      <c r="S347">
        <v>6494164</v>
      </c>
      <c r="T347">
        <v>225570</v>
      </c>
      <c r="V347">
        <v>49503</v>
      </c>
      <c r="W347">
        <v>-4788</v>
      </c>
      <c r="X347">
        <v>252</v>
      </c>
      <c r="Y347">
        <v>3464</v>
      </c>
      <c r="Z347">
        <v>956</v>
      </c>
      <c r="AA347">
        <v>-222439</v>
      </c>
      <c r="AB347">
        <v>3733026</v>
      </c>
      <c r="AC347">
        <v>3510587</v>
      </c>
      <c r="AD347">
        <v>2983578</v>
      </c>
      <c r="AE347">
        <v>2753003</v>
      </c>
      <c r="AF347">
        <v>230575</v>
      </c>
      <c r="AG347">
        <v>980563</v>
      </c>
      <c r="AH347">
        <v>0.23004131300079647</v>
      </c>
      <c r="AI347" t="b">
        <v>1</v>
      </c>
      <c r="AK347">
        <v>7.4999999999999997E-2</v>
      </c>
      <c r="AL347">
        <v>7.4999999999999997E-2</v>
      </c>
      <c r="AM347">
        <v>7.4999999999999997E-2</v>
      </c>
      <c r="AN347">
        <v>7.4999999999999997E-2</v>
      </c>
      <c r="AO347">
        <v>1</v>
      </c>
      <c r="AP347">
        <v>0</v>
      </c>
      <c r="AS347">
        <v>3684457</v>
      </c>
      <c r="AT347">
        <v>2409802</v>
      </c>
      <c r="AU347" t="s">
        <v>583</v>
      </c>
      <c r="AV347" t="s">
        <v>584</v>
      </c>
      <c r="BB347">
        <f t="shared" si="835"/>
        <v>0.54057566147082214</v>
      </c>
      <c r="BD347">
        <f t="shared" si="836"/>
        <v>700879</v>
      </c>
      <c r="BE347">
        <f t="shared" si="837"/>
        <v>-573776</v>
      </c>
      <c r="BF347">
        <f t="shared" si="838"/>
        <v>10.792443800310556</v>
      </c>
      <c r="BG347">
        <f t="shared" si="839"/>
        <v>-8.8352557773410094</v>
      </c>
      <c r="BH347">
        <f t="shared" si="840"/>
        <v>9.8138497888257827</v>
      </c>
      <c r="BI347">
        <f t="shared" si="841"/>
        <v>97.859401148477303</v>
      </c>
      <c r="BJ347">
        <f t="shared" si="842"/>
        <v>10</v>
      </c>
      <c r="BK347">
        <f>IF($BJ347&lt;=30,IF($B347=2015,VLOOKUP($BJ347,'Treasury Yields'!$C$5:$N$34,$E347,FALSE)/100,IF($B347=2016,VLOOKUP($BJ347,'Treasury Yields'!$C$40:$N$69,$E347,FALSE)/100,IF($B347=2017,VLOOKUP($BJ347,'Treasury Yields'!$C$75:$N$104,$E347,FALSE)/100,IF($B347=2018,VLOOKUP($BJ347,'Treasury Yields'!$C$110:$N$139,$E347,FALSE)/100,IF($B347=2019,VLOOKUP($BJ347,'Treasury Yields'!$C$145:$N$174,$E347,FALSE)/100,IF($B347=2020,VLOOKUP($BJ347,'Treasury Yields'!$C$180:$N$209,$E347,FALSE)/100,IF($B347=2021,VLOOKUP($BJ347,'Treasury Yields'!$C$215:$N$244,$E347,FALSE)/100,IF($B347=2022,VLOOKUP($BJ347,'Treasury Yields'!$C$250:$N$279,$E347,FALSE)/100)))))))),0)</f>
        <v>2.5470000000000003E-2</v>
      </c>
      <c r="BL347">
        <f t="shared" si="843"/>
        <v>1.488533200940541</v>
      </c>
      <c r="BM347">
        <f t="shared" si="844"/>
        <v>9654668.0202299748</v>
      </c>
      <c r="BN347">
        <f t="shared" si="845"/>
        <v>5921642.0202299748</v>
      </c>
      <c r="BP347">
        <f>IF($BJ347&lt;=30,IF($B347=2015,VLOOKUP($BJ347,'Treasury Yields'!$C$40:$N$69,$E347,FALSE)/100,IF($B347=2016,VLOOKUP($BJ347,'Treasury Yields'!$C$75:$N$104,$E347,FALSE)/100,IF($B347=2017,VLOOKUP($BJ347,'Treasury Yields'!$C$110:$N$139,$E347,FALSE)/100,IF($B347=2018,VLOOKUP($BJ347,'Treasury Yields'!$C$145:$N$174,$E347,FALSE)/100,IF($B347=2019,VLOOKUP($BJ347,'Treasury Yields'!$C$180:$N$209,$E347,FALSE)/100,IF($B347=2020,VLOOKUP($BJ347,'Treasury Yields'!$C$215:$N$244,$E347,FALSE)/100,IF($B347=2021,VLOOKUP($BJ347,'Treasury Yields'!$C$250:$N$279,$E347,FALSE)/100,IF($B347=2022,VLOOKUP($BJ347,'Treasury Yields'!$C$285:$N$314,$E347,FALSE)/100)))))))),0)</f>
        <v>1.635E-2</v>
      </c>
      <c r="BQ347">
        <f t="shared" si="846"/>
        <v>1.5790221126146322</v>
      </c>
      <c r="BR347">
        <f t="shared" si="847"/>
        <v>10254428.558945891</v>
      </c>
      <c r="BS347">
        <f t="shared" si="848"/>
        <v>6743841.5589458905</v>
      </c>
      <c r="BU347">
        <f t="shared" si="765"/>
        <v>13</v>
      </c>
      <c r="BV347">
        <f t="shared" si="849"/>
        <v>2.3700407081994697</v>
      </c>
      <c r="BW347">
        <f t="shared" si="850"/>
        <v>185917.84335470741</v>
      </c>
      <c r="BX347" s="5">
        <f t="shared" si="851"/>
        <v>238147.5274555019</v>
      </c>
      <c r="BY347" s="5">
        <f t="shared" si="852"/>
        <v>143067.35523550189</v>
      </c>
      <c r="BZ347" s="5">
        <f t="shared" si="853"/>
        <v>549446</v>
      </c>
      <c r="CA347" s="5">
        <f t="shared" si="854"/>
        <v>328985.1985902093</v>
      </c>
      <c r="CC347" s="5">
        <f t="shared" si="855"/>
        <v>10254428.558945891</v>
      </c>
      <c r="CD347" s="5" t="str">
        <f t="shared" si="856"/>
        <v>Rhode Island</v>
      </c>
      <c r="CE347" s="5">
        <f t="shared" si="763"/>
        <v>0.54057566147082214</v>
      </c>
      <c r="CF347" s="10">
        <f t="shared" si="857"/>
        <v>0.34234837951427227</v>
      </c>
    </row>
    <row r="348" spans="1:84" x14ac:dyDescent="0.2">
      <c r="A348">
        <v>40000000002601</v>
      </c>
      <c r="B348">
        <v>2017</v>
      </c>
      <c r="C348">
        <v>211</v>
      </c>
      <c r="D348" t="s">
        <v>579</v>
      </c>
      <c r="E348">
        <v>6</v>
      </c>
      <c r="F348" t="s">
        <v>580</v>
      </c>
      <c r="G348" t="s">
        <v>581</v>
      </c>
      <c r="H348" t="s">
        <v>582</v>
      </c>
      <c r="I348" t="b">
        <v>1</v>
      </c>
      <c r="J348">
        <v>79219</v>
      </c>
      <c r="K348">
        <v>471639</v>
      </c>
      <c r="L348">
        <v>0</v>
      </c>
      <c r="M348">
        <v>-29762</v>
      </c>
      <c r="N348">
        <v>318951</v>
      </c>
      <c r="O348">
        <v>490518</v>
      </c>
      <c r="Q348">
        <v>349529</v>
      </c>
      <c r="R348">
        <v>6494164</v>
      </c>
      <c r="S348">
        <v>6843693</v>
      </c>
      <c r="T348">
        <v>233829</v>
      </c>
      <c r="V348">
        <v>49503</v>
      </c>
      <c r="W348">
        <v>394975</v>
      </c>
      <c r="X348">
        <v>391</v>
      </c>
      <c r="Y348">
        <v>3860</v>
      </c>
      <c r="Z348">
        <v>926</v>
      </c>
      <c r="AA348">
        <v>185814</v>
      </c>
      <c r="AB348">
        <v>3510587</v>
      </c>
      <c r="AC348">
        <v>3696401</v>
      </c>
      <c r="AD348">
        <v>3147292</v>
      </c>
      <c r="AE348">
        <v>2983578</v>
      </c>
      <c r="AF348">
        <v>163714</v>
      </c>
      <c r="AG348">
        <v>1010449</v>
      </c>
      <c r="AH348">
        <v>0.23141098660100609</v>
      </c>
      <c r="AI348" t="b">
        <v>1</v>
      </c>
      <c r="AK348">
        <v>7.4999999999999997E-2</v>
      </c>
      <c r="AL348">
        <v>7.2499999999999995E-2</v>
      </c>
      <c r="AM348">
        <v>7.2499999999999995E-2</v>
      </c>
      <c r="AN348">
        <v>7.4999999999999997E-2</v>
      </c>
      <c r="AO348">
        <v>1</v>
      </c>
      <c r="AP348">
        <v>0</v>
      </c>
      <c r="AS348">
        <v>3955394</v>
      </c>
      <c r="AT348">
        <v>2545385</v>
      </c>
      <c r="AU348" t="s">
        <v>277</v>
      </c>
      <c r="AV348" t="s">
        <v>585</v>
      </c>
      <c r="BB348">
        <f t="shared" si="835"/>
        <v>0.54011788664395088</v>
      </c>
      <c r="BD348">
        <f t="shared" si="836"/>
        <v>808102</v>
      </c>
      <c r="BE348">
        <f t="shared" si="837"/>
        <v>-601907</v>
      </c>
      <c r="BF348">
        <f t="shared" si="838"/>
        <v>11.807981450950532</v>
      </c>
      <c r="BG348">
        <f t="shared" si="839"/>
        <v>-8.7950613798719495</v>
      </c>
      <c r="BH348">
        <f t="shared" si="840"/>
        <v>10.301521415411241</v>
      </c>
      <c r="BI348">
        <f t="shared" si="841"/>
        <v>150.64600355392912</v>
      </c>
      <c r="BJ348">
        <f t="shared" si="842"/>
        <v>10</v>
      </c>
      <c r="BK348">
        <f>IF($BJ348&lt;=30,IF($B348=2015,VLOOKUP($BJ348,'Treasury Yields'!$C$5:$N$34,$E348,FALSE)/100,IF($B348=2016,VLOOKUP($BJ348,'Treasury Yields'!$C$40:$N$69,$E348,FALSE)/100,IF($B348=2017,VLOOKUP($BJ348,'Treasury Yields'!$C$75:$N$104,$E348,FALSE)/100,IF($B348=2018,VLOOKUP($BJ348,'Treasury Yields'!$C$110:$N$139,$E348,FALSE)/100,IF($B348=2019,VLOOKUP($BJ348,'Treasury Yields'!$C$145:$N$174,$E348,FALSE)/100,IF($B348=2020,VLOOKUP($BJ348,'Treasury Yields'!$C$180:$N$209,$E348,FALSE)/100,IF($B348=2021,VLOOKUP($BJ348,'Treasury Yields'!$C$215:$N$244,$E348,FALSE)/100,IF($B348=2022,VLOOKUP($BJ348,'Treasury Yields'!$C$250:$N$279,$E348,FALSE)/100)))))))),0)</f>
        <v>1.635E-2</v>
      </c>
      <c r="BL348">
        <f t="shared" si="843"/>
        <v>1.5815832499753411</v>
      </c>
      <c r="BM348">
        <f t="shared" si="844"/>
        <v>10271061.004992861</v>
      </c>
      <c r="BN348">
        <f t="shared" si="845"/>
        <v>6760474.0049928613</v>
      </c>
      <c r="BP348">
        <f>IF($BJ348&lt;=30,IF($B348=2015,VLOOKUP($BJ348,'Treasury Yields'!$C$40:$N$69,$E348,FALSE)/100,IF($B348=2016,VLOOKUP($BJ348,'Treasury Yields'!$C$75:$N$104,$E348,FALSE)/100,IF($B348=2017,VLOOKUP($BJ348,'Treasury Yields'!$C$110:$N$139,$E348,FALSE)/100,IF($B348=2018,VLOOKUP($BJ348,'Treasury Yields'!$C$145:$N$174,$E348,FALSE)/100,IF($B348=2019,VLOOKUP($BJ348,'Treasury Yields'!$C$180:$N$209,$E348,FALSE)/100,IF($B348=2020,VLOOKUP($BJ348,'Treasury Yields'!$C$215:$N$244,$E348,FALSE)/100,IF($B348=2021,VLOOKUP($BJ348,'Treasury Yields'!$C$250:$N$279,$E348,FALSE)/100,IF($B348=2022,VLOOKUP($BJ348,'Treasury Yields'!$C$285:$N$314,$E348,FALSE)/100)))))))),0)</f>
        <v>2.4670000000000001E-2</v>
      </c>
      <c r="BQ348">
        <f t="shared" si="846"/>
        <v>1.5210086817376478</v>
      </c>
      <c r="BR348">
        <f t="shared" si="847"/>
        <v>10409316.468147168</v>
      </c>
      <c r="BS348">
        <f t="shared" si="848"/>
        <v>6712915.4681471679</v>
      </c>
      <c r="BU348">
        <f t="shared" si="765"/>
        <v>13</v>
      </c>
      <c r="BV348">
        <f t="shared" si="849"/>
        <v>2.884829743573754</v>
      </c>
      <c r="BW348">
        <f t="shared" si="850"/>
        <v>228533.32745616921</v>
      </c>
      <c r="BX348" s="5">
        <f t="shared" si="851"/>
        <v>163648.39803554164</v>
      </c>
      <c r="BY348" s="5">
        <f t="shared" si="852"/>
        <v>106250.30058554164</v>
      </c>
      <c r="BZ348" s="5">
        <f t="shared" si="853"/>
        <v>550858</v>
      </c>
      <c r="CA348" s="5">
        <f t="shared" si="854"/>
        <v>334783.62804171082</v>
      </c>
      <c r="CC348" s="5">
        <f t="shared" si="855"/>
        <v>10409316.468147168</v>
      </c>
      <c r="CD348" s="5" t="str">
        <f t="shared" si="856"/>
        <v>Rhode Island</v>
      </c>
      <c r="CE348" s="5">
        <f t="shared" si="763"/>
        <v>0.54011788664395088</v>
      </c>
      <c r="CF348" s="10">
        <f t="shared" si="857"/>
        <v>0.35510506490134119</v>
      </c>
    </row>
    <row r="349" spans="1:84" x14ac:dyDescent="0.2">
      <c r="A349">
        <v>40000000002601</v>
      </c>
      <c r="B349">
        <v>2018</v>
      </c>
      <c r="C349">
        <v>211</v>
      </c>
      <c r="D349" t="s">
        <v>579</v>
      </c>
      <c r="E349">
        <v>6</v>
      </c>
      <c r="F349" t="s">
        <v>580</v>
      </c>
      <c r="G349" t="s">
        <v>581</v>
      </c>
      <c r="H349" t="s">
        <v>582</v>
      </c>
      <c r="I349" t="b">
        <v>1</v>
      </c>
      <c r="J349">
        <v>82924</v>
      </c>
      <c r="K349">
        <v>464922</v>
      </c>
      <c r="L349">
        <v>0</v>
      </c>
      <c r="M349">
        <v>54089</v>
      </c>
      <c r="N349">
        <v>0</v>
      </c>
      <c r="O349">
        <v>486819</v>
      </c>
      <c r="Q349">
        <v>115116</v>
      </c>
      <c r="R349">
        <v>6843693</v>
      </c>
      <c r="S349">
        <v>6958809</v>
      </c>
      <c r="T349">
        <v>239092</v>
      </c>
      <c r="V349">
        <v>50071</v>
      </c>
      <c r="W349">
        <v>286398</v>
      </c>
      <c r="X349">
        <v>-424</v>
      </c>
      <c r="Y349">
        <v>3863</v>
      </c>
      <c r="Z349">
        <v>869</v>
      </c>
      <c r="AA349">
        <v>85160</v>
      </c>
      <c r="AB349">
        <v>3696401</v>
      </c>
      <c r="AC349">
        <v>3781561</v>
      </c>
      <c r="AD349">
        <v>3177248</v>
      </c>
      <c r="AE349">
        <v>3147292</v>
      </c>
      <c r="AF349">
        <v>29956</v>
      </c>
      <c r="AG349">
        <v>1031395</v>
      </c>
      <c r="AH349">
        <v>0.23181419339826156</v>
      </c>
      <c r="AI349" t="b">
        <v>1</v>
      </c>
      <c r="AK349">
        <v>7.2499999999999995E-2</v>
      </c>
      <c r="AL349">
        <v>7.0000000000000007E-2</v>
      </c>
      <c r="AM349">
        <v>7.0000000000000007E-2</v>
      </c>
      <c r="AN349">
        <v>7.2499999999999995E-2</v>
      </c>
      <c r="AO349">
        <v>1</v>
      </c>
      <c r="AP349">
        <v>0</v>
      </c>
      <c r="AS349">
        <v>3997522</v>
      </c>
      <c r="AT349">
        <v>2566289</v>
      </c>
      <c r="AU349" t="s">
        <v>322</v>
      </c>
      <c r="AV349" t="s">
        <v>586</v>
      </c>
      <c r="BB349">
        <f t="shared" si="835"/>
        <v>0.54342072041350753</v>
      </c>
      <c r="BD349">
        <f t="shared" si="836"/>
        <v>820274</v>
      </c>
      <c r="BE349">
        <f t="shared" si="837"/>
        <v>-610959</v>
      </c>
      <c r="BF349">
        <f t="shared" si="838"/>
        <v>11.787563072933889</v>
      </c>
      <c r="BG349">
        <f t="shared" si="839"/>
        <v>-8.7796489313041928</v>
      </c>
      <c r="BH349">
        <f t="shared" si="840"/>
        <v>10.28360600211904</v>
      </c>
      <c r="BI349">
        <f t="shared" si="841"/>
        <v>150.39570708148477</v>
      </c>
      <c r="BJ349">
        <f t="shared" si="842"/>
        <v>10</v>
      </c>
      <c r="BK349">
        <f>IF($BJ349&lt;=30,IF($B349=2015,VLOOKUP($BJ349,'Treasury Yields'!$C$5:$N$34,$E349,FALSE)/100,IF($B349=2016,VLOOKUP($BJ349,'Treasury Yields'!$C$40:$N$69,$E349,FALSE)/100,IF($B349=2017,VLOOKUP($BJ349,'Treasury Yields'!$C$75:$N$104,$E349,FALSE)/100,IF($B349=2018,VLOOKUP($BJ349,'Treasury Yields'!$C$110:$N$139,$E349,FALSE)/100,IF($B349=2019,VLOOKUP($BJ349,'Treasury Yields'!$C$145:$N$174,$E349,FALSE)/100,IF($B349=2020,VLOOKUP($BJ349,'Treasury Yields'!$C$180:$N$209,$E349,FALSE)/100,IF($B349=2021,VLOOKUP($BJ349,'Treasury Yields'!$C$215:$N$244,$E349,FALSE)/100,IF($B349=2022,VLOOKUP($BJ349,'Treasury Yields'!$C$250:$N$279,$E349,FALSE)/100)))))))),0)</f>
        <v>2.4670000000000001E-2</v>
      </c>
      <c r="BL349">
        <f t="shared" si="843"/>
        <v>1.4682106689760563</v>
      </c>
      <c r="BM349">
        <f t="shared" si="844"/>
        <v>10047983.077796753</v>
      </c>
      <c r="BN349">
        <f t="shared" si="845"/>
        <v>6351582.0777967535</v>
      </c>
      <c r="BP349">
        <f>IF($BJ349&lt;=30,IF($B349=2015,VLOOKUP($BJ349,'Treasury Yields'!$C$40:$N$69,$E349,FALSE)/100,IF($B349=2016,VLOOKUP($BJ349,'Treasury Yields'!$C$75:$N$104,$E349,FALSE)/100,IF($B349=2017,VLOOKUP($BJ349,'Treasury Yields'!$C$110:$N$139,$E349,FALSE)/100,IF($B349=2018,VLOOKUP($BJ349,'Treasury Yields'!$C$145:$N$174,$E349,FALSE)/100,IF($B349=2019,VLOOKUP($BJ349,'Treasury Yields'!$C$180:$N$209,$E349,FALSE)/100,IF($B349=2020,VLOOKUP($BJ349,'Treasury Yields'!$C$215:$N$244,$E349,FALSE)/100,IF($B349=2021,VLOOKUP($BJ349,'Treasury Yields'!$C$250:$N$279,$E349,FALSE)/100,IF($B349=2022,VLOOKUP($BJ349,'Treasury Yields'!$C$285:$N$314,$E349,FALSE)/100)))))))),0)</f>
        <v>2.964E-2</v>
      </c>
      <c r="BQ349">
        <f t="shared" si="846"/>
        <v>1.4425923328508219</v>
      </c>
      <c r="BR349">
        <f t="shared" si="847"/>
        <v>10038724.509173295</v>
      </c>
      <c r="BS349">
        <f t="shared" si="848"/>
        <v>6257163.5091732945</v>
      </c>
      <c r="BU349">
        <f t="shared" si="765"/>
        <v>13</v>
      </c>
      <c r="BV349">
        <f t="shared" si="849"/>
        <v>2.4577164726934591</v>
      </c>
      <c r="BW349">
        <f t="shared" si="850"/>
        <v>203803.6807816324</v>
      </c>
      <c r="BX349" s="5">
        <f t="shared" si="851"/>
        <v>240901.7546041288</v>
      </c>
      <c r="BY349" s="5">
        <f t="shared" si="852"/>
        <v>149711.54193412879</v>
      </c>
      <c r="BZ349" s="5">
        <f t="shared" si="853"/>
        <v>547846</v>
      </c>
      <c r="CA349" s="5">
        <f t="shared" si="854"/>
        <v>353515.22271576116</v>
      </c>
      <c r="CC349" s="5">
        <f t="shared" si="855"/>
        <v>10038724.509173295</v>
      </c>
      <c r="CD349" s="5" t="str">
        <f t="shared" si="856"/>
        <v>Rhode Island</v>
      </c>
      <c r="CE349" s="5">
        <f t="shared" si="763"/>
        <v>0.54342072041350753</v>
      </c>
      <c r="CF349" s="10">
        <f t="shared" si="857"/>
        <v>0.3766973579705713</v>
      </c>
    </row>
    <row r="350" spans="1:84" x14ac:dyDescent="0.2">
      <c r="A350">
        <v>40000000002601</v>
      </c>
      <c r="B350">
        <v>2019</v>
      </c>
      <c r="C350">
        <v>211</v>
      </c>
      <c r="D350" t="s">
        <v>579</v>
      </c>
      <c r="E350">
        <v>6</v>
      </c>
      <c r="F350" t="s">
        <v>580</v>
      </c>
      <c r="G350" t="s">
        <v>581</v>
      </c>
      <c r="H350" t="s">
        <v>582</v>
      </c>
      <c r="I350" t="b">
        <v>1</v>
      </c>
      <c r="J350">
        <v>83247</v>
      </c>
      <c r="K350">
        <v>473000</v>
      </c>
      <c r="L350">
        <v>0</v>
      </c>
      <c r="M350">
        <v>-7814</v>
      </c>
      <c r="O350">
        <v>486577</v>
      </c>
      <c r="Q350">
        <v>61854</v>
      </c>
      <c r="R350">
        <v>6958809</v>
      </c>
      <c r="S350">
        <v>7020662</v>
      </c>
      <c r="T350">
        <v>249634</v>
      </c>
      <c r="V350">
        <v>50213</v>
      </c>
      <c r="W350">
        <v>237724</v>
      </c>
      <c r="X350">
        <v>359</v>
      </c>
      <c r="Y350">
        <v>3869</v>
      </c>
      <c r="Z350">
        <v>849</v>
      </c>
      <c r="AA350">
        <v>48334</v>
      </c>
      <c r="AB350">
        <v>3781560</v>
      </c>
      <c r="AC350">
        <v>3829895</v>
      </c>
      <c r="AD350">
        <v>3190768</v>
      </c>
      <c r="AE350">
        <v>3177248</v>
      </c>
      <c r="AF350">
        <v>13520</v>
      </c>
      <c r="AG350">
        <v>1060472</v>
      </c>
      <c r="AH350">
        <v>0.23539895442783967</v>
      </c>
      <c r="AI350" t="b">
        <v>1</v>
      </c>
      <c r="AK350">
        <v>7.0000000000000007E-2</v>
      </c>
      <c r="AL350">
        <v>7.0000000000000007E-2</v>
      </c>
      <c r="AM350">
        <v>7.0000000000000007E-2</v>
      </c>
      <c r="AN350">
        <v>7.0000000000000007E-2</v>
      </c>
      <c r="AO350">
        <v>1</v>
      </c>
      <c r="AP350">
        <v>0</v>
      </c>
      <c r="AS350">
        <v>3943247</v>
      </c>
      <c r="AT350">
        <v>2574788</v>
      </c>
      <c r="BB350">
        <f t="shared" si="835"/>
        <v>0.54551764491724575</v>
      </c>
      <c r="BD350">
        <f t="shared" si="836"/>
        <v>752479</v>
      </c>
      <c r="BE350">
        <f t="shared" si="837"/>
        <v>-615980</v>
      </c>
      <c r="BF350">
        <f t="shared" si="838"/>
        <v>10.71806333932612</v>
      </c>
      <c r="BG350">
        <f t="shared" si="839"/>
        <v>-8.7738164862515813</v>
      </c>
      <c r="BH350">
        <f t="shared" si="840"/>
        <v>9.7459399127888506</v>
      </c>
      <c r="BI350">
        <f t="shared" si="841"/>
        <v>97.212342653726964</v>
      </c>
      <c r="BJ350">
        <f t="shared" si="842"/>
        <v>10</v>
      </c>
      <c r="BK350">
        <f>IF($BJ350&lt;=30,IF($B350=2015,VLOOKUP($BJ350,'Treasury Yields'!$C$5:$N$34,$E350,FALSE)/100,IF($B350=2016,VLOOKUP($BJ350,'Treasury Yields'!$C$40:$N$69,$E350,FALSE)/100,IF($B350=2017,VLOOKUP($BJ350,'Treasury Yields'!$C$75:$N$104,$E350,FALSE)/100,IF($B350=2018,VLOOKUP($BJ350,'Treasury Yields'!$C$110:$N$139,$E350,FALSE)/100,IF($B350=2019,VLOOKUP($BJ350,'Treasury Yields'!$C$145:$N$174,$E350,FALSE)/100,IF($B350=2020,VLOOKUP($BJ350,'Treasury Yields'!$C$180:$N$209,$E350,FALSE)/100,IF($B350=2021,VLOOKUP($BJ350,'Treasury Yields'!$C$215:$N$244,$E350,FALSE)/100,IF($B350=2022,VLOOKUP($BJ350,'Treasury Yields'!$C$250:$N$279,$E350,FALSE)/100)))))))),0)</f>
        <v>2.964E-2</v>
      </c>
      <c r="BL350">
        <f t="shared" si="843"/>
        <v>1.3949750644801582</v>
      </c>
      <c r="BM350">
        <f t="shared" si="844"/>
        <v>9707365.0334801059</v>
      </c>
      <c r="BN350">
        <f t="shared" si="845"/>
        <v>5925805.0334801059</v>
      </c>
      <c r="BP350">
        <f>IF($BJ350&lt;=30,IF($B350=2015,VLOOKUP($BJ350,'Treasury Yields'!$C$40:$N$69,$E350,FALSE)/100,IF($B350=2016,VLOOKUP($BJ350,'Treasury Yields'!$C$75:$N$104,$E350,FALSE)/100,IF($B350=2017,VLOOKUP($BJ350,'Treasury Yields'!$C$110:$N$139,$E350,FALSE)/100,IF($B350=2018,VLOOKUP($BJ350,'Treasury Yields'!$C$145:$N$174,$E350,FALSE)/100,IF($B350=2019,VLOOKUP($BJ350,'Treasury Yields'!$C$180:$N$209,$E350,FALSE)/100,IF($B350=2020,VLOOKUP($BJ350,'Treasury Yields'!$C$215:$N$244,$E350,FALSE)/100,IF($B350=2021,VLOOKUP($BJ350,'Treasury Yields'!$C$250:$N$279,$E350,FALSE)/100,IF($B350=2022,VLOOKUP($BJ350,'Treasury Yields'!$C$285:$N$314,$E350,FALSE)/100)))))))),0)</f>
        <v>2.1259999999999998E-2</v>
      </c>
      <c r="BQ350">
        <f t="shared" si="846"/>
        <v>1.4773926989493287</v>
      </c>
      <c r="BR350">
        <f t="shared" si="847"/>
        <v>10372274.780590992</v>
      </c>
      <c r="BS350">
        <f t="shared" si="848"/>
        <v>6542379.7805909924</v>
      </c>
      <c r="BU350">
        <f t="shared" si="765"/>
        <v>13</v>
      </c>
      <c r="BV350">
        <f t="shared" si="849"/>
        <v>2.0763781973141562</v>
      </c>
      <c r="BW350">
        <f t="shared" si="850"/>
        <v>172852.25579181156</v>
      </c>
      <c r="BX350" s="5">
        <f t="shared" si="851"/>
        <v>278427.49817401962</v>
      </c>
      <c r="BY350" s="5">
        <f t="shared" si="852"/>
        <v>166342.05977401961</v>
      </c>
      <c r="BZ350" s="5">
        <f t="shared" si="853"/>
        <v>556247</v>
      </c>
      <c r="CA350" s="5">
        <f t="shared" si="854"/>
        <v>339194.31556583114</v>
      </c>
      <c r="CC350" s="5">
        <f t="shared" si="855"/>
        <v>10372274.780590992</v>
      </c>
      <c r="CD350" s="5" t="str">
        <f t="shared" si="856"/>
        <v>Rhode Island</v>
      </c>
      <c r="CE350" s="5">
        <f t="shared" si="763"/>
        <v>0.54551764491724575</v>
      </c>
      <c r="CF350" s="10">
        <f t="shared" si="857"/>
        <v>0.36924349585942806</v>
      </c>
    </row>
    <row r="351" spans="1:84" x14ac:dyDescent="0.2">
      <c r="A351">
        <v>40000000002601</v>
      </c>
      <c r="B351">
        <v>2020</v>
      </c>
      <c r="C351">
        <v>211</v>
      </c>
      <c r="D351" t="s">
        <v>579</v>
      </c>
      <c r="E351">
        <v>6</v>
      </c>
      <c r="F351" t="s">
        <v>580</v>
      </c>
      <c r="G351" t="s">
        <v>581</v>
      </c>
      <c r="H351" t="s">
        <v>582</v>
      </c>
      <c r="I351" t="b">
        <v>1</v>
      </c>
      <c r="J351">
        <v>83770</v>
      </c>
      <c r="K351">
        <v>477306</v>
      </c>
      <c r="L351">
        <v>0</v>
      </c>
      <c r="M351">
        <v>-28223</v>
      </c>
      <c r="N351">
        <v>-71972</v>
      </c>
      <c r="O351">
        <v>487783</v>
      </c>
      <c r="Q351">
        <v>-26902</v>
      </c>
      <c r="R351">
        <v>7020662</v>
      </c>
      <c r="S351">
        <v>6993762</v>
      </c>
      <c r="T351">
        <v>266845</v>
      </c>
      <c r="V351">
        <v>49954</v>
      </c>
      <c r="W351">
        <v>143922</v>
      </c>
      <c r="X351">
        <v>-70</v>
      </c>
      <c r="Y351">
        <v>4026</v>
      </c>
      <c r="Z351">
        <v>16</v>
      </c>
      <c r="AA351">
        <v>-31139</v>
      </c>
      <c r="AB351">
        <v>3829895</v>
      </c>
      <c r="AC351">
        <v>3798755</v>
      </c>
      <c r="AD351">
        <v>3195005</v>
      </c>
      <c r="AE351">
        <v>3190768</v>
      </c>
      <c r="AF351">
        <v>4237</v>
      </c>
      <c r="AG351">
        <v>1080912</v>
      </c>
      <c r="AH351">
        <v>0.24687023550483295</v>
      </c>
      <c r="AI351" t="b">
        <v>1</v>
      </c>
      <c r="AK351">
        <v>7.0000000000000007E-2</v>
      </c>
      <c r="AL351">
        <v>7.0000000000000007E-2</v>
      </c>
      <c r="AM351">
        <v>7.0000000000000007E-2</v>
      </c>
      <c r="AN351">
        <v>7.0000000000000007E-2</v>
      </c>
      <c r="AO351">
        <v>1</v>
      </c>
      <c r="AP351">
        <v>0</v>
      </c>
      <c r="AS351">
        <v>3833501</v>
      </c>
      <c r="AT351">
        <v>2424446</v>
      </c>
      <c r="BB351">
        <f t="shared" si="835"/>
        <v>0.54316332182879545</v>
      </c>
      <c r="BD351">
        <f t="shared" si="836"/>
        <v>638496</v>
      </c>
      <c r="BE351">
        <f t="shared" si="837"/>
        <v>-770559</v>
      </c>
      <c r="BF351">
        <f t="shared" si="838"/>
        <v>9.1295071236338892</v>
      </c>
      <c r="BG351">
        <f t="shared" si="839"/>
        <v>-11.017804151756952</v>
      </c>
      <c r="BH351">
        <f t="shared" si="840"/>
        <v>10.07365563769542</v>
      </c>
      <c r="BI351">
        <f t="shared" si="841"/>
        <v>-94.414851406153076</v>
      </c>
      <c r="BJ351">
        <f t="shared" si="842"/>
        <v>10</v>
      </c>
      <c r="BK351">
        <f>IF($BJ351&lt;=30,IF($B351=2015,VLOOKUP($BJ351,'Treasury Yields'!$C$5:$N$34,$E351,FALSE)/100,IF($B351=2016,VLOOKUP($BJ351,'Treasury Yields'!$C$40:$N$69,$E351,FALSE)/100,IF($B351=2017,VLOOKUP($BJ351,'Treasury Yields'!$C$75:$N$104,$E351,FALSE)/100,IF($B351=2018,VLOOKUP($BJ351,'Treasury Yields'!$C$110:$N$139,$E351,FALSE)/100,IF($B351=2019,VLOOKUP($BJ351,'Treasury Yields'!$C$145:$N$174,$E351,FALSE)/100,IF($B351=2020,VLOOKUP($BJ351,'Treasury Yields'!$C$180:$N$209,$E351,FALSE)/100,IF($B351=2021,VLOOKUP($BJ351,'Treasury Yields'!$C$215:$N$244,$E351,FALSE)/100,IF($B351=2022,VLOOKUP($BJ351,'Treasury Yields'!$C$250:$N$279,$E351,FALSE)/100)))))))),0)</f>
        <v>2.1259999999999998E-2</v>
      </c>
      <c r="BL351">
        <f t="shared" si="843"/>
        <v>1.4933655633812748</v>
      </c>
      <c r="BM351">
        <f t="shared" si="844"/>
        <v>10484414.862939507</v>
      </c>
      <c r="BN351">
        <f t="shared" si="845"/>
        <v>6654519.8629395068</v>
      </c>
      <c r="BP351">
        <f>IF($BJ351&lt;=30,IF($B351=2015,VLOOKUP($BJ351,'Treasury Yields'!$C$40:$N$69,$E351,FALSE)/100,IF($B351=2016,VLOOKUP($BJ351,'Treasury Yields'!$C$75:$N$104,$E351,FALSE)/100,IF($B351=2017,VLOOKUP($BJ351,'Treasury Yields'!$C$110:$N$139,$E351,FALSE)/100,IF($B351=2018,VLOOKUP($BJ351,'Treasury Yields'!$C$145:$N$174,$E351,FALSE)/100,IF($B351=2019,VLOOKUP($BJ351,'Treasury Yields'!$C$180:$N$209,$E351,FALSE)/100,IF($B351=2020,VLOOKUP($BJ351,'Treasury Yields'!$C$215:$N$244,$E351,FALSE)/100,IF($B351=2021,VLOOKUP($BJ351,'Treasury Yields'!$C$250:$N$279,$E351,FALSE)/100,IF($B351=2022,VLOOKUP($BJ351,'Treasury Yields'!$C$285:$N$314,$E351,FALSE)/100)))))))),0)</f>
        <v>1.5412727272727269E-2</v>
      </c>
      <c r="BQ351">
        <f t="shared" si="846"/>
        <v>1.5528731579993102</v>
      </c>
      <c r="BR351">
        <f t="shared" si="847"/>
        <v>10860425.283235572</v>
      </c>
      <c r="BS351">
        <f t="shared" si="848"/>
        <v>7061670.2832355723</v>
      </c>
      <c r="BU351">
        <f t="shared" si="765"/>
        <v>13</v>
      </c>
      <c r="BV351">
        <f t="shared" si="849"/>
        <v>1.900319225524975</v>
      </c>
      <c r="BW351">
        <f t="shared" si="850"/>
        <v>159189.74152222715</v>
      </c>
      <c r="BX351" s="5">
        <f t="shared" si="851"/>
        <v>215912.76731085643</v>
      </c>
      <c r="BY351" s="5">
        <f t="shared" si="852"/>
        <v>134489.19961085645</v>
      </c>
      <c r="BZ351" s="5">
        <f t="shared" si="853"/>
        <v>561076</v>
      </c>
      <c r="CA351" s="5">
        <f t="shared" si="854"/>
        <v>293678.9411330836</v>
      </c>
      <c r="CC351" s="5">
        <f t="shared" si="855"/>
        <v>10860425.283235572</v>
      </c>
      <c r="CD351" s="5" t="str">
        <f t="shared" si="856"/>
        <v>Rhode Island</v>
      </c>
      <c r="CE351" s="5">
        <f t="shared" si="763"/>
        <v>0.54316332182879545</v>
      </c>
      <c r="CF351" s="10">
        <f t="shared" si="857"/>
        <v>0.34977958053482994</v>
      </c>
    </row>
    <row r="352" spans="1:84" x14ac:dyDescent="0.2">
      <c r="A352">
        <v>40000000002601</v>
      </c>
      <c r="B352">
        <v>2021</v>
      </c>
      <c r="C352">
        <v>211</v>
      </c>
      <c r="D352" t="s">
        <v>579</v>
      </c>
      <c r="E352">
        <v>6</v>
      </c>
      <c r="F352" t="s">
        <v>580</v>
      </c>
      <c r="G352" t="s">
        <v>581</v>
      </c>
      <c r="H352" t="s">
        <v>582</v>
      </c>
      <c r="I352" t="b">
        <v>1</v>
      </c>
      <c r="J352">
        <v>82404</v>
      </c>
      <c r="K352">
        <v>475375</v>
      </c>
      <c r="L352">
        <v>0</v>
      </c>
      <c r="M352">
        <v>-38708</v>
      </c>
      <c r="N352">
        <v>0</v>
      </c>
      <c r="O352">
        <v>487793</v>
      </c>
      <c r="Q352">
        <v>31278</v>
      </c>
      <c r="R352">
        <v>6993762</v>
      </c>
      <c r="S352">
        <v>7025040</v>
      </c>
      <c r="T352">
        <v>276569</v>
      </c>
      <c r="V352">
        <v>49381</v>
      </c>
      <c r="W352">
        <v>1038697</v>
      </c>
      <c r="X352">
        <v>245</v>
      </c>
      <c r="Y352">
        <v>4220</v>
      </c>
      <c r="Z352">
        <v>6</v>
      </c>
      <c r="AA352">
        <v>872885</v>
      </c>
      <c r="AB352">
        <v>3798755</v>
      </c>
      <c r="AC352">
        <v>4671641</v>
      </c>
      <c r="AD352">
        <v>2353398</v>
      </c>
      <c r="AE352">
        <v>3195005</v>
      </c>
      <c r="AF352">
        <v>-841607</v>
      </c>
      <c r="AG352">
        <v>1091443</v>
      </c>
      <c r="AI352" t="b">
        <v>1</v>
      </c>
      <c r="AK352">
        <v>7.0000000000000007E-2</v>
      </c>
      <c r="AL352">
        <v>7.0000000000000007E-2</v>
      </c>
      <c r="AM352">
        <v>7.0000000000000007E-2</v>
      </c>
      <c r="AN352">
        <v>7.0000000000000007E-2</v>
      </c>
      <c r="AS352">
        <v>2972162</v>
      </c>
      <c r="AT352">
        <v>1563679</v>
      </c>
      <c r="AU352" t="s">
        <v>269</v>
      </c>
      <c r="AV352" t="s">
        <v>587</v>
      </c>
      <c r="BB352">
        <f t="shared" si="835"/>
        <v>0.66499849111179443</v>
      </c>
      <c r="BD352">
        <f t="shared" si="836"/>
        <v>618764</v>
      </c>
      <c r="BE352">
        <f t="shared" si="837"/>
        <v>-789719</v>
      </c>
      <c r="BF352">
        <f t="shared" si="838"/>
        <v>8.8079783175611812</v>
      </c>
      <c r="BG352">
        <f t="shared" si="839"/>
        <v>-11.241487592953208</v>
      </c>
      <c r="BH352">
        <f t="shared" si="840"/>
        <v>10.024732955257194</v>
      </c>
      <c r="BI352">
        <f t="shared" si="841"/>
        <v>-121.67546376960131</v>
      </c>
      <c r="BJ352">
        <f t="shared" si="842"/>
        <v>10</v>
      </c>
      <c r="BK352">
        <f>IF($BJ352&lt;=30,IF($B352=2015,VLOOKUP($BJ352,'Treasury Yields'!$C$5:$N$34,$E352,FALSE)/100,IF($B352=2016,VLOOKUP($BJ352,'Treasury Yields'!$C$40:$N$69,$E352,FALSE)/100,IF($B352=2017,VLOOKUP($BJ352,'Treasury Yields'!$C$75:$N$104,$E352,FALSE)/100,IF($B352=2018,VLOOKUP($BJ352,'Treasury Yields'!$C$110:$N$139,$E352,FALSE)/100,IF($B352=2019,VLOOKUP($BJ352,'Treasury Yields'!$C$145:$N$174,$E352,FALSE)/100,IF($B352=2020,VLOOKUP($BJ352,'Treasury Yields'!$C$180:$N$209,$E352,FALSE)/100,IF($B352=2021,VLOOKUP($BJ352,'Treasury Yields'!$C$215:$N$244,$E352,FALSE)/100,IF($B352=2022,VLOOKUP($BJ352,'Treasury Yields'!$C$250:$N$279,$E352,FALSE)/100)))))))),0)</f>
        <v>1.5412727272727269E-2</v>
      </c>
      <c r="BL352">
        <f t="shared" si="843"/>
        <v>1.5502026021905049</v>
      </c>
      <c r="BM352">
        <f t="shared" si="844"/>
        <v>10841748.051501069</v>
      </c>
      <c r="BN352">
        <f t="shared" si="845"/>
        <v>7042993.0515010692</v>
      </c>
      <c r="BP352">
        <f>IF($BJ352&lt;=30,IF($B352=2015,VLOOKUP($BJ352,'Treasury Yields'!$C$40:$N$69,$E352,FALSE)/100,IF($B352=2016,VLOOKUP($BJ352,'Treasury Yields'!$C$75:$N$104,$E352,FALSE)/100,IF($B352=2017,VLOOKUP($BJ352,'Treasury Yields'!$C$110:$N$139,$E352,FALSE)/100,IF($B352=2018,VLOOKUP($BJ352,'Treasury Yields'!$C$145:$N$174,$E352,FALSE)/100,IF($B352=2019,VLOOKUP($BJ352,'Treasury Yields'!$C$180:$N$209,$E352,FALSE)/100,IF($B352=2020,VLOOKUP($BJ352,'Treasury Yields'!$C$215:$N$244,$E352,FALSE)/100,IF($B352=2021,VLOOKUP($BJ352,'Treasury Yields'!$C$250:$N$279,$E352,FALSE)/100,IF($B352=2022,VLOOKUP($BJ352,'Treasury Yields'!$C$285:$N$314,$E352,FALSE)/100)))))))),0)</f>
        <v>2.202272727272727E-2</v>
      </c>
      <c r="BQ352">
        <f t="shared" si="846"/>
        <v>1.4832611657108004</v>
      </c>
      <c r="BR352">
        <f t="shared" si="847"/>
        <v>10419969.019565001</v>
      </c>
      <c r="BS352">
        <f t="shared" si="848"/>
        <v>5748328.0195650011</v>
      </c>
      <c r="BU352">
        <f t="shared" si="765"/>
        <v>13</v>
      </c>
      <c r="BV352">
        <f t="shared" si="849"/>
        <v>1.8942924387922786</v>
      </c>
      <c r="BW352">
        <f t="shared" si="850"/>
        <v>156097.27412623892</v>
      </c>
      <c r="BX352" s="5">
        <f t="shared" si="851"/>
        <v>161988.57011698667</v>
      </c>
      <c r="BY352" s="5">
        <f t="shared" si="852"/>
        <v>103439.3953260776</v>
      </c>
      <c r="BZ352" s="5">
        <f t="shared" si="853"/>
        <v>557779</v>
      </c>
      <c r="CA352" s="5">
        <f t="shared" si="854"/>
        <v>259536.66945231654</v>
      </c>
      <c r="CC352" s="5">
        <f t="shared" si="855"/>
        <v>10419969.019565001</v>
      </c>
      <c r="CD352" s="5" t="str">
        <f t="shared" si="856"/>
        <v>Rhode Island</v>
      </c>
      <c r="CE352" s="5">
        <f t="shared" si="763"/>
        <v>0.66499849111179443</v>
      </c>
      <c r="CF352" s="10">
        <f t="shared" si="857"/>
        <v>0.44833540207541089</v>
      </c>
    </row>
    <row r="353" spans="1:84" x14ac:dyDescent="0.2">
      <c r="A353">
        <v>40000000002601</v>
      </c>
      <c r="B353">
        <v>2022</v>
      </c>
      <c r="C353">
        <v>211</v>
      </c>
      <c r="D353" t="s">
        <v>579</v>
      </c>
      <c r="E353">
        <v>6</v>
      </c>
      <c r="F353" t="s">
        <v>580</v>
      </c>
      <c r="G353" t="s">
        <v>581</v>
      </c>
      <c r="H353" t="s">
        <v>582</v>
      </c>
      <c r="I353" t="b">
        <v>1</v>
      </c>
      <c r="J353">
        <v>83112</v>
      </c>
      <c r="K353">
        <v>477356</v>
      </c>
      <c r="M353">
        <v>28241</v>
      </c>
      <c r="N353">
        <v>0</v>
      </c>
      <c r="O353">
        <v>494461</v>
      </c>
      <c r="Q353">
        <v>94248</v>
      </c>
      <c r="R353">
        <v>7025040</v>
      </c>
      <c r="S353">
        <v>7119287</v>
      </c>
      <c r="T353">
        <v>323544</v>
      </c>
      <c r="V353">
        <v>49364</v>
      </c>
      <c r="W353">
        <v>-126605</v>
      </c>
      <c r="X353">
        <v>49</v>
      </c>
      <c r="Y353">
        <v>4783</v>
      </c>
      <c r="Z353">
        <v>50</v>
      </c>
      <c r="AA353">
        <v>-253073</v>
      </c>
      <c r="AB353">
        <v>4671641</v>
      </c>
      <c r="AC353">
        <v>4418568</v>
      </c>
      <c r="AD353">
        <v>2700719</v>
      </c>
      <c r="AE353">
        <v>2353398</v>
      </c>
      <c r="AF353">
        <v>347321</v>
      </c>
      <c r="AG353">
        <v>1118606</v>
      </c>
      <c r="AI353" t="b">
        <v>1</v>
      </c>
      <c r="AK353">
        <v>7.0000000000000007E-2</v>
      </c>
      <c r="AL353">
        <v>7.0000000000000007E-2</v>
      </c>
      <c r="AM353">
        <v>7.0000000000000007E-2</v>
      </c>
      <c r="AN353">
        <v>7.0000000000000007E-2</v>
      </c>
      <c r="AS353">
        <v>3388274</v>
      </c>
      <c r="AT353">
        <v>2075998</v>
      </c>
      <c r="AV353" t="s">
        <v>588</v>
      </c>
      <c r="BB353">
        <f t="shared" si="835"/>
        <v>0.62064754518254428</v>
      </c>
      <c r="BD353">
        <f t="shared" si="836"/>
        <v>687555</v>
      </c>
      <c r="BE353">
        <f t="shared" si="837"/>
        <v>-624721</v>
      </c>
      <c r="BF353">
        <f t="shared" si="838"/>
        <v>9.6576384685713617</v>
      </c>
      <c r="BG353">
        <f t="shared" si="839"/>
        <v>-8.7750500857740388</v>
      </c>
      <c r="BH353">
        <f t="shared" si="840"/>
        <v>9.2163442771727002</v>
      </c>
      <c r="BI353">
        <f t="shared" si="841"/>
        <v>44.129419139866108</v>
      </c>
      <c r="BJ353">
        <f t="shared" si="842"/>
        <v>9</v>
      </c>
      <c r="BK353">
        <f>IF($BJ353&lt;=30,IF($B353=2015,VLOOKUP($BJ353,'Treasury Yields'!$C$5:$N$34,$E353,FALSE)/100,IF($B353=2016,VLOOKUP($BJ353,'Treasury Yields'!$C$40:$N$69,$E353,FALSE)/100,IF($B353=2017,VLOOKUP($BJ353,'Treasury Yields'!$C$75:$N$104,$E353,FALSE)/100,IF($B353=2018,VLOOKUP($BJ353,'Treasury Yields'!$C$110:$N$139,$E353,FALSE)/100,IF($B353=2019,VLOOKUP($BJ353,'Treasury Yields'!$C$145:$N$174,$E353,FALSE)/100,IF($B353=2020,VLOOKUP($BJ353,'Treasury Yields'!$C$180:$N$209,$E353,FALSE)/100,IF($B353=2021,VLOOKUP($BJ353,'Treasury Yields'!$C$215:$N$244,$E353,FALSE)/100,IF($B353=2022,VLOOKUP($BJ353,'Treasury Yields'!$C$250:$N$279,$E353,FALSE)/100)))))))),0)</f>
        <v>2.1415000000000007E-2</v>
      </c>
      <c r="BL353">
        <f t="shared" si="843"/>
        <v>1.4501365889314355</v>
      </c>
      <c r="BM353">
        <f t="shared" si="844"/>
        <v>10187267.542706892</v>
      </c>
      <c r="BN353">
        <f t="shared" si="845"/>
        <v>5515626.5427068919</v>
      </c>
      <c r="BP353">
        <f>IF($BJ353&lt;=30,IF($B353=2015,VLOOKUP($BJ353,'Treasury Yields'!$C$40:$N$69,$E353,FALSE)/100,IF($B353=2016,VLOOKUP($BJ353,'Treasury Yields'!$C$75:$N$104,$E353,FALSE)/100,IF($B353=2017,VLOOKUP($BJ353,'Treasury Yields'!$C$110:$N$139,$E353,FALSE)/100,IF($B353=2018,VLOOKUP($BJ353,'Treasury Yields'!$C$145:$N$174,$E353,FALSE)/100,IF($B353=2019,VLOOKUP($BJ353,'Treasury Yields'!$C$180:$N$209,$E353,FALSE)/100,IF($B353=2020,VLOOKUP($BJ353,'Treasury Yields'!$C$215:$N$244,$E353,FALSE)/100,IF($B353=2021,VLOOKUP($BJ353,'Treasury Yields'!$C$250:$N$279,$E353,FALSE)/100,IF($B353=2022,VLOOKUP($BJ353,'Treasury Yields'!$C$285:$N$314,$E353,FALSE)/100)))))))),0)</f>
        <v>3.5144090909090903E-2</v>
      </c>
      <c r="BQ353">
        <f t="shared" si="846"/>
        <v>1.3224589926742056</v>
      </c>
      <c r="BR353">
        <f t="shared" si="847"/>
        <v>9414965.1145785674</v>
      </c>
      <c r="BS353">
        <f t="shared" si="848"/>
        <v>4996397.1145785674</v>
      </c>
      <c r="BU353">
        <f t="shared" si="765"/>
        <v>12</v>
      </c>
      <c r="BV353">
        <f t="shared" si="849"/>
        <v>2.1349636787740476</v>
      </c>
      <c r="BW353">
        <f t="shared" si="850"/>
        <v>177441.10127026864</v>
      </c>
      <c r="BX353" s="5">
        <f t="shared" si="851"/>
        <v>211371.35329577094</v>
      </c>
      <c r="BY353" s="5">
        <f t="shared" si="852"/>
        <v>111328.16128077093</v>
      </c>
      <c r="BZ353" s="5">
        <f t="shared" si="853"/>
        <v>560468</v>
      </c>
      <c r="CA353" s="5">
        <f t="shared" si="854"/>
        <v>288769.26255103957</v>
      </c>
      <c r="CC353" s="5">
        <f t="shared" si="855"/>
        <v>9414965.1145785674</v>
      </c>
      <c r="CD353" s="5" t="str">
        <f t="shared" si="856"/>
        <v>Rhode Island</v>
      </c>
      <c r="CE353" s="5">
        <f t="shared" si="763"/>
        <v>0.62064754518254428</v>
      </c>
      <c r="CF353" s="10">
        <f t="shared" si="857"/>
        <v>0.46931326311109584</v>
      </c>
    </row>
    <row r="354" spans="1:84" x14ac:dyDescent="0.2">
      <c r="A354">
        <v>41000000001382</v>
      </c>
      <c r="B354">
        <v>2015</v>
      </c>
      <c r="C354">
        <v>532</v>
      </c>
      <c r="D354" t="s">
        <v>589</v>
      </c>
      <c r="E354">
        <v>6</v>
      </c>
      <c r="F354" t="s">
        <v>590</v>
      </c>
      <c r="G354" t="s">
        <v>591</v>
      </c>
      <c r="H354" t="s">
        <v>592</v>
      </c>
      <c r="I354" t="b">
        <v>1</v>
      </c>
      <c r="J354">
        <v>744197</v>
      </c>
      <c r="K354">
        <v>3148090</v>
      </c>
      <c r="M354">
        <v>-44636</v>
      </c>
      <c r="O354">
        <v>2705547</v>
      </c>
      <c r="P354">
        <v>95104</v>
      </c>
      <c r="Q354">
        <v>1142104</v>
      </c>
      <c r="R354">
        <v>42955206</v>
      </c>
      <c r="S354">
        <v>44097310</v>
      </c>
      <c r="T354">
        <v>1022478</v>
      </c>
      <c r="V354">
        <v>716107</v>
      </c>
      <c r="W354">
        <v>374152</v>
      </c>
      <c r="X354">
        <v>-1329</v>
      </c>
      <c r="Y354">
        <v>12554</v>
      </c>
      <c r="AA354">
        <v>-606693</v>
      </c>
      <c r="AB354">
        <v>25738521</v>
      </c>
      <c r="AC354">
        <v>25131828</v>
      </c>
      <c r="AD354">
        <v>18965482</v>
      </c>
      <c r="AE354">
        <v>17216685</v>
      </c>
      <c r="AF354">
        <v>1748797</v>
      </c>
      <c r="AG354">
        <v>7539996</v>
      </c>
      <c r="AH354">
        <v>0.13560723374389058</v>
      </c>
      <c r="AI354" t="b">
        <v>1</v>
      </c>
      <c r="AK354">
        <v>7.4999999999999997E-2</v>
      </c>
      <c r="AL354">
        <v>7.4999999999999997E-2</v>
      </c>
      <c r="AM354">
        <v>7.4999999999999997E-2</v>
      </c>
      <c r="AN354">
        <v>7.4999999999999997E-2</v>
      </c>
      <c r="AO354">
        <v>1</v>
      </c>
      <c r="AP354">
        <v>0</v>
      </c>
      <c r="AS354">
        <v>23910054</v>
      </c>
      <c r="AT354">
        <v>14821303</v>
      </c>
      <c r="BB354">
        <f t="shared" ref="BB354:BB361" si="858">AC354/S354</f>
        <v>0.56991748476267601</v>
      </c>
      <c r="BD354">
        <f t="shared" ref="BD354:BD361" si="859">AS354-AD354</f>
        <v>4944572</v>
      </c>
      <c r="BE354">
        <f t="shared" ref="BE354:BE361" si="860">AT354-AD354</f>
        <v>-4144179</v>
      </c>
      <c r="BF354">
        <f t="shared" ref="BF354:BF361" si="861">BD354/S354*100</f>
        <v>11.212865365256974</v>
      </c>
      <c r="BG354">
        <f t="shared" ref="BG354:BG361" si="862">BE354/S354*100</f>
        <v>-9.3978045372835659</v>
      </c>
      <c r="BH354">
        <f t="shared" ref="BH354:BH361" si="863">(BD354-BE354)/(2*S354)*100</f>
        <v>10.30533495127027</v>
      </c>
      <c r="BI354">
        <f t="shared" ref="BI354:BI361" si="864">(BD354+BE354)/(2*S354*(0.01^2))</f>
        <v>90.753041398670348</v>
      </c>
      <c r="BJ354">
        <f t="shared" ref="BJ354:BJ361" si="865">ROUND(BH354,0)</f>
        <v>10</v>
      </c>
      <c r="BK354">
        <f>IF($BJ354&lt;=30,IF($B354=2015,VLOOKUP($BJ354,'Treasury Yields'!$C$5:$N$34,$E354,FALSE)/100,IF($B354=2016,VLOOKUP($BJ354,'Treasury Yields'!$C$40:$N$69,$E354,FALSE)/100,IF($B354=2017,VLOOKUP($BJ354,'Treasury Yields'!$C$75:$N$104,$E354,FALSE)/100,IF($B354=2018,VLOOKUP($BJ354,'Treasury Yields'!$C$110:$N$139,$E354,FALSE)/100,IF($B354=2019,VLOOKUP($BJ354,'Treasury Yields'!$C$145:$N$174,$E354,FALSE)/100,IF($B354=2020,VLOOKUP($BJ354,'Treasury Yields'!$C$180:$N$209,$E354,FALSE)/100,IF($B354=2021,VLOOKUP($BJ354,'Treasury Yields'!$C$215:$N$244,$E354,FALSE)/100,IF($B354=2022,VLOOKUP($BJ354,'Treasury Yields'!$C$250:$N$279,$E354,FALSE)/100)))))))),0)</f>
        <v>2.7109999999999999E-2</v>
      </c>
      <c r="BL354">
        <f t="shared" ref="BL354:BL361" si="866">1+BH354*(AL354-BK354)+(AL354-BK354)^2</f>
        <v>1.4958159429163334</v>
      </c>
      <c r="BM354">
        <f t="shared" ref="BM354:BM361" si="867">BL354*R354</f>
        <v>64253081.966055341</v>
      </c>
      <c r="BN354">
        <f t="shared" ref="BN354:BN361" si="868">BM354-AB354</f>
        <v>38514560.966055341</v>
      </c>
      <c r="BP354">
        <f>IF($BJ354&lt;=30,IF($B354=2015,VLOOKUP($BJ354,'Treasury Yields'!$C$40:$N$69,$E354,FALSE)/100,IF($B354=2016,VLOOKUP($BJ354,'Treasury Yields'!$C$75:$N$104,$E354,FALSE)/100,IF($B354=2017,VLOOKUP($BJ354,'Treasury Yields'!$C$110:$N$139,$E354,FALSE)/100,IF($B354=2018,VLOOKUP($BJ354,'Treasury Yields'!$C$145:$N$174,$E354,FALSE)/100,IF($B354=2019,VLOOKUP($BJ354,'Treasury Yields'!$C$180:$N$209,$E354,FALSE)/100,IF($B354=2020,VLOOKUP($BJ354,'Treasury Yields'!$C$215:$N$244,$E354,FALSE)/100,IF($B354=2021,VLOOKUP($BJ354,'Treasury Yields'!$C$250:$N$279,$E354,FALSE)/100,IF($B354=2022,VLOOKUP($BJ354,'Treasury Yields'!$C$285:$N$314,$E354,FALSE)/100)))))))),0)</f>
        <v>2.5470000000000003E-2</v>
      </c>
      <c r="BQ354">
        <f t="shared" ref="BQ354:BQ361" si="869">1+BH354*(AN354-BP354)+(AN354-BP354)^2</f>
        <v>1.5128764610364165</v>
      </c>
      <c r="BR354">
        <f t="shared" ref="BR354:BR361" si="870">BQ354*S354</f>
        <v>66713782.294025779</v>
      </c>
      <c r="BS354">
        <f t="shared" ref="BS354:BS361" si="871">BR354-AC354</f>
        <v>41581954.294025779</v>
      </c>
      <c r="BU354">
        <f t="shared" si="765"/>
        <v>13</v>
      </c>
      <c r="BV354">
        <f t="shared" ref="BV354:BV361" si="872">1+(BH354+BU354)*(AN354-BK354)+(AN354-BK354)^2*BI354</f>
        <v>2.324230244193501</v>
      </c>
      <c r="BW354">
        <f t="shared" ref="BW354:BW361" si="873">BV354*J354</f>
        <v>1729685.1750380709</v>
      </c>
      <c r="BX354" s="5">
        <f t="shared" ref="BX354:BX361" si="874">(BM354+BW354-O354)*BK354</f>
        <v>1715445.4380250422</v>
      </c>
      <c r="BY354" s="5">
        <f t="shared" ref="BY354:BY361" si="875">BK354*(BN354+BW354-O354)</f>
        <v>1017674.1337150423</v>
      </c>
      <c r="BZ354" s="5">
        <f t="shared" ref="BZ354:BZ361" si="876">SUM(J354:K354)</f>
        <v>3892287</v>
      </c>
      <c r="CA354" s="5">
        <f t="shared" ref="CA354:CA361" si="877">SUM(BW354+BY354)</f>
        <v>2747359.3087531133</v>
      </c>
      <c r="CC354" s="5">
        <f t="shared" ref="CC354:CC361" si="878">BR354</f>
        <v>66713782.294025779</v>
      </c>
      <c r="CD354" s="5" t="str">
        <f t="shared" ref="CD354:CD361" si="879">F354</f>
        <v>South Carolina</v>
      </c>
      <c r="CE354" s="5">
        <f t="shared" si="763"/>
        <v>0.56991748476267601</v>
      </c>
      <c r="CF354" s="10">
        <f t="shared" ref="CF354:CF361" si="880">AC354/CC354</f>
        <v>0.37671118524261149</v>
      </c>
    </row>
    <row r="355" spans="1:84" x14ac:dyDescent="0.2">
      <c r="A355">
        <v>41000000001382</v>
      </c>
      <c r="B355">
        <v>2016</v>
      </c>
      <c r="C355">
        <v>532</v>
      </c>
      <c r="D355" t="s">
        <v>589</v>
      </c>
      <c r="E355">
        <v>6</v>
      </c>
      <c r="F355" t="s">
        <v>590</v>
      </c>
      <c r="G355" t="s">
        <v>591</v>
      </c>
      <c r="H355" t="s">
        <v>592</v>
      </c>
      <c r="I355" t="b">
        <v>1</v>
      </c>
      <c r="J355">
        <v>763357</v>
      </c>
      <c r="K355">
        <v>3231572</v>
      </c>
      <c r="M355">
        <v>46714</v>
      </c>
      <c r="O355">
        <v>2782738</v>
      </c>
      <c r="P355">
        <v>93694</v>
      </c>
      <c r="Q355">
        <v>1258905</v>
      </c>
      <c r="R355">
        <v>44097310</v>
      </c>
      <c r="S355">
        <v>45356215</v>
      </c>
      <c r="T355">
        <v>1072659</v>
      </c>
      <c r="V355">
        <v>754153</v>
      </c>
      <c r="W355">
        <v>-165394</v>
      </c>
      <c r="X355">
        <v>-997</v>
      </c>
      <c r="Y355">
        <v>13149</v>
      </c>
      <c r="AA355">
        <v>-1135466</v>
      </c>
      <c r="AB355">
        <v>25131828</v>
      </c>
      <c r="AC355">
        <v>23996362</v>
      </c>
      <c r="AD355">
        <v>21359853</v>
      </c>
      <c r="AE355">
        <v>18965482</v>
      </c>
      <c r="AF355">
        <v>2394371</v>
      </c>
      <c r="AG355">
        <v>7765588</v>
      </c>
      <c r="AH355">
        <v>0.13812978489201333</v>
      </c>
      <c r="AI355" t="b">
        <v>1</v>
      </c>
      <c r="AK355">
        <v>7.4999999999999997E-2</v>
      </c>
      <c r="AL355">
        <v>7.4999999999999997E-2</v>
      </c>
      <c r="AM355">
        <v>7.4999999999999997E-2</v>
      </c>
      <c r="AN355">
        <v>7.4999999999999997E-2</v>
      </c>
      <c r="AO355">
        <v>1</v>
      </c>
      <c r="AP355">
        <v>0</v>
      </c>
      <c r="AS355">
        <v>26645831</v>
      </c>
      <c r="AT355">
        <v>16959474</v>
      </c>
      <c r="AU355" t="s">
        <v>64</v>
      </c>
      <c r="AV355" t="s">
        <v>593</v>
      </c>
      <c r="BB355">
        <f t="shared" si="858"/>
        <v>0.52906447330316253</v>
      </c>
      <c r="BD355">
        <f t="shared" si="859"/>
        <v>5285978</v>
      </c>
      <c r="BE355">
        <f t="shared" si="860"/>
        <v>-4400379</v>
      </c>
      <c r="BF355">
        <f t="shared" si="861"/>
        <v>11.654363134137185</v>
      </c>
      <c r="BG355">
        <f t="shared" si="862"/>
        <v>-9.7018214593082774</v>
      </c>
      <c r="BH355">
        <f t="shared" si="863"/>
        <v>10.678092296722731</v>
      </c>
      <c r="BI355">
        <f t="shared" si="864"/>
        <v>97.627083741445347</v>
      </c>
      <c r="BJ355">
        <f t="shared" si="865"/>
        <v>11</v>
      </c>
      <c r="BK355">
        <f>IF($BJ355&lt;=30,IF($B355=2015,VLOOKUP($BJ355,'Treasury Yields'!$C$5:$N$34,$E355,FALSE)/100,IF($B355=2016,VLOOKUP($BJ355,'Treasury Yields'!$C$40:$N$69,$E355,FALSE)/100,IF($B355=2017,VLOOKUP($BJ355,'Treasury Yields'!$C$75:$N$104,$E355,FALSE)/100,IF($B355=2018,VLOOKUP($BJ355,'Treasury Yields'!$C$110:$N$139,$E355,FALSE)/100,IF($B355=2019,VLOOKUP($BJ355,'Treasury Yields'!$C$145:$N$174,$E355,FALSE)/100,IF($B355=2020,VLOOKUP($BJ355,'Treasury Yields'!$C$180:$N$209,$E355,FALSE)/100,IF($B355=2021,VLOOKUP($BJ355,'Treasury Yields'!$C$215:$N$244,$E355,FALSE)/100,IF($B355=2022,VLOOKUP($BJ355,'Treasury Yields'!$C$250:$N$279,$E355,FALSE)/100)))))))),0)</f>
        <v>2.6258E-2</v>
      </c>
      <c r="BL355">
        <f t="shared" si="866"/>
        <v>1.5228473572908594</v>
      </c>
      <c r="BM355">
        <f t="shared" si="867"/>
        <v>67153471.997135788</v>
      </c>
      <c r="BN355">
        <f t="shared" si="868"/>
        <v>42021643.997135788</v>
      </c>
      <c r="BP355">
        <f>IF($BJ355&lt;=30,IF($B355=2015,VLOOKUP($BJ355,'Treasury Yields'!$C$40:$N$69,$E355,FALSE)/100,IF($B355=2016,VLOOKUP($BJ355,'Treasury Yields'!$C$75:$N$104,$E355,FALSE)/100,IF($B355=2017,VLOOKUP($BJ355,'Treasury Yields'!$C$110:$N$139,$E355,FALSE)/100,IF($B355=2018,VLOOKUP($BJ355,'Treasury Yields'!$C$145:$N$174,$E355,FALSE)/100,IF($B355=2019,VLOOKUP($BJ355,'Treasury Yields'!$C$180:$N$209,$E355,FALSE)/100,IF($B355=2020,VLOOKUP($BJ355,'Treasury Yields'!$C$215:$N$244,$E355,FALSE)/100,IF($B355=2021,VLOOKUP($BJ355,'Treasury Yields'!$C$250:$N$279,$E355,FALSE)/100,IF($B355=2022,VLOOKUP($BJ355,'Treasury Yields'!$C$285:$N$314,$E355,FALSE)/100)))))))),0)</f>
        <v>1.6948000000000001E-2</v>
      </c>
      <c r="BQ355">
        <f t="shared" si="869"/>
        <v>1.6232546487133479</v>
      </c>
      <c r="BR355">
        <f t="shared" si="870"/>
        <v>73624686.846792087</v>
      </c>
      <c r="BS355">
        <f t="shared" si="871"/>
        <v>49628324.846792087</v>
      </c>
      <c r="BU355">
        <f t="shared" si="765"/>
        <v>14</v>
      </c>
      <c r="BV355">
        <f t="shared" si="872"/>
        <v>2.4348002980539527</v>
      </c>
      <c r="BW355">
        <f t="shared" si="873"/>
        <v>1858621.8511215711</v>
      </c>
      <c r="BX355" s="5">
        <f t="shared" si="874"/>
        <v>1739050.4258635419</v>
      </c>
      <c r="BY355" s="5">
        <f t="shared" si="875"/>
        <v>1079138.8862395419</v>
      </c>
      <c r="BZ355" s="5">
        <f t="shared" si="876"/>
        <v>3994929</v>
      </c>
      <c r="CA355" s="5">
        <f t="shared" si="877"/>
        <v>2937760.7373611131</v>
      </c>
      <c r="CC355" s="5">
        <f t="shared" si="878"/>
        <v>73624686.846792087</v>
      </c>
      <c r="CD355" s="5" t="str">
        <f t="shared" si="879"/>
        <v>South Carolina</v>
      </c>
      <c r="CE355" s="5">
        <f t="shared" si="763"/>
        <v>0.52906447330316253</v>
      </c>
      <c r="CF355" s="10">
        <f t="shared" si="880"/>
        <v>0.3259282046242829</v>
      </c>
    </row>
    <row r="356" spans="1:84" x14ac:dyDescent="0.2">
      <c r="A356">
        <v>41000000001382</v>
      </c>
      <c r="B356">
        <v>2017</v>
      </c>
      <c r="C356">
        <v>532</v>
      </c>
      <c r="D356" t="s">
        <v>589</v>
      </c>
      <c r="E356">
        <v>6</v>
      </c>
      <c r="F356" t="s">
        <v>590</v>
      </c>
      <c r="G356" t="s">
        <v>591</v>
      </c>
      <c r="H356" t="s">
        <v>592</v>
      </c>
      <c r="I356" t="b">
        <v>1</v>
      </c>
      <c r="J356">
        <v>804057</v>
      </c>
      <c r="K356">
        <v>3318051</v>
      </c>
      <c r="M356">
        <v>54584</v>
      </c>
      <c r="N356">
        <v>1746649</v>
      </c>
      <c r="O356">
        <v>3035119</v>
      </c>
      <c r="P356">
        <v>105169</v>
      </c>
      <c r="Q356">
        <v>2888222</v>
      </c>
      <c r="R356">
        <v>45356215</v>
      </c>
      <c r="S356">
        <v>48244437</v>
      </c>
      <c r="T356">
        <v>1168847</v>
      </c>
      <c r="V356">
        <v>826543</v>
      </c>
      <c r="W356">
        <v>2791215</v>
      </c>
      <c r="X356">
        <v>-1550</v>
      </c>
      <c r="Y356">
        <v>13469</v>
      </c>
      <c r="AA356">
        <v>1736467</v>
      </c>
      <c r="AB356">
        <v>23996362</v>
      </c>
      <c r="AC356">
        <v>25732829</v>
      </c>
      <c r="AD356">
        <v>22511608</v>
      </c>
      <c r="AE356">
        <v>21359853</v>
      </c>
      <c r="AF356">
        <v>1151755</v>
      </c>
      <c r="AG356">
        <v>8213042</v>
      </c>
      <c r="AH356">
        <v>0.14231596526597576</v>
      </c>
      <c r="AI356" t="b">
        <v>1</v>
      </c>
      <c r="AK356">
        <v>7.4999999999999997E-2</v>
      </c>
      <c r="AL356">
        <v>7.2499999999999995E-2</v>
      </c>
      <c r="AM356">
        <v>7.2499999999999995E-2</v>
      </c>
      <c r="AN356">
        <v>7.4999999999999997E-2</v>
      </c>
      <c r="AO356">
        <v>1</v>
      </c>
      <c r="AP356">
        <v>0</v>
      </c>
      <c r="AS356">
        <v>29014371</v>
      </c>
      <c r="AT356">
        <v>18565959</v>
      </c>
      <c r="AU356" t="s">
        <v>54</v>
      </c>
      <c r="AV356" t="s">
        <v>594</v>
      </c>
      <c r="BB356">
        <f t="shared" si="858"/>
        <v>0.53338437756046364</v>
      </c>
      <c r="BD356">
        <f t="shared" si="859"/>
        <v>6502763</v>
      </c>
      <c r="BE356">
        <f t="shared" si="860"/>
        <v>-3945649</v>
      </c>
      <c r="BF356">
        <f t="shared" si="861"/>
        <v>13.478783056376011</v>
      </c>
      <c r="BG356">
        <f t="shared" si="862"/>
        <v>-8.1784538184164113</v>
      </c>
      <c r="BH356">
        <f t="shared" si="863"/>
        <v>10.828618437396212</v>
      </c>
      <c r="BI356">
        <f t="shared" si="864"/>
        <v>265.01646189798009</v>
      </c>
      <c r="BJ356">
        <f t="shared" si="865"/>
        <v>11</v>
      </c>
      <c r="BK356">
        <f>IF($BJ356&lt;=30,IF($B356=2015,VLOOKUP($BJ356,'Treasury Yields'!$C$5:$N$34,$E356,FALSE)/100,IF($B356=2016,VLOOKUP($BJ356,'Treasury Yields'!$C$40:$N$69,$E356,FALSE)/100,IF($B356=2017,VLOOKUP($BJ356,'Treasury Yields'!$C$75:$N$104,$E356,FALSE)/100,IF($B356=2018,VLOOKUP($BJ356,'Treasury Yields'!$C$110:$N$139,$E356,FALSE)/100,IF($B356=2019,VLOOKUP($BJ356,'Treasury Yields'!$C$145:$N$174,$E356,FALSE)/100,IF($B356=2020,VLOOKUP($BJ356,'Treasury Yields'!$C$180:$N$209,$E356,FALSE)/100,IF($B356=2021,VLOOKUP($BJ356,'Treasury Yields'!$C$215:$N$244,$E356,FALSE)/100,IF($B356=2022,VLOOKUP($BJ356,'Treasury Yields'!$C$250:$N$279,$E356,FALSE)/100)))))))),0)</f>
        <v>1.6948000000000001E-2</v>
      </c>
      <c r="BL356">
        <f t="shared" si="866"/>
        <v>1.6046374361382345</v>
      </c>
      <c r="BM356">
        <f t="shared" si="867"/>
        <v>72780280.550534531</v>
      </c>
      <c r="BN356">
        <f t="shared" si="868"/>
        <v>48783918.550534531</v>
      </c>
      <c r="BP356">
        <f>IF($BJ356&lt;=30,IF($B356=2015,VLOOKUP($BJ356,'Treasury Yields'!$C$40:$N$69,$E356,FALSE)/100,IF($B356=2016,VLOOKUP($BJ356,'Treasury Yields'!$C$75:$N$104,$E356,FALSE)/100,IF($B356=2017,VLOOKUP($BJ356,'Treasury Yields'!$C$110:$N$139,$E356,FALSE)/100,IF($B356=2018,VLOOKUP($BJ356,'Treasury Yields'!$C$145:$N$174,$E356,FALSE)/100,IF($B356=2019,VLOOKUP($BJ356,'Treasury Yields'!$C$180:$N$209,$E356,FALSE)/100,IF($B356=2020,VLOOKUP($BJ356,'Treasury Yields'!$C$215:$N$244,$E356,FALSE)/100,IF($B356=2021,VLOOKUP($BJ356,'Treasury Yields'!$C$250:$N$279,$E356,FALSE)/100,IF($B356=2022,VLOOKUP($BJ356,'Treasury Yields'!$C$285:$N$314,$E356,FALSE)/100)))))))),0)</f>
        <v>2.5068799999999999E-2</v>
      </c>
      <c r="BQ356">
        <f t="shared" si="869"/>
        <v>1.5431790376547578</v>
      </c>
      <c r="BR356">
        <f t="shared" si="870"/>
        <v>74449803.861855596</v>
      </c>
      <c r="BS356">
        <f t="shared" si="871"/>
        <v>48716974.861855596</v>
      </c>
      <c r="BU356">
        <f t="shared" si="765"/>
        <v>14</v>
      </c>
      <c r="BV356">
        <f t="shared" si="872"/>
        <v>3.334465631255211</v>
      </c>
      <c r="BW356">
        <f t="shared" si="873"/>
        <v>2681100.432070171</v>
      </c>
      <c r="BX356" s="5">
        <f t="shared" si="874"/>
        <v>1227480.2880811845</v>
      </c>
      <c r="BY356" s="5">
        <f t="shared" si="875"/>
        <v>820789.94490518456</v>
      </c>
      <c r="BZ356" s="5">
        <f t="shared" si="876"/>
        <v>4122108</v>
      </c>
      <c r="CA356" s="5">
        <f t="shared" si="877"/>
        <v>3501890.3769753557</v>
      </c>
      <c r="CC356" s="5">
        <f t="shared" si="878"/>
        <v>74449803.861855596</v>
      </c>
      <c r="CD356" s="5" t="str">
        <f t="shared" si="879"/>
        <v>South Carolina</v>
      </c>
      <c r="CE356" s="5">
        <f t="shared" si="763"/>
        <v>0.53338437756046364</v>
      </c>
      <c r="CF356" s="10">
        <f t="shared" si="880"/>
        <v>0.34563998379026262</v>
      </c>
    </row>
    <row r="357" spans="1:84" x14ac:dyDescent="0.2">
      <c r="A357">
        <v>41000000001382</v>
      </c>
      <c r="B357">
        <v>2018</v>
      </c>
      <c r="C357">
        <v>532</v>
      </c>
      <c r="D357" t="s">
        <v>589</v>
      </c>
      <c r="E357">
        <v>6</v>
      </c>
      <c r="F357" t="s">
        <v>590</v>
      </c>
      <c r="G357" t="s">
        <v>591</v>
      </c>
      <c r="H357" t="s">
        <v>592</v>
      </c>
      <c r="I357" t="b">
        <v>1</v>
      </c>
      <c r="J357">
        <v>910846</v>
      </c>
      <c r="K357">
        <v>3401588</v>
      </c>
      <c r="M357">
        <v>-172340</v>
      </c>
      <c r="N357">
        <v>0</v>
      </c>
      <c r="O357">
        <v>3562801</v>
      </c>
      <c r="P357">
        <v>113867</v>
      </c>
      <c r="Q357">
        <v>577293</v>
      </c>
      <c r="R357">
        <v>48244437</v>
      </c>
      <c r="S357">
        <v>48821730</v>
      </c>
      <c r="T357">
        <v>1300477</v>
      </c>
      <c r="U357">
        <v>104974</v>
      </c>
      <c r="V357">
        <v>868681</v>
      </c>
      <c r="W357">
        <v>1986948</v>
      </c>
      <c r="X357">
        <v>-1534</v>
      </c>
      <c r="Y357">
        <v>14658</v>
      </c>
      <c r="AA357">
        <v>682087</v>
      </c>
      <c r="AB357">
        <v>25732829</v>
      </c>
      <c r="AC357">
        <v>26414916</v>
      </c>
      <c r="AD357">
        <v>22406814</v>
      </c>
      <c r="AE357">
        <v>22511608</v>
      </c>
      <c r="AF357">
        <v>-104794</v>
      </c>
      <c r="AG357">
        <v>8592885</v>
      </c>
      <c r="AH357">
        <v>0.15134346613506408</v>
      </c>
      <c r="AI357" t="b">
        <v>1</v>
      </c>
      <c r="AK357">
        <v>7.2499999999999995E-2</v>
      </c>
      <c r="AL357">
        <v>7.2499999999999995E-2</v>
      </c>
      <c r="AM357">
        <v>7.2499999999999995E-2</v>
      </c>
      <c r="AN357">
        <v>7.2499999999999995E-2</v>
      </c>
      <c r="AO357">
        <v>1</v>
      </c>
      <c r="AP357">
        <v>0</v>
      </c>
      <c r="AS357">
        <v>28631747</v>
      </c>
      <c r="AT357">
        <v>17956583</v>
      </c>
      <c r="AU357" t="s">
        <v>595</v>
      </c>
      <c r="AV357" t="s">
        <v>593</v>
      </c>
      <c r="BB357">
        <f t="shared" si="858"/>
        <v>0.54104834056474438</v>
      </c>
      <c r="BD357">
        <f t="shared" si="859"/>
        <v>6224933</v>
      </c>
      <c r="BE357">
        <f t="shared" si="860"/>
        <v>-4450231</v>
      </c>
      <c r="BF357">
        <f t="shared" si="861"/>
        <v>12.750332689972272</v>
      </c>
      <c r="BG357">
        <f t="shared" si="862"/>
        <v>-9.1152669108612088</v>
      </c>
      <c r="BH357">
        <f t="shared" si="863"/>
        <v>10.932799800416742</v>
      </c>
      <c r="BI357">
        <f t="shared" si="864"/>
        <v>181.75328895555316</v>
      </c>
      <c r="BJ357">
        <f t="shared" si="865"/>
        <v>11</v>
      </c>
      <c r="BK357">
        <f>IF($BJ357&lt;=30,IF($B357=2015,VLOOKUP($BJ357,'Treasury Yields'!$C$5:$N$34,$E357,FALSE)/100,IF($B357=2016,VLOOKUP($BJ357,'Treasury Yields'!$C$40:$N$69,$E357,FALSE)/100,IF($B357=2017,VLOOKUP($BJ357,'Treasury Yields'!$C$75:$N$104,$E357,FALSE)/100,IF($B357=2018,VLOOKUP($BJ357,'Treasury Yields'!$C$110:$N$139,$E357,FALSE)/100,IF($B357=2019,VLOOKUP($BJ357,'Treasury Yields'!$C$145:$N$174,$E357,FALSE)/100,IF($B357=2020,VLOOKUP($BJ357,'Treasury Yields'!$C$180:$N$209,$E357,FALSE)/100,IF($B357=2021,VLOOKUP($BJ357,'Treasury Yields'!$C$215:$N$244,$E357,FALSE)/100,IF($B357=2022,VLOOKUP($BJ357,'Treasury Yields'!$C$250:$N$279,$E357,FALSE)/100)))))))),0)</f>
        <v>2.5068799999999999E-2</v>
      </c>
      <c r="BL357">
        <f t="shared" si="866"/>
        <v>1.5208055326269665</v>
      </c>
      <c r="BM357">
        <f t="shared" si="867"/>
        <v>73370406.708073124</v>
      </c>
      <c r="BN357">
        <f t="shared" si="868"/>
        <v>47637577.708073124</v>
      </c>
      <c r="BP357">
        <f>IF($BJ357&lt;=30,IF($B357=2015,VLOOKUP($BJ357,'Treasury Yields'!$C$40:$N$69,$E357,FALSE)/100,IF($B357=2016,VLOOKUP($BJ357,'Treasury Yields'!$C$75:$N$104,$E357,FALSE)/100,IF($B357=2017,VLOOKUP($BJ357,'Treasury Yields'!$C$110:$N$139,$E357,FALSE)/100,IF($B357=2018,VLOOKUP($BJ357,'Treasury Yields'!$C$145:$N$174,$E357,FALSE)/100,IF($B357=2019,VLOOKUP($BJ357,'Treasury Yields'!$C$180:$N$209,$E357,FALSE)/100,IF($B357=2020,VLOOKUP($BJ357,'Treasury Yields'!$C$215:$N$244,$E357,FALSE)/100,IF($B357=2021,VLOOKUP($BJ357,'Treasury Yields'!$C$250:$N$279,$E357,FALSE)/100,IF($B357=2022,VLOOKUP($BJ357,'Treasury Yields'!$C$285:$N$314,$E357,FALSE)/100)))))))),0)</f>
        <v>2.9273236363636365E-2</v>
      </c>
      <c r="BQ357">
        <f t="shared" si="869"/>
        <v>1.474458105950772</v>
      </c>
      <c r="BR357">
        <f t="shared" si="870"/>
        <v>71985595.545039982</v>
      </c>
      <c r="BS357">
        <f t="shared" si="871"/>
        <v>45570679.545039982</v>
      </c>
      <c r="BU357">
        <f t="shared" si="765"/>
        <v>14</v>
      </c>
      <c r="BV357">
        <f t="shared" si="872"/>
        <v>2.5914863929211673</v>
      </c>
      <c r="BW357">
        <f t="shared" si="873"/>
        <v>2360445.0150466734</v>
      </c>
      <c r="BX357" s="5">
        <f t="shared" si="874"/>
        <v>1809166.4299677454</v>
      </c>
      <c r="BY357" s="5">
        <f t="shared" si="875"/>
        <v>1164075.2863325456</v>
      </c>
      <c r="BZ357" s="5">
        <f t="shared" si="876"/>
        <v>4312434</v>
      </c>
      <c r="CA357" s="5">
        <f t="shared" si="877"/>
        <v>3524520.3013792187</v>
      </c>
      <c r="CC357" s="5">
        <f t="shared" si="878"/>
        <v>71985595.545039982</v>
      </c>
      <c r="CD357" s="5" t="str">
        <f t="shared" si="879"/>
        <v>South Carolina</v>
      </c>
      <c r="CE357" s="5">
        <f t="shared" si="763"/>
        <v>0.54104834056474438</v>
      </c>
      <c r="CF357" s="10">
        <f t="shared" si="880"/>
        <v>0.36694724548708779</v>
      </c>
    </row>
    <row r="358" spans="1:84" x14ac:dyDescent="0.2">
      <c r="A358">
        <v>41000000001382</v>
      </c>
      <c r="B358">
        <v>2019</v>
      </c>
      <c r="C358">
        <v>532</v>
      </c>
      <c r="D358" t="s">
        <v>589</v>
      </c>
      <c r="E358">
        <v>6</v>
      </c>
      <c r="F358" t="s">
        <v>590</v>
      </c>
      <c r="G358" t="s">
        <v>591</v>
      </c>
      <c r="H358" t="s">
        <v>592</v>
      </c>
      <c r="I358" t="b">
        <v>1</v>
      </c>
      <c r="J358">
        <v>967897</v>
      </c>
      <c r="K358">
        <v>3463073</v>
      </c>
      <c r="M358">
        <v>-101351</v>
      </c>
      <c r="N358">
        <v>0</v>
      </c>
      <c r="O358">
        <v>3078289</v>
      </c>
      <c r="P358">
        <v>118067</v>
      </c>
      <c r="Q358">
        <v>1251330</v>
      </c>
      <c r="R358">
        <v>48821730</v>
      </c>
      <c r="S358">
        <v>50073060</v>
      </c>
      <c r="T358">
        <v>1450308</v>
      </c>
      <c r="U358">
        <v>88706</v>
      </c>
      <c r="V358">
        <v>880664</v>
      </c>
      <c r="W358">
        <v>1499391</v>
      </c>
      <c r="X358">
        <v>-1244</v>
      </c>
      <c r="Y358">
        <v>15536</v>
      </c>
      <c r="AA358">
        <v>824000</v>
      </c>
      <c r="AB358">
        <v>26414916</v>
      </c>
      <c r="AC358">
        <v>27238916</v>
      </c>
      <c r="AD358">
        <v>22834144</v>
      </c>
      <c r="AE358">
        <v>22406814</v>
      </c>
      <c r="AF358">
        <v>427330</v>
      </c>
      <c r="AG358">
        <v>9183081</v>
      </c>
      <c r="AH358">
        <v>0.15793261542612985</v>
      </c>
      <c r="AI358" t="b">
        <v>1</v>
      </c>
      <c r="AK358">
        <v>7.2499999999999995E-2</v>
      </c>
      <c r="AL358">
        <v>7.2499999999999995E-2</v>
      </c>
      <c r="AM358">
        <v>7.2499999999999995E-2</v>
      </c>
      <c r="AN358">
        <v>7.2499999999999995E-2</v>
      </c>
      <c r="AO358">
        <v>1</v>
      </c>
      <c r="AP358">
        <v>0</v>
      </c>
      <c r="AS358">
        <v>28766243</v>
      </c>
      <c r="AT358">
        <v>17883464</v>
      </c>
      <c r="AV358" t="s">
        <v>596</v>
      </c>
      <c r="BB358">
        <f t="shared" si="858"/>
        <v>0.54398345138084236</v>
      </c>
      <c r="BD358">
        <f t="shared" si="859"/>
        <v>5932099</v>
      </c>
      <c r="BE358">
        <f t="shared" si="860"/>
        <v>-4950680</v>
      </c>
      <c r="BF358">
        <f t="shared" si="861"/>
        <v>11.846887328235981</v>
      </c>
      <c r="BG358">
        <f t="shared" si="862"/>
        <v>-9.8869132423702482</v>
      </c>
      <c r="BH358">
        <f t="shared" si="863"/>
        <v>10.866900285303114</v>
      </c>
      <c r="BI358">
        <f t="shared" si="864"/>
        <v>97.998704293286636</v>
      </c>
      <c r="BJ358">
        <f t="shared" si="865"/>
        <v>11</v>
      </c>
      <c r="BK358">
        <f>IF($BJ358&lt;=30,IF($B358=2015,VLOOKUP($BJ358,'Treasury Yields'!$C$5:$N$34,$E358,FALSE)/100,IF($B358=2016,VLOOKUP($BJ358,'Treasury Yields'!$C$40:$N$69,$E358,FALSE)/100,IF($B358=2017,VLOOKUP($BJ358,'Treasury Yields'!$C$75:$N$104,$E358,FALSE)/100,IF($B358=2018,VLOOKUP($BJ358,'Treasury Yields'!$C$110:$N$139,$E358,FALSE)/100,IF($B358=2019,VLOOKUP($BJ358,'Treasury Yields'!$C$145:$N$174,$E358,FALSE)/100,IF($B358=2020,VLOOKUP($BJ358,'Treasury Yields'!$C$180:$N$209,$E358,FALSE)/100,IF($B358=2021,VLOOKUP($BJ358,'Treasury Yields'!$C$215:$N$244,$E358,FALSE)/100,IF($B358=2022,VLOOKUP($BJ358,'Treasury Yields'!$C$250:$N$279,$E358,FALSE)/100)))))))),0)</f>
        <v>2.9273236363636365E-2</v>
      </c>
      <c r="BL358">
        <f t="shared" si="866"/>
        <v>1.4716094831872042</v>
      </c>
      <c r="BM358">
        <f t="shared" si="867"/>
        <v>71846520.853605226</v>
      </c>
      <c r="BN358">
        <f t="shared" si="868"/>
        <v>45431604.853605226</v>
      </c>
      <c r="BP358">
        <f>IF($BJ358&lt;=30,IF($B358=2015,VLOOKUP($BJ358,'Treasury Yields'!$C$40:$N$69,$E358,FALSE)/100,IF($B358=2016,VLOOKUP($BJ358,'Treasury Yields'!$C$75:$N$104,$E358,FALSE)/100,IF($B358=2017,VLOOKUP($BJ358,'Treasury Yields'!$C$110:$N$139,$E358,FALSE)/100,IF($B358=2018,VLOOKUP($BJ358,'Treasury Yields'!$C$145:$N$174,$E358,FALSE)/100,IF($B358=2019,VLOOKUP($BJ358,'Treasury Yields'!$C$180:$N$209,$E358,FALSE)/100,IF($B358=2020,VLOOKUP($BJ358,'Treasury Yields'!$C$215:$N$244,$E358,FALSE)/100,IF($B358=2021,VLOOKUP($BJ358,'Treasury Yields'!$C$250:$N$279,$E358,FALSE)/100,IF($B358=2022,VLOOKUP($BJ358,'Treasury Yields'!$C$285:$N$314,$E358,FALSE)/100)))))))),0)</f>
        <v>2.1722000000000002E-2</v>
      </c>
      <c r="BQ358">
        <f t="shared" si="869"/>
        <v>1.5543778679711215</v>
      </c>
      <c r="BR358">
        <f t="shared" si="870"/>
        <v>77832456.245590046</v>
      </c>
      <c r="BS358">
        <f t="shared" si="871"/>
        <v>50593540.245590046</v>
      </c>
      <c r="BU358">
        <f t="shared" si="765"/>
        <v>14</v>
      </c>
      <c r="BV358">
        <f t="shared" si="872"/>
        <v>2.2580314031634892</v>
      </c>
      <c r="BW358">
        <f t="shared" si="873"/>
        <v>2185541.8210277315</v>
      </c>
      <c r="BX358" s="5">
        <f t="shared" si="874"/>
        <v>2077046.5876694899</v>
      </c>
      <c r="BY358" s="5">
        <f t="shared" si="875"/>
        <v>1303796.5080758901</v>
      </c>
      <c r="BZ358" s="5">
        <f t="shared" si="876"/>
        <v>4430970</v>
      </c>
      <c r="CA358" s="5">
        <f t="shared" si="877"/>
        <v>3489338.3291036217</v>
      </c>
      <c r="CC358" s="5">
        <f t="shared" si="878"/>
        <v>77832456.245590046</v>
      </c>
      <c r="CD358" s="5" t="str">
        <f t="shared" si="879"/>
        <v>South Carolina</v>
      </c>
      <c r="CE358" s="5">
        <f t="shared" si="763"/>
        <v>0.54398345138084236</v>
      </c>
      <c r="CF358" s="10">
        <f t="shared" si="880"/>
        <v>0.34996860325275092</v>
      </c>
    </row>
    <row r="359" spans="1:84" x14ac:dyDescent="0.2">
      <c r="A359">
        <v>41000000001382</v>
      </c>
      <c r="B359">
        <v>2020</v>
      </c>
      <c r="C359">
        <v>532</v>
      </c>
      <c r="D359" t="s">
        <v>589</v>
      </c>
      <c r="E359">
        <v>6</v>
      </c>
      <c r="F359" t="s">
        <v>590</v>
      </c>
      <c r="G359" t="s">
        <v>591</v>
      </c>
      <c r="H359" t="s">
        <v>592</v>
      </c>
      <c r="I359" t="b">
        <v>1</v>
      </c>
      <c r="J359">
        <v>975416</v>
      </c>
      <c r="K359">
        <v>3551535</v>
      </c>
      <c r="M359">
        <v>392332</v>
      </c>
      <c r="N359">
        <v>0</v>
      </c>
      <c r="O359">
        <v>3148155</v>
      </c>
      <c r="P359">
        <v>117860</v>
      </c>
      <c r="Q359">
        <v>1171128</v>
      </c>
      <c r="R359">
        <v>50073060</v>
      </c>
      <c r="S359">
        <v>51844188</v>
      </c>
      <c r="T359">
        <v>1647757</v>
      </c>
      <c r="U359">
        <v>88706</v>
      </c>
      <c r="V359">
        <v>922539</v>
      </c>
      <c r="W359">
        <v>-441580</v>
      </c>
      <c r="X359">
        <v>-1547</v>
      </c>
      <c r="Y359">
        <v>14218</v>
      </c>
      <c r="AA359">
        <v>-946498</v>
      </c>
      <c r="AB359">
        <v>27238916</v>
      </c>
      <c r="AC359">
        <v>26292418</v>
      </c>
      <c r="AD359">
        <v>25551770</v>
      </c>
      <c r="AE359">
        <v>22834144</v>
      </c>
      <c r="AF359">
        <v>2717626</v>
      </c>
      <c r="AG359">
        <v>9272010</v>
      </c>
      <c r="AH359">
        <v>0.17771303093935403</v>
      </c>
      <c r="AI359" t="b">
        <v>1</v>
      </c>
      <c r="AK359">
        <v>7.2499999999999995E-2</v>
      </c>
      <c r="AL359">
        <v>7.2499999999999995E-2</v>
      </c>
      <c r="AM359">
        <v>7.2499999999999995E-2</v>
      </c>
      <c r="AN359">
        <v>7.2499999999999995E-2</v>
      </c>
      <c r="AO359">
        <v>1</v>
      </c>
      <c r="AP359">
        <v>0</v>
      </c>
      <c r="AS359">
        <v>31668285</v>
      </c>
      <c r="AT359">
        <v>20444405</v>
      </c>
      <c r="AU359" t="s">
        <v>595</v>
      </c>
      <c r="AV359" t="s">
        <v>596</v>
      </c>
      <c r="BB359">
        <f t="shared" si="858"/>
        <v>0.50714301861570288</v>
      </c>
      <c r="BD359">
        <f t="shared" si="859"/>
        <v>6116515</v>
      </c>
      <c r="BE359">
        <f t="shared" si="860"/>
        <v>-5107365</v>
      </c>
      <c r="BF359">
        <f t="shared" si="861"/>
        <v>11.797879831775935</v>
      </c>
      <c r="BG359">
        <f t="shared" si="862"/>
        <v>-9.851374275550425</v>
      </c>
      <c r="BH359">
        <f t="shared" si="863"/>
        <v>10.82462705366318</v>
      </c>
      <c r="BI359">
        <f t="shared" si="864"/>
        <v>97.325277811275583</v>
      </c>
      <c r="BJ359">
        <f t="shared" si="865"/>
        <v>11</v>
      </c>
      <c r="BK359">
        <f>IF($BJ359&lt;=30,IF($B359=2015,VLOOKUP($BJ359,'Treasury Yields'!$C$5:$N$34,$E359,FALSE)/100,IF($B359=2016,VLOOKUP($BJ359,'Treasury Yields'!$C$40:$N$69,$E359,FALSE)/100,IF($B359=2017,VLOOKUP($BJ359,'Treasury Yields'!$C$75:$N$104,$E359,FALSE)/100,IF($B359=2018,VLOOKUP($BJ359,'Treasury Yields'!$C$110:$N$139,$E359,FALSE)/100,IF($B359=2019,VLOOKUP($BJ359,'Treasury Yields'!$C$145:$N$174,$E359,FALSE)/100,IF($B359=2020,VLOOKUP($BJ359,'Treasury Yields'!$C$180:$N$209,$E359,FALSE)/100,IF($B359=2021,VLOOKUP($BJ359,'Treasury Yields'!$C$215:$N$244,$E359,FALSE)/100,IF($B359=2022,VLOOKUP($BJ359,'Treasury Yields'!$C$250:$N$279,$E359,FALSE)/100)))))))),0)</f>
        <v>2.1722000000000002E-2</v>
      </c>
      <c r="BL359">
        <f t="shared" si="866"/>
        <v>1.552231317814909</v>
      </c>
      <c r="BM359">
        <f t="shared" si="867"/>
        <v>77724971.910824999</v>
      </c>
      <c r="BN359">
        <f t="shared" si="868"/>
        <v>50486055.910824999</v>
      </c>
      <c r="BP359">
        <f>IF($BJ359&lt;=30,IF($B359=2015,VLOOKUP($BJ359,'Treasury Yields'!$C$40:$N$69,$E359,FALSE)/100,IF($B359=2016,VLOOKUP($BJ359,'Treasury Yields'!$C$75:$N$104,$E359,FALSE)/100,IF($B359=2017,VLOOKUP($BJ359,'Treasury Yields'!$C$110:$N$139,$E359,FALSE)/100,IF($B359=2018,VLOOKUP($BJ359,'Treasury Yields'!$C$145:$N$174,$E359,FALSE)/100,IF($B359=2019,VLOOKUP($BJ359,'Treasury Yields'!$C$180:$N$209,$E359,FALSE)/100,IF($B359=2020,VLOOKUP($BJ359,'Treasury Yields'!$C$215:$N$244,$E359,FALSE)/100,IF($B359=2021,VLOOKUP($BJ359,'Treasury Yields'!$C$250:$N$279,$E359,FALSE)/100,IF($B359=2022,VLOOKUP($BJ359,'Treasury Yields'!$C$285:$N$314,$E359,FALSE)/100)))))))),0)</f>
        <v>1.4551090909090908E-2</v>
      </c>
      <c r="BQ359">
        <f t="shared" si="869"/>
        <v>1.6306334051405491</v>
      </c>
      <c r="BR359">
        <f t="shared" si="870"/>
        <v>84538864.815186799</v>
      </c>
      <c r="BS359">
        <f t="shared" si="871"/>
        <v>58246446.815186799</v>
      </c>
      <c r="BU359">
        <f t="shared" si="765"/>
        <v>14</v>
      </c>
      <c r="BV359">
        <f t="shared" si="872"/>
        <v>2.5114889231062696</v>
      </c>
      <c r="BW359">
        <f t="shared" si="873"/>
        <v>2449746.4794206251</v>
      </c>
      <c r="BX359" s="5">
        <f t="shared" si="874"/>
        <v>1673171.0099629157</v>
      </c>
      <c r="BY359" s="5">
        <f t="shared" si="875"/>
        <v>1081487.2766109155</v>
      </c>
      <c r="BZ359" s="5">
        <f t="shared" si="876"/>
        <v>4526951</v>
      </c>
      <c r="CA359" s="5">
        <f t="shared" si="877"/>
        <v>3531233.7560315407</v>
      </c>
      <c r="CC359" s="5">
        <f t="shared" si="878"/>
        <v>84538864.815186799</v>
      </c>
      <c r="CD359" s="5" t="str">
        <f t="shared" si="879"/>
        <v>South Carolina</v>
      </c>
      <c r="CE359" s="5">
        <f t="shared" si="763"/>
        <v>0.50714301861570288</v>
      </c>
      <c r="CF359" s="10">
        <f t="shared" si="880"/>
        <v>0.3110098303008767</v>
      </c>
    </row>
    <row r="360" spans="1:84" x14ac:dyDescent="0.2">
      <c r="A360">
        <v>41000000001382</v>
      </c>
      <c r="B360">
        <v>2021</v>
      </c>
      <c r="C360">
        <v>532</v>
      </c>
      <c r="D360" t="s">
        <v>589</v>
      </c>
      <c r="E360">
        <v>6</v>
      </c>
      <c r="F360" t="s">
        <v>590</v>
      </c>
      <c r="G360" t="s">
        <v>591</v>
      </c>
      <c r="H360" t="s">
        <v>592</v>
      </c>
      <c r="I360" t="b">
        <v>1</v>
      </c>
      <c r="J360">
        <v>1028783</v>
      </c>
      <c r="K360">
        <v>3678394</v>
      </c>
      <c r="M360">
        <v>232794</v>
      </c>
      <c r="N360">
        <v>1591642</v>
      </c>
      <c r="O360">
        <v>3244221</v>
      </c>
      <c r="P360">
        <v>124286</v>
      </c>
      <c r="Q360">
        <v>3287392</v>
      </c>
      <c r="R360">
        <v>51844188</v>
      </c>
      <c r="S360">
        <v>55131580</v>
      </c>
      <c r="T360">
        <v>1673320</v>
      </c>
      <c r="U360">
        <v>88706</v>
      </c>
      <c r="V360">
        <v>932014</v>
      </c>
      <c r="W360">
        <v>7767185</v>
      </c>
      <c r="X360">
        <v>-1593</v>
      </c>
      <c r="Y360">
        <v>17523</v>
      </c>
      <c r="AA360">
        <v>7197888</v>
      </c>
      <c r="AB360">
        <v>26292418</v>
      </c>
      <c r="AC360">
        <v>33490306</v>
      </c>
      <c r="AD360">
        <v>21641274</v>
      </c>
      <c r="AE360">
        <v>25551770</v>
      </c>
      <c r="AF360">
        <v>-3910496</v>
      </c>
      <c r="AG360">
        <v>9788610</v>
      </c>
      <c r="AI360" t="b">
        <v>1</v>
      </c>
      <c r="AK360">
        <v>7.2499999999999995E-2</v>
      </c>
      <c r="AL360">
        <v>7.0000000000000007E-2</v>
      </c>
      <c r="AM360">
        <v>7.0000000000000007E-2</v>
      </c>
      <c r="AN360">
        <v>7.2499999999999995E-2</v>
      </c>
      <c r="AS360">
        <v>28247374</v>
      </c>
      <c r="AT360">
        <v>16067117</v>
      </c>
      <c r="BB360">
        <f t="shared" si="858"/>
        <v>0.60746138601505706</v>
      </c>
      <c r="BD360">
        <f t="shared" si="859"/>
        <v>6606100</v>
      </c>
      <c r="BE360">
        <f t="shared" si="860"/>
        <v>-5574157</v>
      </c>
      <c r="BF360">
        <f t="shared" si="861"/>
        <v>11.98242459222101</v>
      </c>
      <c r="BG360">
        <f t="shared" si="862"/>
        <v>-10.110642575453126</v>
      </c>
      <c r="BH360">
        <f t="shared" si="863"/>
        <v>11.046533583837068</v>
      </c>
      <c r="BI360">
        <f t="shared" si="864"/>
        <v>93.589100838394245</v>
      </c>
      <c r="BJ360">
        <f t="shared" si="865"/>
        <v>11</v>
      </c>
      <c r="BK360">
        <f>IF($BJ360&lt;=30,IF($B360=2015,VLOOKUP($BJ360,'Treasury Yields'!$C$5:$N$34,$E360,FALSE)/100,IF($B360=2016,VLOOKUP($BJ360,'Treasury Yields'!$C$40:$N$69,$E360,FALSE)/100,IF($B360=2017,VLOOKUP($BJ360,'Treasury Yields'!$C$75:$N$104,$E360,FALSE)/100,IF($B360=2018,VLOOKUP($BJ360,'Treasury Yields'!$C$110:$N$139,$E360,FALSE)/100,IF($B360=2019,VLOOKUP($BJ360,'Treasury Yields'!$C$145:$N$174,$E360,FALSE)/100,IF($B360=2020,VLOOKUP($BJ360,'Treasury Yields'!$C$180:$N$209,$E360,FALSE)/100,IF($B360=2021,VLOOKUP($BJ360,'Treasury Yields'!$C$215:$N$244,$E360,FALSE)/100,IF($B360=2022,VLOOKUP($BJ360,'Treasury Yields'!$C$250:$N$279,$E360,FALSE)/100)))))))),0)</f>
        <v>1.4551090909090908E-2</v>
      </c>
      <c r="BL360">
        <f t="shared" si="866"/>
        <v>1.6155928179792278</v>
      </c>
      <c r="BM360">
        <f t="shared" si="867"/>
        <v>83759097.78676486</v>
      </c>
      <c r="BN360">
        <f t="shared" si="868"/>
        <v>57466679.78676486</v>
      </c>
      <c r="BP360">
        <f>IF($BJ360&lt;=30,IF($B360=2015,VLOOKUP($BJ360,'Treasury Yields'!$C$40:$N$69,$E360,FALSE)/100,IF($B360=2016,VLOOKUP($BJ360,'Treasury Yields'!$C$75:$N$104,$E360,FALSE)/100,IF($B360=2017,VLOOKUP($BJ360,'Treasury Yields'!$C$110:$N$139,$E360,FALSE)/100,IF($B360=2018,VLOOKUP($BJ360,'Treasury Yields'!$C$145:$N$174,$E360,FALSE)/100,IF($B360=2019,VLOOKUP($BJ360,'Treasury Yields'!$C$180:$N$209,$E360,FALSE)/100,IF($B360=2020,VLOOKUP($BJ360,'Treasury Yields'!$C$215:$N$244,$E360,FALSE)/100,IF($B360=2021,VLOOKUP($BJ360,'Treasury Yields'!$C$250:$N$279,$E360,FALSE)/100,IF($B360=2022,VLOOKUP($BJ360,'Treasury Yields'!$C$285:$N$314,$E360,FALSE)/100)))))))),0)</f>
        <v>2.1554272727272727E-2</v>
      </c>
      <c r="BQ360">
        <f t="shared" si="869"/>
        <v>1.5653691543985329</v>
      </c>
      <c r="BR360">
        <f t="shared" si="870"/>
        <v>86301274.765255064</v>
      </c>
      <c r="BS360">
        <f t="shared" si="871"/>
        <v>52810968.765255064</v>
      </c>
      <c r="BU360">
        <f t="shared" si="765"/>
        <v>14</v>
      </c>
      <c r="BV360">
        <f t="shared" si="872"/>
        <v>2.7656986171462159</v>
      </c>
      <c r="BW360">
        <f t="shared" si="873"/>
        <v>2845303.7204435356</v>
      </c>
      <c r="BX360" s="5">
        <f t="shared" si="874"/>
        <v>1212981.5647586172</v>
      </c>
      <c r="BY360" s="5">
        <f t="shared" si="875"/>
        <v>830398.20022079896</v>
      </c>
      <c r="BZ360" s="5">
        <f t="shared" si="876"/>
        <v>4707177</v>
      </c>
      <c r="CA360" s="5">
        <f t="shared" si="877"/>
        <v>3675701.9206643347</v>
      </c>
      <c r="CC360" s="5">
        <f t="shared" si="878"/>
        <v>86301274.765255064</v>
      </c>
      <c r="CD360" s="5" t="str">
        <f t="shared" si="879"/>
        <v>South Carolina</v>
      </c>
      <c r="CE360" s="5">
        <f t="shared" si="763"/>
        <v>0.60746138601505706</v>
      </c>
      <c r="CF360" s="10">
        <f t="shared" si="880"/>
        <v>0.3880627034895574</v>
      </c>
    </row>
    <row r="361" spans="1:84" x14ac:dyDescent="0.2">
      <c r="A361">
        <v>41000000001382</v>
      </c>
      <c r="B361">
        <v>2022</v>
      </c>
      <c r="C361">
        <v>532</v>
      </c>
      <c r="D361" t="s">
        <v>589</v>
      </c>
      <c r="E361">
        <v>6</v>
      </c>
      <c r="F361" t="s">
        <v>590</v>
      </c>
      <c r="G361" t="s">
        <v>591</v>
      </c>
      <c r="H361" t="s">
        <v>592</v>
      </c>
      <c r="I361" t="b">
        <v>1</v>
      </c>
      <c r="J361">
        <v>1069012</v>
      </c>
      <c r="K361">
        <v>3778285</v>
      </c>
      <c r="M361">
        <v>-142936</v>
      </c>
      <c r="N361">
        <v>0</v>
      </c>
      <c r="O361">
        <v>1323200</v>
      </c>
      <c r="P361">
        <v>160567</v>
      </c>
      <c r="Q361">
        <v>1323200</v>
      </c>
      <c r="R361">
        <v>55131580</v>
      </c>
      <c r="S361">
        <v>56454780</v>
      </c>
      <c r="T361">
        <v>1884209</v>
      </c>
      <c r="U361">
        <v>88706</v>
      </c>
      <c r="V361">
        <v>983536</v>
      </c>
      <c r="W361">
        <v>-832364</v>
      </c>
      <c r="X361">
        <v>-2615</v>
      </c>
      <c r="Y361">
        <v>17990</v>
      </c>
      <c r="AA361">
        <v>-1277679</v>
      </c>
      <c r="AB361">
        <v>33490306</v>
      </c>
      <c r="AC361">
        <v>32212627</v>
      </c>
      <c r="AD361">
        <v>24242153</v>
      </c>
      <c r="AE361">
        <v>21641274</v>
      </c>
      <c r="AF361">
        <v>2600879</v>
      </c>
      <c r="AG361">
        <v>9925834</v>
      </c>
      <c r="AI361" t="b">
        <v>1</v>
      </c>
      <c r="AK361">
        <v>7.0000000000000007E-2</v>
      </c>
      <c r="AL361">
        <v>7.0000000000000007E-2</v>
      </c>
      <c r="AM361">
        <v>7.0000000000000007E-2</v>
      </c>
      <c r="AN361">
        <v>7.0000000000000007E-2</v>
      </c>
      <c r="AS361">
        <v>31081431</v>
      </c>
      <c r="AT361">
        <v>18556181</v>
      </c>
      <c r="AV361" t="s">
        <v>597</v>
      </c>
      <c r="BB361">
        <f t="shared" si="858"/>
        <v>0.57059166646296378</v>
      </c>
      <c r="BD361">
        <f t="shared" si="859"/>
        <v>6839278</v>
      </c>
      <c r="BE361">
        <f t="shared" si="860"/>
        <v>-5685972</v>
      </c>
      <c r="BF361">
        <f t="shared" si="861"/>
        <v>12.114612792752004</v>
      </c>
      <c r="BG361">
        <f t="shared" si="862"/>
        <v>-10.071728204414224</v>
      </c>
      <c r="BH361">
        <f t="shared" si="863"/>
        <v>11.093170498583113</v>
      </c>
      <c r="BI361">
        <f t="shared" si="864"/>
        <v>102.14422941688906</v>
      </c>
      <c r="BJ361">
        <f t="shared" si="865"/>
        <v>11</v>
      </c>
      <c r="BK361">
        <f>IF($BJ361&lt;=30,IF($B361=2015,VLOOKUP($BJ361,'Treasury Yields'!$C$5:$N$34,$E361,FALSE)/100,IF($B361=2016,VLOOKUP($BJ361,'Treasury Yields'!$C$40:$N$69,$E361,FALSE)/100,IF($B361=2017,VLOOKUP($BJ361,'Treasury Yields'!$C$75:$N$104,$E361,FALSE)/100,IF($B361=2018,VLOOKUP($BJ361,'Treasury Yields'!$C$110:$N$139,$E361,FALSE)/100,IF($B361=2019,VLOOKUP($BJ361,'Treasury Yields'!$C$145:$N$174,$E361,FALSE)/100,IF($B361=2020,VLOOKUP($BJ361,'Treasury Yields'!$C$180:$N$209,$E361,FALSE)/100,IF($B361=2021,VLOOKUP($BJ361,'Treasury Yields'!$C$215:$N$244,$E361,FALSE)/100,IF($B361=2022,VLOOKUP($BJ361,'Treasury Yields'!$C$250:$N$279,$E361,FALSE)/100)))))))),0)</f>
        <v>2.1554272727272727E-2</v>
      </c>
      <c r="BL361">
        <f t="shared" si="866"/>
        <v>1.5397637010552052</v>
      </c>
      <c r="BM361">
        <f t="shared" si="867"/>
        <v>84889605.665821135</v>
      </c>
      <c r="BN361">
        <f t="shared" si="868"/>
        <v>51399299.665821135</v>
      </c>
      <c r="BP361">
        <f>IF($BJ361&lt;=30,IF($B361=2015,VLOOKUP($BJ361,'Treasury Yields'!$C$40:$N$69,$E361,FALSE)/100,IF($B361=2016,VLOOKUP($BJ361,'Treasury Yields'!$C$75:$N$104,$E361,FALSE)/100,IF($B361=2017,VLOOKUP($BJ361,'Treasury Yields'!$C$110:$N$139,$E361,FALSE)/100,IF($B361=2018,VLOOKUP($BJ361,'Treasury Yields'!$C$145:$N$174,$E361,FALSE)/100,IF($B361=2019,VLOOKUP($BJ361,'Treasury Yields'!$C$180:$N$209,$E361,FALSE)/100,IF($B361=2020,VLOOKUP($BJ361,'Treasury Yields'!$C$215:$N$244,$E361,FALSE)/100,IF($B361=2021,VLOOKUP($BJ361,'Treasury Yields'!$C$250:$N$279,$E361,FALSE)/100,IF($B361=2022,VLOOKUP($BJ361,'Treasury Yields'!$C$285:$N$314,$E361,FALSE)/100)))))))),0)</f>
        <v>3.1935909090909091E-2</v>
      </c>
      <c r="BQ361">
        <f t="shared" si="869"/>
        <v>1.4237003253448486</v>
      </c>
      <c r="BR361">
        <f t="shared" si="870"/>
        <v>80374688.653271854</v>
      </c>
      <c r="BS361">
        <f t="shared" si="871"/>
        <v>48162061.653271854</v>
      </c>
      <c r="BU361">
        <f t="shared" si="765"/>
        <v>14</v>
      </c>
      <c r="BV361">
        <f t="shared" si="872"/>
        <v>2.4553882252442176</v>
      </c>
      <c r="BW361">
        <f t="shared" si="873"/>
        <v>2624839.4774447717</v>
      </c>
      <c r="BX361" s="5">
        <f t="shared" si="874"/>
        <v>1857789.6045211742</v>
      </c>
      <c r="BY361" s="5">
        <f t="shared" si="875"/>
        <v>1135930.415277356</v>
      </c>
      <c r="BZ361" s="5">
        <f t="shared" si="876"/>
        <v>4847297</v>
      </c>
      <c r="CA361" s="5">
        <f t="shared" si="877"/>
        <v>3760769.892722128</v>
      </c>
      <c r="CC361" s="5">
        <f t="shared" si="878"/>
        <v>80374688.653271854</v>
      </c>
      <c r="CD361" s="5" t="str">
        <f t="shared" si="879"/>
        <v>South Carolina</v>
      </c>
      <c r="CE361" s="5">
        <f t="shared" si="763"/>
        <v>0.57059166646296378</v>
      </c>
      <c r="CF361" s="10">
        <f t="shared" si="880"/>
        <v>0.40078073756480675</v>
      </c>
    </row>
    <row r="362" spans="1:84" x14ac:dyDescent="0.2">
      <c r="A362">
        <v>42000000001404</v>
      </c>
      <c r="B362">
        <v>2015</v>
      </c>
      <c r="C362">
        <v>533</v>
      </c>
      <c r="D362" t="s">
        <v>598</v>
      </c>
      <c r="E362">
        <v>6</v>
      </c>
      <c r="F362" t="s">
        <v>599</v>
      </c>
      <c r="G362" t="s">
        <v>600</v>
      </c>
      <c r="H362" t="s">
        <v>601</v>
      </c>
      <c r="I362" t="b">
        <v>1</v>
      </c>
      <c r="J362">
        <v>179349.82</v>
      </c>
      <c r="K362">
        <v>712632.85699999996</v>
      </c>
      <c r="L362">
        <v>0</v>
      </c>
      <c r="M362">
        <v>55821.847000000002</v>
      </c>
      <c r="N362">
        <v>0</v>
      </c>
      <c r="O362">
        <v>482494.87099999998</v>
      </c>
      <c r="Q362">
        <v>465309.65299999999</v>
      </c>
      <c r="R362">
        <v>9887095.3880000003</v>
      </c>
      <c r="S362">
        <v>10352405.040999999</v>
      </c>
      <c r="T362">
        <v>109549.977</v>
      </c>
      <c r="V362">
        <v>110152.58</v>
      </c>
      <c r="W362">
        <v>435682.65899999999</v>
      </c>
      <c r="Y362">
        <v>3911.2220000000002</v>
      </c>
      <c r="Z362">
        <v>0</v>
      </c>
      <c r="AA362">
        <v>168979.12299999999</v>
      </c>
      <c r="AB362">
        <v>10607554.492000001</v>
      </c>
      <c r="AC362">
        <v>10776533.615</v>
      </c>
      <c r="AD362">
        <v>-424128.57400000002</v>
      </c>
      <c r="AE362">
        <v>-720459.10400000028</v>
      </c>
      <c r="AF362">
        <v>296330.53000000026</v>
      </c>
      <c r="AG362">
        <v>1758316</v>
      </c>
      <c r="AH362">
        <v>6.2303918635785605E-2</v>
      </c>
      <c r="AI362" t="b">
        <v>1</v>
      </c>
      <c r="AK362">
        <v>7.4999999999999997E-2</v>
      </c>
      <c r="AL362">
        <v>7.4999999999999997E-2</v>
      </c>
      <c r="AM362">
        <v>7.4999999999999997E-2</v>
      </c>
      <c r="AN362">
        <v>7.4999999999999997E-2</v>
      </c>
      <c r="AO362">
        <v>1</v>
      </c>
      <c r="AP362">
        <v>0</v>
      </c>
      <c r="AS362" s="12">
        <v>1067526.8700000001</v>
      </c>
      <c r="AT362" s="12">
        <v>-1640445.128</v>
      </c>
      <c r="AV362" t="s">
        <v>596</v>
      </c>
      <c r="BB362">
        <f t="shared" ref="BB362:BB369" si="881">AC362/S362</f>
        <v>1.0409690861515049</v>
      </c>
      <c r="BD362">
        <f t="shared" ref="BD362:BD369" si="882">AS362-AD362</f>
        <v>1491655.4440000001</v>
      </c>
      <c r="BE362">
        <f t="shared" ref="BE362:BE369" si="883">AT362-AD362</f>
        <v>-1216316.554</v>
      </c>
      <c r="BF362">
        <f t="shared" ref="BF362:BF369" si="884">BD362/S362*100</f>
        <v>14.408781709104307</v>
      </c>
      <c r="BG362">
        <f t="shared" ref="BG362:BG369" si="885">BE362/S362*100</f>
        <v>-11.749120607074982</v>
      </c>
      <c r="BH362">
        <f t="shared" ref="BH362:BH369" si="886">(BD362-BE362)/(2*S362)*100</f>
        <v>13.078951158089644</v>
      </c>
      <c r="BI362">
        <f t="shared" ref="BI362:BI369" si="887">(BD362+BE362)/(2*S362*(0.01^2))</f>
        <v>132.98305510146633</v>
      </c>
      <c r="BJ362">
        <f t="shared" ref="BJ362:BJ369" si="888">ROUND(BH362,0)</f>
        <v>13</v>
      </c>
      <c r="BK362">
        <f>IF($BJ362&lt;=30,IF($B362=2015,VLOOKUP($BJ362,'Treasury Yields'!$C$5:$N$34,$E362,FALSE)/100,IF($B362=2016,VLOOKUP($BJ362,'Treasury Yields'!$C$40:$N$69,$E362,FALSE)/100,IF($B362=2017,VLOOKUP($BJ362,'Treasury Yields'!$C$75:$N$104,$E362,FALSE)/100,IF($B362=2018,VLOOKUP($BJ362,'Treasury Yields'!$C$110:$N$139,$E362,FALSE)/100,IF($B362=2019,VLOOKUP($BJ362,'Treasury Yields'!$C$145:$N$174,$E362,FALSE)/100,IF($B362=2020,VLOOKUP($BJ362,'Treasury Yields'!$C$180:$N$209,$E362,FALSE)/100,IF($B362=2021,VLOOKUP($BJ362,'Treasury Yields'!$C$215:$N$244,$E362,FALSE)/100,IF($B362=2022,VLOOKUP($BJ362,'Treasury Yields'!$C$250:$N$279,$E362,FALSE)/100)))))))),0)</f>
        <v>3.0224000000000001E-2</v>
      </c>
      <c r="BL362">
        <f t="shared" ref="BL362:BL369" si="889">1+BH362*(AL362-BK362)+(AL362-BK362)^2</f>
        <v>1.5876280072306219</v>
      </c>
      <c r="BM362">
        <f t="shared" ref="BM362:BM369" si="890">BL362*R362</f>
        <v>15697029.548149513</v>
      </c>
      <c r="BN362">
        <f t="shared" ref="BN362:BN369" si="891">BM362-AB362</f>
        <v>5089475.0561495125</v>
      </c>
      <c r="BP362">
        <f>IF($BJ362&lt;=30,IF($B362=2015,VLOOKUP($BJ362,'Treasury Yields'!$C$40:$N$69,$E362,FALSE)/100,IF($B362=2016,VLOOKUP($BJ362,'Treasury Yields'!$C$75:$N$104,$E362,FALSE)/100,IF($B362=2017,VLOOKUP($BJ362,'Treasury Yields'!$C$110:$N$139,$E362,FALSE)/100,IF($B362=2018,VLOOKUP($BJ362,'Treasury Yields'!$C$145:$N$174,$E362,FALSE)/100,IF($B362=2019,VLOOKUP($BJ362,'Treasury Yields'!$C$180:$N$209,$E362,FALSE)/100,IF($B362=2020,VLOOKUP($BJ362,'Treasury Yields'!$C$215:$N$244,$E362,FALSE)/100,IF($B362=2021,VLOOKUP($BJ362,'Treasury Yields'!$C$250:$N$279,$E362,FALSE)/100,IF($B362=2022,VLOOKUP($BJ362,'Treasury Yields'!$C$285:$N$314,$E362,FALSE)/100)))))))),0)</f>
        <v>2.7833999999999994E-2</v>
      </c>
      <c r="BQ362">
        <f t="shared" ref="BQ362:BQ369" si="892">1+BH362*(AN362-BP362)+(AN362-BP362)^2</f>
        <v>1.619106441878456</v>
      </c>
      <c r="BR362">
        <f t="shared" ref="BR362:BR369" si="893">BQ362*S362</f>
        <v>16761645.690818099</v>
      </c>
      <c r="BS362">
        <f t="shared" ref="BS362:BS369" si="894">BR362-AC362</f>
        <v>5985112.0758180991</v>
      </c>
      <c r="BU362">
        <f t="shared" si="765"/>
        <v>16</v>
      </c>
      <c r="BV362">
        <f t="shared" ref="BV362:BV369" si="895">1+(BH362+BU362)*(AN362-BK362)+(AN362-BK362)^2*BI362</f>
        <v>2.5686555378020182</v>
      </c>
      <c r="BW362">
        <f t="shared" ref="BW362:BW369" si="896">BV362*J362</f>
        <v>460687.90834679519</v>
      </c>
      <c r="BX362" s="5">
        <f t="shared" ref="BX362:BX369" si="897">(BM362+BW362-O362)*BK362</f>
        <v>473767.92742404045</v>
      </c>
      <c r="BY362" s="5">
        <f t="shared" ref="BY362:BY369" si="898">BK362*(BN362+BW362-O362)</f>
        <v>153165.2004578324</v>
      </c>
      <c r="BZ362" s="5">
        <f t="shared" ref="BZ362:BZ369" si="899">SUM(J362:K362)</f>
        <v>891982.67699999991</v>
      </c>
      <c r="CA362" s="5">
        <f t="shared" ref="CA362:CA369" si="900">SUM(BW362+BY362)</f>
        <v>613853.10880462755</v>
      </c>
      <c r="CC362" s="5">
        <f t="shared" ref="CC362:CC369" si="901">BR362</f>
        <v>16761645.690818099</v>
      </c>
      <c r="CD362" s="5" t="str">
        <f t="shared" ref="CD362:CD369" si="902">F362</f>
        <v>South Dakota</v>
      </c>
      <c r="CE362" s="5">
        <f t="shared" si="763"/>
        <v>1.0409690861515049</v>
      </c>
      <c r="CF362" s="10">
        <f t="shared" ref="CF362:CF369" si="903">AC362/CC362</f>
        <v>0.64292813568439178</v>
      </c>
    </row>
    <row r="363" spans="1:84" x14ac:dyDescent="0.2">
      <c r="A363">
        <v>42000000001404</v>
      </c>
      <c r="B363">
        <v>2016</v>
      </c>
      <c r="C363">
        <v>533</v>
      </c>
      <c r="D363" t="s">
        <v>598</v>
      </c>
      <c r="E363">
        <v>6</v>
      </c>
      <c r="F363" t="s">
        <v>599</v>
      </c>
      <c r="G363" t="s">
        <v>600</v>
      </c>
      <c r="H363" t="s">
        <v>601</v>
      </c>
      <c r="I363" t="b">
        <v>1</v>
      </c>
      <c r="J363">
        <v>184923</v>
      </c>
      <c r="K363">
        <v>745775</v>
      </c>
      <c r="M363">
        <v>78646</v>
      </c>
      <c r="O363">
        <v>510496</v>
      </c>
      <c r="Q363">
        <v>498847</v>
      </c>
      <c r="R363">
        <v>10352405</v>
      </c>
      <c r="S363">
        <v>10851252</v>
      </c>
      <c r="T363">
        <v>114090</v>
      </c>
      <c r="V363">
        <v>114443</v>
      </c>
      <c r="W363">
        <v>22836</v>
      </c>
      <c r="Y363">
        <v>3945</v>
      </c>
      <c r="Z363">
        <v>0</v>
      </c>
      <c r="AA363">
        <v>-263071</v>
      </c>
      <c r="AB363">
        <v>10776534</v>
      </c>
      <c r="AC363">
        <v>10513462</v>
      </c>
      <c r="AD363">
        <v>337790</v>
      </c>
      <c r="AE363">
        <v>-424129</v>
      </c>
      <c r="AF363">
        <v>761919</v>
      </c>
      <c r="AG363">
        <v>1829641</v>
      </c>
      <c r="AH363">
        <v>6.2356495071984069E-2</v>
      </c>
      <c r="AI363" t="b">
        <v>1</v>
      </c>
      <c r="AK363">
        <v>7.4999999999999997E-2</v>
      </c>
      <c r="AL363">
        <v>7.2499999999999995E-2</v>
      </c>
      <c r="AM363">
        <v>7.2499999999999995E-2</v>
      </c>
      <c r="AN363">
        <v>7.2499999999999995E-2</v>
      </c>
      <c r="AO363">
        <v>1</v>
      </c>
      <c r="AP363">
        <v>0</v>
      </c>
      <c r="AS363">
        <v>1890269</v>
      </c>
      <c r="AT363">
        <v>-928423</v>
      </c>
      <c r="AU363" t="s">
        <v>602</v>
      </c>
      <c r="AV363" t="s">
        <v>603</v>
      </c>
      <c r="BB363">
        <f t="shared" si="881"/>
        <v>0.96887087314901543</v>
      </c>
      <c r="BD363">
        <f t="shared" si="882"/>
        <v>1552479</v>
      </c>
      <c r="BE363">
        <f t="shared" si="883"/>
        <v>-1266213</v>
      </c>
      <c r="BF363">
        <f t="shared" si="884"/>
        <v>14.306911313090875</v>
      </c>
      <c r="BG363">
        <f t="shared" si="885"/>
        <v>-11.668819413649228</v>
      </c>
      <c r="BH363">
        <f t="shared" si="886"/>
        <v>12.987865363370052</v>
      </c>
      <c r="BI363">
        <f t="shared" si="887"/>
        <v>131.90459497208249</v>
      </c>
      <c r="BJ363">
        <f t="shared" si="888"/>
        <v>13</v>
      </c>
      <c r="BK363">
        <f>IF($BJ363&lt;=30,IF($B363=2015,VLOOKUP($BJ363,'Treasury Yields'!$C$5:$N$34,$E363,FALSE)/100,IF($B363=2016,VLOOKUP($BJ363,'Treasury Yields'!$C$40:$N$69,$E363,FALSE)/100,IF($B363=2017,VLOOKUP($BJ363,'Treasury Yields'!$C$75:$N$104,$E363,FALSE)/100,IF($B363=2018,VLOOKUP($BJ363,'Treasury Yields'!$C$110:$N$139,$E363,FALSE)/100,IF($B363=2019,VLOOKUP($BJ363,'Treasury Yields'!$C$145:$N$174,$E363,FALSE)/100,IF($B363=2020,VLOOKUP($BJ363,'Treasury Yields'!$C$180:$N$209,$E363,FALSE)/100,IF($B363=2021,VLOOKUP($BJ363,'Treasury Yields'!$C$215:$N$244,$E363,FALSE)/100,IF($B363=2022,VLOOKUP($BJ363,'Treasury Yields'!$C$250:$N$279,$E363,FALSE)/100)))))))),0)</f>
        <v>2.7833999999999994E-2</v>
      </c>
      <c r="BL363">
        <f t="shared" si="889"/>
        <v>1.5821110458762868</v>
      </c>
      <c r="BM363">
        <f t="shared" si="890"/>
        <v>16378654.301884901</v>
      </c>
      <c r="BN363">
        <f t="shared" si="891"/>
        <v>5602120.3018849008</v>
      </c>
      <c r="BP363">
        <f>IF($BJ363&lt;=30,IF($B363=2015,VLOOKUP($BJ363,'Treasury Yields'!$C$40:$N$69,$E363,FALSE)/100,IF($B363=2016,VLOOKUP($BJ363,'Treasury Yields'!$C$75:$N$104,$E363,FALSE)/100,IF($B363=2017,VLOOKUP($BJ363,'Treasury Yields'!$C$110:$N$139,$E363,FALSE)/100,IF($B363=2018,VLOOKUP($BJ363,'Treasury Yields'!$C$145:$N$174,$E363,FALSE)/100,IF($B363=2019,VLOOKUP($BJ363,'Treasury Yields'!$C$180:$N$209,$E363,FALSE)/100,IF($B363=2020,VLOOKUP($BJ363,'Treasury Yields'!$C$215:$N$244,$E363,FALSE)/100,IF($B363=2021,VLOOKUP($BJ363,'Treasury Yields'!$C$250:$N$279,$E363,FALSE)/100,IF($B363=2022,VLOOKUP($BJ363,'Treasury Yields'!$C$285:$N$314,$E363,FALSE)/100)))))))),0)</f>
        <v>1.8144000000000004E-2</v>
      </c>
      <c r="BQ363">
        <f t="shared" si="892"/>
        <v>1.7089229844273424</v>
      </c>
      <c r="BR363">
        <f t="shared" si="893"/>
        <v>18543953.952613167</v>
      </c>
      <c r="BS363">
        <f t="shared" si="894"/>
        <v>8030491.9526131675</v>
      </c>
      <c r="BU363">
        <f t="shared" si="765"/>
        <v>16</v>
      </c>
      <c r="BV363">
        <f t="shared" si="895"/>
        <v>2.5579284617628892</v>
      </c>
      <c r="BW363">
        <f t="shared" si="896"/>
        <v>473019.80493457877</v>
      </c>
      <c r="BX363" s="5">
        <f t="shared" si="897"/>
        <v>454840.35142521333</v>
      </c>
      <c r="BY363" s="5">
        <f t="shared" si="898"/>
        <v>154886.30406921337</v>
      </c>
      <c r="BZ363" s="5">
        <f t="shared" si="899"/>
        <v>930698</v>
      </c>
      <c r="CA363" s="5">
        <f t="shared" si="900"/>
        <v>627906.10900379217</v>
      </c>
      <c r="CC363" s="5">
        <f t="shared" si="901"/>
        <v>18543953.952613167</v>
      </c>
      <c r="CD363" s="5" t="str">
        <f t="shared" si="902"/>
        <v>South Dakota</v>
      </c>
      <c r="CE363" s="5">
        <f t="shared" si="763"/>
        <v>0.96887087314901543</v>
      </c>
      <c r="CF363" s="10">
        <f t="shared" si="903"/>
        <v>0.56694823697609908</v>
      </c>
    </row>
    <row r="364" spans="1:84" x14ac:dyDescent="0.2">
      <c r="A364">
        <v>42000000001404</v>
      </c>
      <c r="B364">
        <v>2017</v>
      </c>
      <c r="C364">
        <v>533</v>
      </c>
      <c r="D364" t="s">
        <v>598</v>
      </c>
      <c r="E364">
        <v>6</v>
      </c>
      <c r="F364" t="s">
        <v>599</v>
      </c>
      <c r="G364" t="s">
        <v>600</v>
      </c>
      <c r="H364" t="s">
        <v>601</v>
      </c>
      <c r="I364" t="b">
        <v>1</v>
      </c>
      <c r="J364">
        <v>192682</v>
      </c>
      <c r="K364">
        <v>781414</v>
      </c>
      <c r="L364">
        <v>-567080</v>
      </c>
      <c r="M364">
        <v>97594</v>
      </c>
      <c r="N364">
        <v>820191</v>
      </c>
      <c r="O364">
        <v>541090</v>
      </c>
      <c r="Q364">
        <v>783711</v>
      </c>
      <c r="R364">
        <v>10851252</v>
      </c>
      <c r="S364">
        <v>11634964</v>
      </c>
      <c r="T364">
        <v>121908</v>
      </c>
      <c r="V364">
        <v>122145</v>
      </c>
      <c r="W364">
        <v>1431977</v>
      </c>
      <c r="Y364">
        <v>4364</v>
      </c>
      <c r="Z364">
        <v>0</v>
      </c>
      <c r="AA364">
        <v>1130576</v>
      </c>
      <c r="AB364">
        <v>10513462</v>
      </c>
      <c r="AC364">
        <v>11644039</v>
      </c>
      <c r="AD364">
        <v>-9075</v>
      </c>
      <c r="AE364">
        <v>337790</v>
      </c>
      <c r="AF364">
        <v>-346865</v>
      </c>
      <c r="AG364">
        <v>1954735</v>
      </c>
      <c r="AH364">
        <v>6.2365486881853553E-2</v>
      </c>
      <c r="AI364" t="b">
        <v>1</v>
      </c>
      <c r="AK364">
        <v>7.2499999999999995E-2</v>
      </c>
      <c r="AL364">
        <v>6.5000000000000002E-2</v>
      </c>
      <c r="AM364">
        <v>6.5000000000000002E-2</v>
      </c>
      <c r="AN364">
        <v>7.2499999999999995E-2</v>
      </c>
      <c r="AO364">
        <v>1</v>
      </c>
      <c r="AP364">
        <v>0</v>
      </c>
      <c r="AS364">
        <v>1662104</v>
      </c>
      <c r="AT364">
        <v>-1369958</v>
      </c>
      <c r="AU364" t="s">
        <v>602</v>
      </c>
      <c r="AV364" t="s">
        <v>604</v>
      </c>
      <c r="BB364">
        <f t="shared" si="881"/>
        <v>1.0007799766290639</v>
      </c>
      <c r="BD364">
        <f t="shared" si="882"/>
        <v>1671179</v>
      </c>
      <c r="BE364">
        <f t="shared" si="883"/>
        <v>-1360883</v>
      </c>
      <c r="BF364">
        <f t="shared" si="884"/>
        <v>14.363422181624284</v>
      </c>
      <c r="BG364">
        <f t="shared" si="885"/>
        <v>-11.696495150307298</v>
      </c>
      <c r="BH364">
        <f t="shared" si="886"/>
        <v>13.02995866596579</v>
      </c>
      <c r="BI364">
        <f t="shared" si="887"/>
        <v>133.34635156584929</v>
      </c>
      <c r="BJ364">
        <f t="shared" si="888"/>
        <v>13</v>
      </c>
      <c r="BK364">
        <f>IF($BJ364&lt;=30,IF($B364=2015,VLOOKUP($BJ364,'Treasury Yields'!$C$5:$N$34,$E364,FALSE)/100,IF($B364=2016,VLOOKUP($BJ364,'Treasury Yields'!$C$40:$N$69,$E364,FALSE)/100,IF($B364=2017,VLOOKUP($BJ364,'Treasury Yields'!$C$75:$N$104,$E364,FALSE)/100,IF($B364=2018,VLOOKUP($BJ364,'Treasury Yields'!$C$110:$N$139,$E364,FALSE)/100,IF($B364=2019,VLOOKUP($BJ364,'Treasury Yields'!$C$145:$N$174,$E364,FALSE)/100,IF($B364=2020,VLOOKUP($BJ364,'Treasury Yields'!$C$180:$N$209,$E364,FALSE)/100,IF($B364=2021,VLOOKUP($BJ364,'Treasury Yields'!$C$215:$N$244,$E364,FALSE)/100,IF($B364=2022,VLOOKUP($BJ364,'Treasury Yields'!$C$250:$N$279,$E364,FALSE)/100)))))))),0)</f>
        <v>1.8144000000000004E-2</v>
      </c>
      <c r="BL364">
        <f t="shared" si="889"/>
        <v>1.6127272279884928</v>
      </c>
      <c r="BM364">
        <f t="shared" si="890"/>
        <v>17500109.558164589</v>
      </c>
      <c r="BN364">
        <f t="shared" si="891"/>
        <v>6986647.5581645891</v>
      </c>
      <c r="BP364">
        <f>IF($BJ364&lt;=30,IF($B364=2015,VLOOKUP($BJ364,'Treasury Yields'!$C$40:$N$69,$E364,FALSE)/100,IF($B364=2016,VLOOKUP($BJ364,'Treasury Yields'!$C$75:$N$104,$E364,FALSE)/100,IF($B364=2017,VLOOKUP($BJ364,'Treasury Yields'!$C$110:$N$139,$E364,FALSE)/100,IF($B364=2018,VLOOKUP($BJ364,'Treasury Yields'!$C$145:$N$174,$E364,FALSE)/100,IF($B364=2019,VLOOKUP($BJ364,'Treasury Yields'!$C$180:$N$209,$E364,FALSE)/100,IF($B364=2020,VLOOKUP($BJ364,'Treasury Yields'!$C$215:$N$244,$E364,FALSE)/100,IF($B364=2021,VLOOKUP($BJ364,'Treasury Yields'!$C$250:$N$279,$E364,FALSE)/100,IF($B364=2022,VLOOKUP($BJ364,'Treasury Yields'!$C$285:$N$314,$E364,FALSE)/100)))))))),0)</f>
        <v>2.5866399999999991E-2</v>
      </c>
      <c r="BQ364">
        <f t="shared" si="892"/>
        <v>1.6098085730941425</v>
      </c>
      <c r="BR364">
        <f t="shared" si="893"/>
        <v>18730064.794841718</v>
      </c>
      <c r="BS364">
        <f t="shared" si="894"/>
        <v>7086025.7948417179</v>
      </c>
      <c r="BU364">
        <f t="shared" si="765"/>
        <v>16</v>
      </c>
      <c r="BV364">
        <f t="shared" si="895"/>
        <v>2.9719341947214684</v>
      </c>
      <c r="BW364">
        <f t="shared" si="896"/>
        <v>572638.22450732195</v>
      </c>
      <c r="BX364" s="5">
        <f t="shared" si="897"/>
        <v>318094.39880879922</v>
      </c>
      <c r="BY364" s="5">
        <f t="shared" si="898"/>
        <v>127338.14428079917</v>
      </c>
      <c r="BZ364" s="5">
        <f t="shared" si="899"/>
        <v>974096</v>
      </c>
      <c r="CA364" s="5">
        <f t="shared" si="900"/>
        <v>699976.36878812115</v>
      </c>
      <c r="CC364" s="5">
        <f t="shared" si="901"/>
        <v>18730064.794841718</v>
      </c>
      <c r="CD364" s="5" t="str">
        <f t="shared" si="902"/>
        <v>South Dakota</v>
      </c>
      <c r="CE364" s="5">
        <f t="shared" si="763"/>
        <v>1.0007799766290639</v>
      </c>
      <c r="CF364" s="10">
        <f t="shared" si="903"/>
        <v>0.62167638646967105</v>
      </c>
    </row>
    <row r="365" spans="1:84" x14ac:dyDescent="0.2">
      <c r="A365">
        <v>42000000001404</v>
      </c>
      <c r="B365">
        <v>2018</v>
      </c>
      <c r="C365">
        <v>533</v>
      </c>
      <c r="D365" t="s">
        <v>598</v>
      </c>
      <c r="E365">
        <v>6</v>
      </c>
      <c r="F365" t="s">
        <v>599</v>
      </c>
      <c r="G365" t="s">
        <v>600</v>
      </c>
      <c r="H365" t="s">
        <v>601</v>
      </c>
      <c r="I365" t="b">
        <v>1</v>
      </c>
      <c r="J365">
        <v>222710</v>
      </c>
      <c r="K365">
        <v>752703</v>
      </c>
      <c r="L365">
        <v>0</v>
      </c>
      <c r="M365">
        <v>5221</v>
      </c>
      <c r="N365">
        <v>181932</v>
      </c>
      <c r="O365">
        <v>564141</v>
      </c>
      <c r="Q365">
        <v>598424</v>
      </c>
      <c r="R365">
        <v>11634964</v>
      </c>
      <c r="S365">
        <v>12233387</v>
      </c>
      <c r="T365">
        <v>124734</v>
      </c>
      <c r="V365">
        <v>124262</v>
      </c>
      <c r="W365">
        <v>911695</v>
      </c>
      <c r="Y365">
        <v>4870</v>
      </c>
      <c r="Z365">
        <v>0</v>
      </c>
      <c r="AA365">
        <v>591681</v>
      </c>
      <c r="AB365">
        <v>11644039</v>
      </c>
      <c r="AC365">
        <v>12235719</v>
      </c>
      <c r="AD365">
        <v>-2332</v>
      </c>
      <c r="AE365">
        <v>-9075</v>
      </c>
      <c r="AF365">
        <v>6743</v>
      </c>
      <c r="AG365">
        <v>2001886</v>
      </c>
      <c r="AH365">
        <v>6.230824332654307E-2</v>
      </c>
      <c r="AI365" t="b">
        <v>1</v>
      </c>
      <c r="AK365">
        <v>6.5000000000000002E-2</v>
      </c>
      <c r="AL365">
        <v>6.5000000000000002E-2</v>
      </c>
      <c r="AM365">
        <v>6.5000000000000002E-2</v>
      </c>
      <c r="AN365">
        <v>6.5000000000000002E-2</v>
      </c>
      <c r="AO365">
        <v>1</v>
      </c>
      <c r="AP365">
        <v>0</v>
      </c>
      <c r="AS365">
        <v>1761489</v>
      </c>
      <c r="AT365">
        <v>-1437105</v>
      </c>
      <c r="AU365" t="s">
        <v>602</v>
      </c>
      <c r="AV365" t="s">
        <v>605</v>
      </c>
      <c r="BB365">
        <f t="shared" si="881"/>
        <v>1.0001906258667366</v>
      </c>
      <c r="BD365">
        <f t="shared" si="882"/>
        <v>1763821</v>
      </c>
      <c r="BE365">
        <f t="shared" si="883"/>
        <v>-1434773</v>
      </c>
      <c r="BF365">
        <f t="shared" si="884"/>
        <v>14.418092062320925</v>
      </c>
      <c r="BG365">
        <f t="shared" si="885"/>
        <v>-11.728338194483671</v>
      </c>
      <c r="BH365">
        <f t="shared" si="886"/>
        <v>13.0732151284023</v>
      </c>
      <c r="BI365">
        <f t="shared" si="887"/>
        <v>134.48769339186276</v>
      </c>
      <c r="BJ365">
        <f>ROUND(BH365,0)</f>
        <v>13</v>
      </c>
      <c r="BK365">
        <f>IF($BJ365&lt;=30,IF($B365=2015,VLOOKUP($BJ365,'Treasury Yields'!$C$5:$N$34,$E365,FALSE)/100,IF($B365=2016,VLOOKUP($BJ365,'Treasury Yields'!$C$40:$N$69,$E365,FALSE)/100,IF($B365=2017,VLOOKUP($BJ365,'Treasury Yields'!$C$75:$N$104,$E365,FALSE)/100,IF($B365=2018,VLOOKUP($BJ365,'Treasury Yields'!$C$110:$N$139,$E365,FALSE)/100,IF($B365=2019,VLOOKUP($BJ365,'Treasury Yields'!$C$145:$N$174,$E365,FALSE)/100,IF($B365=2020,VLOOKUP($BJ365,'Treasury Yields'!$C$180:$N$209,$E365,FALSE)/100,IF($B365=2021,VLOOKUP($BJ365,'Treasury Yields'!$C$215:$N$244,$E365,FALSE)/100,IF($B365=2022,VLOOKUP($BJ365,'Treasury Yields'!$C$250:$N$279,$E365,FALSE)/100)))))))),0)</f>
        <v>2.5866399999999991E-2</v>
      </c>
      <c r="BL365">
        <f t="shared" si="889"/>
        <v>1.5131334101978042</v>
      </c>
      <c r="BM365">
        <f t="shared" si="890"/>
        <v>17605252.754848685</v>
      </c>
      <c r="BN365">
        <f t="shared" si="891"/>
        <v>5961213.7548486851</v>
      </c>
      <c r="BP365">
        <f>IF($BJ365&lt;=30,IF($B365=2015,VLOOKUP($BJ365,'Treasury Yields'!$C$40:$N$69,$E365,FALSE)/100,IF($B365=2016,VLOOKUP($BJ365,'Treasury Yields'!$C$75:$N$104,$E365,FALSE)/100,IF($B365=2017,VLOOKUP($BJ365,'Treasury Yields'!$C$110:$N$139,$E365,FALSE)/100,IF($B365=2018,VLOOKUP($BJ365,'Treasury Yields'!$C$145:$N$174,$E365,FALSE)/100,IF($B365=2019,VLOOKUP($BJ365,'Treasury Yields'!$C$180:$N$209,$E365,FALSE)/100,IF($B365=2020,VLOOKUP($BJ365,'Treasury Yields'!$C$215:$N$244,$E365,FALSE)/100,IF($B365=2021,VLOOKUP($BJ365,'Treasury Yields'!$C$250:$N$279,$E365,FALSE)/100,IF($B365=2022,VLOOKUP($BJ365,'Treasury Yields'!$C$285:$N$314,$E365,FALSE)/100)))))))),0)</f>
        <v>2.8539709090909093E-2</v>
      </c>
      <c r="BQ365">
        <f t="shared" si="892"/>
        <v>1.4779825795118515</v>
      </c>
      <c r="BR365">
        <f t="shared" si="893"/>
        <v>18080732.874426752</v>
      </c>
      <c r="BS365">
        <f t="shared" si="894"/>
        <v>5845013.8744267523</v>
      </c>
      <c r="BU365">
        <f t="shared" si="765"/>
        <v>16</v>
      </c>
      <c r="BV365">
        <f t="shared" si="895"/>
        <v>2.3436992230186258</v>
      </c>
      <c r="BW365">
        <f t="shared" si="896"/>
        <v>521965.25395847816</v>
      </c>
      <c r="BX365" s="5">
        <f t="shared" si="897"/>
        <v>454293.57514060946</v>
      </c>
      <c r="BY365" s="5">
        <f t="shared" si="898"/>
        <v>153104.20475100956</v>
      </c>
      <c r="BZ365" s="5">
        <f t="shared" si="899"/>
        <v>975413</v>
      </c>
      <c r="CA365" s="5">
        <f t="shared" si="900"/>
        <v>675069.45870948769</v>
      </c>
      <c r="CC365" s="5">
        <f t="shared" si="901"/>
        <v>18080732.874426752</v>
      </c>
      <c r="CD365" s="5" t="str">
        <f t="shared" si="902"/>
        <v>South Dakota</v>
      </c>
      <c r="CE365" s="5">
        <f t="shared" si="763"/>
        <v>1.0001906258667366</v>
      </c>
      <c r="CF365" s="10">
        <f t="shared" si="903"/>
        <v>0.67672693828169461</v>
      </c>
    </row>
    <row r="366" spans="1:84" x14ac:dyDescent="0.2">
      <c r="A366">
        <v>42000000001404</v>
      </c>
      <c r="B366">
        <v>2019</v>
      </c>
      <c r="C366">
        <v>533</v>
      </c>
      <c r="D366" t="s">
        <v>598</v>
      </c>
      <c r="E366">
        <v>6</v>
      </c>
      <c r="F366" t="s">
        <v>599</v>
      </c>
      <c r="G366" t="s">
        <v>600</v>
      </c>
      <c r="H366" t="s">
        <v>601</v>
      </c>
      <c r="I366" t="b">
        <v>1</v>
      </c>
      <c r="J366">
        <v>233802</v>
      </c>
      <c r="K366">
        <v>791288</v>
      </c>
      <c r="M366">
        <v>-6190</v>
      </c>
      <c r="N366">
        <v>-193660</v>
      </c>
      <c r="O366">
        <v>596424</v>
      </c>
      <c r="Q366">
        <v>228815</v>
      </c>
      <c r="R366">
        <v>12233387</v>
      </c>
      <c r="S366">
        <v>12462202</v>
      </c>
      <c r="T366">
        <v>127572</v>
      </c>
      <c r="V366">
        <v>127454</v>
      </c>
      <c r="W366">
        <v>583573</v>
      </c>
      <c r="Y366">
        <v>5095</v>
      </c>
      <c r="Z366">
        <v>0</v>
      </c>
      <c r="AA366">
        <v>237080</v>
      </c>
      <c r="AB366">
        <v>12235719</v>
      </c>
      <c r="AC366">
        <v>12472799</v>
      </c>
      <c r="AD366">
        <v>-10597</v>
      </c>
      <c r="AE366">
        <v>-2332</v>
      </c>
      <c r="AF366">
        <v>-8265</v>
      </c>
      <c r="AG366">
        <v>2048204</v>
      </c>
      <c r="AH366">
        <v>6.2284811473857095E-2</v>
      </c>
      <c r="AI366" t="b">
        <v>1</v>
      </c>
      <c r="AK366">
        <v>6.5000000000000002E-2</v>
      </c>
      <c r="AL366">
        <v>6.5000000000000002E-2</v>
      </c>
      <c r="AM366">
        <v>6.5000000000000002E-2</v>
      </c>
      <c r="AN366">
        <v>6.5000000000000002E-2</v>
      </c>
      <c r="AO366">
        <v>1</v>
      </c>
      <c r="AP366">
        <v>0</v>
      </c>
      <c r="AS366">
        <v>1758938</v>
      </c>
      <c r="AT366">
        <v>-1452449</v>
      </c>
      <c r="AV366" t="s">
        <v>596</v>
      </c>
      <c r="BB366">
        <f t="shared" si="881"/>
        <v>1.0008503312656944</v>
      </c>
      <c r="BD366">
        <f t="shared" si="882"/>
        <v>1769535</v>
      </c>
      <c r="BE366">
        <f t="shared" si="883"/>
        <v>-1441852</v>
      </c>
      <c r="BF366">
        <f t="shared" si="884"/>
        <v>14.199216157786562</v>
      </c>
      <c r="BG366">
        <f t="shared" si="885"/>
        <v>-11.569801227744502</v>
      </c>
      <c r="BH366">
        <f>(BD366-BE366)/(2*S366)*100</f>
        <v>12.884508692765531</v>
      </c>
      <c r="BI366">
        <f t="shared" si="887"/>
        <v>131.47074650210291</v>
      </c>
      <c r="BJ366">
        <f t="shared" si="888"/>
        <v>13</v>
      </c>
      <c r="BK366">
        <f>IF($BJ366&lt;=30,IF($B366=2015,VLOOKUP($BJ366,'Treasury Yields'!$C$5:$N$34,$E366,FALSE)/100,IF($B366=2016,VLOOKUP($BJ366,'Treasury Yields'!$C$40:$N$69,$E366,FALSE)/100,IF($B366=2017,VLOOKUP($BJ366,'Treasury Yields'!$C$75:$N$104,$E366,FALSE)/100,IF($B366=2018,VLOOKUP($BJ366,'Treasury Yields'!$C$110:$N$139,$E366,FALSE)/100,IF($B366=2019,VLOOKUP($BJ366,'Treasury Yields'!$C$145:$N$174,$E366,FALSE)/100,IF($B366=2020,VLOOKUP($BJ366,'Treasury Yields'!$C$180:$N$209,$E366,FALSE)/100,IF($B366=2021,VLOOKUP($BJ366,'Treasury Yields'!$C$215:$N$244,$E366,FALSE)/100,IF($B366=2022,VLOOKUP($BJ366,'Treasury Yields'!$C$250:$N$279,$E366,FALSE)/100)))))))),0)</f>
        <v>2.8539709090909093E-2</v>
      </c>
      <c r="BL366">
        <f t="shared" si="889"/>
        <v>1.4711022879721172</v>
      </c>
      <c r="BM366">
        <f t="shared" si="890"/>
        <v>17996563.605348356</v>
      </c>
      <c r="BN366">
        <f t="shared" si="891"/>
        <v>5760844.6053483561</v>
      </c>
      <c r="BP366">
        <f>IF($BJ366&lt;=30,IF($B366=2015,VLOOKUP($BJ366,'Treasury Yields'!$C$40:$N$69,$E366,FALSE)/100,IF($B366=2016,VLOOKUP($BJ366,'Treasury Yields'!$C$75:$N$104,$E366,FALSE)/100,IF($B366=2017,VLOOKUP($BJ366,'Treasury Yields'!$C$110:$N$139,$E366,FALSE)/100,IF($B366=2018,VLOOKUP($BJ366,'Treasury Yields'!$C$145:$N$174,$E366,FALSE)/100,IF($B366=2019,VLOOKUP($BJ366,'Treasury Yields'!$C$180:$N$209,$E366,FALSE)/100,IF($B366=2020,VLOOKUP($BJ366,'Treasury Yields'!$C$215:$N$244,$E366,FALSE)/100,IF($B366=2021,VLOOKUP($BJ366,'Treasury Yields'!$C$250:$N$279,$E366,FALSE)/100,IF($B366=2022,VLOOKUP($BJ366,'Treasury Yields'!$C$285:$N$314,$E366,FALSE)/100)))))))),0)</f>
        <v>2.2646000000000006E-2</v>
      </c>
      <c r="BQ366">
        <f t="shared" si="892"/>
        <v>1.5475043424893913</v>
      </c>
      <c r="BR366">
        <f t="shared" si="893"/>
        <v>19285311.711979978</v>
      </c>
      <c r="BS366">
        <f t="shared" si="894"/>
        <v>6812512.7119799778</v>
      </c>
      <c r="BU366">
        <f t="shared" si="765"/>
        <v>16</v>
      </c>
      <c r="BV366">
        <f t="shared" si="895"/>
        <v>2.2279085964172545</v>
      </c>
      <c r="BW366">
        <f t="shared" si="896"/>
        <v>520889.48565954692</v>
      </c>
      <c r="BX366" s="5">
        <f t="shared" si="897"/>
        <v>511460.95686708455</v>
      </c>
      <c r="BY366" s="5">
        <f t="shared" si="898"/>
        <v>162257.09608897546</v>
      </c>
      <c r="BZ366" s="5">
        <f t="shared" si="899"/>
        <v>1025090</v>
      </c>
      <c r="CA366" s="5">
        <f t="shared" si="900"/>
        <v>683146.58174852235</v>
      </c>
      <c r="CC366" s="5">
        <f t="shared" si="901"/>
        <v>19285311.711979978</v>
      </c>
      <c r="CD366" s="5" t="str">
        <f t="shared" si="902"/>
        <v>South Dakota</v>
      </c>
      <c r="CE366" s="5">
        <f t="shared" si="763"/>
        <v>1.0008503312656944</v>
      </c>
      <c r="CF366" s="10">
        <f t="shared" si="903"/>
        <v>0.64675122633625537</v>
      </c>
    </row>
    <row r="367" spans="1:84" x14ac:dyDescent="0.2">
      <c r="A367">
        <v>42000000001404</v>
      </c>
      <c r="B367">
        <v>2020</v>
      </c>
      <c r="C367">
        <v>533</v>
      </c>
      <c r="D367" t="s">
        <v>598</v>
      </c>
      <c r="E367">
        <v>6</v>
      </c>
      <c r="F367" t="s">
        <v>599</v>
      </c>
      <c r="G367" t="s">
        <v>600</v>
      </c>
      <c r="H367" t="s">
        <v>601</v>
      </c>
      <c r="I367" t="b">
        <v>1</v>
      </c>
      <c r="J367">
        <v>237264</v>
      </c>
      <c r="K367">
        <v>805447</v>
      </c>
      <c r="L367">
        <v>2246</v>
      </c>
      <c r="M367">
        <v>6447</v>
      </c>
      <c r="N367">
        <v>-594816</v>
      </c>
      <c r="O367">
        <v>625796</v>
      </c>
      <c r="Q367">
        <v>-169207</v>
      </c>
      <c r="R367">
        <v>12462202</v>
      </c>
      <c r="S367">
        <v>12292995</v>
      </c>
      <c r="T367">
        <v>131681</v>
      </c>
      <c r="V367">
        <v>131541</v>
      </c>
      <c r="W367">
        <v>192238</v>
      </c>
      <c r="Y367">
        <v>5127</v>
      </c>
      <c r="Z367">
        <v>0</v>
      </c>
      <c r="AA367">
        <v>-175461</v>
      </c>
      <c r="AB367">
        <v>12472799</v>
      </c>
      <c r="AC367">
        <v>12297338</v>
      </c>
      <c r="AD367">
        <v>-4342</v>
      </c>
      <c r="AE367">
        <v>-10597</v>
      </c>
      <c r="AF367">
        <v>6255</v>
      </c>
      <c r="AG367">
        <v>2115630</v>
      </c>
      <c r="AH367">
        <v>6.2241979930328081E-2</v>
      </c>
      <c r="AI367" t="b">
        <v>1</v>
      </c>
      <c r="AK367">
        <v>6.5000000000000002E-2</v>
      </c>
      <c r="AL367">
        <v>6.5000000000000002E-2</v>
      </c>
      <c r="AM367">
        <v>6.5000000000000002E-2</v>
      </c>
      <c r="AN367">
        <v>6.5000000000000002E-2</v>
      </c>
      <c r="AO367">
        <v>1</v>
      </c>
      <c r="AP367">
        <v>0</v>
      </c>
      <c r="AS367">
        <v>1684789</v>
      </c>
      <c r="AT367">
        <v>-1386019</v>
      </c>
      <c r="AV367" t="s">
        <v>596</v>
      </c>
      <c r="BB367">
        <f t="shared" si="881"/>
        <v>1.000353290634219</v>
      </c>
      <c r="BD367">
        <f t="shared" si="882"/>
        <v>1689131</v>
      </c>
      <c r="BE367">
        <f t="shared" si="883"/>
        <v>-1381677</v>
      </c>
      <c r="BF367">
        <f t="shared" si="884"/>
        <v>13.740597795736514</v>
      </c>
      <c r="BG367">
        <f t="shared" si="885"/>
        <v>-11.239547400775809</v>
      </c>
      <c r="BH367">
        <f>(BD367-BE367)/(2*S367)*100</f>
        <v>12.490072598256162</v>
      </c>
      <c r="BI367">
        <f t="shared" si="887"/>
        <v>125.05251974803535</v>
      </c>
      <c r="BJ367">
        <f t="shared" si="888"/>
        <v>12</v>
      </c>
      <c r="BK367">
        <f>IF($BJ367&lt;=30,IF($B367=2015,VLOOKUP($BJ367,'Treasury Yields'!$C$5:$N$34,$E367,FALSE)/100,IF($B367=2016,VLOOKUP($BJ367,'Treasury Yields'!$C$40:$N$69,$E367,FALSE)/100,IF($B367=2017,VLOOKUP($BJ367,'Treasury Yields'!$C$75:$N$104,$E367,FALSE)/100,IF($B367=2018,VLOOKUP($BJ367,'Treasury Yields'!$C$110:$N$139,$E367,FALSE)/100,IF($B367=2019,VLOOKUP($BJ367,'Treasury Yields'!$C$145:$N$174,$E367,FALSE)/100,IF($B367=2020,VLOOKUP($BJ367,'Treasury Yields'!$C$180:$N$209,$E367,FALSE)/100,IF($B367=2021,VLOOKUP($BJ367,'Treasury Yields'!$C$215:$N$244,$E367,FALSE)/100,IF($B367=2022,VLOOKUP($BJ367,'Treasury Yields'!$C$250:$N$279,$E367,FALSE)/100)))))))),0)</f>
        <v>2.2184000000000002E-2</v>
      </c>
      <c r="BL367">
        <f t="shared" si="889"/>
        <v>1.5366081582229358</v>
      </c>
      <c r="BM367">
        <f t="shared" si="890"/>
        <v>19149521.262622189</v>
      </c>
      <c r="BN367">
        <f t="shared" si="891"/>
        <v>6676722.2626221888</v>
      </c>
      <c r="BP367">
        <f>IF($BJ367&lt;=30,IF($B367=2015,VLOOKUP($BJ367,'Treasury Yields'!$C$40:$N$69,$E367,FALSE)/100,IF($B367=2016,VLOOKUP($BJ367,'Treasury Yields'!$C$75:$N$104,$E367,FALSE)/100,IF($B367=2017,VLOOKUP($BJ367,'Treasury Yields'!$C$110:$N$139,$E367,FALSE)/100,IF($B367=2018,VLOOKUP($BJ367,'Treasury Yields'!$C$145:$N$174,$E367,FALSE)/100,IF($B367=2019,VLOOKUP($BJ367,'Treasury Yields'!$C$180:$N$209,$E367,FALSE)/100,IF($B367=2020,VLOOKUP($BJ367,'Treasury Yields'!$C$215:$N$244,$E367,FALSE)/100,IF($B367=2021,VLOOKUP($BJ367,'Treasury Yields'!$C$250:$N$279,$E367,FALSE)/100,IF($B367=2022,VLOOKUP($BJ367,'Treasury Yields'!$C$285:$N$314,$E367,FALSE)/100)))))))),0)</f>
        <v>1.3689454545454545E-2</v>
      </c>
      <c r="BQ367">
        <f t="shared" si="892"/>
        <v>1.6435052098582386</v>
      </c>
      <c r="BR367">
        <f t="shared" si="893"/>
        <v>20203601.327261277</v>
      </c>
      <c r="BS367">
        <f t="shared" si="894"/>
        <v>7906263.3272612765</v>
      </c>
      <c r="BU367">
        <f t="shared" si="765"/>
        <v>15</v>
      </c>
      <c r="BV367">
        <f t="shared" si="895"/>
        <v>2.4062624600866691</v>
      </c>
      <c r="BW367">
        <f t="shared" si="896"/>
        <v>570919.45633000345</v>
      </c>
      <c r="BX367" s="5">
        <f t="shared" si="897"/>
        <v>423595.59844523552</v>
      </c>
      <c r="BY367" s="5">
        <f t="shared" si="898"/>
        <v>146899.02542923545</v>
      </c>
      <c r="BZ367" s="5">
        <f t="shared" si="899"/>
        <v>1042711</v>
      </c>
      <c r="CA367" s="5">
        <f t="shared" si="900"/>
        <v>717818.48175923887</v>
      </c>
      <c r="CC367" s="5">
        <f t="shared" si="901"/>
        <v>20203601.327261277</v>
      </c>
      <c r="CD367" s="5" t="str">
        <f t="shared" si="902"/>
        <v>South Dakota</v>
      </c>
      <c r="CE367" s="5">
        <f t="shared" si="763"/>
        <v>1.000353290634219</v>
      </c>
      <c r="CF367" s="10">
        <f t="shared" si="903"/>
        <v>0.60867059297031678</v>
      </c>
    </row>
    <row r="368" spans="1:84" x14ac:dyDescent="0.2">
      <c r="A368">
        <v>42000000001404</v>
      </c>
      <c r="B368">
        <v>2021</v>
      </c>
      <c r="C368">
        <v>533</v>
      </c>
      <c r="D368" t="s">
        <v>598</v>
      </c>
      <c r="E368">
        <v>6</v>
      </c>
      <c r="F368" t="s">
        <v>599</v>
      </c>
      <c r="G368" t="s">
        <v>600</v>
      </c>
      <c r="H368" t="s">
        <v>601</v>
      </c>
      <c r="I368" t="b">
        <v>1</v>
      </c>
      <c r="J368">
        <v>228794</v>
      </c>
      <c r="K368">
        <v>795667</v>
      </c>
      <c r="L368">
        <v>0</v>
      </c>
      <c r="M368">
        <v>30918</v>
      </c>
      <c r="N368">
        <v>1134567</v>
      </c>
      <c r="O368">
        <v>661208</v>
      </c>
      <c r="Q368">
        <v>1573375</v>
      </c>
      <c r="R368">
        <v>12292995</v>
      </c>
      <c r="S368">
        <v>13866370</v>
      </c>
      <c r="T368">
        <v>136159</v>
      </c>
      <c r="V368">
        <v>136159</v>
      </c>
      <c r="W368">
        <v>2672027</v>
      </c>
      <c r="Y368">
        <v>4905</v>
      </c>
      <c r="Z368">
        <v>56628</v>
      </c>
      <c r="AA368">
        <v>2334861</v>
      </c>
      <c r="AB368">
        <v>12297338</v>
      </c>
      <c r="AC368">
        <v>14632199</v>
      </c>
      <c r="AD368">
        <v>-765829</v>
      </c>
      <c r="AE368">
        <v>-4342</v>
      </c>
      <c r="AF368">
        <v>-761487</v>
      </c>
      <c r="AG368">
        <v>2186209</v>
      </c>
      <c r="AH368">
        <v>6.2280870676133894E-2</v>
      </c>
      <c r="AI368" t="b">
        <v>1</v>
      </c>
      <c r="AK368">
        <v>6.5000000000000002E-2</v>
      </c>
      <c r="AL368">
        <v>6.5000000000000002E-2</v>
      </c>
      <c r="AM368">
        <v>6.5000000000000002E-2</v>
      </c>
      <c r="AN368">
        <v>6.5000000000000002E-2</v>
      </c>
      <c r="AO368">
        <v>1</v>
      </c>
      <c r="AS368">
        <v>1240367</v>
      </c>
      <c r="AT368">
        <v>-2394150</v>
      </c>
      <c r="BB368">
        <f t="shared" si="881"/>
        <v>1.0552292344716028</v>
      </c>
      <c r="BD368">
        <f>AS368-AD368</f>
        <v>2006196</v>
      </c>
      <c r="BE368">
        <f>AT368-AD368</f>
        <v>-1628321</v>
      </c>
      <c r="BF368">
        <f t="shared" si="884"/>
        <v>14.468069148594765</v>
      </c>
      <c r="BG368">
        <f t="shared" si="885"/>
        <v>-11.74295075062904</v>
      </c>
      <c r="BH368">
        <f>(BD368-BE368)/(2*S368)*100</f>
        <v>13.105509949611902</v>
      </c>
      <c r="BI368">
        <f t="shared" si="887"/>
        <v>136.25591989828627</v>
      </c>
      <c r="BJ368">
        <f>ROUND(BH368,0)</f>
        <v>13</v>
      </c>
      <c r="BK368">
        <f>IF($BJ368&lt;=30,IF($B368=2015,VLOOKUP($BJ368,'Treasury Yields'!$C$5:$N$34,$E368,FALSE)/100,IF($B368=2016,VLOOKUP($BJ368,'Treasury Yields'!$C$40:$N$69,$E368,FALSE)/100,IF($B368=2017,VLOOKUP($BJ368,'Treasury Yields'!$C$75:$N$104,$E368,FALSE)/100,IF($B368=2018,VLOOKUP($BJ368,'Treasury Yields'!$C$110:$N$139,$E368,FALSE)/100,IF($B368=2019,VLOOKUP($BJ368,'Treasury Yields'!$C$145:$N$174,$E368,FALSE)/100,IF($B368=2020,VLOOKUP($BJ368,'Treasury Yields'!$C$180:$N$209,$E368,FALSE)/100,IF($B368=2021,VLOOKUP($BJ368,'Treasury Yields'!$C$215:$N$244,$E368,FALSE)/100,IF($B368=2022,VLOOKUP($BJ368,'Treasury Yields'!$C$250:$N$279,$E368,FALSE)/100)))))))),0)</f>
        <v>1.2827818181818183E-2</v>
      </c>
      <c r="BL368">
        <f t="shared" si="889"/>
        <v>1.6864649844668123</v>
      </c>
      <c r="BM368">
        <f t="shared" si="890"/>
        <v>20731705.6217256</v>
      </c>
      <c r="BN368">
        <f t="shared" si="891"/>
        <v>8434367.6217256002</v>
      </c>
      <c r="BP368">
        <f>IF($BJ368&lt;=30,IF($B368=2015,VLOOKUP($BJ368,'Treasury Yields'!$C$40:$N$69,$E368,FALSE)/100,IF($B368=2016,VLOOKUP($BJ368,'Treasury Yields'!$C$75:$N$104,$E368,FALSE)/100,IF($B368=2017,VLOOKUP($BJ368,'Treasury Yields'!$C$110:$N$139,$E368,FALSE)/100,IF($B368=2018,VLOOKUP($BJ368,'Treasury Yields'!$C$145:$N$174,$E368,FALSE)/100,IF($B368=2019,VLOOKUP($BJ368,'Treasury Yields'!$C$180:$N$209,$E368,FALSE)/100,IF($B368=2020,VLOOKUP($BJ368,'Treasury Yields'!$C$215:$N$244,$E368,FALSE)/100,IF($B368=2021,VLOOKUP($BJ368,'Treasury Yields'!$C$250:$N$279,$E368,FALSE)/100,IF($B368=2022,VLOOKUP($BJ368,'Treasury Yields'!$C$285:$N$314,$E368,FALSE)/100)))))))),0)</f>
        <v>2.0617363636363639E-2</v>
      </c>
      <c r="BQ368">
        <f t="shared" si="892"/>
        <v>1.5836269008642301</v>
      </c>
      <c r="BR368">
        <f t="shared" si="893"/>
        <v>21959156.549336735</v>
      </c>
      <c r="BS368">
        <f t="shared" si="894"/>
        <v>7326957.5493367352</v>
      </c>
      <c r="BU368">
        <f t="shared" si="765"/>
        <v>16</v>
      </c>
      <c r="BV368">
        <f t="shared" si="895"/>
        <v>2.8893779262995616</v>
      </c>
      <c r="BW368">
        <f t="shared" si="896"/>
        <v>661072.3332697819</v>
      </c>
      <c r="BX368" s="5">
        <f t="shared" si="897"/>
        <v>265940.81000632537</v>
      </c>
      <c r="BY368" s="5">
        <f t="shared" si="898"/>
        <v>108192.79402196169</v>
      </c>
      <c r="BZ368" s="5">
        <f t="shared" si="899"/>
        <v>1024461</v>
      </c>
      <c r="CA368" s="5">
        <f t="shared" si="900"/>
        <v>769265.12729174364</v>
      </c>
      <c r="CC368" s="5">
        <f t="shared" si="901"/>
        <v>21959156.549336735</v>
      </c>
      <c r="CD368" s="5" t="str">
        <f t="shared" si="902"/>
        <v>South Dakota</v>
      </c>
      <c r="CE368" s="5">
        <f t="shared" si="763"/>
        <v>1.0552292344716028</v>
      </c>
      <c r="CF368" s="10">
        <f t="shared" si="903"/>
        <v>0.66633702287813767</v>
      </c>
    </row>
    <row r="369" spans="1:84" x14ac:dyDescent="0.2">
      <c r="A369">
        <v>42000000001404</v>
      </c>
      <c r="B369">
        <v>2022</v>
      </c>
      <c r="C369">
        <v>533</v>
      </c>
      <c r="D369" t="s">
        <v>598</v>
      </c>
      <c r="E369">
        <v>6</v>
      </c>
      <c r="F369" t="s">
        <v>599</v>
      </c>
      <c r="G369" t="s">
        <v>600</v>
      </c>
      <c r="H369" t="s">
        <v>601</v>
      </c>
      <c r="I369" t="b">
        <v>1</v>
      </c>
      <c r="J369">
        <v>260129</v>
      </c>
      <c r="K369">
        <v>895957</v>
      </c>
      <c r="L369">
        <v>0</v>
      </c>
      <c r="M369">
        <v>209193</v>
      </c>
      <c r="N369">
        <v>-418989</v>
      </c>
      <c r="O369">
        <v>696041</v>
      </c>
      <c r="Q369">
        <v>250249</v>
      </c>
      <c r="R369">
        <v>13866370</v>
      </c>
      <c r="S369">
        <v>14116619</v>
      </c>
      <c r="T369">
        <v>143271</v>
      </c>
      <c r="V369">
        <v>143042</v>
      </c>
      <c r="W369">
        <v>-91539</v>
      </c>
      <c r="Y369">
        <v>4862</v>
      </c>
      <c r="Z369">
        <v>0</v>
      </c>
      <c r="AA369">
        <v>-506129</v>
      </c>
      <c r="AB369">
        <v>14632199</v>
      </c>
      <c r="AC369">
        <v>14126070</v>
      </c>
      <c r="AD369">
        <v>-9451</v>
      </c>
      <c r="AE369">
        <v>-765829</v>
      </c>
      <c r="AF369">
        <v>756378</v>
      </c>
      <c r="AG369">
        <v>2300012</v>
      </c>
      <c r="AH369">
        <v>6.2291414131752355E-2</v>
      </c>
      <c r="AI369" t="b">
        <v>1</v>
      </c>
      <c r="AK369">
        <v>6.5000000000000002E-2</v>
      </c>
      <c r="AL369">
        <v>6.5000000000000002E-2</v>
      </c>
      <c r="AM369">
        <v>6.5000000000000002E-2</v>
      </c>
      <c r="AN369">
        <v>6.5000000000000002E-2</v>
      </c>
      <c r="AO369">
        <v>1</v>
      </c>
      <c r="AS369">
        <v>1962336</v>
      </c>
      <c r="AT369">
        <v>-1620951</v>
      </c>
      <c r="AU369" t="s">
        <v>232</v>
      </c>
      <c r="AV369" t="s">
        <v>606</v>
      </c>
      <c r="BB369">
        <f t="shared" si="881"/>
        <v>1.0006694945864871</v>
      </c>
      <c r="BD369">
        <f t="shared" si="882"/>
        <v>1971787</v>
      </c>
      <c r="BE369">
        <f t="shared" si="883"/>
        <v>-1611500</v>
      </c>
      <c r="BF369">
        <f t="shared" si="884"/>
        <v>13.967841733208214</v>
      </c>
      <c r="BG369">
        <f t="shared" si="885"/>
        <v>-11.415622961843768</v>
      </c>
      <c r="BH369">
        <f t="shared" si="886"/>
        <v>12.691732347525992</v>
      </c>
      <c r="BI369">
        <f t="shared" si="887"/>
        <v>127.61093856822231</v>
      </c>
      <c r="BJ369">
        <f t="shared" si="888"/>
        <v>13</v>
      </c>
      <c r="BK369">
        <f>IF($BJ369&lt;=30,IF($B369=2015,VLOOKUP($BJ369,'Treasury Yields'!$C$5:$N$34,$E369,FALSE)/100,IF($B369=2016,VLOOKUP($BJ369,'Treasury Yields'!$C$40:$N$69,$E369,FALSE)/100,IF($B369=2017,VLOOKUP($BJ369,'Treasury Yields'!$C$75:$N$104,$E369,FALSE)/100,IF($B369=2018,VLOOKUP($BJ369,'Treasury Yields'!$C$110:$N$139,$E369,FALSE)/100,IF($B369=2019,VLOOKUP($BJ369,'Treasury Yields'!$C$145:$N$174,$E369,FALSE)/100,IF($B369=2020,VLOOKUP($BJ369,'Treasury Yields'!$C$180:$N$209,$E369,FALSE)/100,IF($B369=2021,VLOOKUP($BJ369,'Treasury Yields'!$C$215:$N$244,$E369,FALSE)/100,IF($B369=2022,VLOOKUP($BJ369,'Treasury Yields'!$C$250:$N$279,$E369,FALSE)/100)))))))),0)</f>
        <v>2.0617363636363639E-2</v>
      </c>
      <c r="BL369">
        <f t="shared" si="889"/>
        <v>1.5652623600154336</v>
      </c>
      <c r="BM369">
        <f t="shared" si="890"/>
        <v>21704507.03104721</v>
      </c>
      <c r="BN369">
        <f t="shared" si="891"/>
        <v>7072308.0310472101</v>
      </c>
      <c r="BP369">
        <f>IF($BJ369&lt;=30,IF($B369=2015,VLOOKUP($BJ369,'Treasury Yields'!$C$40:$N$69,$E369,FALSE)/100,IF($B369=2016,VLOOKUP($BJ369,'Treasury Yields'!$C$75:$N$104,$E369,FALSE)/100,IF($B369=2017,VLOOKUP($BJ369,'Treasury Yields'!$C$110:$N$139,$E369,FALSE)/100,IF($B369=2018,VLOOKUP($BJ369,'Treasury Yields'!$C$145:$N$174,$E369,FALSE)/100,IF($B369=2019,VLOOKUP($BJ369,'Treasury Yields'!$C$180:$N$209,$E369,FALSE)/100,IF($B369=2020,VLOOKUP($BJ369,'Treasury Yields'!$C$215:$N$244,$E369,FALSE)/100,IF($B369=2021,VLOOKUP($BJ369,'Treasury Yields'!$C$250:$N$279,$E369,FALSE)/100,IF($B369=2022,VLOOKUP($BJ369,'Treasury Yields'!$C$285:$N$314,$E369,FALSE)/100)))))))),0)</f>
        <v>3.2868636363636364E-2</v>
      </c>
      <c r="BQ369">
        <f t="shared" si="892"/>
        <v>1.4088350917628891</v>
      </c>
      <c r="BR369">
        <f t="shared" si="893"/>
        <v>19887988.224246744</v>
      </c>
      <c r="BS369">
        <f t="shared" si="894"/>
        <v>5761918.2242467441</v>
      </c>
      <c r="BU369">
        <f t="shared" si="765"/>
        <v>16</v>
      </c>
      <c r="BV369">
        <f t="shared" si="895"/>
        <v>2.5247850996069712</v>
      </c>
      <c r="BW369">
        <f t="shared" si="896"/>
        <v>656769.82317566185</v>
      </c>
      <c r="BX369" s="5">
        <f t="shared" si="897"/>
        <v>446680.04587409634</v>
      </c>
      <c r="BY369" s="5">
        <f t="shared" si="898"/>
        <v>145002.67829145998</v>
      </c>
      <c r="BZ369" s="5">
        <f t="shared" si="899"/>
        <v>1156086</v>
      </c>
      <c r="CA369" s="5">
        <f t="shared" si="900"/>
        <v>801772.50146712177</v>
      </c>
      <c r="CC369" s="5">
        <f t="shared" si="901"/>
        <v>19887988.224246744</v>
      </c>
      <c r="CD369" s="5" t="str">
        <f t="shared" si="902"/>
        <v>South Dakota</v>
      </c>
      <c r="CE369" s="5">
        <f t="shared" si="763"/>
        <v>1.0006694945864871</v>
      </c>
      <c r="CF369" s="10">
        <f t="shared" si="903"/>
        <v>0.71028149457459888</v>
      </c>
    </row>
    <row r="370" spans="1:84" hidden="1" x14ac:dyDescent="0.2">
      <c r="A370">
        <v>43000000000000</v>
      </c>
      <c r="B370">
        <v>2015</v>
      </c>
      <c r="C370">
        <v>588</v>
      </c>
      <c r="D370" t="s">
        <v>607</v>
      </c>
      <c r="E370">
        <v>6</v>
      </c>
      <c r="F370" t="s">
        <v>608</v>
      </c>
      <c r="G370" t="s">
        <v>609</v>
      </c>
      <c r="H370" t="s">
        <v>610</v>
      </c>
      <c r="I370" t="b">
        <v>1</v>
      </c>
      <c r="J370">
        <v>15581.496999999999</v>
      </c>
      <c r="K370">
        <v>583.01099999999997</v>
      </c>
      <c r="L370">
        <v>0</v>
      </c>
      <c r="M370">
        <v>0</v>
      </c>
      <c r="N370">
        <v>0</v>
      </c>
      <c r="O370">
        <v>34.530999999999999</v>
      </c>
      <c r="Q370">
        <v>16129.977000000001</v>
      </c>
      <c r="R370">
        <v>0</v>
      </c>
      <c r="S370">
        <v>16129.977000000001</v>
      </c>
      <c r="T370">
        <v>8310.1319999999996</v>
      </c>
      <c r="V370">
        <v>10390.076999999999</v>
      </c>
      <c r="W370">
        <v>294.74200000000002</v>
      </c>
      <c r="Y370">
        <v>280.04700000000003</v>
      </c>
      <c r="AA370">
        <v>18680.373</v>
      </c>
      <c r="AB370">
        <v>0</v>
      </c>
      <c r="AC370">
        <v>18680.373</v>
      </c>
      <c r="AD370">
        <v>-2550.3960000000002</v>
      </c>
      <c r="AE370">
        <v>0</v>
      </c>
      <c r="AF370">
        <v>-2550.3960000000002</v>
      </c>
      <c r="AG370">
        <v>207753</v>
      </c>
      <c r="AH370">
        <v>4.0000057760898759E-2</v>
      </c>
      <c r="AI370" t="b">
        <v>1</v>
      </c>
      <c r="AK370">
        <v>7.4999999999999997E-2</v>
      </c>
      <c r="AL370">
        <v>7.4999999999999997E-2</v>
      </c>
      <c r="AM370">
        <v>7.4999999999999997E-2</v>
      </c>
      <c r="AN370">
        <v>7.4999999999999997E-2</v>
      </c>
      <c r="AO370">
        <v>1</v>
      </c>
      <c r="AP370">
        <v>0</v>
      </c>
      <c r="AS370">
        <v>589.44799999999998</v>
      </c>
      <c r="AT370">
        <v>-5179.9459999999999</v>
      </c>
      <c r="BB370">
        <f t="shared" ref="BB370:BB385" si="904">AC370/S370</f>
        <v>1.158115290554971</v>
      </c>
      <c r="BD370">
        <f t="shared" ref="BD370:BD385" si="905">AS370-AD370</f>
        <v>3139.8440000000001</v>
      </c>
      <c r="BE370">
        <f t="shared" ref="BE370:BE385" si="906">AT370-AD370</f>
        <v>-2629.5499999999997</v>
      </c>
      <c r="BF370">
        <f t="shared" ref="BF370:BF385" si="907">BD370/S370*100</f>
        <v>19.465892604806566</v>
      </c>
      <c r="BG370">
        <f t="shared" ref="BG370:BG385" si="908">BE370/S370*100</f>
        <v>-16.302255111709087</v>
      </c>
      <c r="BH370">
        <f t="shared" ref="BH370:BH385" si="909">(BD370-BE370)/(2*S370)*100</f>
        <v>17.884073858257825</v>
      </c>
      <c r="BI370">
        <f t="shared" ref="BI370:BI385" si="910">(BD370+BE370)/(2*S370*(0.01^2))</f>
        <v>158.18187465487404</v>
      </c>
      <c r="BJ370">
        <f t="shared" ref="BJ370:BJ385" si="911">ROUND(BH370,0)</f>
        <v>18</v>
      </c>
      <c r="BK370">
        <f>IF($BJ370&lt;=30,IF($B370=2015,VLOOKUP($BJ370,'Treasury Yields'!$C$5:$N$34,$E370,FALSE)/100,IF($B370=2016,VLOOKUP($BJ370,'Treasury Yields'!$C$40:$N$69,$E370,FALSE)/100,IF($B370=2017,VLOOKUP($BJ370,'Treasury Yields'!$C$75:$N$104,$E370,FALSE)/100,IF($B370=2018,VLOOKUP($BJ370,'Treasury Yields'!$C$110:$N$139,$E370,FALSE)/100,IF($B370=2019,VLOOKUP($BJ370,'Treasury Yields'!$C$145:$N$174,$E370,FALSE)/100,IF($B370=2020,VLOOKUP($BJ370,'Treasury Yields'!$C$180:$N$209,$E370,FALSE)/100,IF($B370=2021,VLOOKUP($BJ370,'Treasury Yields'!$C$215:$N$244,$E370,FALSE)/100,IF($B370=2022,VLOOKUP($BJ370,'Treasury Yields'!$C$250:$N$279,$E370,FALSE)/100)))))))),0)</f>
        <v>3.3541999999999995E-2</v>
      </c>
      <c r="BL370">
        <f t="shared" ref="BL370:BL385" si="912">1+BH370*(AL370-BK370)+(AL370-BK370)^2</f>
        <v>1.743156699779653</v>
      </c>
      <c r="BM370">
        <f t="shared" ref="BM370:BM385" si="913">BL370*R370</f>
        <v>0</v>
      </c>
      <c r="BN370">
        <f t="shared" ref="BN370:BN385" si="914">BM370-AB370</f>
        <v>0</v>
      </c>
      <c r="BP370">
        <f>IF($BJ370&lt;=30,IF($B370=2015,VLOOKUP($BJ370,'Treasury Yields'!$C$40:$N$69,$E370,FALSE)/100,IF($B370=2016,VLOOKUP($BJ370,'Treasury Yields'!$C$75:$N$104,$E370,FALSE)/100,IF($B370=2017,VLOOKUP($BJ370,'Treasury Yields'!$C$110:$N$139,$E370,FALSE)/100,IF($B370=2018,VLOOKUP($BJ370,'Treasury Yields'!$C$145:$N$174,$E370,FALSE)/100,IF($B370=2019,VLOOKUP($BJ370,'Treasury Yields'!$C$180:$N$209,$E370,FALSE)/100,IF($B370=2020,VLOOKUP($BJ370,'Treasury Yields'!$C$215:$N$244,$E370,FALSE)/100,IF($B370=2021,VLOOKUP($BJ370,'Treasury Yields'!$C$250:$N$279,$E370,FALSE)/100,IF($B370=2022,VLOOKUP($BJ370,'Treasury Yields'!$C$285:$N$314,$E370,FALSE)/100)))))))),0)</f>
        <v>3.0820000000000004E-2</v>
      </c>
      <c r="BQ370">
        <f t="shared" ref="BQ370:BQ385" si="915">1+BH370*(AN370-BP370)+(AN370-BP370)^2</f>
        <v>1.7920702554578307</v>
      </c>
      <c r="BR370">
        <f t="shared" ref="BR370:BR385" si="916">BQ370*S370</f>
        <v>28906.052002918936</v>
      </c>
      <c r="BS370">
        <f t="shared" ref="BS370:BS385" si="917">BR370-AC370</f>
        <v>10225.679002918936</v>
      </c>
      <c r="BU370">
        <f t="shared" si="765"/>
        <v>21</v>
      </c>
      <c r="BV370">
        <f t="shared" ref="BV370:BV385" si="918">1+(BH370+BU370)*(AN370-BK370)+(AN370-BK370)^2*BI370</f>
        <v>2.88393352465779</v>
      </c>
      <c r="BW370">
        <f t="shared" ref="BW370:BW385" si="919">BV370*J370</f>
        <v>44936.001562654776</v>
      </c>
      <c r="BX370" s="5">
        <f t="shared" ref="BX370:BX385" si="920">(BM370+BW370-O370)*BK370</f>
        <v>1506.0851256125661</v>
      </c>
      <c r="BY370" s="5">
        <f t="shared" ref="BY370:BY385" si="921">BK370*(BN370+BW370-O370)</f>
        <v>1506.0851256125661</v>
      </c>
      <c r="BZ370" s="5">
        <f t="shared" ref="BZ370:BZ385" si="922">SUM(J370:K370)</f>
        <v>16164.508</v>
      </c>
      <c r="CA370" s="5">
        <f t="shared" ref="CA370:CA385" si="923">SUM(BW370+BY370)</f>
        <v>46442.086688267344</v>
      </c>
      <c r="CC370" s="5">
        <f t="shared" ref="CC370:CC385" si="924">BR370</f>
        <v>28906.052002918936</v>
      </c>
      <c r="CD370" s="5" t="str">
        <f t="shared" ref="CD370:CD385" si="925">F370</f>
        <v>Tennessee</v>
      </c>
      <c r="CE370" s="5">
        <f t="shared" si="763"/>
        <v>1.158115290554971</v>
      </c>
      <c r="CF370" s="10">
        <f t="shared" ref="CF370:CF385" si="926">AC370/CC370</f>
        <v>0.64624435734474062</v>
      </c>
    </row>
    <row r="371" spans="1:84" hidden="1" x14ac:dyDescent="0.2">
      <c r="A371">
        <v>43000000000000</v>
      </c>
      <c r="B371">
        <v>2016</v>
      </c>
      <c r="C371">
        <v>588</v>
      </c>
      <c r="D371" t="s">
        <v>607</v>
      </c>
      <c r="E371">
        <v>6</v>
      </c>
      <c r="F371" t="s">
        <v>608</v>
      </c>
      <c r="G371" t="s">
        <v>609</v>
      </c>
      <c r="H371" t="s">
        <v>610</v>
      </c>
      <c r="I371" t="b">
        <v>1</v>
      </c>
      <c r="J371">
        <v>28980</v>
      </c>
      <c r="K371">
        <v>2175</v>
      </c>
      <c r="M371">
        <v>-1477</v>
      </c>
      <c r="O371">
        <v>283</v>
      </c>
      <c r="Q371">
        <v>29395</v>
      </c>
      <c r="R371">
        <v>16130</v>
      </c>
      <c r="S371">
        <v>45525</v>
      </c>
      <c r="T371">
        <v>17539</v>
      </c>
      <c r="V371">
        <v>21856</v>
      </c>
      <c r="W371">
        <v>1011</v>
      </c>
      <c r="Y371">
        <v>820</v>
      </c>
      <c r="AA371">
        <v>39302</v>
      </c>
      <c r="AB371">
        <v>18680</v>
      </c>
      <c r="AC371">
        <v>57983</v>
      </c>
      <c r="AD371">
        <v>-12458</v>
      </c>
      <c r="AE371">
        <v>-2550</v>
      </c>
      <c r="AF371">
        <v>-9908</v>
      </c>
      <c r="AG371">
        <v>441775</v>
      </c>
      <c r="AH371">
        <v>3.970120536472186E-2</v>
      </c>
      <c r="AI371" t="b">
        <v>1</v>
      </c>
      <c r="AK371">
        <v>7.4999999999999997E-2</v>
      </c>
      <c r="AL371">
        <v>7.4999999999999997E-2</v>
      </c>
      <c r="AM371">
        <v>7.4999999999999997E-2</v>
      </c>
      <c r="AN371">
        <v>7.4999999999999997E-2</v>
      </c>
      <c r="AO371">
        <v>1</v>
      </c>
      <c r="AP371">
        <v>0</v>
      </c>
      <c r="AS371">
        <v>1932</v>
      </c>
      <c r="AT371">
        <v>-23018</v>
      </c>
      <c r="AU371" t="s">
        <v>94</v>
      </c>
      <c r="AV371" t="s">
        <v>611</v>
      </c>
      <c r="BB371">
        <f t="shared" si="904"/>
        <v>1.2736518396485448</v>
      </c>
      <c r="BD371">
        <f t="shared" si="905"/>
        <v>14390</v>
      </c>
      <c r="BE371">
        <f t="shared" si="906"/>
        <v>-10560</v>
      </c>
      <c r="BF371">
        <f t="shared" si="907"/>
        <v>31.609006040637013</v>
      </c>
      <c r="BG371">
        <f t="shared" si="908"/>
        <v>-23.196046128500825</v>
      </c>
      <c r="BH371">
        <f t="shared" si="909"/>
        <v>27.402526084568919</v>
      </c>
      <c r="BI371">
        <f t="shared" si="910"/>
        <v>420.64799560680945</v>
      </c>
      <c r="BJ371">
        <f t="shared" si="911"/>
        <v>27</v>
      </c>
      <c r="BK371">
        <f>IF($BJ371&lt;=30,IF($B371=2015,VLOOKUP($BJ371,'Treasury Yields'!$C$5:$N$34,$E371,FALSE)/100,IF($B371=2016,VLOOKUP($BJ371,'Treasury Yields'!$C$40:$N$69,$E371,FALSE)/100,IF($B371=2017,VLOOKUP($BJ371,'Treasury Yields'!$C$75:$N$104,$E371,FALSE)/100,IF($B371=2018,VLOOKUP($BJ371,'Treasury Yields'!$C$110:$N$139,$E371,FALSE)/100,IF($B371=2019,VLOOKUP($BJ371,'Treasury Yields'!$C$145:$N$174,$E371,FALSE)/100,IF($B371=2020,VLOOKUP($BJ371,'Treasury Yields'!$C$180:$N$209,$E371,FALSE)/100,IF($B371=2021,VLOOKUP($BJ371,'Treasury Yields'!$C$215:$N$244,$E371,FALSE)/100,IF($B371=2022,VLOOKUP($BJ371,'Treasury Yields'!$C$250:$N$279,$E371,FALSE)/100)))))))),0)</f>
        <v>3.2411000000000009E-2</v>
      </c>
      <c r="BL371">
        <f t="shared" si="912"/>
        <v>2.1688600063367054</v>
      </c>
      <c r="BM371">
        <f t="shared" si="913"/>
        <v>34983.711902211056</v>
      </c>
      <c r="BN371">
        <f t="shared" si="914"/>
        <v>16303.711902211056</v>
      </c>
      <c r="BP371">
        <f>IF($BJ371&lt;=30,IF($B371=2015,VLOOKUP($BJ371,'Treasury Yields'!$C$40:$N$69,$E371,FALSE)/100,IF($B371=2016,VLOOKUP($BJ371,'Treasury Yields'!$C$75:$N$104,$E371,FALSE)/100,IF($B371=2017,VLOOKUP($BJ371,'Treasury Yields'!$C$110:$N$139,$E371,FALSE)/100,IF($B371=2018,VLOOKUP($BJ371,'Treasury Yields'!$C$145:$N$174,$E371,FALSE)/100,IF($B371=2019,VLOOKUP($BJ371,'Treasury Yields'!$C$180:$N$209,$E371,FALSE)/100,IF($B371=2020,VLOOKUP($BJ371,'Treasury Yields'!$C$215:$N$244,$E371,FALSE)/100,IF($B371=2021,VLOOKUP($BJ371,'Treasury Yields'!$C$250:$N$279,$E371,FALSE)/100,IF($B371=2022,VLOOKUP($BJ371,'Treasury Yields'!$C$285:$N$314,$E371,FALSE)/100)))))))),0)</f>
        <v>2.3535999999999987E-2</v>
      </c>
      <c r="BQ371">
        <f t="shared" si="915"/>
        <v>2.412892145712255</v>
      </c>
      <c r="BR371">
        <f t="shared" si="916"/>
        <v>109846.9149335504</v>
      </c>
      <c r="BS371">
        <f t="shared" si="917"/>
        <v>51863.914933550404</v>
      </c>
      <c r="BU371">
        <f t="shared" si="765"/>
        <v>30</v>
      </c>
      <c r="BV371">
        <f t="shared" si="918"/>
        <v>4.207697159520043</v>
      </c>
      <c r="BW371">
        <f t="shared" si="919"/>
        <v>121939.06368289085</v>
      </c>
      <c r="BX371" s="5">
        <f t="shared" si="920"/>
        <v>5076.8517664887395</v>
      </c>
      <c r="BY371" s="5">
        <f t="shared" si="921"/>
        <v>4471.4142864887399</v>
      </c>
      <c r="BZ371" s="5">
        <f t="shared" si="922"/>
        <v>31155</v>
      </c>
      <c r="CA371" s="5">
        <f t="shared" si="923"/>
        <v>126410.47796937959</v>
      </c>
      <c r="CC371" s="5">
        <f t="shared" si="924"/>
        <v>109846.9149335504</v>
      </c>
      <c r="CD371" s="5" t="str">
        <f t="shared" si="925"/>
        <v>Tennessee</v>
      </c>
      <c r="CE371" s="5">
        <f t="shared" si="763"/>
        <v>1.2736518396485448</v>
      </c>
      <c r="CF371" s="10">
        <f t="shared" si="926"/>
        <v>0.52785278526097523</v>
      </c>
    </row>
    <row r="372" spans="1:84" hidden="1" x14ac:dyDescent="0.2">
      <c r="A372">
        <v>43000000000000</v>
      </c>
      <c r="B372">
        <v>2017</v>
      </c>
      <c r="C372">
        <v>588</v>
      </c>
      <c r="D372" t="s">
        <v>607</v>
      </c>
      <c r="E372">
        <v>6</v>
      </c>
      <c r="F372" t="s">
        <v>608</v>
      </c>
      <c r="G372" t="s">
        <v>609</v>
      </c>
      <c r="H372" t="s">
        <v>610</v>
      </c>
      <c r="I372" t="b">
        <v>1</v>
      </c>
      <c r="J372">
        <v>43440</v>
      </c>
      <c r="K372">
        <v>5159</v>
      </c>
      <c r="M372">
        <v>2055</v>
      </c>
      <c r="O372">
        <v>1022</v>
      </c>
      <c r="Q372">
        <v>49632</v>
      </c>
      <c r="R372">
        <v>45525</v>
      </c>
      <c r="S372">
        <v>95157</v>
      </c>
      <c r="T372">
        <v>26262</v>
      </c>
      <c r="V372">
        <v>32848</v>
      </c>
      <c r="W372">
        <v>10058</v>
      </c>
      <c r="Y372">
        <v>1417</v>
      </c>
      <c r="AA372">
        <v>66730</v>
      </c>
      <c r="AB372">
        <v>57983</v>
      </c>
      <c r="AC372">
        <v>124713</v>
      </c>
      <c r="AD372">
        <v>-29556</v>
      </c>
      <c r="AE372">
        <v>-12458</v>
      </c>
      <c r="AF372">
        <v>-17098</v>
      </c>
      <c r="AG372">
        <v>655206</v>
      </c>
      <c r="AH372">
        <v>4.0082050530672798E-2</v>
      </c>
      <c r="AI372" t="b">
        <v>1</v>
      </c>
      <c r="AK372">
        <v>7.4999999999999997E-2</v>
      </c>
      <c r="AL372">
        <v>7.4999999999999997E-2</v>
      </c>
      <c r="AM372">
        <v>7.4999999999999997E-2</v>
      </c>
      <c r="AN372">
        <v>7.4999999999999997E-2</v>
      </c>
      <c r="AO372">
        <v>1</v>
      </c>
      <c r="AP372">
        <v>0</v>
      </c>
      <c r="AS372">
        <v>422</v>
      </c>
      <c r="AT372">
        <v>-51682</v>
      </c>
      <c r="AU372" t="s">
        <v>152</v>
      </c>
      <c r="AV372" t="s">
        <v>612</v>
      </c>
      <c r="BB372">
        <f t="shared" si="904"/>
        <v>1.3106024780100256</v>
      </c>
      <c r="BD372">
        <f t="shared" si="905"/>
        <v>29978</v>
      </c>
      <c r="BE372">
        <f t="shared" si="906"/>
        <v>-22126</v>
      </c>
      <c r="BF372">
        <f t="shared" si="907"/>
        <v>31.503725422197</v>
      </c>
      <c r="BG372">
        <f t="shared" si="908"/>
        <v>-23.252099162436814</v>
      </c>
      <c r="BH372">
        <f t="shared" si="909"/>
        <v>27.377912292316907</v>
      </c>
      <c r="BI372">
        <f t="shared" si="910"/>
        <v>412.58131298800924</v>
      </c>
      <c r="BJ372">
        <f t="shared" si="911"/>
        <v>27</v>
      </c>
      <c r="BK372">
        <f>IF($BJ372&lt;=30,IF($B372=2015,VLOOKUP($BJ372,'Treasury Yields'!$C$5:$N$34,$E372,FALSE)/100,IF($B372=2016,VLOOKUP($BJ372,'Treasury Yields'!$C$40:$N$69,$E372,FALSE)/100,IF($B372=2017,VLOOKUP($BJ372,'Treasury Yields'!$C$75:$N$104,$E372,FALSE)/100,IF($B372=2018,VLOOKUP($BJ372,'Treasury Yields'!$C$110:$N$139,$E372,FALSE)/100,IF($B372=2019,VLOOKUP($BJ372,'Treasury Yields'!$C$145:$N$174,$E372,FALSE)/100,IF($B372=2020,VLOOKUP($BJ372,'Treasury Yields'!$C$180:$N$209,$E372,FALSE)/100,IF($B372=2021,VLOOKUP($BJ372,'Treasury Yields'!$C$215:$N$244,$E372,FALSE)/100,IF($B372=2022,VLOOKUP($BJ372,'Treasury Yields'!$C$250:$N$279,$E372,FALSE)/100)))))))),0)</f>
        <v>2.3535999999999987E-2</v>
      </c>
      <c r="BL372">
        <f t="shared" si="912"/>
        <v>2.4116254215077975</v>
      </c>
      <c r="BM372">
        <f t="shared" si="913"/>
        <v>109789.24731414249</v>
      </c>
      <c r="BN372">
        <f t="shared" si="914"/>
        <v>51806.247314142485</v>
      </c>
      <c r="BP372">
        <f>IF($BJ372&lt;=30,IF($B372=2015,VLOOKUP($BJ372,'Treasury Yields'!$C$40:$N$69,$E372,FALSE)/100,IF($B372=2016,VLOOKUP($BJ372,'Treasury Yields'!$C$75:$N$104,$E372,FALSE)/100,IF($B372=2017,VLOOKUP($BJ372,'Treasury Yields'!$C$110:$N$139,$E372,FALSE)/100,IF($B372=2018,VLOOKUP($BJ372,'Treasury Yields'!$C$145:$N$174,$E372,FALSE)/100,IF($B372=2019,VLOOKUP($BJ372,'Treasury Yields'!$C$180:$N$209,$E372,FALSE)/100,IF($B372=2020,VLOOKUP($BJ372,'Treasury Yields'!$C$215:$N$244,$E372,FALSE)/100,IF($B372=2021,VLOOKUP($BJ372,'Treasury Yields'!$C$250:$N$279,$E372,FALSE)/100,IF($B372=2022,VLOOKUP($BJ372,'Treasury Yields'!$C$285:$N$314,$E372,FALSE)/100)))))))),0)</f>
        <v>1.0412599999999989E-2</v>
      </c>
      <c r="BQ372">
        <f t="shared" si="915"/>
        <v>2.7724397046275491</v>
      </c>
      <c r="BR372">
        <f t="shared" si="916"/>
        <v>263817.04497324367</v>
      </c>
      <c r="BS372">
        <f t="shared" si="917"/>
        <v>139104.04497324367</v>
      </c>
      <c r="BU372">
        <f t="shared" si="765"/>
        <v>30</v>
      </c>
      <c r="BV372">
        <f t="shared" si="918"/>
        <v>5.045636348781068</v>
      </c>
      <c r="BW372">
        <f t="shared" si="919"/>
        <v>219182.44299104958</v>
      </c>
      <c r="BX372" s="5">
        <f t="shared" si="920"/>
        <v>7718.6239110229972</v>
      </c>
      <c r="BY372" s="5">
        <f t="shared" si="921"/>
        <v>6353.9360230229977</v>
      </c>
      <c r="BZ372" s="5">
        <f t="shared" si="922"/>
        <v>48599</v>
      </c>
      <c r="CA372" s="5">
        <f t="shared" si="923"/>
        <v>225536.37901407259</v>
      </c>
      <c r="CC372" s="5">
        <f t="shared" si="924"/>
        <v>263817.04497324367</v>
      </c>
      <c r="CD372" s="5" t="str">
        <f t="shared" si="925"/>
        <v>Tennessee</v>
      </c>
      <c r="CE372" s="5">
        <f t="shared" si="763"/>
        <v>1.3106024780100256</v>
      </c>
      <c r="CF372" s="10">
        <f t="shared" si="926"/>
        <v>0.47272533134714018</v>
      </c>
    </row>
    <row r="373" spans="1:84" hidden="1" x14ac:dyDescent="0.2">
      <c r="A373">
        <v>43000000000000</v>
      </c>
      <c r="B373">
        <v>2018</v>
      </c>
      <c r="C373">
        <v>588</v>
      </c>
      <c r="D373" t="s">
        <v>607</v>
      </c>
      <c r="E373">
        <v>6</v>
      </c>
      <c r="F373" t="s">
        <v>608</v>
      </c>
      <c r="G373" t="s">
        <v>609</v>
      </c>
      <c r="H373" t="s">
        <v>610</v>
      </c>
      <c r="I373" t="b">
        <v>1</v>
      </c>
      <c r="J373">
        <v>60633</v>
      </c>
      <c r="K373">
        <v>9275</v>
      </c>
      <c r="M373">
        <v>763</v>
      </c>
      <c r="O373">
        <v>1629</v>
      </c>
      <c r="Q373">
        <v>71540</v>
      </c>
      <c r="R373">
        <v>95157</v>
      </c>
      <c r="S373">
        <v>166697</v>
      </c>
      <c r="T373">
        <v>34957</v>
      </c>
      <c r="V373">
        <v>43731</v>
      </c>
      <c r="W373">
        <v>13554</v>
      </c>
      <c r="Y373">
        <v>1847</v>
      </c>
      <c r="AA373">
        <v>88767</v>
      </c>
      <c r="AB373">
        <v>124713</v>
      </c>
      <c r="AC373">
        <v>213480</v>
      </c>
      <c r="AD373">
        <v>-46783</v>
      </c>
      <c r="AE373">
        <v>-29556</v>
      </c>
      <c r="AF373">
        <v>-17227</v>
      </c>
      <c r="AG373">
        <v>873677</v>
      </c>
      <c r="AH373">
        <v>4.0011354310574732E-2</v>
      </c>
      <c r="AI373" t="b">
        <v>1</v>
      </c>
      <c r="AK373">
        <v>7.4999999999999997E-2</v>
      </c>
      <c r="AL373">
        <v>7.2499999999999995E-2</v>
      </c>
      <c r="AM373">
        <v>7.2499999999999995E-2</v>
      </c>
      <c r="AN373">
        <v>7.2499999999999995E-2</v>
      </c>
      <c r="AO373">
        <v>1</v>
      </c>
      <c r="AP373">
        <v>0</v>
      </c>
      <c r="AS373">
        <v>6111</v>
      </c>
      <c r="AT373">
        <v>-85684</v>
      </c>
      <c r="AU373" t="s">
        <v>154</v>
      </c>
      <c r="AV373" t="s">
        <v>613</v>
      </c>
      <c r="BB373">
        <f t="shared" si="904"/>
        <v>1.2806469222601486</v>
      </c>
      <c r="BD373">
        <f t="shared" si="905"/>
        <v>52894</v>
      </c>
      <c r="BE373">
        <f t="shared" si="906"/>
        <v>-38901</v>
      </c>
      <c r="BF373">
        <f t="shared" si="907"/>
        <v>31.730625026245225</v>
      </c>
      <c r="BG373">
        <f t="shared" si="908"/>
        <v>-23.336352783793348</v>
      </c>
      <c r="BH373">
        <f t="shared" si="909"/>
        <v>27.533488905019286</v>
      </c>
      <c r="BI373">
        <f t="shared" si="910"/>
        <v>419.71361212259364</v>
      </c>
      <c r="BJ373">
        <f t="shared" si="911"/>
        <v>28</v>
      </c>
      <c r="BK373">
        <f>IF($BJ373&lt;=30,IF($B373=2015,VLOOKUP($BJ373,'Treasury Yields'!$C$5:$N$34,$E373,FALSE)/100,IF($B373=2016,VLOOKUP($BJ373,'Treasury Yields'!$C$40:$N$69,$E373,FALSE)/100,IF($B373=2017,VLOOKUP($BJ373,'Treasury Yields'!$C$75:$N$104,$E373,FALSE)/100,IF($B373=2018,VLOOKUP($BJ373,'Treasury Yields'!$C$110:$N$139,$E373,FALSE)/100,IF($B373=2019,VLOOKUP($BJ373,'Treasury Yields'!$C$145:$N$174,$E373,FALSE)/100,IF($B373=2020,VLOOKUP($BJ373,'Treasury Yields'!$C$180:$N$209,$E373,FALSE)/100,IF($B373=2021,VLOOKUP($BJ373,'Treasury Yields'!$C$215:$N$244,$E373,FALSE)/100,IF($B373=2022,VLOOKUP($BJ373,'Treasury Yields'!$C$250:$N$279,$E373,FALSE)/100)))))))),0)</f>
        <v>7.8743999999999897E-3</v>
      </c>
      <c r="BL373">
        <f t="shared" si="912"/>
        <v>2.7835447087555742</v>
      </c>
      <c r="BM373">
        <f t="shared" si="913"/>
        <v>264873.76385105419</v>
      </c>
      <c r="BN373">
        <f t="shared" si="914"/>
        <v>140160.76385105419</v>
      </c>
      <c r="BP373">
        <f>IF($BJ373&lt;=30,IF($B373=2015,VLOOKUP($BJ373,'Treasury Yields'!$C$40:$N$69,$E373,FALSE)/100,IF($B373=2016,VLOOKUP($BJ373,'Treasury Yields'!$C$75:$N$104,$E373,FALSE)/100,IF($B373=2017,VLOOKUP($BJ373,'Treasury Yields'!$C$110:$N$139,$E373,FALSE)/100,IF($B373=2018,VLOOKUP($BJ373,'Treasury Yields'!$C$145:$N$174,$E373,FALSE)/100,IF($B373=2019,VLOOKUP($BJ373,'Treasury Yields'!$C$180:$N$209,$E373,FALSE)/100,IF($B373=2020,VLOOKUP($BJ373,'Treasury Yields'!$C$215:$N$244,$E373,FALSE)/100,IF($B373=2021,VLOOKUP($BJ373,'Treasury Yields'!$C$250:$N$279,$E373,FALSE)/100,IF($B373=2022,VLOOKUP($BJ373,'Treasury Yields'!$C$285:$N$314,$E373,FALSE)/100)))))))),0)</f>
        <v>1.9420181818181802E-2</v>
      </c>
      <c r="BQ373">
        <f t="shared" si="915"/>
        <v>2.4642900520877471</v>
      </c>
      <c r="BR373">
        <f t="shared" si="916"/>
        <v>410789.75881287118</v>
      </c>
      <c r="BS373">
        <f t="shared" si="917"/>
        <v>197309.75881287118</v>
      </c>
      <c r="BU373">
        <f t="shared" si="765"/>
        <v>31</v>
      </c>
      <c r="BV373">
        <f t="shared" si="918"/>
        <v>6.535682384375618</v>
      </c>
      <c r="BW373">
        <f t="shared" si="919"/>
        <v>396278.03001184686</v>
      </c>
      <c r="BX373" s="5">
        <f t="shared" si="920"/>
        <v>5193.3462879940216</v>
      </c>
      <c r="BY373" s="5">
        <f t="shared" si="921"/>
        <v>4211.3062407940224</v>
      </c>
      <c r="BZ373" s="5">
        <f t="shared" si="922"/>
        <v>69908</v>
      </c>
      <c r="CA373" s="5">
        <f t="shared" si="923"/>
        <v>400489.33625264087</v>
      </c>
      <c r="CC373" s="5">
        <f t="shared" si="924"/>
        <v>410789.75881287118</v>
      </c>
      <c r="CD373" s="5" t="str">
        <f t="shared" si="925"/>
        <v>Tennessee</v>
      </c>
      <c r="CE373" s="5">
        <f t="shared" si="763"/>
        <v>1.2806469222601486</v>
      </c>
      <c r="CF373" s="10">
        <f t="shared" si="926"/>
        <v>0.51968189425395939</v>
      </c>
    </row>
    <row r="374" spans="1:84" hidden="1" x14ac:dyDescent="0.2">
      <c r="A374">
        <v>43000000000000</v>
      </c>
      <c r="B374">
        <v>2019</v>
      </c>
      <c r="C374">
        <v>588</v>
      </c>
      <c r="D374" t="s">
        <v>607</v>
      </c>
      <c r="E374">
        <v>6</v>
      </c>
      <c r="F374" t="s">
        <v>608</v>
      </c>
      <c r="G374" t="s">
        <v>609</v>
      </c>
      <c r="H374" t="s">
        <v>610</v>
      </c>
      <c r="I374" t="b">
        <v>1</v>
      </c>
      <c r="J374">
        <v>74297</v>
      </c>
      <c r="K374">
        <v>14804</v>
      </c>
      <c r="M374">
        <v>1446</v>
      </c>
      <c r="O374">
        <v>2206</v>
      </c>
      <c r="Q374">
        <v>88342</v>
      </c>
      <c r="R374">
        <v>166696</v>
      </c>
      <c r="S374">
        <v>255038</v>
      </c>
      <c r="T374">
        <v>20529</v>
      </c>
      <c r="V374">
        <v>52929</v>
      </c>
      <c r="W374">
        <v>18475</v>
      </c>
      <c r="Y374">
        <v>2018</v>
      </c>
      <c r="AA374">
        <v>87709</v>
      </c>
      <c r="AB374">
        <v>213479</v>
      </c>
      <c r="AC374">
        <v>301189</v>
      </c>
      <c r="AD374">
        <v>-46151</v>
      </c>
      <c r="AE374">
        <v>-46783</v>
      </c>
      <c r="AF374">
        <v>632</v>
      </c>
      <c r="AG374">
        <v>1056859</v>
      </c>
      <c r="AH374">
        <v>1.9424540075828469E-2</v>
      </c>
      <c r="AI374" t="b">
        <v>1</v>
      </c>
      <c r="AK374">
        <v>7.2499999999999995E-2</v>
      </c>
      <c r="AL374">
        <v>7.2499999999999995E-2</v>
      </c>
      <c r="AM374">
        <v>7.2499999999999995E-2</v>
      </c>
      <c r="AN374">
        <v>7.2499999999999995E-2</v>
      </c>
      <c r="AO374">
        <v>1</v>
      </c>
      <c r="AS374">
        <v>32445</v>
      </c>
      <c r="AT374">
        <v>-104181</v>
      </c>
      <c r="AV374" t="s">
        <v>614</v>
      </c>
      <c r="BB374">
        <f t="shared" si="904"/>
        <v>1.1809573475325246</v>
      </c>
      <c r="BD374">
        <f t="shared" si="905"/>
        <v>78596</v>
      </c>
      <c r="BE374">
        <f t="shared" si="906"/>
        <v>-58030</v>
      </c>
      <c r="BF374">
        <f t="shared" si="907"/>
        <v>30.817368392161171</v>
      </c>
      <c r="BG374">
        <f t="shared" si="908"/>
        <v>-22.75347203161882</v>
      </c>
      <c r="BH374">
        <f t="shared" si="909"/>
        <v>26.785420211889992</v>
      </c>
      <c r="BI374">
        <f t="shared" si="910"/>
        <v>403.19481802711749</v>
      </c>
      <c r="BJ374">
        <f t="shared" si="911"/>
        <v>27</v>
      </c>
      <c r="BK374">
        <f>IF($BJ374&lt;=30,IF($B374=2015,VLOOKUP($BJ374,'Treasury Yields'!$C$5:$N$34,$E374,FALSE)/100,IF($B374=2016,VLOOKUP($BJ374,'Treasury Yields'!$C$40:$N$69,$E374,FALSE)/100,IF($B374=2017,VLOOKUP($BJ374,'Treasury Yields'!$C$75:$N$104,$E374,FALSE)/100,IF($B374=2018,VLOOKUP($BJ374,'Treasury Yields'!$C$110:$N$139,$E374,FALSE)/100,IF($B374=2019,VLOOKUP($BJ374,'Treasury Yields'!$C$145:$N$174,$E374,FALSE)/100,IF($B374=2020,VLOOKUP($BJ374,'Treasury Yields'!$C$180:$N$209,$E374,FALSE)/100,IF($B374=2021,VLOOKUP($BJ374,'Treasury Yields'!$C$215:$N$244,$E374,FALSE)/100,IF($B374=2022,VLOOKUP($BJ374,'Treasury Yields'!$C$250:$N$279,$E374,FALSE)/100)))))))),0)</f>
        <v>2.0768909090909074E-2</v>
      </c>
      <c r="BL374">
        <f t="shared" si="912"/>
        <v>2.3883151137861267</v>
      </c>
      <c r="BM374">
        <f t="shared" si="913"/>
        <v>398122.57620769215</v>
      </c>
      <c r="BN374">
        <f t="shared" si="914"/>
        <v>184643.57620769215</v>
      </c>
      <c r="BP374">
        <f>IF($BJ374&lt;=30,IF($B374=2015,VLOOKUP($BJ374,'Treasury Yields'!$C$40:$N$69,$E374,FALSE)/100,IF($B374=2016,VLOOKUP($BJ374,'Treasury Yields'!$C$75:$N$104,$E374,FALSE)/100,IF($B374=2017,VLOOKUP($BJ374,'Treasury Yields'!$C$110:$N$139,$E374,FALSE)/100,IF($B374=2018,VLOOKUP($BJ374,'Treasury Yields'!$C$145:$N$174,$E374,FALSE)/100,IF($B374=2019,VLOOKUP($BJ374,'Treasury Yields'!$C$180:$N$209,$E374,FALSE)/100,IF($B374=2020,VLOOKUP($BJ374,'Treasury Yields'!$C$215:$N$244,$E374,FALSE)/100,IF($B374=2021,VLOOKUP($BJ374,'Treasury Yields'!$C$250:$N$279,$E374,FALSE)/100,IF($B374=2022,VLOOKUP($BJ374,'Treasury Yields'!$C$285:$N$314,$E374,FALSE)/100)))))))),0)</f>
        <v>2.611200000000001E-2</v>
      </c>
      <c r="BQ374">
        <f t="shared" si="915"/>
        <v>2.2446739193331524</v>
      </c>
      <c r="BR374">
        <f t="shared" si="916"/>
        <v>572477.14703888854</v>
      </c>
      <c r="BS374">
        <f t="shared" si="917"/>
        <v>271288.14703888854</v>
      </c>
      <c r="BU374">
        <f t="shared" si="765"/>
        <v>30</v>
      </c>
      <c r="BV374">
        <f t="shared" si="918"/>
        <v>5.0165637128958114</v>
      </c>
      <c r="BW374">
        <f t="shared" si="919"/>
        <v>372715.63417702011</v>
      </c>
      <c r="BX374" s="5">
        <f t="shared" si="920"/>
        <v>15963.652501824588</v>
      </c>
      <c r="BY374" s="5">
        <f t="shared" si="921"/>
        <v>11529.926558006409</v>
      </c>
      <c r="BZ374" s="5">
        <f t="shared" si="922"/>
        <v>89101</v>
      </c>
      <c r="CA374" s="5">
        <f t="shared" si="923"/>
        <v>384245.56073502649</v>
      </c>
      <c r="CC374" s="5">
        <f t="shared" si="924"/>
        <v>572477.14703888854</v>
      </c>
      <c r="CD374" s="5" t="str">
        <f t="shared" si="925"/>
        <v>Tennessee</v>
      </c>
      <c r="CE374" s="5">
        <f t="shared" si="763"/>
        <v>1.1809573475325246</v>
      </c>
      <c r="CF374" s="10">
        <f t="shared" si="926"/>
        <v>0.52611532452934784</v>
      </c>
    </row>
    <row r="375" spans="1:84" hidden="1" x14ac:dyDescent="0.2">
      <c r="A375">
        <v>43000000000000</v>
      </c>
      <c r="B375">
        <v>2020</v>
      </c>
      <c r="C375">
        <v>588</v>
      </c>
      <c r="D375" t="s">
        <v>607</v>
      </c>
      <c r="E375">
        <v>6</v>
      </c>
      <c r="F375" t="s">
        <v>608</v>
      </c>
      <c r="G375" t="s">
        <v>609</v>
      </c>
      <c r="H375" t="s">
        <v>610</v>
      </c>
      <c r="I375" t="b">
        <v>1</v>
      </c>
      <c r="J375">
        <v>85848</v>
      </c>
      <c r="K375">
        <v>20721</v>
      </c>
      <c r="M375">
        <v>-10298</v>
      </c>
      <c r="O375">
        <v>3695</v>
      </c>
      <c r="Q375">
        <v>92576</v>
      </c>
      <c r="R375">
        <v>255038</v>
      </c>
      <c r="S375">
        <v>347614</v>
      </c>
      <c r="T375">
        <v>25616</v>
      </c>
      <c r="V375">
        <v>63182</v>
      </c>
      <c r="W375">
        <v>16947</v>
      </c>
      <c r="Y375">
        <v>2295</v>
      </c>
      <c r="AA375">
        <v>99756</v>
      </c>
      <c r="AB375">
        <v>301189</v>
      </c>
      <c r="AC375">
        <v>400945</v>
      </c>
      <c r="AD375">
        <v>-53331</v>
      </c>
      <c r="AE375">
        <v>-46151</v>
      </c>
      <c r="AF375">
        <v>-7180</v>
      </c>
      <c r="AG375">
        <v>1261909</v>
      </c>
      <c r="AH375">
        <v>2.029940352275798E-2</v>
      </c>
      <c r="AI375" t="b">
        <v>1</v>
      </c>
      <c r="AK375">
        <v>7.2499999999999995E-2</v>
      </c>
      <c r="AL375">
        <v>7.2499999999999995E-2</v>
      </c>
      <c r="AM375">
        <v>7.2499999999999995E-2</v>
      </c>
      <c r="AN375">
        <v>7.2499999999999995E-2</v>
      </c>
      <c r="AO375">
        <v>1</v>
      </c>
      <c r="AS375">
        <v>51560</v>
      </c>
      <c r="AT375">
        <v>-131123</v>
      </c>
      <c r="AU375" t="s">
        <v>615</v>
      </c>
      <c r="AV375" t="s">
        <v>614</v>
      </c>
      <c r="BB375">
        <f t="shared" si="904"/>
        <v>1.1534201729504565</v>
      </c>
      <c r="BD375">
        <f t="shared" si="905"/>
        <v>104891</v>
      </c>
      <c r="BE375">
        <f t="shared" si="906"/>
        <v>-77792</v>
      </c>
      <c r="BF375">
        <f t="shared" si="907"/>
        <v>30.174561438837333</v>
      </c>
      <c r="BG375">
        <f t="shared" si="908"/>
        <v>-22.37884550104426</v>
      </c>
      <c r="BH375">
        <f t="shared" si="909"/>
        <v>26.276703469940799</v>
      </c>
      <c r="BI375">
        <f t="shared" si="910"/>
        <v>389.78579688965345</v>
      </c>
      <c r="BJ375">
        <f t="shared" si="911"/>
        <v>26</v>
      </c>
      <c r="BK375">
        <f>IF($BJ375&lt;=30,IF($B375=2015,VLOOKUP($BJ375,'Treasury Yields'!$C$5:$N$34,$E375,FALSE)/100,IF($B375=2016,VLOOKUP($BJ375,'Treasury Yields'!$C$40:$N$69,$E375,FALSE)/100,IF($B375=2017,VLOOKUP($BJ375,'Treasury Yields'!$C$75:$N$104,$E375,FALSE)/100,IF($B375=2018,VLOOKUP($BJ375,'Treasury Yields'!$C$110:$N$139,$E375,FALSE)/100,IF($B375=2019,VLOOKUP($BJ375,'Treasury Yields'!$C$145:$N$174,$E375,FALSE)/100,IF($B375=2020,VLOOKUP($BJ375,'Treasury Yields'!$C$180:$N$209,$E375,FALSE)/100,IF($B375=2021,VLOOKUP($BJ375,'Treasury Yields'!$C$215:$N$244,$E375,FALSE)/100,IF($B375=2022,VLOOKUP($BJ375,'Treasury Yields'!$C$250:$N$279,$E375,FALSE)/100)))))))),0)</f>
        <v>2.596600000000001E-2</v>
      </c>
      <c r="BL375">
        <f t="shared" si="912"/>
        <v>2.2249255324262247</v>
      </c>
      <c r="BM375">
        <f t="shared" si="913"/>
        <v>567440.55793891952</v>
      </c>
      <c r="BN375">
        <f t="shared" si="914"/>
        <v>266251.55793891952</v>
      </c>
      <c r="BP375">
        <f>IF($BJ375&lt;=30,IF($B375=2015,VLOOKUP($BJ375,'Treasury Yields'!$C$40:$N$69,$E375,FALSE)/100,IF($B375=2016,VLOOKUP($BJ375,'Treasury Yields'!$C$75:$N$104,$E375,FALSE)/100,IF($B375=2017,VLOOKUP($BJ375,'Treasury Yields'!$C$110:$N$139,$E375,FALSE)/100,IF($B375=2018,VLOOKUP($BJ375,'Treasury Yields'!$C$145:$N$174,$E375,FALSE)/100,IF($B375=2019,VLOOKUP($BJ375,'Treasury Yields'!$C$180:$N$209,$E375,FALSE)/100,IF($B375=2020,VLOOKUP($BJ375,'Treasury Yields'!$C$215:$N$244,$E375,FALSE)/100,IF($B375=2021,VLOOKUP($BJ375,'Treasury Yields'!$C$250:$N$279,$E375,FALSE)/100,IF($B375=2022,VLOOKUP($BJ375,'Treasury Yields'!$C$285:$N$314,$E375,FALSE)/100)))))))),0)</f>
        <v>1.4497272727272727E-2</v>
      </c>
      <c r="BQ375">
        <f t="shared" si="915"/>
        <v>2.527484781364377</v>
      </c>
      <c r="BR375">
        <f t="shared" si="916"/>
        <v>878589.0947891965</v>
      </c>
      <c r="BS375">
        <f t="shared" si="917"/>
        <v>477644.0947891965</v>
      </c>
      <c r="BU375">
        <f t="shared" si="765"/>
        <v>29</v>
      </c>
      <c r="BV375">
        <f t="shared" si="918"/>
        <v>4.4162934118770227</v>
      </c>
      <c r="BW375">
        <f t="shared" si="919"/>
        <v>379129.95682281867</v>
      </c>
      <c r="BX375" s="5">
        <f t="shared" si="920"/>
        <v>24482.705616303305</v>
      </c>
      <c r="BY375" s="5">
        <f t="shared" si="921"/>
        <v>16662.032042303301</v>
      </c>
      <c r="BZ375" s="5">
        <f t="shared" si="922"/>
        <v>106569</v>
      </c>
      <c r="CA375" s="5">
        <f t="shared" si="923"/>
        <v>395791.98886512197</v>
      </c>
      <c r="CC375" s="5">
        <f t="shared" si="924"/>
        <v>878589.0947891965</v>
      </c>
      <c r="CD375" s="5" t="str">
        <f t="shared" si="925"/>
        <v>Tennessee</v>
      </c>
      <c r="CE375" s="5">
        <f t="shared" si="763"/>
        <v>1.1534201729504565</v>
      </c>
      <c r="CF375" s="10">
        <f t="shared" si="926"/>
        <v>0.4563509863461262</v>
      </c>
    </row>
    <row r="376" spans="1:84" hidden="1" x14ac:dyDescent="0.2">
      <c r="A376">
        <v>43000000000000</v>
      </c>
      <c r="B376">
        <v>2021</v>
      </c>
      <c r="C376">
        <v>588</v>
      </c>
      <c r="D376" t="s">
        <v>607</v>
      </c>
      <c r="E376">
        <v>6</v>
      </c>
      <c r="F376" t="s">
        <v>608</v>
      </c>
      <c r="G376" t="s">
        <v>609</v>
      </c>
      <c r="H376" t="s">
        <v>610</v>
      </c>
      <c r="I376" t="b">
        <v>1</v>
      </c>
      <c r="J376">
        <v>98704</v>
      </c>
      <c r="K376">
        <v>28379</v>
      </c>
      <c r="M376">
        <v>-3479</v>
      </c>
      <c r="O376">
        <v>4253</v>
      </c>
      <c r="Q376">
        <v>119352</v>
      </c>
      <c r="R376">
        <v>347615</v>
      </c>
      <c r="S376">
        <v>466967</v>
      </c>
      <c r="T376">
        <v>29153</v>
      </c>
      <c r="V376">
        <v>72213</v>
      </c>
      <c r="W376">
        <v>115660</v>
      </c>
      <c r="Y376">
        <v>2560</v>
      </c>
      <c r="AA376">
        <v>210214</v>
      </c>
      <c r="AB376">
        <v>400945</v>
      </c>
      <c r="AC376">
        <v>611159</v>
      </c>
      <c r="AD376">
        <v>-144193</v>
      </c>
      <c r="AE376">
        <v>-53331</v>
      </c>
      <c r="AF376">
        <v>-90862</v>
      </c>
      <c r="AG376">
        <v>1442090</v>
      </c>
      <c r="AI376" t="b">
        <v>1</v>
      </c>
      <c r="AK376">
        <v>7.2499999999999995E-2</v>
      </c>
      <c r="AL376">
        <v>7.2499999999999995E-2</v>
      </c>
      <c r="AM376">
        <v>7.2499999999999995E-2</v>
      </c>
      <c r="AN376">
        <v>7.2499999999999995E-2</v>
      </c>
      <c r="AS376">
        <v>-7891</v>
      </c>
      <c r="AT376">
        <v>-245092</v>
      </c>
      <c r="BB376">
        <f t="shared" si="904"/>
        <v>1.3087841324975855</v>
      </c>
      <c r="BD376">
        <f t="shared" si="905"/>
        <v>136302</v>
      </c>
      <c r="BE376">
        <f t="shared" si="906"/>
        <v>-100899</v>
      </c>
      <c r="BF376">
        <f t="shared" si="907"/>
        <v>29.188786359635692</v>
      </c>
      <c r="BG376">
        <f t="shared" si="908"/>
        <v>-21.607308439354387</v>
      </c>
      <c r="BH376">
        <f t="shared" si="909"/>
        <v>25.398047399495038</v>
      </c>
      <c r="BI376">
        <f t="shared" si="910"/>
        <v>379.07389601406521</v>
      </c>
      <c r="BJ376">
        <f t="shared" si="911"/>
        <v>25</v>
      </c>
      <c r="BK376">
        <f>IF($BJ376&lt;=30,IF($B376=2015,VLOOKUP($BJ376,'Treasury Yields'!$C$5:$N$34,$E376,FALSE)/100,IF($B376=2016,VLOOKUP($BJ376,'Treasury Yields'!$C$40:$N$69,$E376,FALSE)/100,IF($B376=2017,VLOOKUP($BJ376,'Treasury Yields'!$C$75:$N$104,$E376,FALSE)/100,IF($B376=2018,VLOOKUP($BJ376,'Treasury Yields'!$C$110:$N$139,$E376,FALSE)/100,IF($B376=2019,VLOOKUP($BJ376,'Treasury Yields'!$C$145:$N$174,$E376,FALSE)/100,IF($B376=2020,VLOOKUP($BJ376,'Treasury Yields'!$C$180:$N$209,$E376,FALSE)/100,IF($B376=2021,VLOOKUP($BJ376,'Treasury Yields'!$C$215:$N$244,$E376,FALSE)/100,IF($B376=2022,VLOOKUP($BJ376,'Treasury Yields'!$C$250:$N$279,$E376,FALSE)/100)))))))),0)</f>
        <v>1.4244772727272727E-2</v>
      </c>
      <c r="BL376">
        <f t="shared" si="912"/>
        <v>2.4829626950456802</v>
      </c>
      <c r="BM376">
        <f t="shared" si="913"/>
        <v>863115.07723830419</v>
      </c>
      <c r="BN376">
        <f t="shared" si="914"/>
        <v>462170.07723830419</v>
      </c>
      <c r="BP376">
        <f>IF($BJ376&lt;=30,IF($B376=2015,VLOOKUP($BJ376,'Treasury Yields'!$C$40:$N$69,$E376,FALSE)/100,IF($B376=2016,VLOOKUP($BJ376,'Treasury Yields'!$C$75:$N$104,$E376,FALSE)/100,IF($B376=2017,VLOOKUP($BJ376,'Treasury Yields'!$C$110:$N$139,$E376,FALSE)/100,IF($B376=2018,VLOOKUP($BJ376,'Treasury Yields'!$C$145:$N$174,$E376,FALSE)/100,IF($B376=2019,VLOOKUP($BJ376,'Treasury Yields'!$C$180:$N$209,$E376,FALSE)/100,IF($B376=2020,VLOOKUP($BJ376,'Treasury Yields'!$C$215:$N$244,$E376,FALSE)/100,IF($B376=2021,VLOOKUP($BJ376,'Treasury Yields'!$C$250:$N$279,$E376,FALSE)/100,IF($B376=2022,VLOOKUP($BJ376,'Treasury Yields'!$C$285:$N$314,$E376,FALSE)/100)))))))),0)</f>
        <v>2.205772727272726E-2</v>
      </c>
      <c r="BQ376">
        <f t="shared" si="915"/>
        <v>2.2836796565434212</v>
      </c>
      <c r="BR376">
        <f t="shared" si="916"/>
        <v>1066403.0381771117</v>
      </c>
      <c r="BS376">
        <f t="shared" si="917"/>
        <v>455244.03817711165</v>
      </c>
      <c r="BU376">
        <f t="shared" si="765"/>
        <v>28</v>
      </c>
      <c r="BV376">
        <f t="shared" si="918"/>
        <v>5.3971676662169861</v>
      </c>
      <c r="BW376">
        <f t="shared" si="919"/>
        <v>532722.03732628142</v>
      </c>
      <c r="BX376" s="5">
        <f t="shared" si="920"/>
        <v>19822.799442855576</v>
      </c>
      <c r="BY376" s="5">
        <f t="shared" si="921"/>
        <v>14111.429041719211</v>
      </c>
      <c r="BZ376" s="5">
        <f t="shared" si="922"/>
        <v>127083</v>
      </c>
      <c r="CA376" s="5">
        <f t="shared" si="923"/>
        <v>546833.46636800061</v>
      </c>
      <c r="CC376" s="5">
        <f t="shared" si="924"/>
        <v>1066403.0381771117</v>
      </c>
      <c r="CD376" s="5" t="str">
        <f t="shared" si="925"/>
        <v>Tennessee</v>
      </c>
      <c r="CE376" s="5">
        <f t="shared" si="763"/>
        <v>1.3087841324975855</v>
      </c>
      <c r="CF376" s="10">
        <f t="shared" si="926"/>
        <v>0.57310320593675645</v>
      </c>
    </row>
    <row r="377" spans="1:84" hidden="1" x14ac:dyDescent="0.2">
      <c r="A377">
        <v>43000000000000</v>
      </c>
      <c r="B377">
        <v>2022</v>
      </c>
      <c r="C377">
        <v>588</v>
      </c>
      <c r="D377" t="s">
        <v>607</v>
      </c>
      <c r="E377">
        <v>6</v>
      </c>
      <c r="F377" t="s">
        <v>608</v>
      </c>
      <c r="G377" t="s">
        <v>609</v>
      </c>
      <c r="H377" t="s">
        <v>610</v>
      </c>
      <c r="I377" t="b">
        <v>1</v>
      </c>
      <c r="J377">
        <v>128738</v>
      </c>
      <c r="K377">
        <v>38098</v>
      </c>
      <c r="M377">
        <v>-4960</v>
      </c>
      <c r="N377">
        <v>40872</v>
      </c>
      <c r="O377">
        <v>6103</v>
      </c>
      <c r="Q377">
        <v>196644</v>
      </c>
      <c r="R377">
        <v>466967</v>
      </c>
      <c r="S377">
        <v>663611</v>
      </c>
      <c r="T377">
        <v>4326</v>
      </c>
      <c r="V377">
        <v>85525</v>
      </c>
      <c r="W377">
        <v>-25503</v>
      </c>
      <c r="Y377">
        <v>3198</v>
      </c>
      <c r="AA377">
        <v>85047</v>
      </c>
      <c r="AB377">
        <v>611159</v>
      </c>
      <c r="AC377">
        <v>696207</v>
      </c>
      <c r="AD377">
        <v>-32595</v>
      </c>
      <c r="AE377">
        <v>-144193</v>
      </c>
      <c r="AF377">
        <v>111598</v>
      </c>
      <c r="AG377">
        <v>1709064</v>
      </c>
      <c r="AI377" t="b">
        <v>1</v>
      </c>
      <c r="AK377">
        <v>7.2499999999999995E-2</v>
      </c>
      <c r="AL377">
        <v>6.7500000000000004E-2</v>
      </c>
      <c r="AM377">
        <v>6.7500000000000004E-2</v>
      </c>
      <c r="AN377">
        <v>7.2499999999999995E-2</v>
      </c>
      <c r="AS377">
        <v>158672</v>
      </c>
      <c r="AT377">
        <v>-174187</v>
      </c>
      <c r="AV377" t="s">
        <v>616</v>
      </c>
      <c r="BB377">
        <f t="shared" si="904"/>
        <v>1.0491191375670386</v>
      </c>
      <c r="BD377">
        <f t="shared" si="905"/>
        <v>191267</v>
      </c>
      <c r="BE377">
        <f t="shared" si="906"/>
        <v>-141592</v>
      </c>
      <c r="BF377">
        <f t="shared" si="907"/>
        <v>28.822156353646939</v>
      </c>
      <c r="BG377">
        <f t="shared" si="908"/>
        <v>-21.336596289091048</v>
      </c>
      <c r="BH377">
        <f t="shared" si="909"/>
        <v>25.079376321368997</v>
      </c>
      <c r="BI377">
        <f t="shared" si="910"/>
        <v>374.27800322779456</v>
      </c>
      <c r="BJ377">
        <f t="shared" si="911"/>
        <v>25</v>
      </c>
      <c r="BK377">
        <f>IF($BJ377&lt;=30,IF($B377=2015,VLOOKUP($BJ377,'Treasury Yields'!$C$5:$N$34,$E377,FALSE)/100,IF($B377=2016,VLOOKUP($BJ377,'Treasury Yields'!$C$40:$N$69,$E377,FALSE)/100,IF($B377=2017,VLOOKUP($BJ377,'Treasury Yields'!$C$75:$N$104,$E377,FALSE)/100,IF($B377=2018,VLOOKUP($BJ377,'Treasury Yields'!$C$110:$N$139,$E377,FALSE)/100,IF($B377=2019,VLOOKUP($BJ377,'Treasury Yields'!$C$145:$N$174,$E377,FALSE)/100,IF($B377=2020,VLOOKUP($BJ377,'Treasury Yields'!$C$180:$N$209,$E377,FALSE)/100,IF($B377=2021,VLOOKUP($BJ377,'Treasury Yields'!$C$215:$N$244,$E377,FALSE)/100,IF($B377=2022,VLOOKUP($BJ377,'Treasury Yields'!$C$250:$N$279,$E377,FALSE)/100)))))))),0)</f>
        <v>2.205772727272726E-2</v>
      </c>
      <c r="BL377">
        <f t="shared" si="912"/>
        <v>2.141728858776176</v>
      </c>
      <c r="BM377">
        <f t="shared" si="913"/>
        <v>1000116.6999961346</v>
      </c>
      <c r="BN377">
        <f t="shared" si="914"/>
        <v>388957.69999613462</v>
      </c>
      <c r="BP377">
        <f>IF($BJ377&lt;=30,IF($B377=2015,VLOOKUP($BJ377,'Treasury Yields'!$C$40:$N$69,$E377,FALSE)/100,IF($B377=2016,VLOOKUP($BJ377,'Treasury Yields'!$C$75:$N$104,$E377,FALSE)/100,IF($B377=2017,VLOOKUP($BJ377,'Treasury Yields'!$C$110:$N$139,$E377,FALSE)/100,IF($B377=2018,VLOOKUP($BJ377,'Treasury Yields'!$C$145:$N$174,$E377,FALSE)/100,IF($B377=2019,VLOOKUP($BJ377,'Treasury Yields'!$C$180:$N$209,$E377,FALSE)/100,IF($B377=2020,VLOOKUP($BJ377,'Treasury Yields'!$C$215:$N$244,$E377,FALSE)/100,IF($B377=2021,VLOOKUP($BJ377,'Treasury Yields'!$C$250:$N$279,$E377,FALSE)/100,IF($B377=2022,VLOOKUP($BJ377,'Treasury Yields'!$C$285:$N$314,$E377,FALSE)/100)))))))),0)</f>
        <v>3.3269772727272724E-2</v>
      </c>
      <c r="BQ377">
        <f t="shared" si="915"/>
        <v>1.9854086436774303</v>
      </c>
      <c r="BR377">
        <f t="shared" si="916"/>
        <v>1317539.0154394233</v>
      </c>
      <c r="BS377">
        <f t="shared" si="917"/>
        <v>621332.01543942327</v>
      </c>
      <c r="BU377">
        <f t="shared" si="765"/>
        <v>28</v>
      </c>
      <c r="BV377">
        <f t="shared" si="918"/>
        <v>4.629765890700785</v>
      </c>
      <c r="BW377">
        <f t="shared" si="919"/>
        <v>596026.80123703764</v>
      </c>
      <c r="BX377" s="5">
        <f t="shared" si="920"/>
        <v>35072.679728791867</v>
      </c>
      <c r="BY377" s="5">
        <f t="shared" si="921"/>
        <v>21591.901186519146</v>
      </c>
      <c r="BZ377" s="5">
        <f t="shared" si="922"/>
        <v>166836</v>
      </c>
      <c r="CA377" s="5">
        <f t="shared" si="923"/>
        <v>617618.70242355682</v>
      </c>
      <c r="CC377" s="5">
        <f t="shared" si="924"/>
        <v>1317539.0154394233</v>
      </c>
      <c r="CD377" s="5" t="str">
        <f t="shared" si="925"/>
        <v>Tennessee</v>
      </c>
      <c r="CE377" s="5">
        <f t="shared" si="763"/>
        <v>1.0491191375670386</v>
      </c>
      <c r="CF377" s="10">
        <f t="shared" si="926"/>
        <v>0.52841471246132499</v>
      </c>
    </row>
    <row r="378" spans="1:84" hidden="1" x14ac:dyDescent="0.2">
      <c r="A378">
        <v>43000000090001</v>
      </c>
      <c r="B378">
        <v>2015</v>
      </c>
      <c r="C378">
        <v>587</v>
      </c>
      <c r="D378" t="s">
        <v>607</v>
      </c>
      <c r="E378">
        <v>6</v>
      </c>
      <c r="F378" t="s">
        <v>608</v>
      </c>
      <c r="G378" t="s">
        <v>617</v>
      </c>
      <c r="H378" t="s">
        <v>618</v>
      </c>
      <c r="I378" t="b">
        <v>1</v>
      </c>
      <c r="J378">
        <v>393173.92</v>
      </c>
      <c r="K378">
        <v>1578251.7209999999</v>
      </c>
      <c r="L378">
        <v>0</v>
      </c>
      <c r="M378">
        <v>46576.63</v>
      </c>
      <c r="N378">
        <v>0</v>
      </c>
      <c r="O378">
        <v>1096410.122</v>
      </c>
      <c r="Q378">
        <v>921592.14899999998</v>
      </c>
      <c r="R378">
        <v>21151810.794</v>
      </c>
      <c r="S378">
        <v>22073402.943</v>
      </c>
      <c r="T378">
        <v>338301.21100000001</v>
      </c>
      <c r="V378">
        <v>187121.56700000001</v>
      </c>
      <c r="W378">
        <v>646526.93599999999</v>
      </c>
      <c r="Y378">
        <v>5635.6890000000003</v>
      </c>
      <c r="AA378">
        <v>69903.903000000006</v>
      </c>
      <c r="AB378">
        <v>21214973.134</v>
      </c>
      <c r="AC378">
        <v>21284877.037</v>
      </c>
      <c r="AD378">
        <v>788525.90599999996</v>
      </c>
      <c r="AE378">
        <v>-63162.339999999851</v>
      </c>
      <c r="AF378">
        <v>851688.24599999981</v>
      </c>
      <c r="AG378">
        <v>3742270</v>
      </c>
      <c r="AH378">
        <v>9.0400000801652475E-2</v>
      </c>
      <c r="AI378" t="b">
        <v>1</v>
      </c>
      <c r="AK378">
        <v>7.4999999999999997E-2</v>
      </c>
      <c r="AL378">
        <v>7.4999999999999997E-2</v>
      </c>
      <c r="AM378">
        <v>7.4999999999999997E-2</v>
      </c>
      <c r="AN378">
        <v>7.4999999999999997E-2</v>
      </c>
      <c r="AO378">
        <v>1</v>
      </c>
      <c r="AP378">
        <v>0</v>
      </c>
      <c r="AS378">
        <v>3633924.6060000001</v>
      </c>
      <c r="AT378">
        <v>-1567286.797</v>
      </c>
      <c r="BB378">
        <f t="shared" si="904"/>
        <v>0.96427710271786349</v>
      </c>
      <c r="BD378">
        <f t="shared" si="905"/>
        <v>2845398.7</v>
      </c>
      <c r="BE378">
        <f t="shared" si="906"/>
        <v>-2355812.7029999997</v>
      </c>
      <c r="BF378">
        <f t="shared" si="907"/>
        <v>12.890620931206911</v>
      </c>
      <c r="BG378">
        <f t="shared" si="908"/>
        <v>-10.672630355561392</v>
      </c>
      <c r="BH378">
        <f t="shared" si="909"/>
        <v>11.781625643384151</v>
      </c>
      <c r="BI378">
        <f t="shared" si="910"/>
        <v>110.89952878227591</v>
      </c>
      <c r="BJ378">
        <f t="shared" si="911"/>
        <v>12</v>
      </c>
      <c r="BK378">
        <f>IF($BJ378&lt;=30,IF($B378=2015,VLOOKUP($BJ378,'Treasury Yields'!$C$5:$N$34,$E378,FALSE)/100,IF($B378=2016,VLOOKUP($BJ378,'Treasury Yields'!$C$40:$N$69,$E378,FALSE)/100,IF($B378=2017,VLOOKUP($BJ378,'Treasury Yields'!$C$75:$N$104,$E378,FALSE)/100,IF($B378=2018,VLOOKUP($BJ378,'Treasury Yields'!$C$110:$N$139,$E378,FALSE)/100,IF($B378=2019,VLOOKUP($BJ378,'Treasury Yields'!$C$145:$N$174,$E378,FALSE)/100,IF($B378=2020,VLOOKUP($BJ378,'Treasury Yields'!$C$180:$N$209,$E378,FALSE)/100,IF($B378=2021,VLOOKUP($BJ378,'Treasury Yields'!$C$215:$N$244,$E378,FALSE)/100,IF($B378=2022,VLOOKUP($BJ378,'Treasury Yields'!$C$250:$N$279,$E378,FALSE)/100)))))))),0)</f>
        <v>2.9186E-2</v>
      </c>
      <c r="BL378">
        <f t="shared" si="912"/>
        <v>1.5418623198220014</v>
      </c>
      <c r="BM378">
        <f t="shared" si="913"/>
        <v>32613180.059272889</v>
      </c>
      <c r="BN378">
        <f t="shared" si="914"/>
        <v>11398206.925272889</v>
      </c>
      <c r="BP378">
        <f>IF($BJ378&lt;=30,IF($B378=2015,VLOOKUP($BJ378,'Treasury Yields'!$C$40:$N$69,$E378,FALSE)/100,IF($B378=2016,VLOOKUP($BJ378,'Treasury Yields'!$C$75:$N$104,$E378,FALSE)/100,IF($B378=2017,VLOOKUP($BJ378,'Treasury Yields'!$C$110:$N$139,$E378,FALSE)/100,IF($B378=2018,VLOOKUP($BJ378,'Treasury Yields'!$C$145:$N$174,$E378,FALSE)/100,IF($B378=2019,VLOOKUP($BJ378,'Treasury Yields'!$C$180:$N$209,$E378,FALSE)/100,IF($B378=2020,VLOOKUP($BJ378,'Treasury Yields'!$C$215:$N$244,$E378,FALSE)/100,IF($B378=2021,VLOOKUP($BJ378,'Treasury Yields'!$C$250:$N$279,$E378,FALSE)/100,IF($B378=2022,VLOOKUP($BJ378,'Treasury Yields'!$C$285:$N$314,$E378,FALSE)/100)))))))),0)</f>
        <v>2.7045999999999997E-2</v>
      </c>
      <c r="BQ378">
        <f t="shared" si="915"/>
        <v>1.5672756622188435</v>
      </c>
      <c r="BR378">
        <f t="shared" si="916"/>
        <v>34595107.214913696</v>
      </c>
      <c r="BS378">
        <f t="shared" si="917"/>
        <v>13310230.177913696</v>
      </c>
      <c r="BU378">
        <f t="shared" si="765"/>
        <v>15</v>
      </c>
      <c r="BV378">
        <f t="shared" si="918"/>
        <v>2.4597429240728728</v>
      </c>
      <c r="BW378">
        <f t="shared" si="919"/>
        <v>967106.76764999377</v>
      </c>
      <c r="BX378" s="5">
        <f t="shared" si="920"/>
        <v>948074.42550987937</v>
      </c>
      <c r="BY378" s="5">
        <f t="shared" si="921"/>
        <v>328894.21962095529</v>
      </c>
      <c r="BZ378" s="5">
        <f t="shared" si="922"/>
        <v>1971425.6409999998</v>
      </c>
      <c r="CA378" s="5">
        <f t="shared" si="923"/>
        <v>1296000.9872709489</v>
      </c>
      <c r="CC378" s="5">
        <f t="shared" si="924"/>
        <v>34595107.214913696</v>
      </c>
      <c r="CD378" s="5" t="str">
        <f t="shared" si="925"/>
        <v>Tennessee</v>
      </c>
      <c r="CE378" s="5">
        <f t="shared" ref="CE378:CE441" si="927">BB378</f>
        <v>0.96427710271786349</v>
      </c>
      <c r="CF378" s="10">
        <f t="shared" si="926"/>
        <v>0.61525686001702129</v>
      </c>
    </row>
    <row r="379" spans="1:84" hidden="1" x14ac:dyDescent="0.2">
      <c r="A379">
        <v>43000000090001</v>
      </c>
      <c r="B379">
        <v>2016</v>
      </c>
      <c r="C379">
        <v>587</v>
      </c>
      <c r="D379" t="s">
        <v>607</v>
      </c>
      <c r="E379">
        <v>6</v>
      </c>
      <c r="F379" t="s">
        <v>608</v>
      </c>
      <c r="G379" t="s">
        <v>617</v>
      </c>
      <c r="H379" t="s">
        <v>618</v>
      </c>
      <c r="I379" t="b">
        <v>1</v>
      </c>
      <c r="J379">
        <v>359569</v>
      </c>
      <c r="K379">
        <v>1582471</v>
      </c>
      <c r="M379">
        <v>-764355</v>
      </c>
      <c r="O379">
        <v>1138014</v>
      </c>
      <c r="Q379">
        <v>39671</v>
      </c>
      <c r="R379">
        <v>22073403</v>
      </c>
      <c r="S379">
        <v>22113074</v>
      </c>
      <c r="T379">
        <v>327522</v>
      </c>
      <c r="V379">
        <v>181763</v>
      </c>
      <c r="W379">
        <v>560785</v>
      </c>
      <c r="Y379">
        <v>6894</v>
      </c>
      <c r="AA379">
        <v>-74838</v>
      </c>
      <c r="AB379">
        <v>21284877</v>
      </c>
      <c r="AC379">
        <v>21210039</v>
      </c>
      <c r="AD379">
        <v>903035</v>
      </c>
      <c r="AE379">
        <v>788526</v>
      </c>
      <c r="AF379">
        <v>114509</v>
      </c>
      <c r="AG379">
        <v>3622229</v>
      </c>
      <c r="AH379">
        <v>9.0420014858254405E-2</v>
      </c>
      <c r="AI379" t="b">
        <v>1</v>
      </c>
      <c r="AK379">
        <v>7.4999999999999997E-2</v>
      </c>
      <c r="AL379">
        <v>7.4999999999999997E-2</v>
      </c>
      <c r="AM379">
        <v>7.4999999999999997E-2</v>
      </c>
      <c r="AN379">
        <v>7.4999999999999997E-2</v>
      </c>
      <c r="AO379">
        <v>1</v>
      </c>
      <c r="AP379">
        <v>0</v>
      </c>
      <c r="AS379">
        <v>3732101</v>
      </c>
      <c r="AT379">
        <v>-1439640</v>
      </c>
      <c r="AU379" t="s">
        <v>619</v>
      </c>
      <c r="AV379" t="s">
        <v>611</v>
      </c>
      <c r="BB379">
        <f t="shared" si="904"/>
        <v>0.9591628463776678</v>
      </c>
      <c r="BD379">
        <f t="shared" si="905"/>
        <v>2829066</v>
      </c>
      <c r="BE379">
        <f t="shared" si="906"/>
        <v>-2342675</v>
      </c>
      <c r="BF379">
        <f t="shared" si="907"/>
        <v>12.793635113779297</v>
      </c>
      <c r="BG379">
        <f t="shared" si="908"/>
        <v>-10.594072086042853</v>
      </c>
      <c r="BH379">
        <f t="shared" si="909"/>
        <v>11.693853599911074</v>
      </c>
      <c r="BI379">
        <f t="shared" si="910"/>
        <v>109.97815138682211</v>
      </c>
      <c r="BJ379">
        <f t="shared" si="911"/>
        <v>12</v>
      </c>
      <c r="BK379">
        <f>IF($BJ379&lt;=30,IF($B379=2015,VLOOKUP($BJ379,'Treasury Yields'!$C$5:$N$34,$E379,FALSE)/100,IF($B379=2016,VLOOKUP($BJ379,'Treasury Yields'!$C$40:$N$69,$E379,FALSE)/100,IF($B379=2017,VLOOKUP($BJ379,'Treasury Yields'!$C$75:$N$104,$E379,FALSE)/100,IF($B379=2018,VLOOKUP($BJ379,'Treasury Yields'!$C$110:$N$139,$E379,FALSE)/100,IF($B379=2019,VLOOKUP($BJ379,'Treasury Yields'!$C$145:$N$174,$E379,FALSE)/100,IF($B379=2020,VLOOKUP($BJ379,'Treasury Yields'!$C$180:$N$209,$E379,FALSE)/100,IF($B379=2021,VLOOKUP($BJ379,'Treasury Yields'!$C$215:$N$244,$E379,FALSE)/100,IF($B379=2022,VLOOKUP($BJ379,'Treasury Yields'!$C$250:$N$279,$E379,FALSE)/100)))))))),0)</f>
        <v>2.7045999999999997E-2</v>
      </c>
      <c r="BL379">
        <f t="shared" si="912"/>
        <v>1.5630666416461356</v>
      </c>
      <c r="BM379">
        <f t="shared" si="913"/>
        <v>34502199.896911733</v>
      </c>
      <c r="BN379">
        <f t="shared" si="914"/>
        <v>13217322.896911733</v>
      </c>
      <c r="BP379">
        <f>IF($BJ379&lt;=30,IF($B379=2015,VLOOKUP($BJ379,'Treasury Yields'!$C$40:$N$69,$E379,FALSE)/100,IF($B379=2016,VLOOKUP($BJ379,'Treasury Yields'!$C$75:$N$104,$E379,FALSE)/100,IF($B379=2017,VLOOKUP($BJ379,'Treasury Yields'!$C$110:$N$139,$E379,FALSE)/100,IF($B379=2018,VLOOKUP($BJ379,'Treasury Yields'!$C$145:$N$174,$E379,FALSE)/100,IF($B379=2019,VLOOKUP($BJ379,'Treasury Yields'!$C$180:$N$209,$E379,FALSE)/100,IF($B379=2020,VLOOKUP($BJ379,'Treasury Yields'!$C$215:$N$244,$E379,FALSE)/100,IF($B379=2021,VLOOKUP($BJ379,'Treasury Yields'!$C$250:$N$279,$E379,FALSE)/100,IF($B379=2022,VLOOKUP($BJ379,'Treasury Yields'!$C$285:$N$314,$E379,FALSE)/100)))))))),0)</f>
        <v>1.7546000000000003E-2</v>
      </c>
      <c r="BQ379">
        <f t="shared" si="915"/>
        <v>1.6751596268452909</v>
      </c>
      <c r="BR379">
        <f t="shared" si="916"/>
        <v>37042928.790242299</v>
      </c>
      <c r="BS379">
        <f t="shared" si="917"/>
        <v>15832889.790242299</v>
      </c>
      <c r="BU379">
        <f t="shared" ref="BU379:BU442" si="928">IF(BJ379="","",ROUND(BJ379+$BT$2,0))</f>
        <v>15</v>
      </c>
      <c r="BV379">
        <f t="shared" si="918"/>
        <v>2.5329812855226179</v>
      </c>
      <c r="BW379">
        <f t="shared" si="919"/>
        <v>910781.54785408219</v>
      </c>
      <c r="BX379" s="5">
        <f t="shared" si="920"/>
        <v>927000.76951113611</v>
      </c>
      <c r="BY379" s="5">
        <f t="shared" si="921"/>
        <v>351329.98616913619</v>
      </c>
      <c r="BZ379" s="5">
        <f t="shared" si="922"/>
        <v>1942040</v>
      </c>
      <c r="CA379" s="5">
        <f t="shared" si="923"/>
        <v>1262111.5340232183</v>
      </c>
      <c r="CC379" s="5">
        <f t="shared" si="924"/>
        <v>37042928.790242299</v>
      </c>
      <c r="CD379" s="5" t="str">
        <f t="shared" si="925"/>
        <v>Tennessee</v>
      </c>
      <c r="CE379" s="5">
        <f t="shared" si="927"/>
        <v>0.9591628463776678</v>
      </c>
      <c r="CF379" s="10">
        <f t="shared" si="926"/>
        <v>0.57257996850365311</v>
      </c>
    </row>
    <row r="380" spans="1:84" hidden="1" x14ac:dyDescent="0.2">
      <c r="A380">
        <v>43000000090001</v>
      </c>
      <c r="B380">
        <v>2017</v>
      </c>
      <c r="C380">
        <v>587</v>
      </c>
      <c r="D380" t="s">
        <v>607</v>
      </c>
      <c r="E380">
        <v>6</v>
      </c>
      <c r="F380" t="s">
        <v>608</v>
      </c>
      <c r="G380" t="s">
        <v>617</v>
      </c>
      <c r="H380" t="s">
        <v>618</v>
      </c>
      <c r="I380" t="b">
        <v>1</v>
      </c>
      <c r="J380">
        <v>351528</v>
      </c>
      <c r="K380">
        <v>1618620</v>
      </c>
      <c r="L380">
        <v>0</v>
      </c>
      <c r="M380">
        <v>-296556</v>
      </c>
      <c r="O380">
        <v>1172893</v>
      </c>
      <c r="Q380">
        <v>500699</v>
      </c>
      <c r="R380">
        <v>22113074</v>
      </c>
      <c r="S380">
        <v>22613773</v>
      </c>
      <c r="T380">
        <v>319576</v>
      </c>
      <c r="V380">
        <v>177940</v>
      </c>
      <c r="W380">
        <v>2365587</v>
      </c>
      <c r="Y380">
        <v>5347</v>
      </c>
      <c r="AA380">
        <v>1684863</v>
      </c>
      <c r="AB380">
        <v>21210039</v>
      </c>
      <c r="AC380">
        <v>22894902</v>
      </c>
      <c r="AD380">
        <v>-281129</v>
      </c>
      <c r="AE380">
        <v>903035</v>
      </c>
      <c r="AF380">
        <v>-1184164</v>
      </c>
      <c r="AG380">
        <v>3536976</v>
      </c>
      <c r="AH380">
        <v>9.0352889021582283E-2</v>
      </c>
      <c r="AI380" t="b">
        <v>1</v>
      </c>
      <c r="AK380">
        <v>7.4999999999999997E-2</v>
      </c>
      <c r="AL380">
        <v>7.4999999999999997E-2</v>
      </c>
      <c r="AM380">
        <v>7.4999999999999997E-2</v>
      </c>
      <c r="AN380">
        <v>7.4999999999999997E-2</v>
      </c>
      <c r="AO380">
        <v>1</v>
      </c>
      <c r="AP380">
        <v>0</v>
      </c>
      <c r="AS380">
        <v>2598934</v>
      </c>
      <c r="AT380">
        <v>-2667723</v>
      </c>
      <c r="AU380" t="s">
        <v>152</v>
      </c>
      <c r="AV380" t="s">
        <v>620</v>
      </c>
      <c r="BB380">
        <f t="shared" si="904"/>
        <v>1.0124317600605612</v>
      </c>
      <c r="BD380">
        <f t="shared" si="905"/>
        <v>2880063</v>
      </c>
      <c r="BE380">
        <f t="shared" si="906"/>
        <v>-2386594</v>
      </c>
      <c r="BF380">
        <f t="shared" si="907"/>
        <v>12.735880032049495</v>
      </c>
      <c r="BG380">
        <f t="shared" si="908"/>
        <v>-10.553718744766741</v>
      </c>
      <c r="BH380">
        <f t="shared" si="909"/>
        <v>11.644799388408117</v>
      </c>
      <c r="BI380">
        <f t="shared" si="910"/>
        <v>109.10806436413773</v>
      </c>
      <c r="BJ380">
        <f t="shared" si="911"/>
        <v>12</v>
      </c>
      <c r="BK380">
        <f>IF($BJ380&lt;=30,IF($B380=2015,VLOOKUP($BJ380,'Treasury Yields'!$C$5:$N$34,$E380,FALSE)/100,IF($B380=2016,VLOOKUP($BJ380,'Treasury Yields'!$C$40:$N$69,$E380,FALSE)/100,IF($B380=2017,VLOOKUP($BJ380,'Treasury Yields'!$C$75:$N$104,$E380,FALSE)/100,IF($B380=2018,VLOOKUP($BJ380,'Treasury Yields'!$C$110:$N$139,$E380,FALSE)/100,IF($B380=2019,VLOOKUP($BJ380,'Treasury Yields'!$C$145:$N$174,$E380,FALSE)/100,IF($B380=2020,VLOOKUP($BJ380,'Treasury Yields'!$C$180:$N$209,$E380,FALSE)/100,IF($B380=2021,VLOOKUP($BJ380,'Treasury Yields'!$C$215:$N$244,$E380,FALSE)/100,IF($B380=2022,VLOOKUP($BJ380,'Treasury Yields'!$C$250:$N$279,$E380,FALSE)/100)))))))),0)</f>
        <v>1.7546000000000003E-2</v>
      </c>
      <c r="BL380">
        <f t="shared" si="912"/>
        <v>1.6723412661775998</v>
      </c>
      <c r="BM380">
        <f t="shared" si="913"/>
        <v>36980606.172238961</v>
      </c>
      <c r="BN380">
        <f t="shared" si="914"/>
        <v>15770567.172238961</v>
      </c>
      <c r="BP380">
        <f>IF($BJ380&lt;=30,IF($B380=2015,VLOOKUP($BJ380,'Treasury Yields'!$C$40:$N$69,$E380,FALSE)/100,IF($B380=2016,VLOOKUP($BJ380,'Treasury Yields'!$C$75:$N$104,$E380,FALSE)/100,IF($B380=2017,VLOOKUP($BJ380,'Treasury Yields'!$C$110:$N$139,$E380,FALSE)/100,IF($B380=2018,VLOOKUP($BJ380,'Treasury Yields'!$C$145:$N$174,$E380,FALSE)/100,IF($B380=2019,VLOOKUP($BJ380,'Treasury Yields'!$C$180:$N$209,$E380,FALSE)/100,IF($B380=2020,VLOOKUP($BJ380,'Treasury Yields'!$C$215:$N$244,$E380,FALSE)/100,IF($B380=2021,VLOOKUP($BJ380,'Treasury Yields'!$C$250:$N$279,$E380,FALSE)/100,IF($B380=2022,VLOOKUP($BJ380,'Treasury Yields'!$C$285:$N$314,$E380,FALSE)/100)))))))),0)</f>
        <v>2.5467599999999993E-2</v>
      </c>
      <c r="BQ380">
        <f t="shared" si="915"/>
        <v>1.5792483198761462</v>
      </c>
      <c r="BR380">
        <f t="shared" si="916"/>
        <v>35712763.016310558</v>
      </c>
      <c r="BS380">
        <f t="shared" si="917"/>
        <v>12817861.016310558</v>
      </c>
      <c r="BU380">
        <f t="shared" si="928"/>
        <v>15</v>
      </c>
      <c r="BV380">
        <f t="shared" si="918"/>
        <v>2.8910118910777083</v>
      </c>
      <c r="BW380">
        <f t="shared" si="919"/>
        <v>1016271.6280467646</v>
      </c>
      <c r="BX380" s="5">
        <f t="shared" si="920"/>
        <v>646113.63730581349</v>
      </c>
      <c r="BY380" s="5">
        <f t="shared" si="921"/>
        <v>273962.29301181342</v>
      </c>
      <c r="BZ380" s="5">
        <f t="shared" si="922"/>
        <v>1970148</v>
      </c>
      <c r="CA380" s="5">
        <f t="shared" si="923"/>
        <v>1290233.921058578</v>
      </c>
      <c r="CC380" s="5">
        <f t="shared" si="924"/>
        <v>35712763.016310558</v>
      </c>
      <c r="CD380" s="5" t="str">
        <f t="shared" si="925"/>
        <v>Tennessee</v>
      </c>
      <c r="CE380" s="5">
        <f t="shared" si="927"/>
        <v>1.0124317600605612</v>
      </c>
      <c r="CF380" s="10">
        <f t="shared" si="926"/>
        <v>0.64108458898975562</v>
      </c>
    </row>
    <row r="381" spans="1:84" hidden="1" x14ac:dyDescent="0.2">
      <c r="A381">
        <v>43000000090001</v>
      </c>
      <c r="B381">
        <v>2018</v>
      </c>
      <c r="C381">
        <v>587</v>
      </c>
      <c r="D381" t="s">
        <v>607</v>
      </c>
      <c r="E381">
        <v>6</v>
      </c>
      <c r="F381" t="s">
        <v>608</v>
      </c>
      <c r="G381" t="s">
        <v>617</v>
      </c>
      <c r="H381" t="s">
        <v>618</v>
      </c>
      <c r="I381" t="b">
        <v>1</v>
      </c>
      <c r="J381">
        <v>345257</v>
      </c>
      <c r="K381">
        <v>1636816</v>
      </c>
      <c r="L381">
        <v>0</v>
      </c>
      <c r="M381">
        <v>-119208</v>
      </c>
      <c r="N381">
        <v>346381</v>
      </c>
      <c r="O381">
        <v>1218623</v>
      </c>
      <c r="Q381">
        <v>990624</v>
      </c>
      <c r="R381">
        <v>22613773</v>
      </c>
      <c r="S381">
        <v>23604397</v>
      </c>
      <c r="T381">
        <v>318337</v>
      </c>
      <c r="V381">
        <v>176443</v>
      </c>
      <c r="W381">
        <v>1867630</v>
      </c>
      <c r="Y381">
        <v>5789</v>
      </c>
      <c r="AA381">
        <v>1137997</v>
      </c>
      <c r="AB381">
        <v>22894902</v>
      </c>
      <c r="AC381">
        <v>24032900</v>
      </c>
      <c r="AD381">
        <v>-428503</v>
      </c>
      <c r="AE381">
        <v>-281129</v>
      </c>
      <c r="AF381">
        <v>-147374</v>
      </c>
      <c r="AG381">
        <v>3501704</v>
      </c>
      <c r="AH381">
        <v>9.0909168793250367E-2</v>
      </c>
      <c r="AI381" t="b">
        <v>1</v>
      </c>
      <c r="AK381">
        <v>7.4999999999999997E-2</v>
      </c>
      <c r="AL381">
        <v>7.2499999999999995E-2</v>
      </c>
      <c r="AM381">
        <v>7.2499999999999995E-2</v>
      </c>
      <c r="AN381">
        <v>7.2499999999999995E-2</v>
      </c>
      <c r="AO381">
        <v>1</v>
      </c>
      <c r="AP381">
        <v>0</v>
      </c>
      <c r="AS381">
        <v>2610827</v>
      </c>
      <c r="AT381">
        <v>-2934327</v>
      </c>
      <c r="AU381" t="s">
        <v>152</v>
      </c>
      <c r="AV381" t="s">
        <v>613</v>
      </c>
      <c r="BB381">
        <f t="shared" si="904"/>
        <v>1.0181535245318913</v>
      </c>
      <c r="BD381">
        <f t="shared" si="905"/>
        <v>3039330</v>
      </c>
      <c r="BE381">
        <f t="shared" si="906"/>
        <v>-2505824</v>
      </c>
      <c r="BF381">
        <f t="shared" si="907"/>
        <v>12.876117953786324</v>
      </c>
      <c r="BG381">
        <f t="shared" si="908"/>
        <v>-10.615920415166718</v>
      </c>
      <c r="BH381">
        <f t="shared" si="909"/>
        <v>11.74601918447652</v>
      </c>
      <c r="BI381">
        <f t="shared" si="910"/>
        <v>113.00987693098028</v>
      </c>
      <c r="BJ381">
        <f t="shared" si="911"/>
        <v>12</v>
      </c>
      <c r="BK381">
        <f>IF($BJ381&lt;=30,IF($B381=2015,VLOOKUP($BJ381,'Treasury Yields'!$C$5:$N$34,$E381,FALSE)/100,IF($B381=2016,VLOOKUP($BJ381,'Treasury Yields'!$C$40:$N$69,$E381,FALSE)/100,IF($B381=2017,VLOOKUP($BJ381,'Treasury Yields'!$C$75:$N$104,$E381,FALSE)/100,IF($B381=2018,VLOOKUP($BJ381,'Treasury Yields'!$C$110:$N$139,$E381,FALSE)/100,IF($B381=2019,VLOOKUP($BJ381,'Treasury Yields'!$C$145:$N$174,$E381,FALSE)/100,IF($B381=2020,VLOOKUP($BJ381,'Treasury Yields'!$C$180:$N$209,$E381,FALSE)/100,IF($B381=2021,VLOOKUP($BJ381,'Treasury Yields'!$C$215:$N$244,$E381,FALSE)/100,IF($B381=2022,VLOOKUP($BJ381,'Treasury Yields'!$C$250:$N$279,$E381,FALSE)/100)))))))),0)</f>
        <v>2.5467599999999993E-2</v>
      </c>
      <c r="BL381">
        <f t="shared" si="912"/>
        <v>1.5546555193417333</v>
      </c>
      <c r="BM381">
        <f t="shared" si="913"/>
        <v>35156627.007591069</v>
      </c>
      <c r="BN381">
        <f t="shared" si="914"/>
        <v>12261725.007591069</v>
      </c>
      <c r="BP381">
        <f>IF($BJ381&lt;=30,IF($B381=2015,VLOOKUP($BJ381,'Treasury Yields'!$C$40:$N$69,$E381,FALSE)/100,IF($B381=2016,VLOOKUP($BJ381,'Treasury Yields'!$C$75:$N$104,$E381,FALSE)/100,IF($B381=2017,VLOOKUP($BJ381,'Treasury Yields'!$C$110:$N$139,$E381,FALSE)/100,IF($B381=2018,VLOOKUP($BJ381,'Treasury Yields'!$C$145:$N$174,$E381,FALSE)/100,IF($B381=2019,VLOOKUP($BJ381,'Treasury Yields'!$C$180:$N$209,$E381,FALSE)/100,IF($B381=2020,VLOOKUP($BJ381,'Treasury Yields'!$C$215:$N$244,$E381,FALSE)/100,IF($B381=2021,VLOOKUP($BJ381,'Treasury Yields'!$C$250:$N$279,$E381,FALSE)/100,IF($B381=2022,VLOOKUP($BJ381,'Treasury Yields'!$C$285:$N$314,$E381,FALSE)/100)))))))),0)</f>
        <v>2.8906472727272727E-2</v>
      </c>
      <c r="BQ381">
        <f t="shared" si="915"/>
        <v>1.513950803284533</v>
      </c>
      <c r="BR381">
        <f t="shared" si="916"/>
        <v>35735895.799197018</v>
      </c>
      <c r="BS381">
        <f t="shared" si="917"/>
        <v>11702995.799197018</v>
      </c>
      <c r="BU381">
        <f t="shared" si="928"/>
        <v>15</v>
      </c>
      <c r="BV381">
        <f t="shared" si="918"/>
        <v>2.5079125923469383</v>
      </c>
      <c r="BW381">
        <f t="shared" si="919"/>
        <v>865874.37789592682</v>
      </c>
      <c r="BX381" s="5">
        <f t="shared" si="920"/>
        <v>886371.25317022845</v>
      </c>
      <c r="BY381" s="5">
        <f t="shared" si="921"/>
        <v>303293.0469950285</v>
      </c>
      <c r="BZ381" s="5">
        <f t="shared" si="922"/>
        <v>1982073</v>
      </c>
      <c r="CA381" s="5">
        <f t="shared" si="923"/>
        <v>1169167.4248909554</v>
      </c>
      <c r="CC381" s="5">
        <f t="shared" si="924"/>
        <v>35735895.799197018</v>
      </c>
      <c r="CD381" s="5" t="str">
        <f t="shared" si="925"/>
        <v>Tennessee</v>
      </c>
      <c r="CE381" s="5">
        <f t="shared" si="927"/>
        <v>1.0181535245318913</v>
      </c>
      <c r="CF381" s="10">
        <f t="shared" si="926"/>
        <v>0.67251427346449832</v>
      </c>
    </row>
    <row r="382" spans="1:84" hidden="1" x14ac:dyDescent="0.2">
      <c r="A382">
        <v>43000000090001</v>
      </c>
      <c r="B382">
        <v>2019</v>
      </c>
      <c r="C382">
        <v>587</v>
      </c>
      <c r="D382" t="s">
        <v>607</v>
      </c>
      <c r="E382">
        <v>6</v>
      </c>
      <c r="F382" t="s">
        <v>608</v>
      </c>
      <c r="G382" t="s">
        <v>617</v>
      </c>
      <c r="H382" t="s">
        <v>618</v>
      </c>
      <c r="I382" t="b">
        <v>1</v>
      </c>
      <c r="J382">
        <v>345065</v>
      </c>
      <c r="K382">
        <v>1695569</v>
      </c>
      <c r="M382">
        <v>72474</v>
      </c>
      <c r="O382">
        <v>1268406</v>
      </c>
      <c r="Q382">
        <v>844702</v>
      </c>
      <c r="R382">
        <v>23604396</v>
      </c>
      <c r="S382">
        <v>24449099</v>
      </c>
      <c r="T382">
        <v>350734</v>
      </c>
      <c r="V382">
        <v>168919</v>
      </c>
      <c r="W382">
        <v>1759945</v>
      </c>
      <c r="Y382">
        <v>5201</v>
      </c>
      <c r="AA382">
        <v>1005991</v>
      </c>
      <c r="AB382">
        <v>24032899</v>
      </c>
      <c r="AC382">
        <v>25038890</v>
      </c>
      <c r="AD382">
        <v>-589791</v>
      </c>
      <c r="AE382">
        <v>-428503</v>
      </c>
      <c r="AF382">
        <v>-161288</v>
      </c>
      <c r="AG382">
        <v>3352756</v>
      </c>
      <c r="AH382">
        <v>0.10461065463755788</v>
      </c>
      <c r="AI382" t="b">
        <v>1</v>
      </c>
      <c r="AK382">
        <v>7.2499999999999995E-2</v>
      </c>
      <c r="AL382">
        <v>7.2499999999999995E-2</v>
      </c>
      <c r="AM382">
        <v>7.2499999999999995E-2</v>
      </c>
      <c r="AN382">
        <v>7.2499999999999995E-2</v>
      </c>
      <c r="AO382">
        <v>1</v>
      </c>
      <c r="AP382">
        <v>0</v>
      </c>
      <c r="AS382">
        <v>2544294</v>
      </c>
      <c r="AT382">
        <v>-3176603</v>
      </c>
      <c r="AV382" t="s">
        <v>614</v>
      </c>
      <c r="BB382">
        <f t="shared" si="904"/>
        <v>1.0241232202462758</v>
      </c>
      <c r="BD382">
        <f t="shared" si="905"/>
        <v>3134085</v>
      </c>
      <c r="BE382">
        <f t="shared" si="906"/>
        <v>-2586812</v>
      </c>
      <c r="BF382">
        <f t="shared" si="907"/>
        <v>12.818815940824649</v>
      </c>
      <c r="BG382">
        <f t="shared" si="908"/>
        <v>-10.580398075201053</v>
      </c>
      <c r="BH382">
        <f t="shared" si="909"/>
        <v>11.699607008012851</v>
      </c>
      <c r="BI382">
        <f t="shared" si="910"/>
        <v>111.9208932811798</v>
      </c>
      <c r="BJ382">
        <f t="shared" si="911"/>
        <v>12</v>
      </c>
      <c r="BK382">
        <f>IF($BJ382&lt;=30,IF($B382=2015,VLOOKUP($BJ382,'Treasury Yields'!$C$5:$N$34,$E382,FALSE)/100,IF($B382=2016,VLOOKUP($BJ382,'Treasury Yields'!$C$40:$N$69,$E382,FALSE)/100,IF($B382=2017,VLOOKUP($BJ382,'Treasury Yields'!$C$75:$N$104,$E382,FALSE)/100,IF($B382=2018,VLOOKUP($BJ382,'Treasury Yields'!$C$110:$N$139,$E382,FALSE)/100,IF($B382=2019,VLOOKUP($BJ382,'Treasury Yields'!$C$145:$N$174,$E382,FALSE)/100,IF($B382=2020,VLOOKUP($BJ382,'Treasury Yields'!$C$180:$N$209,$E382,FALSE)/100,IF($B382=2021,VLOOKUP($BJ382,'Treasury Yields'!$C$215:$N$244,$E382,FALSE)/100,IF($B382=2022,VLOOKUP($BJ382,'Treasury Yields'!$C$250:$N$279,$E382,FALSE)/100)))))))),0)</f>
        <v>2.8906472727272727E-2</v>
      </c>
      <c r="BL382">
        <f t="shared" si="912"/>
        <v>1.5119275328040773</v>
      </c>
      <c r="BM382">
        <f t="shared" si="913"/>
        <v>35688136.207610428</v>
      </c>
      <c r="BN382">
        <f t="shared" si="914"/>
        <v>11655237.207610428</v>
      </c>
      <c r="BP382">
        <f>IF($BJ382&lt;=30,IF($B382=2015,VLOOKUP($BJ382,'Treasury Yields'!$C$40:$N$69,$E382,FALSE)/100,IF($B382=2016,VLOOKUP($BJ382,'Treasury Yields'!$C$75:$N$104,$E382,FALSE)/100,IF($B382=2017,VLOOKUP($BJ382,'Treasury Yields'!$C$110:$N$139,$E382,FALSE)/100,IF($B382=2018,VLOOKUP($BJ382,'Treasury Yields'!$C$145:$N$174,$E382,FALSE)/100,IF($B382=2019,VLOOKUP($BJ382,'Treasury Yields'!$C$180:$N$209,$E382,FALSE)/100,IF($B382=2020,VLOOKUP($BJ382,'Treasury Yields'!$C$215:$N$244,$E382,FALSE)/100,IF($B382=2021,VLOOKUP($BJ382,'Treasury Yields'!$C$250:$N$279,$E382,FALSE)/100,IF($B382=2022,VLOOKUP($BJ382,'Treasury Yields'!$C$285:$N$314,$E382,FALSE)/100)))))))),0)</f>
        <v>2.2184000000000002E-2</v>
      </c>
      <c r="BQ382">
        <f t="shared" si="915"/>
        <v>1.5912091260711745</v>
      </c>
      <c r="BR382">
        <f t="shared" si="916"/>
        <v>38903629.45301763</v>
      </c>
      <c r="BS382">
        <f t="shared" si="917"/>
        <v>13864739.45301763</v>
      </c>
      <c r="BU382">
        <f t="shared" si="928"/>
        <v>15</v>
      </c>
      <c r="BV382">
        <f t="shared" si="918"/>
        <v>2.376624021661681</v>
      </c>
      <c r="BW382">
        <f t="shared" si="919"/>
        <v>820089.76803468796</v>
      </c>
      <c r="BX382" s="5">
        <f t="shared" si="920"/>
        <v>1018658.8950399862</v>
      </c>
      <c r="BY382" s="5">
        <f t="shared" si="921"/>
        <v>323952.55553918617</v>
      </c>
      <c r="BZ382" s="5">
        <f t="shared" si="922"/>
        <v>2040634</v>
      </c>
      <c r="CA382" s="5">
        <f t="shared" si="923"/>
        <v>1144042.3235738741</v>
      </c>
      <c r="CC382" s="5">
        <f t="shared" si="924"/>
        <v>38903629.45301763</v>
      </c>
      <c r="CD382" s="5" t="str">
        <f t="shared" si="925"/>
        <v>Tennessee</v>
      </c>
      <c r="CE382" s="5">
        <f t="shared" si="927"/>
        <v>1.0241232202462758</v>
      </c>
      <c r="CF382" s="10">
        <f t="shared" si="926"/>
        <v>0.64361321429504348</v>
      </c>
    </row>
    <row r="383" spans="1:84" hidden="1" x14ac:dyDescent="0.2">
      <c r="A383">
        <v>43000000090001</v>
      </c>
      <c r="B383">
        <v>2020</v>
      </c>
      <c r="C383">
        <v>587</v>
      </c>
      <c r="D383" t="s">
        <v>607</v>
      </c>
      <c r="E383">
        <v>6</v>
      </c>
      <c r="F383" t="s">
        <v>608</v>
      </c>
      <c r="G383" t="s">
        <v>617</v>
      </c>
      <c r="H383" t="s">
        <v>618</v>
      </c>
      <c r="I383" t="b">
        <v>1</v>
      </c>
      <c r="J383">
        <v>324597</v>
      </c>
      <c r="K383">
        <v>1716256</v>
      </c>
      <c r="M383">
        <v>-442566</v>
      </c>
      <c r="O383">
        <v>1314913</v>
      </c>
      <c r="Q383">
        <v>283373</v>
      </c>
      <c r="R383">
        <v>24449099</v>
      </c>
      <c r="S383">
        <v>24732472</v>
      </c>
      <c r="T383">
        <v>353767</v>
      </c>
      <c r="V383">
        <v>167155</v>
      </c>
      <c r="W383">
        <v>1215904</v>
      </c>
      <c r="Y383">
        <v>4571</v>
      </c>
      <c r="AA383">
        <v>417342</v>
      </c>
      <c r="AB383">
        <v>25038890</v>
      </c>
      <c r="AC383">
        <v>25456232</v>
      </c>
      <c r="AD383">
        <v>-723760</v>
      </c>
      <c r="AE383">
        <v>-589791</v>
      </c>
      <c r="AF383">
        <v>-133969</v>
      </c>
      <c r="AG383">
        <v>3326750</v>
      </c>
      <c r="AH383">
        <v>0.10634012174043736</v>
      </c>
      <c r="AI383" t="b">
        <v>1</v>
      </c>
      <c r="AK383">
        <v>7.2499999999999995E-2</v>
      </c>
      <c r="AL383">
        <v>7.2499999999999995E-2</v>
      </c>
      <c r="AM383">
        <v>7.2499999999999995E-2</v>
      </c>
      <c r="AN383">
        <v>7.2499999999999995E-2</v>
      </c>
      <c r="AO383">
        <v>1</v>
      </c>
      <c r="AP383">
        <v>0</v>
      </c>
      <c r="AS383">
        <v>2469702</v>
      </c>
      <c r="AT383">
        <v>-3255167</v>
      </c>
      <c r="AV383" t="s">
        <v>614</v>
      </c>
      <c r="BB383">
        <f t="shared" si="904"/>
        <v>1.0292635527900325</v>
      </c>
      <c r="BD383">
        <f t="shared" si="905"/>
        <v>3193462</v>
      </c>
      <c r="BE383">
        <f t="shared" si="906"/>
        <v>-2531407</v>
      </c>
      <c r="BF383">
        <f t="shared" si="907"/>
        <v>12.912021087095541</v>
      </c>
      <c r="BG383">
        <f t="shared" si="908"/>
        <v>-10.235155628600328</v>
      </c>
      <c r="BH383">
        <f t="shared" si="909"/>
        <v>11.573588357847933</v>
      </c>
      <c r="BI383">
        <f t="shared" si="910"/>
        <v>133.84327292476061</v>
      </c>
      <c r="BJ383">
        <f t="shared" si="911"/>
        <v>12</v>
      </c>
      <c r="BK383">
        <f>IF($BJ383&lt;=30,IF($B383=2015,VLOOKUP($BJ383,'Treasury Yields'!$C$5:$N$34,$E383,FALSE)/100,IF($B383=2016,VLOOKUP($BJ383,'Treasury Yields'!$C$40:$N$69,$E383,FALSE)/100,IF($B383=2017,VLOOKUP($BJ383,'Treasury Yields'!$C$75:$N$104,$E383,FALSE)/100,IF($B383=2018,VLOOKUP($BJ383,'Treasury Yields'!$C$110:$N$139,$E383,FALSE)/100,IF($B383=2019,VLOOKUP($BJ383,'Treasury Yields'!$C$145:$N$174,$E383,FALSE)/100,IF($B383=2020,VLOOKUP($BJ383,'Treasury Yields'!$C$180:$N$209,$E383,FALSE)/100,IF($B383=2021,VLOOKUP($BJ383,'Treasury Yields'!$C$215:$N$244,$E383,FALSE)/100,IF($B383=2022,VLOOKUP($BJ383,'Treasury Yields'!$C$250:$N$279,$E383,FALSE)/100)))))))),0)</f>
        <v>2.2184000000000002E-2</v>
      </c>
      <c r="BL383">
        <f t="shared" si="912"/>
        <v>1.5848683716694767</v>
      </c>
      <c r="BM383">
        <f t="shared" si="913"/>
        <v>38748603.720915832</v>
      </c>
      <c r="BN383">
        <f t="shared" si="914"/>
        <v>13709713.720915832</v>
      </c>
      <c r="BP383">
        <f>IF($BJ383&lt;=30,IF($B383=2015,VLOOKUP($BJ383,'Treasury Yields'!$C$40:$N$69,$E383,FALSE)/100,IF($B383=2016,VLOOKUP($BJ383,'Treasury Yields'!$C$75:$N$104,$E383,FALSE)/100,IF($B383=2017,VLOOKUP($BJ383,'Treasury Yields'!$C$110:$N$139,$E383,FALSE)/100,IF($B383=2018,VLOOKUP($BJ383,'Treasury Yields'!$C$145:$N$174,$E383,FALSE)/100,IF($B383=2019,VLOOKUP($BJ383,'Treasury Yields'!$C$180:$N$209,$E383,FALSE)/100,IF($B383=2020,VLOOKUP($BJ383,'Treasury Yields'!$C$215:$N$244,$E383,FALSE)/100,IF($B383=2021,VLOOKUP($BJ383,'Treasury Yields'!$C$250:$N$279,$E383,FALSE)/100,IF($B383=2022,VLOOKUP($BJ383,'Treasury Yields'!$C$285:$N$314,$E383,FALSE)/100)))))))),0)</f>
        <v>1.3689454545454545E-2</v>
      </c>
      <c r="BQ383">
        <f t="shared" si="915"/>
        <v>1.6841077244480751</v>
      </c>
      <c r="BR383">
        <f t="shared" si="916"/>
        <v>41652147.13989573</v>
      </c>
      <c r="BS383">
        <f t="shared" si="917"/>
        <v>16195915.13989573</v>
      </c>
      <c r="BU383">
        <f t="shared" si="928"/>
        <v>15</v>
      </c>
      <c r="BV383">
        <f t="shared" si="918"/>
        <v>2.6759276666036618</v>
      </c>
      <c r="BW383">
        <f t="shared" si="919"/>
        <v>868598.09279654885</v>
      </c>
      <c r="BX383" s="5">
        <f t="shared" si="920"/>
        <v>849697.97504339553</v>
      </c>
      <c r="BY383" s="5">
        <f t="shared" si="921"/>
        <v>294235.23928339547</v>
      </c>
      <c r="BZ383" s="5">
        <f t="shared" si="922"/>
        <v>2040853</v>
      </c>
      <c r="CA383" s="5">
        <f t="shared" si="923"/>
        <v>1162833.3320799442</v>
      </c>
      <c r="CC383" s="5">
        <f t="shared" si="924"/>
        <v>41652147.13989573</v>
      </c>
      <c r="CD383" s="5" t="str">
        <f t="shared" si="925"/>
        <v>Tennessee</v>
      </c>
      <c r="CE383" s="5">
        <f t="shared" si="927"/>
        <v>1.0292635527900325</v>
      </c>
      <c r="CF383" s="10">
        <f t="shared" si="926"/>
        <v>0.61116253898030681</v>
      </c>
    </row>
    <row r="384" spans="1:84" hidden="1" x14ac:dyDescent="0.2">
      <c r="A384">
        <v>43000000090001</v>
      </c>
      <c r="B384">
        <v>2021</v>
      </c>
      <c r="C384">
        <v>587</v>
      </c>
      <c r="D384" t="s">
        <v>607</v>
      </c>
      <c r="E384">
        <v>6</v>
      </c>
      <c r="F384" t="s">
        <v>608</v>
      </c>
      <c r="G384" t="s">
        <v>617</v>
      </c>
      <c r="H384" t="s">
        <v>618</v>
      </c>
      <c r="I384" t="b">
        <v>1</v>
      </c>
      <c r="J384">
        <v>320188</v>
      </c>
      <c r="K384">
        <v>1764235</v>
      </c>
      <c r="M384">
        <v>-37150</v>
      </c>
      <c r="O384">
        <v>1359548</v>
      </c>
      <c r="Q384">
        <v>687725</v>
      </c>
      <c r="R384">
        <v>24732472</v>
      </c>
      <c r="S384">
        <v>25420198</v>
      </c>
      <c r="T384">
        <v>337067</v>
      </c>
      <c r="V384">
        <v>164847</v>
      </c>
      <c r="W384">
        <v>6455724</v>
      </c>
      <c r="Y384">
        <v>4589</v>
      </c>
      <c r="AA384">
        <v>5593499</v>
      </c>
      <c r="AB384">
        <v>25456232</v>
      </c>
      <c r="AC384">
        <v>31049733</v>
      </c>
      <c r="AD384">
        <v>-5629535</v>
      </c>
      <c r="AE384">
        <v>-723760</v>
      </c>
      <c r="AF384">
        <v>-4905775</v>
      </c>
      <c r="AG384">
        <v>3282482</v>
      </c>
      <c r="AI384" t="b">
        <v>1</v>
      </c>
      <c r="AK384">
        <v>7.2499999999999995E-2</v>
      </c>
      <c r="AL384">
        <v>7.2499999999999995E-2</v>
      </c>
      <c r="AM384">
        <v>7.2499999999999995E-2</v>
      </c>
      <c r="AN384">
        <v>7.2499999999999995E-2</v>
      </c>
      <c r="AS384">
        <v>-2444168</v>
      </c>
      <c r="AT384">
        <v>-8275361</v>
      </c>
      <c r="BB384">
        <f t="shared" si="904"/>
        <v>1.2214591326157256</v>
      </c>
      <c r="BD384">
        <f t="shared" si="905"/>
        <v>3185367</v>
      </c>
      <c r="BE384">
        <f t="shared" si="906"/>
        <v>-2645826</v>
      </c>
      <c r="BF384">
        <f t="shared" si="907"/>
        <v>12.530850467805168</v>
      </c>
      <c r="BG384">
        <f t="shared" si="908"/>
        <v>-10.408361099311659</v>
      </c>
      <c r="BH384">
        <f t="shared" si="909"/>
        <v>11.469605783558414</v>
      </c>
      <c r="BI384">
        <f t="shared" si="910"/>
        <v>106.12446842467553</v>
      </c>
      <c r="BJ384">
        <f t="shared" si="911"/>
        <v>11</v>
      </c>
      <c r="BK384">
        <f>IF($BJ384&lt;=30,IF($B384=2015,VLOOKUP($BJ384,'Treasury Yields'!$C$5:$N$34,$E384,FALSE)/100,IF($B384=2016,VLOOKUP($BJ384,'Treasury Yields'!$C$40:$N$69,$E384,FALSE)/100,IF($B384=2017,VLOOKUP($BJ384,'Treasury Yields'!$C$75:$N$104,$E384,FALSE)/100,IF($B384=2018,VLOOKUP($BJ384,'Treasury Yields'!$C$110:$N$139,$E384,FALSE)/100,IF($B384=2019,VLOOKUP($BJ384,'Treasury Yields'!$C$145:$N$174,$E384,FALSE)/100,IF($B384=2020,VLOOKUP($BJ384,'Treasury Yields'!$C$180:$N$209,$E384,FALSE)/100,IF($B384=2021,VLOOKUP($BJ384,'Treasury Yields'!$C$215:$N$244,$E384,FALSE)/100,IF($B384=2022,VLOOKUP($BJ384,'Treasury Yields'!$C$250:$N$279,$E384,FALSE)/100)))))))),0)</f>
        <v>1.4551090909090908E-2</v>
      </c>
      <c r="BL384">
        <f t="shared" si="912"/>
        <v>1.6680092189248179</v>
      </c>
      <c r="BM384">
        <f t="shared" si="913"/>
        <v>41253991.302799925</v>
      </c>
      <c r="BN384">
        <f t="shared" si="914"/>
        <v>15797759.302799925</v>
      </c>
      <c r="BP384">
        <f>IF($BJ384&lt;=30,IF($B384=2015,VLOOKUP($BJ384,'Treasury Yields'!$C$40:$N$69,$E384,FALSE)/100,IF($B384=2016,VLOOKUP($BJ384,'Treasury Yields'!$C$75:$N$104,$E384,FALSE)/100,IF($B384=2017,VLOOKUP($BJ384,'Treasury Yields'!$C$110:$N$139,$E384,FALSE)/100,IF($B384=2018,VLOOKUP($BJ384,'Treasury Yields'!$C$145:$N$174,$E384,FALSE)/100,IF($B384=2019,VLOOKUP($BJ384,'Treasury Yields'!$C$180:$N$209,$E384,FALSE)/100,IF($B384=2020,VLOOKUP($BJ384,'Treasury Yields'!$C$215:$N$244,$E384,FALSE)/100,IF($B384=2021,VLOOKUP($BJ384,'Treasury Yields'!$C$250:$N$279,$E384,FALSE)/100,IF($B384=2022,VLOOKUP($BJ384,'Treasury Yields'!$C$285:$N$314,$E384,FALSE)/100)))))))),0)</f>
        <v>2.1554272727272727E-2</v>
      </c>
      <c r="BQ384">
        <f t="shared" si="915"/>
        <v>1.5869228753022095</v>
      </c>
      <c r="BR384">
        <f t="shared" si="916"/>
        <v>40339893.700911477</v>
      </c>
      <c r="BS384">
        <f t="shared" si="917"/>
        <v>9290160.7009114772</v>
      </c>
      <c r="BU384">
        <f t="shared" si="928"/>
        <v>14</v>
      </c>
      <c r="BV384">
        <f t="shared" si="918"/>
        <v>2.8323099074420512</v>
      </c>
      <c r="BW384">
        <f t="shared" si="919"/>
        <v>906871.64464405552</v>
      </c>
      <c r="BX384" s="5">
        <f t="shared" si="920"/>
        <v>593703.64301070699</v>
      </c>
      <c r="BY384" s="5">
        <f t="shared" si="921"/>
        <v>223287.69697579803</v>
      </c>
      <c r="BZ384" s="5">
        <f t="shared" si="922"/>
        <v>2084423</v>
      </c>
      <c r="CA384" s="5">
        <f t="shared" si="923"/>
        <v>1130159.3416198536</v>
      </c>
      <c r="CC384" s="5">
        <f t="shared" si="924"/>
        <v>40339893.700911477</v>
      </c>
      <c r="CD384" s="5" t="str">
        <f t="shared" si="925"/>
        <v>Tennessee</v>
      </c>
      <c r="CE384" s="5">
        <f t="shared" si="927"/>
        <v>1.2214591326157256</v>
      </c>
      <c r="CF384" s="10">
        <f t="shared" si="926"/>
        <v>0.76970289585315477</v>
      </c>
    </row>
    <row r="385" spans="1:84" hidden="1" x14ac:dyDescent="0.2">
      <c r="A385">
        <v>43000000090001</v>
      </c>
      <c r="B385">
        <v>2022</v>
      </c>
      <c r="C385">
        <v>587</v>
      </c>
      <c r="D385" t="s">
        <v>607</v>
      </c>
      <c r="E385">
        <v>6</v>
      </c>
      <c r="F385" t="s">
        <v>608</v>
      </c>
      <c r="G385" t="s">
        <v>617</v>
      </c>
      <c r="H385" t="s">
        <v>618</v>
      </c>
      <c r="I385" t="b">
        <v>1</v>
      </c>
      <c r="J385">
        <v>364886</v>
      </c>
      <c r="K385">
        <v>1782323</v>
      </c>
      <c r="M385">
        <v>-218849</v>
      </c>
      <c r="N385">
        <v>153658</v>
      </c>
      <c r="O385">
        <v>1393387</v>
      </c>
      <c r="Q385">
        <v>2071541</v>
      </c>
      <c r="R385">
        <v>25420198</v>
      </c>
      <c r="S385">
        <v>27491739</v>
      </c>
      <c r="T385">
        <v>339111</v>
      </c>
      <c r="V385">
        <v>166007</v>
      </c>
      <c r="W385">
        <v>-1170762</v>
      </c>
      <c r="Y385">
        <v>4928</v>
      </c>
      <c r="AA385">
        <v>-2063958</v>
      </c>
      <c r="AB385">
        <v>31049733</v>
      </c>
      <c r="AC385">
        <v>28985774</v>
      </c>
      <c r="AD385">
        <v>-1494035</v>
      </c>
      <c r="AE385">
        <v>-5629535</v>
      </c>
      <c r="AF385">
        <v>4135500</v>
      </c>
      <c r="AG385">
        <v>3291063</v>
      </c>
      <c r="AI385" t="b">
        <v>1</v>
      </c>
      <c r="AK385">
        <v>7.2499999999999995E-2</v>
      </c>
      <c r="AL385">
        <v>6.7500000000000004E-2</v>
      </c>
      <c r="AM385">
        <v>6.7500000000000004E-2</v>
      </c>
      <c r="AN385">
        <v>7.2499999999999995E-2</v>
      </c>
      <c r="AS385">
        <v>2115860</v>
      </c>
      <c r="AT385">
        <v>-4504368</v>
      </c>
      <c r="AV385" t="s">
        <v>616</v>
      </c>
      <c r="BB385">
        <f t="shared" si="904"/>
        <v>1.0543448706536898</v>
      </c>
      <c r="BD385">
        <f t="shared" si="905"/>
        <v>3609895</v>
      </c>
      <c r="BE385">
        <f t="shared" si="906"/>
        <v>-3010333</v>
      </c>
      <c r="BF385">
        <f t="shared" si="907"/>
        <v>13.130835412048688</v>
      </c>
      <c r="BG385">
        <f t="shared" si="908"/>
        <v>-10.949954820973675</v>
      </c>
      <c r="BH385">
        <f t="shared" si="909"/>
        <v>12.040395116511181</v>
      </c>
      <c r="BI385">
        <f t="shared" si="910"/>
        <v>109.04402955375066</v>
      </c>
      <c r="BJ385">
        <f t="shared" si="911"/>
        <v>12</v>
      </c>
      <c r="BK385">
        <f>IF($BJ385&lt;=30,IF($B385=2015,VLOOKUP($BJ385,'Treasury Yields'!$C$5:$N$34,$E385,FALSE)/100,IF($B385=2016,VLOOKUP($BJ385,'Treasury Yields'!$C$40:$N$69,$E385,FALSE)/100,IF($B385=2017,VLOOKUP($BJ385,'Treasury Yields'!$C$75:$N$104,$E385,FALSE)/100,IF($B385=2018,VLOOKUP($BJ385,'Treasury Yields'!$C$110:$N$139,$E385,FALSE)/100,IF($B385=2019,VLOOKUP($BJ385,'Treasury Yields'!$C$145:$N$174,$E385,FALSE)/100,IF($B385=2020,VLOOKUP($BJ385,'Treasury Yields'!$C$180:$N$209,$E385,FALSE)/100,IF($B385=2021,VLOOKUP($BJ385,'Treasury Yields'!$C$215:$N$244,$E385,FALSE)/100,IF($B385=2022,VLOOKUP($BJ385,'Treasury Yields'!$C$250:$N$279,$E385,FALSE)/100)))))))),0)</f>
        <v>2.1085818181818185E-2</v>
      </c>
      <c r="BL385">
        <f t="shared" si="912"/>
        <v>1.5609993643743498</v>
      </c>
      <c r="BM385">
        <f t="shared" si="913"/>
        <v>39680912.920270115</v>
      </c>
      <c r="BN385">
        <f t="shared" si="914"/>
        <v>8631179.9202701151</v>
      </c>
      <c r="BP385">
        <f>IF($BJ385&lt;=30,IF($B385=2015,VLOOKUP($BJ385,'Treasury Yields'!$C$40:$N$69,$E385,FALSE)/100,IF($B385=2016,VLOOKUP($BJ385,'Treasury Yields'!$C$75:$N$104,$E385,FALSE)/100,IF($B385=2017,VLOOKUP($BJ385,'Treasury Yields'!$C$110:$N$139,$E385,FALSE)/100,IF($B385=2018,VLOOKUP($BJ385,'Treasury Yields'!$C$145:$N$174,$E385,FALSE)/100,IF($B385=2019,VLOOKUP($BJ385,'Treasury Yields'!$C$180:$N$209,$E385,FALSE)/100,IF($B385=2020,VLOOKUP($BJ385,'Treasury Yields'!$C$215:$N$244,$E385,FALSE)/100,IF($B385=2021,VLOOKUP($BJ385,'Treasury Yields'!$C$250:$N$279,$E385,FALSE)/100,IF($B385=2022,VLOOKUP($BJ385,'Treasury Yields'!$C$285:$N$314,$E385,FALSE)/100)))))))),0)</f>
        <v>3.2402272727272724E-2</v>
      </c>
      <c r="BQ385">
        <f t="shared" si="915"/>
        <v>1.4844003073701808</v>
      </c>
      <c r="BR385">
        <f t="shared" si="916"/>
        <v>40808745.821740784</v>
      </c>
      <c r="BS385">
        <f t="shared" si="917"/>
        <v>11822971.821740784</v>
      </c>
      <c r="BU385">
        <f t="shared" si="928"/>
        <v>15</v>
      </c>
      <c r="BV385">
        <f t="shared" si="918"/>
        <v>2.678508751506353</v>
      </c>
      <c r="BW385">
        <f t="shared" si="919"/>
        <v>977350.34430214716</v>
      </c>
      <c r="BX385" s="5">
        <f t="shared" si="920"/>
        <v>827932.04184635915</v>
      </c>
      <c r="BY385" s="5">
        <f t="shared" si="921"/>
        <v>173223.01721435902</v>
      </c>
      <c r="BZ385" s="5">
        <f t="shared" si="922"/>
        <v>2147209</v>
      </c>
      <c r="CA385" s="5">
        <f t="shared" si="923"/>
        <v>1150573.3615165062</v>
      </c>
      <c r="CC385" s="5">
        <f t="shared" si="924"/>
        <v>40808745.821740784</v>
      </c>
      <c r="CD385" s="5" t="str">
        <f t="shared" si="925"/>
        <v>Tennessee</v>
      </c>
      <c r="CE385" s="5">
        <f t="shared" si="927"/>
        <v>1.0543448706536898</v>
      </c>
      <c r="CF385" s="10">
        <f t="shared" si="926"/>
        <v>0.71028338206262354</v>
      </c>
    </row>
    <row r="386" spans="1:84" x14ac:dyDescent="0.2">
      <c r="A386">
        <v>44000000011101</v>
      </c>
      <c r="B386">
        <v>2015</v>
      </c>
      <c r="C386">
        <v>569</v>
      </c>
      <c r="D386" t="s">
        <v>66</v>
      </c>
      <c r="E386">
        <v>8</v>
      </c>
      <c r="F386" t="s">
        <v>67</v>
      </c>
      <c r="G386" t="s">
        <v>68</v>
      </c>
      <c r="H386" t="s">
        <v>69</v>
      </c>
      <c r="I386" t="b">
        <v>1</v>
      </c>
      <c r="J386">
        <v>4225449</v>
      </c>
      <c r="K386">
        <v>12555646</v>
      </c>
      <c r="M386">
        <v>-1588619</v>
      </c>
      <c r="N386">
        <v>-1474724</v>
      </c>
      <c r="O386">
        <v>8935112</v>
      </c>
      <c r="P386">
        <v>391341</v>
      </c>
      <c r="Q386">
        <v>4391299</v>
      </c>
      <c r="R386">
        <v>159496076</v>
      </c>
      <c r="S386">
        <v>163887375</v>
      </c>
      <c r="T386">
        <v>1377973</v>
      </c>
      <c r="U386">
        <v>1591483</v>
      </c>
      <c r="V386">
        <v>2576024</v>
      </c>
      <c r="W386">
        <v>-412759</v>
      </c>
      <c r="Y386">
        <v>35557</v>
      </c>
      <c r="Z386">
        <v>-11248</v>
      </c>
      <c r="AA386">
        <v>-4240537</v>
      </c>
      <c r="AB386">
        <v>132779243</v>
      </c>
      <c r="AC386">
        <v>128538706</v>
      </c>
      <c r="AD386">
        <v>35348669</v>
      </c>
      <c r="AE386">
        <v>26716833</v>
      </c>
      <c r="AF386">
        <v>8631836</v>
      </c>
      <c r="AG386">
        <v>38448124</v>
      </c>
      <c r="AH386">
        <v>3.5839798061408669E-2</v>
      </c>
      <c r="AI386" t="b">
        <v>1</v>
      </c>
      <c r="AK386">
        <v>0.08</v>
      </c>
      <c r="AL386">
        <v>0.08</v>
      </c>
      <c r="AM386">
        <v>0.08</v>
      </c>
      <c r="AN386">
        <v>0.08</v>
      </c>
      <c r="AO386">
        <v>1</v>
      </c>
      <c r="AP386">
        <v>0</v>
      </c>
      <c r="AS386">
        <v>55384701.777999997</v>
      </c>
      <c r="AT386">
        <v>18659898.872000001</v>
      </c>
      <c r="BB386">
        <f t="shared" ref="BB386:BB393" si="929">AC386/S386</f>
        <v>0.78431121372222845</v>
      </c>
      <c r="BD386">
        <f t="shared" ref="BD386:BD393" si="930">AS386-AD386</f>
        <v>20036032.777999997</v>
      </c>
      <c r="BE386">
        <f t="shared" ref="BE386:BE393" si="931">AT386-AD386</f>
        <v>-16688770.127999999</v>
      </c>
      <c r="BF386">
        <f t="shared" ref="BF386:BF393" si="932">BD386/S386*100</f>
        <v>12.225488862702205</v>
      </c>
      <c r="BG386">
        <f t="shared" ref="BG386:BG393" si="933">BE386/S386*100</f>
        <v>-10.18307244716074</v>
      </c>
      <c r="BH386">
        <f t="shared" ref="BH386:BH393" si="934">(BD386-BE386)/(2*S386)*100</f>
        <v>11.204280654931473</v>
      </c>
      <c r="BI386">
        <f t="shared" ref="BI386:BI393" si="935">(BD386+BE386)/(2*S386*(0.01^2))</f>
        <v>102.12082077707323</v>
      </c>
      <c r="BJ386">
        <f t="shared" ref="BJ386:BJ393" si="936">ROUND(BH386,0)</f>
        <v>11</v>
      </c>
      <c r="BK386">
        <f>IF($BJ386&lt;=30,IF($B386=2015,VLOOKUP($BJ386,'Treasury Yields'!$C$5:$N$34,$E386,FALSE)/100,IF($B386=2016,VLOOKUP($BJ386,'Treasury Yields'!$C$40:$N$69,$E386,FALSE)/100,IF($B386=2017,VLOOKUP($BJ386,'Treasury Yields'!$C$75:$N$104,$E386,FALSE)/100,IF($B386=2018,VLOOKUP($BJ386,'Treasury Yields'!$C$110:$N$139,$E386,FALSE)/100,IF($B386=2019,VLOOKUP($BJ386,'Treasury Yields'!$C$145:$N$174,$E386,FALSE)/100,IF($B386=2020,VLOOKUP($BJ386,'Treasury Yields'!$C$180:$N$209,$E386,FALSE)/100,IF($B386=2021,VLOOKUP($BJ386,'Treasury Yields'!$C$215:$N$244,$E386,FALSE)/100,IF($B386=2022,VLOOKUP($BJ386,'Treasury Yields'!$C$250:$N$279,$E386,FALSE)/100)))))))),0)</f>
        <v>2.4837999999999999E-2</v>
      </c>
      <c r="BL386">
        <f t="shared" ref="BL386:BL393" si="937">1+BH386*(AL386-BK386)+(AL386-BK386)^2</f>
        <v>1.6210933757313299</v>
      </c>
      <c r="BM386">
        <f t="shared" ref="BM386:BM393" si="938">BL386*R386</f>
        <v>258558032.25874075</v>
      </c>
      <c r="BN386">
        <f t="shared" ref="BN386:BN393" si="939">BM386-AB386</f>
        <v>125778789.25874075</v>
      </c>
      <c r="BP386">
        <f>IF($BJ386&lt;=30,IF($B386=2015,VLOOKUP($BJ386,'Treasury Yields'!$C$40:$N$69,$E386,FALSE)/100,IF($B386=2016,VLOOKUP($BJ386,'Treasury Yields'!$C$75:$N$104,$E386,FALSE)/100,IF($B386=2017,VLOOKUP($BJ386,'Treasury Yields'!$C$110:$N$139,$E386,FALSE)/100,IF($B386=2018,VLOOKUP($BJ386,'Treasury Yields'!$C$145:$N$174,$E386,FALSE)/100,IF($B386=2019,VLOOKUP($BJ386,'Treasury Yields'!$C$180:$N$209,$E386,FALSE)/100,IF($B386=2020,VLOOKUP($BJ386,'Treasury Yields'!$C$215:$N$244,$E386,FALSE)/100,IF($B386=2021,VLOOKUP($BJ386,'Treasury Yields'!$C$250:$N$279,$E386,FALSE)/100,IF($B386=2022,VLOOKUP($BJ386,'Treasury Yields'!$C$285:$N$314,$E386,FALSE)/100)))))))),0)</f>
        <v>2.4837999999999999E-2</v>
      </c>
      <c r="BQ386">
        <f t="shared" ref="BQ386:BQ393" si="940">1+BH386*(AN386-BP386)+(AN386-BP386)^2</f>
        <v>1.6210933757313299</v>
      </c>
      <c r="BR386">
        <f t="shared" ref="BR386:BR393" si="941">BQ386*S386</f>
        <v>265676737.97849637</v>
      </c>
      <c r="BS386">
        <f t="shared" ref="BS386:BS393" si="942">BR386-AC386</f>
        <v>137138031.97849637</v>
      </c>
      <c r="BU386">
        <f t="shared" si="928"/>
        <v>14</v>
      </c>
      <c r="BV386">
        <f t="shared" ref="BV386:BV393" si="943">1+(BH386+BU386)*(AN386-BK386)+(AN386-BK386)^2*BI386</f>
        <v>2.7010564854230448</v>
      </c>
      <c r="BW386">
        <f t="shared" ref="BW386:BW393" si="944">BV386*J386</f>
        <v>11413176.42527432</v>
      </c>
      <c r="BX386" s="5">
        <f t="shared" ref="BX386:BX393" si="945">(BM386+BW386-O386)*BK386</f>
        <v>6483614.5694375662</v>
      </c>
      <c r="BY386" s="5">
        <f t="shared" ref="BY386:BY393" si="946">BK386*(BN386+BW386-O386)</f>
        <v>3185643.7318035662</v>
      </c>
      <c r="BZ386" s="5">
        <f t="shared" ref="BZ386:BZ393" si="947">SUM(J386:K386)</f>
        <v>16781095</v>
      </c>
      <c r="CA386" s="5">
        <f t="shared" ref="CA386:CA393" si="948">SUM(BW386+BY386)</f>
        <v>14598820.157077886</v>
      </c>
      <c r="CC386" s="5">
        <f t="shared" ref="CC386:CC393" si="949">BR386</f>
        <v>265676737.97849637</v>
      </c>
      <c r="CD386" s="5" t="str">
        <f t="shared" ref="CD386:CD393" si="950">F386</f>
        <v>Texas</v>
      </c>
      <c r="CE386" s="5">
        <f t="shared" si="927"/>
        <v>0.78431121372222845</v>
      </c>
      <c r="CF386" s="10">
        <f t="shared" ref="CF386:CF393" si="951">AC386/CC386</f>
        <v>0.48381618570762414</v>
      </c>
    </row>
    <row r="387" spans="1:84" x14ac:dyDescent="0.2">
      <c r="A387">
        <v>44000000011101</v>
      </c>
      <c r="B387">
        <v>2016</v>
      </c>
      <c r="C387">
        <v>569</v>
      </c>
      <c r="D387" t="s">
        <v>66</v>
      </c>
      <c r="E387">
        <v>8</v>
      </c>
      <c r="F387" t="s">
        <v>67</v>
      </c>
      <c r="G387" t="s">
        <v>68</v>
      </c>
      <c r="H387" t="s">
        <v>69</v>
      </c>
      <c r="I387" t="b">
        <v>1</v>
      </c>
      <c r="J387">
        <v>4392077</v>
      </c>
      <c r="K387">
        <v>12896571</v>
      </c>
      <c r="M387">
        <v>373669</v>
      </c>
      <c r="O387">
        <v>9379123</v>
      </c>
      <c r="P387">
        <v>373419</v>
      </c>
      <c r="Q387">
        <v>7909775</v>
      </c>
      <c r="R387">
        <v>163887375</v>
      </c>
      <c r="S387">
        <v>171797150</v>
      </c>
      <c r="T387">
        <v>1483390</v>
      </c>
      <c r="U387">
        <v>1675631</v>
      </c>
      <c r="V387">
        <v>2943669</v>
      </c>
      <c r="W387">
        <v>9193281</v>
      </c>
      <c r="Y387">
        <v>44403</v>
      </c>
      <c r="Z387">
        <v>-29095</v>
      </c>
      <c r="AA387">
        <v>5469931</v>
      </c>
      <c r="AB387">
        <v>128538706</v>
      </c>
      <c r="AC387">
        <v>134008637</v>
      </c>
      <c r="AD387">
        <v>37788513</v>
      </c>
      <c r="AE387">
        <v>35348669</v>
      </c>
      <c r="AF387">
        <v>2439844</v>
      </c>
      <c r="AG387">
        <v>40742826</v>
      </c>
      <c r="AH387">
        <v>3.6408618292702623E-2</v>
      </c>
      <c r="AI387" t="b">
        <v>1</v>
      </c>
      <c r="AK387">
        <v>0.08</v>
      </c>
      <c r="AL387">
        <v>0.08</v>
      </c>
      <c r="AM387">
        <v>0.08</v>
      </c>
      <c r="AN387">
        <v>0.08</v>
      </c>
      <c r="AO387">
        <v>1</v>
      </c>
      <c r="AP387">
        <v>0</v>
      </c>
      <c r="AS387">
        <v>58483889</v>
      </c>
      <c r="AT387">
        <v>20234651</v>
      </c>
      <c r="AU387" t="s">
        <v>56</v>
      </c>
      <c r="AV387" t="s">
        <v>70</v>
      </c>
      <c r="BB387">
        <f t="shared" si="929"/>
        <v>0.78003993081375333</v>
      </c>
      <c r="BD387">
        <f t="shared" si="930"/>
        <v>20695376</v>
      </c>
      <c r="BE387">
        <f t="shared" si="931"/>
        <v>-17553862</v>
      </c>
      <c r="BF387">
        <f t="shared" si="932"/>
        <v>12.046402399574148</v>
      </c>
      <c r="BG387">
        <f t="shared" si="933"/>
        <v>-10.217784171623336</v>
      </c>
      <c r="BH387">
        <f t="shared" si="934"/>
        <v>11.132093285598742</v>
      </c>
      <c r="BI387">
        <f t="shared" si="935"/>
        <v>91.43091139754064</v>
      </c>
      <c r="BJ387">
        <f t="shared" si="936"/>
        <v>11</v>
      </c>
      <c r="BK387">
        <f>IF($BJ387&lt;=30,IF($B387=2015,VLOOKUP($BJ387,'Treasury Yields'!$C$5:$N$34,$E387,FALSE)/100,IF($B387=2016,VLOOKUP($BJ387,'Treasury Yields'!$C$40:$N$69,$E387,FALSE)/100,IF($B387=2017,VLOOKUP($BJ387,'Treasury Yields'!$C$75:$N$104,$E387,FALSE)/100,IF($B387=2018,VLOOKUP($BJ387,'Treasury Yields'!$C$110:$N$139,$E387,FALSE)/100,IF($B387=2019,VLOOKUP($BJ387,'Treasury Yields'!$C$145:$N$174,$E387,FALSE)/100,IF($B387=2020,VLOOKUP($BJ387,'Treasury Yields'!$C$180:$N$209,$E387,FALSE)/100,IF($B387=2021,VLOOKUP($BJ387,'Treasury Yields'!$C$215:$N$244,$E387,FALSE)/100,IF($B387=2022,VLOOKUP($BJ387,'Treasury Yields'!$C$250:$N$279,$E387,FALSE)/100)))))))),0)</f>
        <v>2.4837999999999999E-2</v>
      </c>
      <c r="BL387">
        <f t="shared" si="937"/>
        <v>1.617111376064198</v>
      </c>
      <c r="BM387">
        <f t="shared" si="938"/>
        <v>265024138.50579923</v>
      </c>
      <c r="BN387">
        <f t="shared" si="939"/>
        <v>136485432.50579923</v>
      </c>
      <c r="BP387">
        <f>IF($BJ387&lt;=30,IF($B387=2015,VLOOKUP($BJ387,'Treasury Yields'!$C$40:$N$69,$E387,FALSE)/100,IF($B387=2016,VLOOKUP($BJ387,'Treasury Yields'!$C$75:$N$104,$E387,FALSE)/100,IF($B387=2017,VLOOKUP($BJ387,'Treasury Yields'!$C$110:$N$139,$E387,FALSE)/100,IF($B387=2018,VLOOKUP($BJ387,'Treasury Yields'!$C$145:$N$174,$E387,FALSE)/100,IF($B387=2019,VLOOKUP($BJ387,'Treasury Yields'!$C$180:$N$209,$E387,FALSE)/100,IF($B387=2020,VLOOKUP($BJ387,'Treasury Yields'!$C$215:$N$244,$E387,FALSE)/100,IF($B387=2021,VLOOKUP($BJ387,'Treasury Yields'!$C$250:$N$279,$E387,FALSE)/100,IF($B387=2022,VLOOKUP($BJ387,'Treasury Yields'!$C$285:$N$314,$E387,FALSE)/100)))))))),0)</f>
        <v>1.7736000000000002E-2</v>
      </c>
      <c r="BQ387">
        <f t="shared" si="940"/>
        <v>1.6970054620305199</v>
      </c>
      <c r="BR387">
        <f t="shared" si="941"/>
        <v>291540701.91127652</v>
      </c>
      <c r="BS387">
        <f t="shared" si="942"/>
        <v>157532064.91127652</v>
      </c>
      <c r="BU387">
        <f t="shared" si="928"/>
        <v>14</v>
      </c>
      <c r="BV387">
        <f t="shared" si="943"/>
        <v>2.6645467351517014</v>
      </c>
      <c r="BW387">
        <f t="shared" si="944"/>
        <v>11702894.430884879</v>
      </c>
      <c r="BX387" s="5">
        <f t="shared" si="945"/>
        <v>6640387.3870073603</v>
      </c>
      <c r="BY387" s="5">
        <f t="shared" si="946"/>
        <v>3447743.0073793596</v>
      </c>
      <c r="BZ387" s="5">
        <f t="shared" si="947"/>
        <v>17288648</v>
      </c>
      <c r="CA387" s="5">
        <f t="shared" si="948"/>
        <v>15150637.43826424</v>
      </c>
      <c r="CC387" s="5">
        <f t="shared" si="949"/>
        <v>291540701.91127652</v>
      </c>
      <c r="CD387" s="5" t="str">
        <f t="shared" si="950"/>
        <v>Texas</v>
      </c>
      <c r="CE387" s="5">
        <f t="shared" si="927"/>
        <v>0.78003993081375333</v>
      </c>
      <c r="CF387" s="10">
        <f t="shared" si="951"/>
        <v>0.45965670015016408</v>
      </c>
    </row>
    <row r="388" spans="1:84" x14ac:dyDescent="0.2">
      <c r="A388">
        <v>44000000011101</v>
      </c>
      <c r="B388">
        <v>2017</v>
      </c>
      <c r="C388">
        <v>569</v>
      </c>
      <c r="D388" t="s">
        <v>66</v>
      </c>
      <c r="E388">
        <v>8</v>
      </c>
      <c r="F388" t="s">
        <v>67</v>
      </c>
      <c r="G388" t="s">
        <v>68</v>
      </c>
      <c r="H388" t="s">
        <v>69</v>
      </c>
      <c r="I388" t="b">
        <v>1</v>
      </c>
      <c r="J388">
        <v>4489046</v>
      </c>
      <c r="K388">
        <v>13515486</v>
      </c>
      <c r="M388">
        <v>-969831</v>
      </c>
      <c r="N388">
        <v>700880</v>
      </c>
      <c r="O388">
        <v>9775775</v>
      </c>
      <c r="P388">
        <v>420421</v>
      </c>
      <c r="Q388">
        <v>7539385</v>
      </c>
      <c r="R388">
        <v>171797150</v>
      </c>
      <c r="S388">
        <v>179336535</v>
      </c>
      <c r="T388">
        <v>1588309</v>
      </c>
      <c r="U388">
        <v>1697963</v>
      </c>
      <c r="V388">
        <v>3242556</v>
      </c>
      <c r="W388">
        <v>17079807</v>
      </c>
      <c r="Y388">
        <v>44190</v>
      </c>
      <c r="Z388">
        <v>-14964</v>
      </c>
      <c r="AA388">
        <v>13353285</v>
      </c>
      <c r="AB388">
        <v>134008637</v>
      </c>
      <c r="AC388">
        <v>147361922</v>
      </c>
      <c r="AD388">
        <v>31974613</v>
      </c>
      <c r="AE388">
        <v>37788513</v>
      </c>
      <c r="AF388">
        <v>-5813900</v>
      </c>
      <c r="AG388">
        <v>42111120</v>
      </c>
      <c r="AH388">
        <v>3.7717092302460731E-2</v>
      </c>
      <c r="AI388" t="b">
        <v>1</v>
      </c>
      <c r="AJ388">
        <v>1</v>
      </c>
      <c r="AK388">
        <v>0.08</v>
      </c>
      <c r="AL388">
        <v>0.08</v>
      </c>
      <c r="AM388">
        <v>0.08</v>
      </c>
      <c r="AN388">
        <v>0.08</v>
      </c>
      <c r="AO388">
        <v>1</v>
      </c>
      <c r="AP388">
        <v>0</v>
      </c>
      <c r="AS388">
        <v>53902880</v>
      </c>
      <c r="AT388">
        <v>13715772</v>
      </c>
      <c r="AU388" t="s">
        <v>58</v>
      </c>
      <c r="AV388" t="s">
        <v>71</v>
      </c>
      <c r="BB388">
        <f t="shared" si="929"/>
        <v>0.82170608459676109</v>
      </c>
      <c r="BD388">
        <f t="shared" si="930"/>
        <v>21928267</v>
      </c>
      <c r="BE388">
        <f t="shared" si="931"/>
        <v>-18258841</v>
      </c>
      <c r="BF388">
        <f t="shared" si="932"/>
        <v>12.227439879999912</v>
      </c>
      <c r="BG388">
        <f t="shared" si="933"/>
        <v>-10.181328082423361</v>
      </c>
      <c r="BH388">
        <f t="shared" si="934"/>
        <v>11.204383981211636</v>
      </c>
      <c r="BI388">
        <f t="shared" si="935"/>
        <v>102.30558987882753</v>
      </c>
      <c r="BJ388">
        <f t="shared" si="936"/>
        <v>11</v>
      </c>
      <c r="BK388">
        <f>IF($BJ388&lt;=30,IF($B388=2015,VLOOKUP($BJ388,'Treasury Yields'!$C$5:$N$34,$E388,FALSE)/100,IF($B388=2016,VLOOKUP($BJ388,'Treasury Yields'!$C$40:$N$69,$E388,FALSE)/100,IF($B388=2017,VLOOKUP($BJ388,'Treasury Yields'!$C$75:$N$104,$E388,FALSE)/100,IF($B388=2018,VLOOKUP($BJ388,'Treasury Yields'!$C$110:$N$139,$E388,FALSE)/100,IF($B388=2019,VLOOKUP($BJ388,'Treasury Yields'!$C$145:$N$174,$E388,FALSE)/100,IF($B388=2020,VLOOKUP($BJ388,'Treasury Yields'!$C$180:$N$209,$E388,FALSE)/100,IF($B388=2021,VLOOKUP($BJ388,'Treasury Yields'!$C$215:$N$244,$E388,FALSE)/100,IF($B388=2022,VLOOKUP($BJ388,'Treasury Yields'!$C$250:$N$279,$E388,FALSE)/100)))))))),0)</f>
        <v>1.7736000000000002E-2</v>
      </c>
      <c r="BL388">
        <f t="shared" si="937"/>
        <v>1.7015065699021612</v>
      </c>
      <c r="BM388">
        <f t="shared" si="938"/>
        <v>292313979.41546708</v>
      </c>
      <c r="BN388">
        <f t="shared" si="939"/>
        <v>158305342.41546708</v>
      </c>
      <c r="BP388">
        <f>IF($BJ388&lt;=30,IF($B388=2015,VLOOKUP($BJ388,'Treasury Yields'!$C$40:$N$69,$E388,FALSE)/100,IF($B388=2016,VLOOKUP($BJ388,'Treasury Yields'!$C$75:$N$104,$E388,FALSE)/100,IF($B388=2017,VLOOKUP($BJ388,'Treasury Yields'!$C$110:$N$139,$E388,FALSE)/100,IF($B388=2018,VLOOKUP($BJ388,'Treasury Yields'!$C$145:$N$174,$E388,FALSE)/100,IF($B388=2019,VLOOKUP($BJ388,'Treasury Yields'!$C$180:$N$209,$E388,FALSE)/100,IF($B388=2020,VLOOKUP($BJ388,'Treasury Yields'!$C$215:$N$244,$E388,FALSE)/100,IF($B388=2021,VLOOKUP($BJ388,'Treasury Yields'!$C$250:$N$279,$E388,FALSE)/100,IF($B388=2022,VLOOKUP($BJ388,'Treasury Yields'!$C$285:$N$314,$E388,FALSE)/100)))))))),0)</f>
        <v>2.29824E-2</v>
      </c>
      <c r="BQ388">
        <f t="shared" si="940"/>
        <v>1.6420980907968925</v>
      </c>
      <c r="BR388">
        <f t="shared" si="941"/>
        <v>294488181.73363006</v>
      </c>
      <c r="BS388">
        <f t="shared" si="942"/>
        <v>147126259.73363006</v>
      </c>
      <c r="BU388">
        <f t="shared" si="928"/>
        <v>14</v>
      </c>
      <c r="BV388">
        <f t="shared" si="943"/>
        <v>2.9659446577810402</v>
      </c>
      <c r="BW388">
        <f t="shared" si="944"/>
        <v>13314262.002233347</v>
      </c>
      <c r="BX388" s="5">
        <f t="shared" si="945"/>
        <v>5247239.344384335</v>
      </c>
      <c r="BY388" s="5">
        <f t="shared" si="946"/>
        <v>2870462.1585523351</v>
      </c>
      <c r="BZ388" s="5">
        <f t="shared" si="947"/>
        <v>18004532</v>
      </c>
      <c r="CA388" s="5">
        <f t="shared" si="948"/>
        <v>16184724.160785682</v>
      </c>
      <c r="CC388" s="5">
        <f t="shared" si="949"/>
        <v>294488181.73363006</v>
      </c>
      <c r="CD388" s="5" t="str">
        <f t="shared" si="950"/>
        <v>Texas</v>
      </c>
      <c r="CE388" s="5">
        <f t="shared" si="927"/>
        <v>0.82170608459676109</v>
      </c>
      <c r="CF388" s="10">
        <f t="shared" si="951"/>
        <v>0.50040012177226023</v>
      </c>
    </row>
    <row r="389" spans="1:84" x14ac:dyDescent="0.2">
      <c r="A389">
        <v>44000000011101</v>
      </c>
      <c r="B389">
        <v>2018</v>
      </c>
      <c r="C389">
        <v>569</v>
      </c>
      <c r="D389" t="s">
        <v>66</v>
      </c>
      <c r="E389">
        <v>8</v>
      </c>
      <c r="F389" t="s">
        <v>67</v>
      </c>
      <c r="G389" t="s">
        <v>68</v>
      </c>
      <c r="H389" t="s">
        <v>69</v>
      </c>
      <c r="I389" t="b">
        <v>1</v>
      </c>
      <c r="J389">
        <v>4654171</v>
      </c>
      <c r="K389">
        <v>14109277</v>
      </c>
      <c r="M389">
        <v>0</v>
      </c>
      <c r="N389">
        <v>22106679</v>
      </c>
      <c r="O389">
        <v>10172997</v>
      </c>
      <c r="P389">
        <v>422336</v>
      </c>
      <c r="Q389">
        <v>30274794</v>
      </c>
      <c r="R389">
        <v>179336535</v>
      </c>
      <c r="S389">
        <v>209611329</v>
      </c>
      <c r="T389">
        <v>1671257</v>
      </c>
      <c r="U389">
        <v>1715785</v>
      </c>
      <c r="V389">
        <v>3360773</v>
      </c>
      <c r="W389">
        <v>11242814</v>
      </c>
      <c r="Y389">
        <v>64926</v>
      </c>
      <c r="Z389">
        <v>-123390</v>
      </c>
      <c r="AA389">
        <v>7206980</v>
      </c>
      <c r="AB389">
        <v>147361922</v>
      </c>
      <c r="AC389">
        <v>154568902</v>
      </c>
      <c r="AD389">
        <v>55042427</v>
      </c>
      <c r="AE389">
        <v>31974613</v>
      </c>
      <c r="AF389">
        <v>23067814</v>
      </c>
      <c r="AG389">
        <v>43646405</v>
      </c>
      <c r="AH389">
        <v>3.8290828305332363E-2</v>
      </c>
      <c r="AI389" t="b">
        <v>1</v>
      </c>
      <c r="AJ389">
        <v>1</v>
      </c>
      <c r="AK389">
        <v>0.08</v>
      </c>
      <c r="AL389">
        <v>6.9070000000000006E-2</v>
      </c>
      <c r="AM389">
        <v>7.2499999999999995E-2</v>
      </c>
      <c r="AN389">
        <v>0.08</v>
      </c>
      <c r="AO389">
        <v>1</v>
      </c>
      <c r="AP389">
        <v>3.4299999999999886E-3</v>
      </c>
      <c r="AS389">
        <v>83072221</v>
      </c>
      <c r="AT389">
        <v>32350646</v>
      </c>
      <c r="AU389" t="s">
        <v>72</v>
      </c>
      <c r="AV389" t="s">
        <v>73</v>
      </c>
      <c r="BB389">
        <f t="shared" si="929"/>
        <v>0.7374071942456889</v>
      </c>
      <c r="BD389">
        <f t="shared" si="930"/>
        <v>28029794</v>
      </c>
      <c r="BE389">
        <f t="shared" si="931"/>
        <v>-22691781</v>
      </c>
      <c r="BF389">
        <f t="shared" si="932"/>
        <v>13.372270541732027</v>
      </c>
      <c r="BG389">
        <f t="shared" si="933"/>
        <v>-10.825646260751489</v>
      </c>
      <c r="BH389">
        <f t="shared" si="934"/>
        <v>12.098958401241758</v>
      </c>
      <c r="BI389">
        <f t="shared" si="935"/>
        <v>127.3312140490269</v>
      </c>
      <c r="BJ389">
        <f t="shared" si="936"/>
        <v>12</v>
      </c>
      <c r="BK389">
        <f>IF($BJ389&lt;=30,IF($B389=2015,VLOOKUP($BJ389,'Treasury Yields'!$C$5:$N$34,$E389,FALSE)/100,IF($B389=2016,VLOOKUP($BJ389,'Treasury Yields'!$C$40:$N$69,$E389,FALSE)/100,IF($B389=2017,VLOOKUP($BJ389,'Treasury Yields'!$C$75:$N$104,$E389,FALSE)/100,IF($B389=2018,VLOOKUP($BJ389,'Treasury Yields'!$C$110:$N$139,$E389,FALSE)/100,IF($B389=2019,VLOOKUP($BJ389,'Treasury Yields'!$C$145:$N$174,$E389,FALSE)/100,IF($B389=2020,VLOOKUP($BJ389,'Treasury Yields'!$C$180:$N$209,$E389,FALSE)/100,IF($B389=2021,VLOOKUP($BJ389,'Treasury Yields'!$C$215:$N$244,$E389,FALSE)/100,IF($B389=2022,VLOOKUP($BJ389,'Treasury Yields'!$C$250:$N$279,$E389,FALSE)/100)))))))),0)</f>
        <v>2.3344800000000002E-2</v>
      </c>
      <c r="BL389">
        <f t="shared" si="937"/>
        <v>1.5553180866034999</v>
      </c>
      <c r="BM389">
        <f t="shared" si="938"/>
        <v>278925356.47430158</v>
      </c>
      <c r="BN389">
        <f t="shared" si="939"/>
        <v>131563434.47430158</v>
      </c>
      <c r="BP389">
        <f>IF($BJ389&lt;=30,IF($B389=2015,VLOOKUP($BJ389,'Treasury Yields'!$C$40:$N$69,$E389,FALSE)/100,IF($B389=2016,VLOOKUP($BJ389,'Treasury Yields'!$C$75:$N$104,$E389,FALSE)/100,IF($B389=2017,VLOOKUP($BJ389,'Treasury Yields'!$C$110:$N$139,$E389,FALSE)/100,IF($B389=2018,VLOOKUP($BJ389,'Treasury Yields'!$C$145:$N$174,$E389,FALSE)/100,IF($B389=2019,VLOOKUP($BJ389,'Treasury Yields'!$C$180:$N$209,$E389,FALSE)/100,IF($B389=2020,VLOOKUP($BJ389,'Treasury Yields'!$C$215:$N$244,$E389,FALSE)/100,IF($B389=2021,VLOOKUP($BJ389,'Treasury Yields'!$C$250:$N$279,$E389,FALSE)/100,IF($B389=2022,VLOOKUP($BJ389,'Treasury Yields'!$C$285:$N$314,$E389,FALSE)/100)))))))),0)</f>
        <v>2.8935352380952385E-2</v>
      </c>
      <c r="BQ389">
        <f t="shared" si="940"/>
        <v>1.6204366455533836</v>
      </c>
      <c r="BR389">
        <f t="shared" si="941"/>
        <v>339661878.83474666</v>
      </c>
      <c r="BS389">
        <f t="shared" si="942"/>
        <v>185092976.83474666</v>
      </c>
      <c r="BU389">
        <f t="shared" si="928"/>
        <v>15</v>
      </c>
      <c r="BV389">
        <f t="shared" si="943"/>
        <v>2.9440061269935907</v>
      </c>
      <c r="BW389">
        <f t="shared" si="944"/>
        <v>13701907.940075887</v>
      </c>
      <c r="BX389" s="5">
        <f t="shared" si="945"/>
        <v>6593838.3819351597</v>
      </c>
      <c r="BY389" s="5">
        <f t="shared" si="946"/>
        <v>3153703.7852295591</v>
      </c>
      <c r="BZ389" s="5">
        <f t="shared" si="947"/>
        <v>18763448</v>
      </c>
      <c r="CA389" s="5">
        <f t="shared" si="948"/>
        <v>16855611.725305445</v>
      </c>
      <c r="CC389" s="5">
        <f t="shared" si="949"/>
        <v>339661878.83474666</v>
      </c>
      <c r="CD389" s="5" t="str">
        <f t="shared" si="950"/>
        <v>Texas</v>
      </c>
      <c r="CE389" s="5">
        <f t="shared" si="927"/>
        <v>0.7374071942456889</v>
      </c>
      <c r="CF389" s="10">
        <f t="shared" si="951"/>
        <v>0.45506696992393819</v>
      </c>
    </row>
    <row r="390" spans="1:84" x14ac:dyDescent="0.2">
      <c r="A390">
        <v>44000000011101</v>
      </c>
      <c r="B390">
        <v>2019</v>
      </c>
      <c r="C390">
        <v>569</v>
      </c>
      <c r="D390" t="s">
        <v>66</v>
      </c>
      <c r="E390">
        <v>8</v>
      </c>
      <c r="F390" t="s">
        <v>67</v>
      </c>
      <c r="G390" t="s">
        <v>68</v>
      </c>
      <c r="H390" t="s">
        <v>69</v>
      </c>
      <c r="I390" t="b">
        <v>1</v>
      </c>
      <c r="J390">
        <v>5642075</v>
      </c>
      <c r="K390">
        <v>14267256</v>
      </c>
      <c r="M390">
        <v>-982694</v>
      </c>
      <c r="N390">
        <v>-7425279</v>
      </c>
      <c r="O390">
        <v>11253729</v>
      </c>
      <c r="P390">
        <v>486461</v>
      </c>
      <c r="Q390">
        <v>349996</v>
      </c>
      <c r="R390">
        <v>209611329</v>
      </c>
      <c r="S390">
        <v>209961325</v>
      </c>
      <c r="T390">
        <v>1761822</v>
      </c>
      <c r="U390">
        <v>1737852</v>
      </c>
      <c r="V390">
        <v>3482870</v>
      </c>
      <c r="W390">
        <v>7669029</v>
      </c>
      <c r="Y390">
        <v>60486</v>
      </c>
      <c r="Z390">
        <v>558400</v>
      </c>
      <c r="AA390">
        <v>3409297</v>
      </c>
      <c r="AB390">
        <v>154568902</v>
      </c>
      <c r="AC390">
        <v>157978199</v>
      </c>
      <c r="AD390">
        <v>51983126</v>
      </c>
      <c r="AE390">
        <v>55042427</v>
      </c>
      <c r="AF390">
        <v>-3059301</v>
      </c>
      <c r="AG390">
        <v>45232074</v>
      </c>
      <c r="AH390">
        <v>3.895072332964436E-2</v>
      </c>
      <c r="AI390" t="b">
        <v>1</v>
      </c>
      <c r="AK390">
        <v>6.9070000000000006E-2</v>
      </c>
      <c r="AL390">
        <v>7.2499999999999995E-2</v>
      </c>
      <c r="AM390">
        <v>7.2499999999999995E-2</v>
      </c>
      <c r="AN390">
        <v>7.2499999999999995E-2</v>
      </c>
      <c r="AO390">
        <v>1</v>
      </c>
      <c r="AP390">
        <v>0</v>
      </c>
      <c r="AQ390">
        <v>2.63E-2</v>
      </c>
      <c r="AS390">
        <v>79905617</v>
      </c>
      <c r="AT390">
        <v>29360519</v>
      </c>
      <c r="AU390" t="s">
        <v>54</v>
      </c>
      <c r="AV390" t="s">
        <v>74</v>
      </c>
      <c r="BB390">
        <f t="shared" si="929"/>
        <v>0.75241570798812596</v>
      </c>
      <c r="BD390">
        <f t="shared" si="930"/>
        <v>27922491</v>
      </c>
      <c r="BE390">
        <f t="shared" si="931"/>
        <v>-22622607</v>
      </c>
      <c r="BF390">
        <f t="shared" si="932"/>
        <v>13.298873494916267</v>
      </c>
      <c r="BG390">
        <f t="shared" si="933"/>
        <v>-10.774654332172842</v>
      </c>
      <c r="BH390">
        <f t="shared" si="934"/>
        <v>12.036763913544554</v>
      </c>
      <c r="BI390">
        <f t="shared" si="935"/>
        <v>126.21095813717122</v>
      </c>
      <c r="BJ390">
        <f t="shared" si="936"/>
        <v>12</v>
      </c>
      <c r="BK390">
        <f>IF($BJ390&lt;=30,IF($B390=2015,VLOOKUP($BJ390,'Treasury Yields'!$C$5:$N$34,$E390,FALSE)/100,IF($B390=2016,VLOOKUP($BJ390,'Treasury Yields'!$C$40:$N$69,$E390,FALSE)/100,IF($B390=2017,VLOOKUP($BJ390,'Treasury Yields'!$C$75:$N$104,$E390,FALSE)/100,IF($B390=2018,VLOOKUP($BJ390,'Treasury Yields'!$C$110:$N$139,$E390,FALSE)/100,IF($B390=2019,VLOOKUP($BJ390,'Treasury Yields'!$C$145:$N$174,$E390,FALSE)/100,IF($B390=2020,VLOOKUP($BJ390,'Treasury Yields'!$C$180:$N$209,$E390,FALSE)/100,IF($B390=2021,VLOOKUP($BJ390,'Treasury Yields'!$C$215:$N$244,$E390,FALSE)/100,IF($B390=2022,VLOOKUP($BJ390,'Treasury Yields'!$C$250:$N$279,$E390,FALSE)/100)))))))),0)</f>
        <v>2.8935352380952385E-2</v>
      </c>
      <c r="BL390">
        <f t="shared" si="937"/>
        <v>1.5262752568894087</v>
      </c>
      <c r="BM390">
        <f t="shared" si="938"/>
        <v>319924585.01640534</v>
      </c>
      <c r="BN390">
        <f t="shared" si="939"/>
        <v>165355683.01640534</v>
      </c>
      <c r="BP390">
        <f>IF($BJ390&lt;=30,IF($B390=2015,VLOOKUP($BJ390,'Treasury Yields'!$C$40:$N$69,$E390,FALSE)/100,IF($B390=2016,VLOOKUP($BJ390,'Treasury Yields'!$C$75:$N$104,$E390,FALSE)/100,IF($B390=2017,VLOOKUP($BJ390,'Treasury Yields'!$C$110:$N$139,$E390,FALSE)/100,IF($B390=2018,VLOOKUP($BJ390,'Treasury Yields'!$C$145:$N$174,$E390,FALSE)/100,IF($B390=2019,VLOOKUP($BJ390,'Treasury Yields'!$C$180:$N$209,$E390,FALSE)/100,IF($B390=2020,VLOOKUP($BJ390,'Treasury Yields'!$C$215:$N$244,$E390,FALSE)/100,IF($B390=2021,VLOOKUP($BJ390,'Treasury Yields'!$C$250:$N$279,$E390,FALSE)/100,IF($B390=2022,VLOOKUP($BJ390,'Treasury Yields'!$C$285:$N$314,$E390,FALSE)/100)))))))),0)</f>
        <v>1.6945999999999999E-2</v>
      </c>
      <c r="BQ390">
        <f t="shared" si="940"/>
        <v>1.6717766293690541</v>
      </c>
      <c r="BR390">
        <f t="shared" si="941"/>
        <v>351008436.20636052</v>
      </c>
      <c r="BS390">
        <f t="shared" si="942"/>
        <v>193030237.20636052</v>
      </c>
      <c r="BU390">
        <f t="shared" si="928"/>
        <v>15</v>
      </c>
      <c r="BV390">
        <f t="shared" si="943"/>
        <v>2.4173801593642112</v>
      </c>
      <c r="BW390">
        <f t="shared" si="944"/>
        <v>13639040.162644831</v>
      </c>
      <c r="BX390" s="5">
        <f t="shared" si="945"/>
        <v>9326150.4218089953</v>
      </c>
      <c r="BY390" s="5">
        <f t="shared" si="946"/>
        <v>4853644.7753021</v>
      </c>
      <c r="BZ390" s="5">
        <f t="shared" si="947"/>
        <v>19909331</v>
      </c>
      <c r="CA390" s="5">
        <f t="shared" si="948"/>
        <v>18492684.937946931</v>
      </c>
      <c r="CC390" s="5">
        <f t="shared" si="949"/>
        <v>351008436.20636052</v>
      </c>
      <c r="CD390" s="5" t="str">
        <f t="shared" si="950"/>
        <v>Texas</v>
      </c>
      <c r="CE390" s="5">
        <f t="shared" si="927"/>
        <v>0.75241570798812596</v>
      </c>
      <c r="CF390" s="10">
        <f t="shared" si="951"/>
        <v>0.45006952171122011</v>
      </c>
    </row>
    <row r="391" spans="1:84" x14ac:dyDescent="0.2">
      <c r="A391">
        <v>44000000011101</v>
      </c>
      <c r="B391">
        <v>2020</v>
      </c>
      <c r="C391">
        <v>569</v>
      </c>
      <c r="D391" t="s">
        <v>66</v>
      </c>
      <c r="E391">
        <v>8</v>
      </c>
      <c r="F391" t="s">
        <v>67</v>
      </c>
      <c r="G391" t="s">
        <v>68</v>
      </c>
      <c r="H391" t="s">
        <v>69</v>
      </c>
      <c r="I391" t="b">
        <v>1</v>
      </c>
      <c r="J391">
        <v>5651647</v>
      </c>
      <c r="K391">
        <v>15014048</v>
      </c>
      <c r="M391">
        <v>-259157</v>
      </c>
      <c r="N391">
        <v>0</v>
      </c>
      <c r="O391">
        <v>10972292</v>
      </c>
      <c r="P391">
        <v>421366</v>
      </c>
      <c r="Q391">
        <v>9012880</v>
      </c>
      <c r="R391">
        <v>209961325</v>
      </c>
      <c r="S391">
        <v>218974205</v>
      </c>
      <c r="T391">
        <v>2016482</v>
      </c>
      <c r="U391">
        <v>2107999</v>
      </c>
      <c r="V391">
        <v>3736877</v>
      </c>
      <c r="W391">
        <v>11032131</v>
      </c>
      <c r="Y391">
        <v>67136</v>
      </c>
      <c r="Z391">
        <v>-31435</v>
      </c>
      <c r="AA391">
        <v>7438046</v>
      </c>
      <c r="AB391">
        <v>157978199</v>
      </c>
      <c r="AC391">
        <v>165416245</v>
      </c>
      <c r="AD391">
        <v>53557960</v>
      </c>
      <c r="AE391">
        <v>51983126</v>
      </c>
      <c r="AF391">
        <v>1574834</v>
      </c>
      <c r="AG391">
        <v>48530876</v>
      </c>
      <c r="AH391">
        <v>4.1550496636409369E-2</v>
      </c>
      <c r="AI391" t="b">
        <v>1</v>
      </c>
      <c r="AK391">
        <v>7.2499999999999995E-2</v>
      </c>
      <c r="AL391">
        <v>7.2499999999999995E-2</v>
      </c>
      <c r="AM391">
        <v>7.2499999999999995E-2</v>
      </c>
      <c r="AN391">
        <v>7.2499999999999995E-2</v>
      </c>
      <c r="AO391">
        <v>1</v>
      </c>
      <c r="AP391">
        <v>0</v>
      </c>
      <c r="AQ391">
        <v>2.3300000000000001E-2</v>
      </c>
      <c r="AS391">
        <v>82585416</v>
      </c>
      <c r="AT391">
        <v>29973788</v>
      </c>
      <c r="AU391" t="s">
        <v>75</v>
      </c>
      <c r="AV391" t="s">
        <v>76</v>
      </c>
      <c r="BB391">
        <f t="shared" si="929"/>
        <v>0.75541429640080204</v>
      </c>
      <c r="BD391">
        <f t="shared" si="930"/>
        <v>29027456</v>
      </c>
      <c r="BE391">
        <f t="shared" si="931"/>
        <v>-23584172</v>
      </c>
      <c r="BF391">
        <f t="shared" si="932"/>
        <v>13.256107494487765</v>
      </c>
      <c r="BG391">
        <f t="shared" si="933"/>
        <v>-10.770296894102207</v>
      </c>
      <c r="BH391">
        <f t="shared" si="934"/>
        <v>12.013202194294987</v>
      </c>
      <c r="BI391">
        <f t="shared" si="935"/>
        <v>124.29053001927784</v>
      </c>
      <c r="BJ391">
        <f t="shared" si="936"/>
        <v>12</v>
      </c>
      <c r="BK391">
        <f>IF($BJ391&lt;=30,IF($B391=2015,VLOOKUP($BJ391,'Treasury Yields'!$C$5:$N$34,$E391,FALSE)/100,IF($B391=2016,VLOOKUP($BJ391,'Treasury Yields'!$C$40:$N$69,$E391,FALSE)/100,IF($B391=2017,VLOOKUP($BJ391,'Treasury Yields'!$C$75:$N$104,$E391,FALSE)/100,IF($B391=2018,VLOOKUP($BJ391,'Treasury Yields'!$C$110:$N$139,$E391,FALSE)/100,IF($B391=2019,VLOOKUP($BJ391,'Treasury Yields'!$C$145:$N$174,$E391,FALSE)/100,IF($B391=2020,VLOOKUP($BJ391,'Treasury Yields'!$C$180:$N$209,$E391,FALSE)/100,IF($B391=2021,VLOOKUP($BJ391,'Treasury Yields'!$C$215:$N$244,$E391,FALSE)/100,IF($B391=2022,VLOOKUP($BJ391,'Treasury Yields'!$C$250:$N$279,$E391,FALSE)/100)))))))),0)</f>
        <v>1.6945999999999999E-2</v>
      </c>
      <c r="BL391">
        <f t="shared" si="937"/>
        <v>1.6704676816178636</v>
      </c>
      <c r="BM391">
        <f t="shared" si="938"/>
        <v>350733607.80216479</v>
      </c>
      <c r="BN391">
        <f t="shared" si="939"/>
        <v>192755408.80216479</v>
      </c>
      <c r="BP391">
        <f>IF($BJ391&lt;=30,IF($B391=2015,VLOOKUP($BJ391,'Treasury Yields'!$C$40:$N$69,$E391,FALSE)/100,IF($B391=2016,VLOOKUP($BJ391,'Treasury Yields'!$C$75:$N$104,$E391,FALSE)/100,IF($B391=2017,VLOOKUP($BJ391,'Treasury Yields'!$C$110:$N$139,$E391,FALSE)/100,IF($B391=2018,VLOOKUP($BJ391,'Treasury Yields'!$C$145:$N$174,$E391,FALSE)/100,IF($B391=2019,VLOOKUP($BJ391,'Treasury Yields'!$C$180:$N$209,$E391,FALSE)/100,IF($B391=2020,VLOOKUP($BJ391,'Treasury Yields'!$C$215:$N$244,$E391,FALSE)/100,IF($B391=2021,VLOOKUP($BJ391,'Treasury Yields'!$C$250:$N$279,$E391,FALSE)/100,IF($B391=2022,VLOOKUP($BJ391,'Treasury Yields'!$C$285:$N$314,$E391,FALSE)/100)))))))),0)</f>
        <v>1.2643047619047618E-2</v>
      </c>
      <c r="BQ391">
        <f t="shared" si="940"/>
        <v>1.7226565264350033</v>
      </c>
      <c r="BR391">
        <f t="shared" si="941"/>
        <v>377217343.36416632</v>
      </c>
      <c r="BS391">
        <f t="shared" si="942"/>
        <v>211801098.36416632</v>
      </c>
      <c r="BU391">
        <f t="shared" si="928"/>
        <v>15</v>
      </c>
      <c r="BV391">
        <f t="shared" si="943"/>
        <v>2.8842826996618651</v>
      </c>
      <c r="BW391">
        <f t="shared" si="944"/>
        <v>16300947.666695882</v>
      </c>
      <c r="BX391" s="5">
        <f t="shared" si="945"/>
        <v>6033831.1167433131</v>
      </c>
      <c r="BY391" s="5">
        <f t="shared" si="946"/>
        <v>3356732.556489313</v>
      </c>
      <c r="BZ391" s="5">
        <f t="shared" si="947"/>
        <v>20665695</v>
      </c>
      <c r="CA391" s="5">
        <f t="shared" si="948"/>
        <v>19657680.223185197</v>
      </c>
      <c r="CC391" s="5">
        <f t="shared" si="949"/>
        <v>377217343.36416632</v>
      </c>
      <c r="CD391" s="5" t="str">
        <f t="shared" si="950"/>
        <v>Texas</v>
      </c>
      <c r="CE391" s="5">
        <f t="shared" si="927"/>
        <v>0.75541429640080204</v>
      </c>
      <c r="CF391" s="10">
        <f t="shared" si="951"/>
        <v>0.43851707221294661</v>
      </c>
    </row>
    <row r="392" spans="1:84" x14ac:dyDescent="0.2">
      <c r="A392">
        <v>44000000011101</v>
      </c>
      <c r="B392">
        <v>2021</v>
      </c>
      <c r="C392">
        <v>569</v>
      </c>
      <c r="D392" t="s">
        <v>66</v>
      </c>
      <c r="E392">
        <v>8</v>
      </c>
      <c r="F392" t="s">
        <v>67</v>
      </c>
      <c r="G392" t="s">
        <v>68</v>
      </c>
      <c r="H392" t="s">
        <v>69</v>
      </c>
      <c r="I392" t="b">
        <v>1</v>
      </c>
      <c r="J392">
        <v>5793398</v>
      </c>
      <c r="K392">
        <v>15645734</v>
      </c>
      <c r="M392">
        <v>-1004527</v>
      </c>
      <c r="O392">
        <v>11686211</v>
      </c>
      <c r="P392">
        <v>449136</v>
      </c>
      <c r="Q392">
        <v>8299259</v>
      </c>
      <c r="R392">
        <v>218974205</v>
      </c>
      <c r="S392">
        <v>227273464</v>
      </c>
      <c r="T392">
        <v>2124028</v>
      </c>
      <c r="U392">
        <v>2140553</v>
      </c>
      <c r="V392">
        <v>3839244</v>
      </c>
      <c r="W392">
        <v>40512139</v>
      </c>
      <c r="Y392">
        <v>71360</v>
      </c>
      <c r="Z392">
        <v>-18500</v>
      </c>
      <c r="AA392">
        <v>36390757</v>
      </c>
      <c r="AB392">
        <v>165416245</v>
      </c>
      <c r="AC392">
        <v>201807002</v>
      </c>
      <c r="AD392">
        <v>25466461</v>
      </c>
      <c r="AE392">
        <v>53557960</v>
      </c>
      <c r="AF392">
        <v>-28091499</v>
      </c>
      <c r="AG392">
        <v>49860307</v>
      </c>
      <c r="AI392" t="b">
        <v>1</v>
      </c>
      <c r="AK392">
        <v>7.2499999999999995E-2</v>
      </c>
      <c r="AL392">
        <v>7.2499999999999995E-2</v>
      </c>
      <c r="AM392">
        <v>7.2499999999999995E-2</v>
      </c>
      <c r="AN392">
        <v>7.2499999999999995E-2</v>
      </c>
      <c r="AS392">
        <v>55648260</v>
      </c>
      <c r="AT392">
        <v>979861</v>
      </c>
      <c r="BB392">
        <f t="shared" si="929"/>
        <v>0.8879479304279887</v>
      </c>
      <c r="BD392">
        <f t="shared" si="930"/>
        <v>30181799</v>
      </c>
      <c r="BE392">
        <f t="shared" si="931"/>
        <v>-24486600</v>
      </c>
      <c r="BF392">
        <f t="shared" si="932"/>
        <v>13.279948511718903</v>
      </c>
      <c r="BG392">
        <f t="shared" si="933"/>
        <v>-10.774069074777687</v>
      </c>
      <c r="BH392">
        <f t="shared" si="934"/>
        <v>12.027008793248296</v>
      </c>
      <c r="BI392">
        <f t="shared" si="935"/>
        <v>125.29397184706085</v>
      </c>
      <c r="BJ392">
        <f t="shared" si="936"/>
        <v>12</v>
      </c>
      <c r="BK392">
        <f>IF($BJ392&lt;=30,IF($B392=2015,VLOOKUP($BJ392,'Treasury Yields'!$C$5:$N$34,$E392,FALSE)/100,IF($B392=2016,VLOOKUP($BJ392,'Treasury Yields'!$C$40:$N$69,$E392,FALSE)/100,IF($B392=2017,VLOOKUP($BJ392,'Treasury Yields'!$C$75:$N$104,$E392,FALSE)/100,IF($B392=2018,VLOOKUP($BJ392,'Treasury Yields'!$C$110:$N$139,$E392,FALSE)/100,IF($B392=2019,VLOOKUP($BJ392,'Treasury Yields'!$C$145:$N$174,$E392,FALSE)/100,IF($B392=2020,VLOOKUP($BJ392,'Treasury Yields'!$C$180:$N$209,$E392,FALSE)/100,IF($B392=2021,VLOOKUP($BJ392,'Treasury Yields'!$C$215:$N$244,$E392,FALSE)/100,IF($B392=2022,VLOOKUP($BJ392,'Treasury Yields'!$C$250:$N$279,$E392,FALSE)/100)))))))),0)</f>
        <v>1.2643047619047618E-2</v>
      </c>
      <c r="BL392">
        <f t="shared" si="937"/>
        <v>1.7234829473710944</v>
      </c>
      <c r="BM392">
        <f t="shared" si="938"/>
        <v>377398308.23164225</v>
      </c>
      <c r="BN392">
        <f t="shared" si="939"/>
        <v>211982063.23164225</v>
      </c>
      <c r="BP392">
        <f>IF($BJ392&lt;=30,IF($B392=2015,VLOOKUP($BJ392,'Treasury Yields'!$C$40:$N$69,$E392,FALSE)/100,IF($B392=2016,VLOOKUP($BJ392,'Treasury Yields'!$C$75:$N$104,$E392,FALSE)/100,IF($B392=2017,VLOOKUP($BJ392,'Treasury Yields'!$C$110:$N$139,$E392,FALSE)/100,IF($B392=2018,VLOOKUP($BJ392,'Treasury Yields'!$C$145:$N$174,$E392,FALSE)/100,IF($B392=2019,VLOOKUP($BJ392,'Treasury Yields'!$C$180:$N$209,$E392,FALSE)/100,IF($B392=2020,VLOOKUP($BJ392,'Treasury Yields'!$C$215:$N$244,$E392,FALSE)/100,IF($B392=2021,VLOOKUP($BJ392,'Treasury Yields'!$C$250:$N$279,$E392,FALSE)/100,IF($B392=2022,VLOOKUP($BJ392,'Treasury Yields'!$C$285:$N$314,$E392,FALSE)/100)))))))),0)</f>
        <v>1.8741000000000001E-2</v>
      </c>
      <c r="BQ392">
        <f t="shared" si="940"/>
        <v>1.6494499957972351</v>
      </c>
      <c r="BR392">
        <f t="shared" si="941"/>
        <v>374876214.23962307</v>
      </c>
      <c r="BS392">
        <f t="shared" si="942"/>
        <v>173069212.23962307</v>
      </c>
      <c r="BU392">
        <f t="shared" si="928"/>
        <v>15</v>
      </c>
      <c r="BV392">
        <f t="shared" si="943"/>
        <v>3.0666644803071135</v>
      </c>
      <c r="BW392">
        <f t="shared" si="944"/>
        <v>17766407.866882272</v>
      </c>
      <c r="BX392" s="5">
        <f t="shared" si="945"/>
        <v>4848337.0008418402</v>
      </c>
      <c r="BY392" s="5">
        <f t="shared" si="946"/>
        <v>2756971.5383427925</v>
      </c>
      <c r="BZ392" s="5">
        <f t="shared" si="947"/>
        <v>21439132</v>
      </c>
      <c r="CA392" s="5">
        <f t="shared" si="948"/>
        <v>20523379.405225065</v>
      </c>
      <c r="CC392" s="5">
        <f t="shared" si="949"/>
        <v>374876214.23962307</v>
      </c>
      <c r="CD392" s="5" t="str">
        <f t="shared" si="950"/>
        <v>Texas</v>
      </c>
      <c r="CE392" s="5">
        <f t="shared" si="927"/>
        <v>0.8879479304279887</v>
      </c>
      <c r="CF392" s="10">
        <f t="shared" si="951"/>
        <v>0.53832970547180081</v>
      </c>
    </row>
    <row r="393" spans="1:84" x14ac:dyDescent="0.2">
      <c r="A393">
        <v>44000000011101</v>
      </c>
      <c r="B393">
        <v>2022</v>
      </c>
      <c r="C393">
        <v>569</v>
      </c>
      <c r="D393" t="s">
        <v>66</v>
      </c>
      <c r="E393">
        <v>8</v>
      </c>
      <c r="F393" t="s">
        <v>67</v>
      </c>
      <c r="G393" t="s">
        <v>68</v>
      </c>
      <c r="H393" t="s">
        <v>69</v>
      </c>
      <c r="I393" t="b">
        <v>1</v>
      </c>
      <c r="J393">
        <v>6093119</v>
      </c>
      <c r="K393">
        <v>16201213</v>
      </c>
      <c r="M393">
        <v>1043774</v>
      </c>
      <c r="N393">
        <v>6651511</v>
      </c>
      <c r="O393">
        <v>13130574</v>
      </c>
      <c r="P393">
        <v>579462</v>
      </c>
      <c r="Q393">
        <v>16279582</v>
      </c>
      <c r="R393">
        <v>227273464</v>
      </c>
      <c r="S393">
        <v>243553045</v>
      </c>
      <c r="T393">
        <v>2504170</v>
      </c>
      <c r="U393">
        <v>2153483</v>
      </c>
      <c r="V393">
        <v>4213622</v>
      </c>
      <c r="W393">
        <v>-13383751</v>
      </c>
      <c r="Y393">
        <v>62053</v>
      </c>
      <c r="Z393">
        <v>663179</v>
      </c>
      <c r="AA393">
        <v>-17621385</v>
      </c>
      <c r="AB393">
        <v>201807002</v>
      </c>
      <c r="AC393">
        <v>184185617</v>
      </c>
      <c r="AD393">
        <v>59367428</v>
      </c>
      <c r="AE393">
        <v>25466461</v>
      </c>
      <c r="AF393">
        <v>33900967</v>
      </c>
      <c r="AG393">
        <v>52670273</v>
      </c>
      <c r="AI393" t="b">
        <v>1</v>
      </c>
      <c r="AK393">
        <v>7.2499999999999995E-2</v>
      </c>
      <c r="AL393">
        <v>7.0000000000000007E-2</v>
      </c>
      <c r="AM393">
        <v>7.0000000000000007E-2</v>
      </c>
      <c r="AN393">
        <v>7.2499999999999995E-2</v>
      </c>
      <c r="AS393">
        <v>92353209</v>
      </c>
      <c r="AT393">
        <v>32630905</v>
      </c>
      <c r="AV393" t="s">
        <v>77</v>
      </c>
      <c r="BB393">
        <f t="shared" si="929"/>
        <v>0.75624436146959284</v>
      </c>
      <c r="BD393">
        <f t="shared" si="930"/>
        <v>32985781</v>
      </c>
      <c r="BE393">
        <f t="shared" si="931"/>
        <v>-26736523</v>
      </c>
      <c r="BF393">
        <f t="shared" si="932"/>
        <v>13.543571586222624</v>
      </c>
      <c r="BG393">
        <f t="shared" si="933"/>
        <v>-10.977700155627289</v>
      </c>
      <c r="BH393">
        <f t="shared" si="934"/>
        <v>12.260635870924956</v>
      </c>
      <c r="BI393">
        <f t="shared" si="935"/>
        <v>128.29357152976675</v>
      </c>
      <c r="BJ393">
        <f t="shared" si="936"/>
        <v>12</v>
      </c>
      <c r="BK393">
        <f>IF($BJ393&lt;=30,IF($B393=2015,VLOOKUP($BJ393,'Treasury Yields'!$C$5:$N$34,$E393,FALSE)/100,IF($B393=2016,VLOOKUP($BJ393,'Treasury Yields'!$C$40:$N$69,$E393,FALSE)/100,IF($B393=2017,VLOOKUP($BJ393,'Treasury Yields'!$C$75:$N$104,$E393,FALSE)/100,IF($B393=2018,VLOOKUP($BJ393,'Treasury Yields'!$C$110:$N$139,$E393,FALSE)/100,IF($B393=2019,VLOOKUP($BJ393,'Treasury Yields'!$C$145:$N$174,$E393,FALSE)/100,IF($B393=2020,VLOOKUP($BJ393,'Treasury Yields'!$C$180:$N$209,$E393,FALSE)/100,IF($B393=2021,VLOOKUP($BJ393,'Treasury Yields'!$C$215:$N$244,$E393,FALSE)/100,IF($B393=2022,VLOOKUP($BJ393,'Treasury Yields'!$C$250:$N$279,$E393,FALSE)/100)))))))),0)</f>
        <v>1.8741000000000001E-2</v>
      </c>
      <c r="BL393">
        <f t="shared" si="937"/>
        <v>1.6310954191887423</v>
      </c>
      <c r="BM393">
        <f t="shared" si="938"/>
        <v>370704706.03355753</v>
      </c>
      <c r="BN393">
        <f t="shared" si="939"/>
        <v>168897704.03355753</v>
      </c>
      <c r="BP393">
        <f>IF($BJ393&lt;=30,IF($B393=2015,VLOOKUP($BJ393,'Treasury Yields'!$C$40:$N$69,$E393,FALSE)/100,IF($B393=2016,VLOOKUP($BJ393,'Treasury Yields'!$C$75:$N$104,$E393,FALSE)/100,IF($B393=2017,VLOOKUP($BJ393,'Treasury Yields'!$C$110:$N$139,$E393,FALSE)/100,IF($B393=2018,VLOOKUP($BJ393,'Treasury Yields'!$C$145:$N$174,$E393,FALSE)/100,IF($B393=2019,VLOOKUP($BJ393,'Treasury Yields'!$C$180:$N$209,$E393,FALSE)/100,IF($B393=2020,VLOOKUP($BJ393,'Treasury Yields'!$C$215:$N$244,$E393,FALSE)/100,IF($B393=2021,VLOOKUP($BJ393,'Treasury Yields'!$C$250:$N$279,$E393,FALSE)/100,IF($B393=2022,VLOOKUP($BJ393,'Treasury Yields'!$C$285:$N$314,$E393,FALSE)/100)))))))),0)</f>
        <v>3.153434782608696E-2</v>
      </c>
      <c r="BQ393">
        <f t="shared" si="940"/>
        <v>1.5039431291773471</v>
      </c>
      <c r="BR393">
        <f t="shared" si="941"/>
        <v>366289928.61797124</v>
      </c>
      <c r="BS393">
        <f t="shared" si="942"/>
        <v>182104311.61797124</v>
      </c>
      <c r="BU393">
        <f t="shared" si="928"/>
        <v>15</v>
      </c>
      <c r="BV393">
        <f t="shared" si="943"/>
        <v>2.8362768047050055</v>
      </c>
      <c r="BW393">
        <f t="shared" si="944"/>
        <v>17281772.088007357</v>
      </c>
      <c r="BX393" s="5">
        <f t="shared" si="945"/>
        <v>7025174.4991422473</v>
      </c>
      <c r="BY393" s="5">
        <f t="shared" si="946"/>
        <v>3243109.474660248</v>
      </c>
      <c r="BZ393" s="5">
        <f t="shared" si="947"/>
        <v>22294332</v>
      </c>
      <c r="CA393" s="5">
        <f t="shared" si="948"/>
        <v>20524881.562667605</v>
      </c>
      <c r="CC393" s="5">
        <f t="shared" si="949"/>
        <v>366289928.61797124</v>
      </c>
      <c r="CD393" s="5" t="str">
        <f t="shared" si="950"/>
        <v>Texas</v>
      </c>
      <c r="CE393" s="5">
        <f t="shared" si="927"/>
        <v>0.75624436146959284</v>
      </c>
      <c r="CF393" s="10">
        <f t="shared" si="951"/>
        <v>0.50284106280219276</v>
      </c>
    </row>
    <row r="394" spans="1:84" x14ac:dyDescent="0.2">
      <c r="A394">
        <v>45000000004601</v>
      </c>
      <c r="B394">
        <v>2015</v>
      </c>
      <c r="C394">
        <v>461</v>
      </c>
      <c r="D394" t="s">
        <v>621</v>
      </c>
      <c r="E394">
        <v>12</v>
      </c>
      <c r="F394" t="s">
        <v>622</v>
      </c>
      <c r="G394" t="s">
        <v>623</v>
      </c>
      <c r="H394" t="s">
        <v>624</v>
      </c>
      <c r="I394" t="b">
        <v>1</v>
      </c>
      <c r="J394">
        <v>8672</v>
      </c>
      <c r="K394">
        <v>95463</v>
      </c>
      <c r="L394">
        <v>0</v>
      </c>
      <c r="M394">
        <v>-15289</v>
      </c>
      <c r="N394">
        <v>0</v>
      </c>
      <c r="O394">
        <v>81390</v>
      </c>
      <c r="P394">
        <v>1215</v>
      </c>
      <c r="Q394">
        <v>6241</v>
      </c>
      <c r="R394">
        <v>1309800</v>
      </c>
      <c r="S394">
        <v>1316041</v>
      </c>
      <c r="T394">
        <v>11719</v>
      </c>
      <c r="V394">
        <v>4771</v>
      </c>
      <c r="W394">
        <v>21251</v>
      </c>
      <c r="X394">
        <v>-41558</v>
      </c>
      <c r="Y394">
        <v>478</v>
      </c>
      <c r="AA394">
        <v>-86900</v>
      </c>
      <c r="AB394">
        <v>1269991</v>
      </c>
      <c r="AC394">
        <v>1183091</v>
      </c>
      <c r="AD394">
        <v>132950</v>
      </c>
      <c r="AE394">
        <v>39809</v>
      </c>
      <c r="AF394">
        <v>93141</v>
      </c>
      <c r="AG394">
        <v>82426</v>
      </c>
      <c r="AH394">
        <v>0.1421760124232645</v>
      </c>
      <c r="AI394" t="b">
        <v>1</v>
      </c>
      <c r="AK394">
        <v>7.4999999999999997E-2</v>
      </c>
      <c r="AL394">
        <v>7.4999999999999997E-2</v>
      </c>
      <c r="AM394">
        <v>7.4999999999999997E-2</v>
      </c>
      <c r="AN394">
        <v>7.4999999999999997E-2</v>
      </c>
      <c r="AO394">
        <v>1</v>
      </c>
      <c r="AP394">
        <v>0</v>
      </c>
      <c r="AS394">
        <v>265467</v>
      </c>
      <c r="AT394">
        <v>21006</v>
      </c>
      <c r="AU394" t="s">
        <v>625</v>
      </c>
      <c r="BB394">
        <f t="shared" ref="BB394:BB409" si="952">AC394/S394</f>
        <v>0.89897731149713422</v>
      </c>
      <c r="BD394">
        <f t="shared" ref="BD394:BD409" si="953">AS394-AD394</f>
        <v>132517</v>
      </c>
      <c r="BE394">
        <f t="shared" ref="BE394:BE409" si="954">AT394-AD394</f>
        <v>-111944</v>
      </c>
      <c r="BF394">
        <f t="shared" ref="BF394:BF409" si="955">BD394/S394*100</f>
        <v>10.06936713977756</v>
      </c>
      <c r="BG394">
        <f t="shared" ref="BG394:BG409" si="956">BE394/S394*100</f>
        <v>-8.5061179704887611</v>
      </c>
      <c r="BH394">
        <f t="shared" ref="BH394:BH409" si="957">(BD394-BE394)/(2*S394)*100</f>
        <v>9.2877425551331605</v>
      </c>
      <c r="BI394">
        <f t="shared" ref="BI394:BI409" si="958">(BD394+BE394)/(2*S394*(0.01^2))</f>
        <v>78.162458464439922</v>
      </c>
      <c r="BJ394">
        <f t="shared" ref="BJ394:BJ409" si="959">ROUND(BH394,0)</f>
        <v>9</v>
      </c>
      <c r="BK394">
        <f>IF($BJ394&lt;=30,IF($B394=2015,VLOOKUP($BJ394,'Treasury Yields'!$C$5:$N$34,$E394,FALSE)/100,IF($B394=2016,VLOOKUP($BJ394,'Treasury Yields'!$C$40:$N$69,$E394,FALSE)/100,IF($B394=2017,VLOOKUP($BJ394,'Treasury Yields'!$C$75:$N$104,$E394,FALSE)/100,IF($B394=2018,VLOOKUP($BJ394,'Treasury Yields'!$C$110:$N$139,$E394,FALSE)/100,IF($B394=2019,VLOOKUP($BJ394,'Treasury Yields'!$C$145:$N$174,$E394,FALSE)/100,IF($B394=2020,VLOOKUP($BJ394,'Treasury Yields'!$C$180:$N$209,$E394,FALSE)/100,IF($B394=2021,VLOOKUP($BJ394,'Treasury Yields'!$C$215:$N$244,$E394,FALSE)/100,IF($B394=2022,VLOOKUP($BJ394,'Treasury Yields'!$C$250:$N$279,$E394,FALSE)/100)))))))),0)</f>
        <v>2.2599999999999999E-2</v>
      </c>
      <c r="BL394">
        <f t="shared" ref="BL394:BL409" si="960">1+BH394*(AL394-BK394)+(AL394-BK394)^2</f>
        <v>1.4894234698889777</v>
      </c>
      <c r="BM394">
        <f t="shared" ref="BM394:BM409" si="961">BL394*R394</f>
        <v>1950846.8608605829</v>
      </c>
      <c r="BN394">
        <f t="shared" ref="BN394:BN409" si="962">BM394-AB394</f>
        <v>680855.86086058291</v>
      </c>
      <c r="BP394">
        <f>IF($BJ394&lt;=30,IF($B394=2015,VLOOKUP($BJ394,'Treasury Yields'!$C$40:$N$69,$E394,FALSE)/100,IF($B394=2016,VLOOKUP($BJ394,'Treasury Yields'!$C$75:$N$104,$E394,FALSE)/100,IF($B394=2017,VLOOKUP($BJ394,'Treasury Yields'!$C$110:$N$139,$E394,FALSE)/100,IF($B394=2018,VLOOKUP($BJ394,'Treasury Yields'!$C$145:$N$174,$E394,FALSE)/100,IF($B394=2019,VLOOKUP($BJ394,'Treasury Yields'!$C$180:$N$209,$E394,FALSE)/100,IF($B394=2020,VLOOKUP($BJ394,'Treasury Yields'!$C$215:$N$244,$E394,FALSE)/100,IF($B394=2021,VLOOKUP($BJ394,'Treasury Yields'!$C$250:$N$279,$E394,FALSE)/100,IF($B394=2022,VLOOKUP($BJ394,'Treasury Yields'!$C$285:$N$314,$E394,FALSE)/100)))))))),0)</f>
        <v>2.4070000000000001E-2</v>
      </c>
      <c r="BQ394">
        <f t="shared" ref="BQ394:BQ409" si="963">1+BH394*(AN394-BP394)+(AN394-BP394)^2</f>
        <v>1.4756185932329318</v>
      </c>
      <c r="BR394">
        <f t="shared" ref="BR394:BR409" si="964">BQ394*S394</f>
        <v>1941974.5690568606</v>
      </c>
      <c r="BS394">
        <f t="shared" ref="BS394:BS409" si="965">BR394-AC394</f>
        <v>758883.56905686064</v>
      </c>
      <c r="BU394">
        <f t="shared" si="928"/>
        <v>12</v>
      </c>
      <c r="BV394">
        <f t="shared" ref="BV394:BV409" si="966">1+(BH394+BU394)*(AN394-BK394)+(AN394-BK394)^2*BI394</f>
        <v>2.3300930618422981</v>
      </c>
      <c r="BW394">
        <f t="shared" ref="BW394:BW409" si="967">BV394*J394</f>
        <v>20206.567032296411</v>
      </c>
      <c r="BX394" s="5">
        <f t="shared" ref="BX394:BX409" si="968">(BM394+BW394-O394)*BK394</f>
        <v>42706.393470379073</v>
      </c>
      <c r="BY394" s="5">
        <f t="shared" ref="BY394:BY409" si="969">BK394*(BN394+BW394-O394)</f>
        <v>14004.596870379073</v>
      </c>
      <c r="BZ394" s="5">
        <f t="shared" ref="BZ394:BZ409" si="970">SUM(J394:K394)</f>
        <v>104135</v>
      </c>
      <c r="CA394" s="5">
        <f t="shared" ref="CA394:CA409" si="971">SUM(BW394+BY394)</f>
        <v>34211.163902675486</v>
      </c>
      <c r="CC394" s="5">
        <f t="shared" ref="CC394:CC409" si="972">BR394</f>
        <v>1941974.5690568606</v>
      </c>
      <c r="CD394" s="5" t="str">
        <f t="shared" ref="CD394:CD409" si="973">F394</f>
        <v>Utah</v>
      </c>
      <c r="CE394" s="5">
        <f t="shared" si="927"/>
        <v>0.89897731149713422</v>
      </c>
      <c r="CF394" s="10">
        <f t="shared" ref="CF394:CF409" si="974">AC394/CC394</f>
        <v>0.60922064523974684</v>
      </c>
    </row>
    <row r="395" spans="1:84" x14ac:dyDescent="0.2">
      <c r="A395">
        <v>45000000004601</v>
      </c>
      <c r="B395">
        <v>2016</v>
      </c>
      <c r="C395">
        <v>461</v>
      </c>
      <c r="D395" t="s">
        <v>621</v>
      </c>
      <c r="E395">
        <v>12</v>
      </c>
      <c r="F395" t="s">
        <v>622</v>
      </c>
      <c r="G395" t="s">
        <v>623</v>
      </c>
      <c r="H395" t="s">
        <v>624</v>
      </c>
      <c r="I395" t="b">
        <v>1</v>
      </c>
      <c r="J395">
        <v>5673</v>
      </c>
      <c r="K395">
        <v>91894</v>
      </c>
      <c r="L395">
        <v>-45057</v>
      </c>
      <c r="M395">
        <v>-13801</v>
      </c>
      <c r="N395">
        <v>22909</v>
      </c>
      <c r="O395">
        <v>83447</v>
      </c>
      <c r="P395">
        <v>1700</v>
      </c>
      <c r="Q395">
        <v>-23529</v>
      </c>
      <c r="R395">
        <v>1316041</v>
      </c>
      <c r="S395">
        <v>1292512</v>
      </c>
      <c r="T395">
        <v>8188</v>
      </c>
      <c r="V395">
        <v>3420</v>
      </c>
      <c r="W395">
        <v>97693</v>
      </c>
      <c r="X395">
        <v>-1895</v>
      </c>
      <c r="Y395">
        <v>446</v>
      </c>
      <c r="AA395">
        <v>21813</v>
      </c>
      <c r="AB395">
        <v>1183091</v>
      </c>
      <c r="AC395">
        <v>1204904</v>
      </c>
      <c r="AD395">
        <v>87608</v>
      </c>
      <c r="AE395">
        <v>132950</v>
      </c>
      <c r="AF395">
        <v>-45342</v>
      </c>
      <c r="AG395">
        <v>53615</v>
      </c>
      <c r="AH395">
        <v>0.1527184556560664</v>
      </c>
      <c r="AI395" t="b">
        <v>1</v>
      </c>
      <c r="AK395">
        <v>7.4999999999999997E-2</v>
      </c>
      <c r="AL395">
        <v>7.1999999999999995E-2</v>
      </c>
      <c r="AM395">
        <v>7.1999999999999995E-2</v>
      </c>
      <c r="AN395">
        <v>7.4999999999999997E-2</v>
      </c>
      <c r="AO395">
        <v>1</v>
      </c>
      <c r="AP395">
        <v>0</v>
      </c>
      <c r="AS395">
        <v>213702</v>
      </c>
      <c r="AT395">
        <v>-19165</v>
      </c>
      <c r="AU395" t="s">
        <v>625</v>
      </c>
      <c r="AV395" t="s">
        <v>626</v>
      </c>
      <c r="BB395">
        <f t="shared" si="952"/>
        <v>0.93221881112128935</v>
      </c>
      <c r="BD395">
        <f t="shared" si="953"/>
        <v>126094</v>
      </c>
      <c r="BE395">
        <f t="shared" si="954"/>
        <v>-106773</v>
      </c>
      <c r="BF395">
        <f t="shared" si="955"/>
        <v>9.7557314748335031</v>
      </c>
      <c r="BG395">
        <f t="shared" si="956"/>
        <v>-8.2608904211334213</v>
      </c>
      <c r="BH395">
        <f t="shared" si="957"/>
        <v>9.0083109479834604</v>
      </c>
      <c r="BI395">
        <f t="shared" si="958"/>
        <v>74.742052685004083</v>
      </c>
      <c r="BJ395">
        <f t="shared" si="959"/>
        <v>9</v>
      </c>
      <c r="BK395">
        <f>IF($BJ395&lt;=30,IF($B395=2015,VLOOKUP($BJ395,'Treasury Yields'!$C$5:$N$34,$E395,FALSE)/100,IF($B395=2016,VLOOKUP($BJ395,'Treasury Yields'!$C$40:$N$69,$E395,FALSE)/100,IF($B395=2017,VLOOKUP($BJ395,'Treasury Yields'!$C$75:$N$104,$E395,FALSE)/100,IF($B395=2018,VLOOKUP($BJ395,'Treasury Yields'!$C$110:$N$139,$E395,FALSE)/100,IF($B395=2019,VLOOKUP($BJ395,'Treasury Yields'!$C$145:$N$174,$E395,FALSE)/100,IF($B395=2020,VLOOKUP($BJ395,'Treasury Yields'!$C$180:$N$209,$E395,FALSE)/100,IF($B395=2021,VLOOKUP($BJ395,'Treasury Yields'!$C$215:$N$244,$E395,FALSE)/100,IF($B395=2022,VLOOKUP($BJ395,'Treasury Yields'!$C$250:$N$279,$E395,FALSE)/100)))))))),0)</f>
        <v>2.4070000000000001E-2</v>
      </c>
      <c r="BL395">
        <f t="shared" si="960"/>
        <v>1.4340656286368472</v>
      </c>
      <c r="BM395">
        <f t="shared" si="961"/>
        <v>1887289.1639768649</v>
      </c>
      <c r="BN395">
        <f t="shared" si="962"/>
        <v>704198.16397686489</v>
      </c>
      <c r="BP395">
        <f>IF($BJ395&lt;=30,IF($B395=2015,VLOOKUP($BJ395,'Treasury Yields'!$C$40:$N$69,$E395,FALSE)/100,IF($B395=2016,VLOOKUP($BJ395,'Treasury Yields'!$C$75:$N$104,$E395,FALSE)/100,IF($B395=2017,VLOOKUP($BJ395,'Treasury Yields'!$C$110:$N$139,$E395,FALSE)/100,IF($B395=2018,VLOOKUP($BJ395,'Treasury Yields'!$C$145:$N$174,$E395,FALSE)/100,IF($B395=2019,VLOOKUP($BJ395,'Treasury Yields'!$C$180:$N$209,$E395,FALSE)/100,IF($B395=2020,VLOOKUP($BJ395,'Treasury Yields'!$C$215:$N$244,$E395,FALSE)/100,IF($B395=2021,VLOOKUP($BJ395,'Treasury Yields'!$C$250:$N$279,$E395,FALSE)/100,IF($B395=2022,VLOOKUP($BJ395,'Treasury Yields'!$C$285:$N$314,$E395,FALSE)/100)))))))),0)</f>
        <v>2.5920000000000002E-2</v>
      </c>
      <c r="BQ395">
        <f t="shared" si="963"/>
        <v>1.4445367477270283</v>
      </c>
      <c r="BR395">
        <f t="shared" si="964"/>
        <v>1867081.0808781569</v>
      </c>
      <c r="BS395">
        <f t="shared" si="965"/>
        <v>662177.08087815694</v>
      </c>
      <c r="BU395">
        <f t="shared" si="928"/>
        <v>12</v>
      </c>
      <c r="BV395">
        <f t="shared" si="966"/>
        <v>2.26382406359438</v>
      </c>
      <c r="BW395">
        <f t="shared" si="967"/>
        <v>12842.673912770919</v>
      </c>
      <c r="BX395" s="5">
        <f t="shared" si="968"/>
        <v>43727.60404800353</v>
      </c>
      <c r="BY395" s="5">
        <f t="shared" si="969"/>
        <v>15250.603678003536</v>
      </c>
      <c r="BZ395" s="5">
        <f t="shared" si="970"/>
        <v>97567</v>
      </c>
      <c r="CA395" s="5">
        <f t="shared" si="971"/>
        <v>28093.277590774454</v>
      </c>
      <c r="CC395" s="5">
        <f t="shared" si="972"/>
        <v>1867081.0808781569</v>
      </c>
      <c r="CD395" s="5" t="str">
        <f t="shared" si="973"/>
        <v>Utah</v>
      </c>
      <c r="CE395" s="5">
        <f t="shared" si="927"/>
        <v>0.93221881112128935</v>
      </c>
      <c r="CF395" s="10">
        <f t="shared" si="974"/>
        <v>0.64534101509576081</v>
      </c>
    </row>
    <row r="396" spans="1:84" x14ac:dyDescent="0.2">
      <c r="A396">
        <v>45000000004601</v>
      </c>
      <c r="B396">
        <v>2017</v>
      </c>
      <c r="C396">
        <v>461</v>
      </c>
      <c r="D396" t="s">
        <v>621</v>
      </c>
      <c r="E396">
        <v>12</v>
      </c>
      <c r="F396" t="s">
        <v>622</v>
      </c>
      <c r="G396" t="s">
        <v>623</v>
      </c>
      <c r="H396" t="s">
        <v>624</v>
      </c>
      <c r="I396" t="b">
        <v>1</v>
      </c>
      <c r="J396">
        <v>4801</v>
      </c>
      <c r="K396">
        <v>90124</v>
      </c>
      <c r="L396">
        <v>0</v>
      </c>
      <c r="M396">
        <v>-24988</v>
      </c>
      <c r="N396">
        <v>22108</v>
      </c>
      <c r="O396">
        <v>84761</v>
      </c>
      <c r="P396">
        <v>1613</v>
      </c>
      <c r="Q396">
        <v>5671</v>
      </c>
      <c r="R396">
        <v>1292512</v>
      </c>
      <c r="S396">
        <v>1298183</v>
      </c>
      <c r="T396">
        <v>7946</v>
      </c>
      <c r="V396">
        <v>2675</v>
      </c>
      <c r="W396">
        <v>155949</v>
      </c>
      <c r="X396">
        <v>-1177</v>
      </c>
      <c r="Y396">
        <v>457</v>
      </c>
      <c r="AA396">
        <v>78562</v>
      </c>
      <c r="AB396">
        <v>1204904</v>
      </c>
      <c r="AC396">
        <v>1283466</v>
      </c>
      <c r="AD396">
        <v>14717</v>
      </c>
      <c r="AE396">
        <v>87608</v>
      </c>
      <c r="AF396">
        <v>-72891</v>
      </c>
      <c r="AG396">
        <v>45177</v>
      </c>
      <c r="AH396">
        <v>0.17588595966974346</v>
      </c>
      <c r="AI396" t="b">
        <v>1</v>
      </c>
      <c r="AK396">
        <v>7.1999999999999995E-2</v>
      </c>
      <c r="AL396">
        <v>6.9500000000000006E-2</v>
      </c>
      <c r="AM396">
        <v>6.9500000000000006E-2</v>
      </c>
      <c r="AN396">
        <v>7.1999999999999995E-2</v>
      </c>
      <c r="AO396">
        <v>1</v>
      </c>
      <c r="AP396">
        <v>0</v>
      </c>
      <c r="AS396">
        <v>141894</v>
      </c>
      <c r="AT396">
        <v>-92965</v>
      </c>
      <c r="AU396" t="s">
        <v>627</v>
      </c>
      <c r="AV396" t="s">
        <v>628</v>
      </c>
      <c r="BB396">
        <f t="shared" si="952"/>
        <v>0.98866338567058731</v>
      </c>
      <c r="BD396">
        <f t="shared" si="953"/>
        <v>127177</v>
      </c>
      <c r="BE396">
        <f t="shared" si="954"/>
        <v>-107682</v>
      </c>
      <c r="BF396">
        <f t="shared" si="955"/>
        <v>9.7965387006300357</v>
      </c>
      <c r="BG396">
        <f t="shared" si="956"/>
        <v>-8.2948243814623979</v>
      </c>
      <c r="BH396">
        <f t="shared" si="957"/>
        <v>9.0456815410462159</v>
      </c>
      <c r="BI396">
        <f t="shared" si="958"/>
        <v>75.08571595838184</v>
      </c>
      <c r="BJ396">
        <f t="shared" si="959"/>
        <v>9</v>
      </c>
      <c r="BK396">
        <f>IF($BJ396&lt;=30,IF($B396=2015,VLOOKUP($BJ396,'Treasury Yields'!$C$5:$N$34,$E396,FALSE)/100,IF($B396=2016,VLOOKUP($BJ396,'Treasury Yields'!$C$40:$N$69,$E396,FALSE)/100,IF($B396=2017,VLOOKUP($BJ396,'Treasury Yields'!$C$75:$N$104,$E396,FALSE)/100,IF($B396=2018,VLOOKUP($BJ396,'Treasury Yields'!$C$110:$N$139,$E396,FALSE)/100,IF($B396=2019,VLOOKUP($BJ396,'Treasury Yields'!$C$145:$N$174,$E396,FALSE)/100,IF($B396=2020,VLOOKUP($BJ396,'Treasury Yields'!$C$180:$N$209,$E396,FALSE)/100,IF($B396=2021,VLOOKUP($BJ396,'Treasury Yields'!$C$215:$N$244,$E396,FALSE)/100,IF($B396=2022,VLOOKUP($BJ396,'Treasury Yields'!$C$250:$N$279,$E396,FALSE)/100)))))))),0)</f>
        <v>2.5920000000000002E-2</v>
      </c>
      <c r="BL396">
        <f t="shared" si="960"/>
        <v>1.3961100179587942</v>
      </c>
      <c r="BM396">
        <f t="shared" si="961"/>
        <v>1804488.9515319569</v>
      </c>
      <c r="BN396">
        <f t="shared" si="962"/>
        <v>599584.9515319569</v>
      </c>
      <c r="BP396">
        <f>IF($BJ396&lt;=30,IF($B396=2015,VLOOKUP($BJ396,'Treasury Yields'!$C$40:$N$69,$E396,FALSE)/100,IF($B396=2016,VLOOKUP($BJ396,'Treasury Yields'!$C$75:$N$104,$E396,FALSE)/100,IF($B396=2017,VLOOKUP($BJ396,'Treasury Yields'!$C$110:$N$139,$E396,FALSE)/100,IF($B396=2018,VLOOKUP($BJ396,'Treasury Yields'!$C$145:$N$174,$E396,FALSE)/100,IF($B396=2019,VLOOKUP($BJ396,'Treasury Yields'!$C$180:$N$209,$E396,FALSE)/100,IF($B396=2020,VLOOKUP($BJ396,'Treasury Yields'!$C$215:$N$244,$E396,FALSE)/100,IF($B396=2021,VLOOKUP($BJ396,'Treasury Yields'!$C$250:$N$279,$E396,FALSE)/100,IF($B396=2022,VLOOKUP($BJ396,'Treasury Yields'!$C$285:$N$314,$E396,FALSE)/100)))))))),0)</f>
        <v>2.5049999999999999E-2</v>
      </c>
      <c r="BQ396">
        <f t="shared" si="963"/>
        <v>1.4268990508521198</v>
      </c>
      <c r="BR396">
        <f t="shared" si="964"/>
        <v>1852376.0905323573</v>
      </c>
      <c r="BS396">
        <f t="shared" si="965"/>
        <v>568910.09053235734</v>
      </c>
      <c r="BU396">
        <f t="shared" si="928"/>
        <v>12</v>
      </c>
      <c r="BV396">
        <f t="shared" si="966"/>
        <v>2.129219491797381</v>
      </c>
      <c r="BW396">
        <f t="shared" si="967"/>
        <v>10222.382780119226</v>
      </c>
      <c r="BX396" s="5">
        <f t="shared" si="968"/>
        <v>44840.31266536902</v>
      </c>
      <c r="BY396" s="5">
        <f t="shared" si="969"/>
        <v>13609.200985369014</v>
      </c>
      <c r="BZ396" s="5">
        <f t="shared" si="970"/>
        <v>94925</v>
      </c>
      <c r="CA396" s="5">
        <f t="shared" si="971"/>
        <v>23831.583765488242</v>
      </c>
      <c r="CC396" s="5">
        <f t="shared" si="972"/>
        <v>1852376.0905323573</v>
      </c>
      <c r="CD396" s="5" t="str">
        <f t="shared" si="973"/>
        <v>Utah</v>
      </c>
      <c r="CE396" s="5">
        <f t="shared" si="927"/>
        <v>0.98866338567058731</v>
      </c>
      <c r="CF396" s="10">
        <f t="shared" si="974"/>
        <v>0.69287549464706311</v>
      </c>
    </row>
    <row r="397" spans="1:84" x14ac:dyDescent="0.2">
      <c r="A397">
        <v>45000000004601</v>
      </c>
      <c r="B397">
        <v>2018</v>
      </c>
      <c r="C397">
        <v>461</v>
      </c>
      <c r="D397" t="s">
        <v>621</v>
      </c>
      <c r="E397">
        <v>12</v>
      </c>
      <c r="F397" t="s">
        <v>622</v>
      </c>
      <c r="G397" t="s">
        <v>623</v>
      </c>
      <c r="H397" t="s">
        <v>624</v>
      </c>
      <c r="I397" t="b">
        <v>1</v>
      </c>
      <c r="J397">
        <v>4044</v>
      </c>
      <c r="K397">
        <v>87297</v>
      </c>
      <c r="L397">
        <v>0</v>
      </c>
      <c r="M397">
        <v>-17249</v>
      </c>
      <c r="N397">
        <v>0</v>
      </c>
      <c r="O397">
        <v>86795</v>
      </c>
      <c r="P397">
        <v>1471</v>
      </c>
      <c r="Q397">
        <v>-14174</v>
      </c>
      <c r="R397">
        <v>1298183</v>
      </c>
      <c r="S397">
        <v>1284009</v>
      </c>
      <c r="T397">
        <v>6027</v>
      </c>
      <c r="V397">
        <v>2455</v>
      </c>
      <c r="W397">
        <v>-4513</v>
      </c>
      <c r="X397">
        <v>-26286</v>
      </c>
      <c r="Y397">
        <v>454</v>
      </c>
      <c r="AA397">
        <v>-111037</v>
      </c>
      <c r="AB397">
        <v>1283466</v>
      </c>
      <c r="AC397">
        <v>1172429</v>
      </c>
      <c r="AD397">
        <v>111580</v>
      </c>
      <c r="AE397">
        <v>14717</v>
      </c>
      <c r="AF397">
        <v>96863</v>
      </c>
      <c r="AG397">
        <v>39279</v>
      </c>
      <c r="AH397">
        <v>0.15344076987703353</v>
      </c>
      <c r="AI397" t="b">
        <v>1</v>
      </c>
      <c r="AK397">
        <v>6.9500000000000006E-2</v>
      </c>
      <c r="AL397">
        <v>6.9500000000000006E-2</v>
      </c>
      <c r="AM397">
        <v>6.9500000000000006E-2</v>
      </c>
      <c r="AN397">
        <v>6.9500000000000006E-2</v>
      </c>
      <c r="AO397">
        <v>1</v>
      </c>
      <c r="AP397">
        <v>0</v>
      </c>
      <c r="AS397">
        <v>234936</v>
      </c>
      <c r="AT397">
        <v>6844</v>
      </c>
      <c r="AU397" t="s">
        <v>629</v>
      </c>
      <c r="AV397" t="s">
        <v>630</v>
      </c>
      <c r="BB397">
        <f t="shared" si="952"/>
        <v>0.91310029758358391</v>
      </c>
      <c r="BD397">
        <f t="shared" si="953"/>
        <v>123356</v>
      </c>
      <c r="BE397">
        <f t="shared" si="954"/>
        <v>-104736</v>
      </c>
      <c r="BF397">
        <f t="shared" si="955"/>
        <v>9.6070977695639197</v>
      </c>
      <c r="BG397">
        <f t="shared" si="956"/>
        <v>-8.1569521708959982</v>
      </c>
      <c r="BH397">
        <f t="shared" si="957"/>
        <v>8.8820249702299598</v>
      </c>
      <c r="BI397">
        <f t="shared" si="958"/>
        <v>72.507279933396106</v>
      </c>
      <c r="BJ397">
        <f t="shared" si="959"/>
        <v>9</v>
      </c>
      <c r="BK397">
        <f>IF($BJ397&lt;=30,IF($B397=2015,VLOOKUP($BJ397,'Treasury Yields'!$C$5:$N$34,$E397,FALSE)/100,IF($B397=2016,VLOOKUP($BJ397,'Treasury Yields'!$C$40:$N$69,$E397,FALSE)/100,IF($B397=2017,VLOOKUP($BJ397,'Treasury Yields'!$C$75:$N$104,$E397,FALSE)/100,IF($B397=2018,VLOOKUP($BJ397,'Treasury Yields'!$C$110:$N$139,$E397,FALSE)/100,IF($B397=2019,VLOOKUP($BJ397,'Treasury Yields'!$C$145:$N$174,$E397,FALSE)/100,IF($B397=2020,VLOOKUP($BJ397,'Treasury Yields'!$C$180:$N$209,$E397,FALSE)/100,IF($B397=2021,VLOOKUP($BJ397,'Treasury Yields'!$C$215:$N$244,$E397,FALSE)/100,IF($B397=2022,VLOOKUP($BJ397,'Treasury Yields'!$C$250:$N$279,$E397,FALSE)/100)))))))),0)</f>
        <v>2.5049999999999999E-2</v>
      </c>
      <c r="BL397">
        <f t="shared" si="960"/>
        <v>1.3967818124267217</v>
      </c>
      <c r="BM397">
        <f t="shared" si="961"/>
        <v>1813278.4036015589</v>
      </c>
      <c r="BN397">
        <f t="shared" si="962"/>
        <v>529812.40360155888</v>
      </c>
      <c r="BP397">
        <f>IF($BJ397&lt;=30,IF($B397=2015,VLOOKUP($BJ397,'Treasury Yields'!$C$40:$N$69,$E397,FALSE)/100,IF($B397=2016,VLOOKUP($BJ397,'Treasury Yields'!$C$75:$N$104,$E397,FALSE)/100,IF($B397=2017,VLOOKUP($BJ397,'Treasury Yields'!$C$110:$N$139,$E397,FALSE)/100,IF($B397=2018,VLOOKUP($BJ397,'Treasury Yields'!$C$145:$N$174,$E397,FALSE)/100,IF($B397=2019,VLOOKUP($BJ397,'Treasury Yields'!$C$180:$N$209,$E397,FALSE)/100,IF($B397=2020,VLOOKUP($BJ397,'Treasury Yields'!$C$215:$N$244,$E397,FALSE)/100,IF($B397=2021,VLOOKUP($BJ397,'Treasury Yields'!$C$250:$N$279,$E397,FALSE)/100,IF($B397=2022,VLOOKUP($BJ397,'Treasury Yields'!$C$285:$N$314,$E397,FALSE)/100)))))))),0)</f>
        <v>2.7810000000000001E-2</v>
      </c>
      <c r="BQ397">
        <f t="shared" si="963"/>
        <v>1.3720296771088871</v>
      </c>
      <c r="BR397">
        <f t="shared" si="964"/>
        <v>1761698.453674905</v>
      </c>
      <c r="BS397">
        <f t="shared" si="965"/>
        <v>589269.453674905</v>
      </c>
      <c r="BU397">
        <f t="shared" si="928"/>
        <v>12</v>
      </c>
      <c r="BV397">
        <f t="shared" si="966"/>
        <v>2.0714660748873257</v>
      </c>
      <c r="BW397">
        <f t="shared" si="967"/>
        <v>8377.0088068443456</v>
      </c>
      <c r="BX397" s="5">
        <f t="shared" si="968"/>
        <v>43458.253330830499</v>
      </c>
      <c r="BY397" s="5">
        <f t="shared" si="969"/>
        <v>11307.430030830501</v>
      </c>
      <c r="BZ397" s="5">
        <f t="shared" si="970"/>
        <v>91341</v>
      </c>
      <c r="CA397" s="5">
        <f t="shared" si="971"/>
        <v>19684.438837674847</v>
      </c>
      <c r="CC397" s="5">
        <f t="shared" si="972"/>
        <v>1761698.453674905</v>
      </c>
      <c r="CD397" s="5" t="str">
        <f t="shared" si="973"/>
        <v>Utah</v>
      </c>
      <c r="CE397" s="5">
        <f t="shared" si="927"/>
        <v>0.91310029758358391</v>
      </c>
      <c r="CF397" s="10">
        <f t="shared" si="974"/>
        <v>0.66551060288116382</v>
      </c>
    </row>
    <row r="398" spans="1:84" x14ac:dyDescent="0.2">
      <c r="A398">
        <v>45000000004601</v>
      </c>
      <c r="B398">
        <v>2019</v>
      </c>
      <c r="C398">
        <v>461</v>
      </c>
      <c r="D398" t="s">
        <v>621</v>
      </c>
      <c r="E398">
        <v>12</v>
      </c>
      <c r="F398" t="s">
        <v>622</v>
      </c>
      <c r="G398" t="s">
        <v>623</v>
      </c>
      <c r="H398" t="s">
        <v>624</v>
      </c>
      <c r="I398" t="b">
        <v>1</v>
      </c>
      <c r="J398">
        <v>3536</v>
      </c>
      <c r="K398">
        <v>86205</v>
      </c>
      <c r="M398">
        <v>-12817</v>
      </c>
      <c r="O398">
        <v>88162</v>
      </c>
      <c r="P398">
        <v>2660</v>
      </c>
      <c r="Q398">
        <v>-13898</v>
      </c>
      <c r="R398">
        <v>1284009</v>
      </c>
      <c r="S398">
        <v>1270111</v>
      </c>
      <c r="T398">
        <v>5433</v>
      </c>
      <c r="V398">
        <v>1950</v>
      </c>
      <c r="W398">
        <v>163935</v>
      </c>
      <c r="X398">
        <v>9775</v>
      </c>
      <c r="Y398">
        <v>408</v>
      </c>
      <c r="AA398">
        <v>89863</v>
      </c>
      <c r="AB398">
        <v>1172429</v>
      </c>
      <c r="AC398">
        <v>1262292</v>
      </c>
      <c r="AD398">
        <v>7819</v>
      </c>
      <c r="AE398">
        <v>111580</v>
      </c>
      <c r="AF398">
        <v>-103761</v>
      </c>
      <c r="AG398">
        <v>34317</v>
      </c>
      <c r="AH398">
        <v>0.15831803479325116</v>
      </c>
      <c r="AI398" t="b">
        <v>1</v>
      </c>
      <c r="AK398">
        <v>6.9500000000000006E-2</v>
      </c>
      <c r="AL398">
        <v>6.9500000000000006E-2</v>
      </c>
      <c r="AM398">
        <v>6.9500000000000006E-2</v>
      </c>
      <c r="AN398">
        <v>6.9500000000000006E-2</v>
      </c>
      <c r="AO398">
        <v>1</v>
      </c>
      <c r="AP398">
        <v>0</v>
      </c>
      <c r="AS398">
        <v>127367</v>
      </c>
      <c r="AT398">
        <v>-93952</v>
      </c>
      <c r="AU398" t="s">
        <v>625</v>
      </c>
      <c r="BB398">
        <f t="shared" si="952"/>
        <v>0.99384384514424329</v>
      </c>
      <c r="BD398">
        <f t="shared" si="953"/>
        <v>119548</v>
      </c>
      <c r="BE398">
        <f t="shared" si="954"/>
        <v>-101771</v>
      </c>
      <c r="BF398">
        <f t="shared" si="955"/>
        <v>9.4124056873769302</v>
      </c>
      <c r="BG398">
        <f t="shared" si="956"/>
        <v>-8.0127642387161444</v>
      </c>
      <c r="BH398">
        <f t="shared" si="957"/>
        <v>8.7125849630465364</v>
      </c>
      <c r="BI398">
        <f t="shared" si="958"/>
        <v>69.98207243303932</v>
      </c>
      <c r="BJ398">
        <f t="shared" si="959"/>
        <v>9</v>
      </c>
      <c r="BK398">
        <f>IF($BJ398&lt;=30,IF($B398=2015,VLOOKUP($BJ398,'Treasury Yields'!$C$5:$N$34,$E398,FALSE)/100,IF($B398=2016,VLOOKUP($BJ398,'Treasury Yields'!$C$40:$N$69,$E398,FALSE)/100,IF($B398=2017,VLOOKUP($BJ398,'Treasury Yields'!$C$75:$N$104,$E398,FALSE)/100,IF($B398=2018,VLOOKUP($BJ398,'Treasury Yields'!$C$110:$N$139,$E398,FALSE)/100,IF($B398=2019,VLOOKUP($BJ398,'Treasury Yields'!$C$145:$N$174,$E398,FALSE)/100,IF($B398=2020,VLOOKUP($BJ398,'Treasury Yields'!$C$180:$N$209,$E398,FALSE)/100,IF($B398=2021,VLOOKUP($BJ398,'Treasury Yields'!$C$215:$N$244,$E398,FALSE)/100,IF($B398=2022,VLOOKUP($BJ398,'Treasury Yields'!$C$250:$N$279,$E398,FALSE)/100)))))))),0)</f>
        <v>2.7810000000000001E-2</v>
      </c>
      <c r="BL398">
        <f t="shared" si="960"/>
        <v>1.3649657232094101</v>
      </c>
      <c r="BM398">
        <f t="shared" si="961"/>
        <v>1752628.2732923916</v>
      </c>
      <c r="BN398">
        <f t="shared" si="962"/>
        <v>580199.27329239156</v>
      </c>
      <c r="BP398">
        <f>IF($BJ398&lt;=30,IF($B398=2015,VLOOKUP($BJ398,'Treasury Yields'!$C$40:$N$69,$E398,FALSE)/100,IF($B398=2016,VLOOKUP($BJ398,'Treasury Yields'!$C$75:$N$104,$E398,FALSE)/100,IF($B398=2017,VLOOKUP($BJ398,'Treasury Yields'!$C$110:$N$139,$E398,FALSE)/100,IF($B398=2018,VLOOKUP($BJ398,'Treasury Yields'!$C$145:$N$174,$E398,FALSE)/100,IF($B398=2019,VLOOKUP($BJ398,'Treasury Yields'!$C$180:$N$209,$E398,FALSE)/100,IF($B398=2020,VLOOKUP($BJ398,'Treasury Yields'!$C$215:$N$244,$E398,FALSE)/100,IF($B398=2021,VLOOKUP($BJ398,'Treasury Yields'!$C$250:$N$279,$E398,FALSE)/100,IF($B398=2022,VLOOKUP($BJ398,'Treasury Yields'!$C$285:$N$314,$E398,FALSE)/100)))))))),0)</f>
        <v>2.052E-2</v>
      </c>
      <c r="BQ398">
        <f t="shared" si="963"/>
        <v>1.4291414518900194</v>
      </c>
      <c r="BR398">
        <f t="shared" si="964"/>
        <v>1815168.2786014844</v>
      </c>
      <c r="BS398">
        <f t="shared" si="965"/>
        <v>552876.27860148437</v>
      </c>
      <c r="BU398">
        <f t="shared" si="928"/>
        <v>12</v>
      </c>
      <c r="BV398">
        <f t="shared" si="966"/>
        <v>1.9851404349922961</v>
      </c>
      <c r="BW398">
        <f t="shared" si="967"/>
        <v>7019.4565781327592</v>
      </c>
      <c r="BX398" s="5">
        <f t="shared" si="968"/>
        <v>46484.01814769928</v>
      </c>
      <c r="BY398" s="5">
        <f t="shared" si="969"/>
        <v>13878.767657699284</v>
      </c>
      <c r="BZ398" s="5">
        <f t="shared" si="970"/>
        <v>89741</v>
      </c>
      <c r="CA398" s="5">
        <f t="shared" si="971"/>
        <v>20898.224235832044</v>
      </c>
      <c r="CC398" s="5">
        <f t="shared" si="972"/>
        <v>1815168.2786014844</v>
      </c>
      <c r="CD398" s="5" t="str">
        <f t="shared" si="973"/>
        <v>Utah</v>
      </c>
      <c r="CE398" s="5">
        <f t="shared" si="927"/>
        <v>0.99384384514424329</v>
      </c>
      <c r="CF398" s="10">
        <f t="shared" si="974"/>
        <v>0.69541321037878989</v>
      </c>
    </row>
    <row r="399" spans="1:84" x14ac:dyDescent="0.2">
      <c r="A399">
        <v>45000000004601</v>
      </c>
      <c r="B399">
        <v>2020</v>
      </c>
      <c r="C399">
        <v>461</v>
      </c>
      <c r="D399" t="s">
        <v>621</v>
      </c>
      <c r="E399">
        <v>12</v>
      </c>
      <c r="F399" t="s">
        <v>622</v>
      </c>
      <c r="G399" t="s">
        <v>623</v>
      </c>
      <c r="H399" t="s">
        <v>624</v>
      </c>
      <c r="I399" t="b">
        <v>1</v>
      </c>
      <c r="J399">
        <v>3175</v>
      </c>
      <c r="K399">
        <v>85198</v>
      </c>
      <c r="M399">
        <v>-5463</v>
      </c>
      <c r="N399">
        <v>11312</v>
      </c>
      <c r="O399">
        <v>89890</v>
      </c>
      <c r="P399">
        <v>1753</v>
      </c>
      <c r="Q399">
        <v>2579</v>
      </c>
      <c r="R399">
        <v>1270111</v>
      </c>
      <c r="S399">
        <v>1272690</v>
      </c>
      <c r="T399">
        <v>4759</v>
      </c>
      <c r="V399">
        <v>1728</v>
      </c>
      <c r="W399">
        <v>154367</v>
      </c>
      <c r="X399">
        <v>4542</v>
      </c>
      <c r="Y399">
        <v>406</v>
      </c>
      <c r="AA399">
        <v>73347</v>
      </c>
      <c r="AB399">
        <v>1262292</v>
      </c>
      <c r="AC399">
        <v>1335639</v>
      </c>
      <c r="AD399">
        <v>-62949</v>
      </c>
      <c r="AE399">
        <v>7819</v>
      </c>
      <c r="AF399">
        <v>-70768</v>
      </c>
      <c r="AG399">
        <v>30748</v>
      </c>
      <c r="AH399">
        <v>0.15477429426304151</v>
      </c>
      <c r="AI399" t="b">
        <v>1</v>
      </c>
      <c r="AK399">
        <v>6.9500000000000006E-2</v>
      </c>
      <c r="AL399">
        <v>6.9500000000000006E-2</v>
      </c>
      <c r="AM399">
        <v>6.9500000000000006E-2</v>
      </c>
      <c r="AN399">
        <v>6.9500000000000006E-2</v>
      </c>
      <c r="AO399">
        <v>1</v>
      </c>
      <c r="AP399">
        <v>0</v>
      </c>
      <c r="AS399">
        <v>56534</v>
      </c>
      <c r="AT399">
        <v>-164727</v>
      </c>
      <c r="AU399" t="s">
        <v>625</v>
      </c>
      <c r="BB399">
        <f t="shared" si="952"/>
        <v>1.049461377083186</v>
      </c>
      <c r="BD399">
        <f t="shared" si="953"/>
        <v>119483</v>
      </c>
      <c r="BE399">
        <f t="shared" si="954"/>
        <v>-101778</v>
      </c>
      <c r="BF399">
        <f t="shared" si="955"/>
        <v>9.3882249408732683</v>
      </c>
      <c r="BG399">
        <f t="shared" si="956"/>
        <v>-7.9970770572566767</v>
      </c>
      <c r="BH399">
        <f t="shared" si="957"/>
        <v>8.6926509990649734</v>
      </c>
      <c r="BI399">
        <f t="shared" si="958"/>
        <v>69.557394180829576</v>
      </c>
      <c r="BJ399">
        <f t="shared" si="959"/>
        <v>9</v>
      </c>
      <c r="BK399">
        <f>IF($BJ399&lt;=30,IF($B399=2015,VLOOKUP($BJ399,'Treasury Yields'!$C$5:$N$34,$E399,FALSE)/100,IF($B399=2016,VLOOKUP($BJ399,'Treasury Yields'!$C$40:$N$69,$E399,FALSE)/100,IF($B399=2017,VLOOKUP($BJ399,'Treasury Yields'!$C$75:$N$104,$E399,FALSE)/100,IF($B399=2018,VLOOKUP($BJ399,'Treasury Yields'!$C$110:$N$139,$E399,FALSE)/100,IF($B399=2019,VLOOKUP($BJ399,'Treasury Yields'!$C$145:$N$174,$E399,FALSE)/100,IF($B399=2020,VLOOKUP($BJ399,'Treasury Yields'!$C$180:$N$209,$E399,FALSE)/100,IF($B399=2021,VLOOKUP($BJ399,'Treasury Yields'!$C$215:$N$244,$E399,FALSE)/100,IF($B399=2022,VLOOKUP($BJ399,'Treasury Yields'!$C$250:$N$279,$E399,FALSE)/100)))))))),0)</f>
        <v>2.052E-2</v>
      </c>
      <c r="BL399">
        <f t="shared" si="960"/>
        <v>1.4281650863342026</v>
      </c>
      <c r="BM399">
        <f t="shared" si="961"/>
        <v>1813928.1859690205</v>
      </c>
      <c r="BN399">
        <f t="shared" si="962"/>
        <v>551636.18596902047</v>
      </c>
      <c r="BP399">
        <f>IF($BJ399&lt;=30,IF($B399=2015,VLOOKUP($BJ399,'Treasury Yields'!$C$40:$N$69,$E399,FALSE)/100,IF($B399=2016,VLOOKUP($BJ399,'Treasury Yields'!$C$75:$N$104,$E399,FALSE)/100,IF($B399=2017,VLOOKUP($BJ399,'Treasury Yields'!$C$110:$N$139,$E399,FALSE)/100,IF($B399=2018,VLOOKUP($BJ399,'Treasury Yields'!$C$145:$N$174,$E399,FALSE)/100,IF($B399=2019,VLOOKUP($BJ399,'Treasury Yields'!$C$180:$N$209,$E399,FALSE)/100,IF($B399=2020,VLOOKUP($BJ399,'Treasury Yields'!$C$215:$N$244,$E399,FALSE)/100,IF($B399=2021,VLOOKUP($BJ399,'Treasury Yields'!$C$250:$N$279,$E399,FALSE)/100,IF($B399=2022,VLOOKUP($BJ399,'Treasury Yields'!$C$285:$N$314,$E399,FALSE)/100)))))))),0)</f>
        <v>1.5089565217391304E-2</v>
      </c>
      <c r="BQ399">
        <f t="shared" si="963"/>
        <v>1.4759314156858356</v>
      </c>
      <c r="BR399">
        <f t="shared" si="964"/>
        <v>1878403.1534292062</v>
      </c>
      <c r="BS399">
        <f t="shared" si="965"/>
        <v>542764.15342920623</v>
      </c>
      <c r="BU399">
        <f t="shared" si="928"/>
        <v>12</v>
      </c>
      <c r="BV399">
        <f t="shared" si="966"/>
        <v>2.1803970446927381</v>
      </c>
      <c r="BW399">
        <f t="shared" si="967"/>
        <v>6922.7606168994434</v>
      </c>
      <c r="BX399" s="5">
        <f t="shared" si="968"/>
        <v>35519.31862394308</v>
      </c>
      <c r="BY399" s="5">
        <f t="shared" si="969"/>
        <v>9617.0867839430775</v>
      </c>
      <c r="BZ399" s="5">
        <f t="shared" si="970"/>
        <v>88373</v>
      </c>
      <c r="CA399" s="5">
        <f t="shared" si="971"/>
        <v>16539.847400842522</v>
      </c>
      <c r="CC399" s="5">
        <f t="shared" si="972"/>
        <v>1878403.1534292062</v>
      </c>
      <c r="CD399" s="5" t="str">
        <f t="shared" si="973"/>
        <v>Utah</v>
      </c>
      <c r="CE399" s="5">
        <f t="shared" si="927"/>
        <v>1.049461377083186</v>
      </c>
      <c r="CF399" s="10">
        <f t="shared" si="974"/>
        <v>0.71105023304590509</v>
      </c>
    </row>
    <row r="400" spans="1:84" x14ac:dyDescent="0.2">
      <c r="A400">
        <v>45000000004601</v>
      </c>
      <c r="B400">
        <v>2021</v>
      </c>
      <c r="C400">
        <v>461</v>
      </c>
      <c r="D400" t="s">
        <v>621</v>
      </c>
      <c r="E400">
        <v>12</v>
      </c>
      <c r="F400" t="s">
        <v>622</v>
      </c>
      <c r="G400" t="s">
        <v>623</v>
      </c>
      <c r="H400" t="s">
        <v>624</v>
      </c>
      <c r="I400" t="b">
        <v>1</v>
      </c>
      <c r="J400">
        <v>2786</v>
      </c>
      <c r="K400">
        <v>85305</v>
      </c>
      <c r="M400">
        <v>-21487</v>
      </c>
      <c r="N400">
        <v>10667</v>
      </c>
      <c r="O400">
        <v>91712</v>
      </c>
      <c r="P400">
        <v>1625</v>
      </c>
      <c r="Q400">
        <v>-16066</v>
      </c>
      <c r="R400">
        <v>1272690</v>
      </c>
      <c r="S400">
        <v>1256624</v>
      </c>
      <c r="T400">
        <v>4204</v>
      </c>
      <c r="V400">
        <v>1445</v>
      </c>
      <c r="W400">
        <v>220023</v>
      </c>
      <c r="X400">
        <v>-20349</v>
      </c>
      <c r="Y400">
        <v>388</v>
      </c>
      <c r="AA400">
        <v>111598</v>
      </c>
      <c r="AB400">
        <v>1335639</v>
      </c>
      <c r="AC400">
        <v>1447237</v>
      </c>
      <c r="AD400">
        <v>-190613</v>
      </c>
      <c r="AE400">
        <v>-62949</v>
      </c>
      <c r="AF400">
        <v>-127664</v>
      </c>
      <c r="AG400">
        <v>26782</v>
      </c>
      <c r="AI400" t="b">
        <v>1</v>
      </c>
      <c r="AK400">
        <v>6.9500000000000006E-2</v>
      </c>
      <c r="AL400">
        <v>6.8500000000000005E-2</v>
      </c>
      <c r="AM400">
        <v>6.8500000000000005E-2</v>
      </c>
      <c r="AN400">
        <v>6.9500000000000006E-2</v>
      </c>
      <c r="AS400">
        <v>-74092</v>
      </c>
      <c r="AT400">
        <v>-290175</v>
      </c>
      <c r="BB400">
        <f t="shared" si="952"/>
        <v>1.1516865824622162</v>
      </c>
      <c r="BD400">
        <f t="shared" si="953"/>
        <v>116521</v>
      </c>
      <c r="BE400">
        <f t="shared" si="954"/>
        <v>-99562</v>
      </c>
      <c r="BF400">
        <f t="shared" si="955"/>
        <v>9.2725429404499682</v>
      </c>
      <c r="BG400">
        <f t="shared" si="956"/>
        <v>-7.9229745731420049</v>
      </c>
      <c r="BH400">
        <f t="shared" si="957"/>
        <v>8.5977587567959866</v>
      </c>
      <c r="BI400">
        <f t="shared" si="958"/>
        <v>67.478418365398085</v>
      </c>
      <c r="BJ400">
        <f t="shared" si="959"/>
        <v>9</v>
      </c>
      <c r="BK400">
        <f>IF($BJ400&lt;=30,IF($B400=2015,VLOOKUP($BJ400,'Treasury Yields'!$C$5:$N$34,$E400,FALSE)/100,IF($B400=2016,VLOOKUP($BJ400,'Treasury Yields'!$C$40:$N$69,$E400,FALSE)/100,IF($B400=2017,VLOOKUP($BJ400,'Treasury Yields'!$C$75:$N$104,$E400,FALSE)/100,IF($B400=2018,VLOOKUP($BJ400,'Treasury Yields'!$C$110:$N$139,$E400,FALSE)/100,IF($B400=2019,VLOOKUP($BJ400,'Treasury Yields'!$C$145:$N$174,$E400,FALSE)/100,IF($B400=2020,VLOOKUP($BJ400,'Treasury Yields'!$C$180:$N$209,$E400,FALSE)/100,IF($B400=2021,VLOOKUP($BJ400,'Treasury Yields'!$C$215:$N$244,$E400,FALSE)/100,IF($B400=2022,VLOOKUP($BJ400,'Treasury Yields'!$C$250:$N$279,$E400,FALSE)/100)))))))),0)</f>
        <v>1.5089565217391304E-2</v>
      </c>
      <c r="BL400">
        <f t="shared" si="960"/>
        <v>1.462062707900122</v>
      </c>
      <c r="BM400">
        <f t="shared" si="961"/>
        <v>1860752.5877174062</v>
      </c>
      <c r="BN400">
        <f t="shared" si="962"/>
        <v>525113.58771740622</v>
      </c>
      <c r="BP400">
        <f>IF($BJ400&lt;=30,IF($B400=2015,VLOOKUP($BJ400,'Treasury Yields'!$C$40:$N$69,$E400,FALSE)/100,IF($B400=2016,VLOOKUP($BJ400,'Treasury Yields'!$C$75:$N$104,$E400,FALSE)/100,IF($B400=2017,VLOOKUP($BJ400,'Treasury Yields'!$C$110:$N$139,$E400,FALSE)/100,IF($B400=2018,VLOOKUP($BJ400,'Treasury Yields'!$C$145:$N$174,$E400,FALSE)/100,IF($B400=2019,VLOOKUP($BJ400,'Treasury Yields'!$C$180:$N$209,$E400,FALSE)/100,IF($B400=2020,VLOOKUP($BJ400,'Treasury Yields'!$C$215:$N$244,$E400,FALSE)/100,IF($B400=2021,VLOOKUP($BJ400,'Treasury Yields'!$C$250:$N$279,$E400,FALSE)/100,IF($B400=2022,VLOOKUP($BJ400,'Treasury Yields'!$C$285:$N$314,$E400,FALSE)/100)))))))),0)</f>
        <v>1.9776086956521735E-2</v>
      </c>
      <c r="BQ400">
        <f t="shared" si="963"/>
        <v>1.4299866763200828</v>
      </c>
      <c r="BR400">
        <f t="shared" si="964"/>
        <v>1796955.5771440477</v>
      </c>
      <c r="BS400">
        <f t="shared" si="965"/>
        <v>349718.57714404771</v>
      </c>
      <c r="BU400">
        <f t="shared" si="928"/>
        <v>12</v>
      </c>
      <c r="BV400">
        <f t="shared" si="966"/>
        <v>2.3205025575675009</v>
      </c>
      <c r="BW400">
        <f t="shared" si="967"/>
        <v>6464.9201253830579</v>
      </c>
      <c r="BX400" s="5">
        <f t="shared" si="968"/>
        <v>26791.606154431236</v>
      </c>
      <c r="BY400" s="5">
        <f t="shared" si="969"/>
        <v>6637.3943570399324</v>
      </c>
      <c r="BZ400" s="5">
        <f t="shared" si="970"/>
        <v>88091</v>
      </c>
      <c r="CA400" s="5">
        <f t="shared" si="971"/>
        <v>13102.314482422989</v>
      </c>
      <c r="CC400" s="5">
        <f t="shared" si="972"/>
        <v>1796955.5771440477</v>
      </c>
      <c r="CD400" s="5" t="str">
        <f t="shared" si="973"/>
        <v>Utah</v>
      </c>
      <c r="CE400" s="5">
        <f t="shared" si="927"/>
        <v>1.1516865824622162</v>
      </c>
      <c r="CF400" s="10">
        <f t="shared" si="974"/>
        <v>0.80538273645035496</v>
      </c>
    </row>
    <row r="401" spans="1:84" x14ac:dyDescent="0.2">
      <c r="A401">
        <v>45000000004601</v>
      </c>
      <c r="B401">
        <v>2022</v>
      </c>
      <c r="C401">
        <v>461</v>
      </c>
      <c r="D401" t="s">
        <v>621</v>
      </c>
      <c r="E401">
        <v>12</v>
      </c>
      <c r="F401" t="s">
        <v>622</v>
      </c>
      <c r="G401" t="s">
        <v>623</v>
      </c>
      <c r="H401" t="s">
        <v>624</v>
      </c>
      <c r="I401" t="b">
        <v>1</v>
      </c>
      <c r="J401">
        <v>2433</v>
      </c>
      <c r="K401">
        <v>82901</v>
      </c>
      <c r="M401">
        <v>-7940</v>
      </c>
      <c r="N401">
        <v>0</v>
      </c>
      <c r="O401">
        <v>94365</v>
      </c>
      <c r="P401">
        <v>848</v>
      </c>
      <c r="Q401">
        <v>-17819</v>
      </c>
      <c r="R401">
        <v>1256624</v>
      </c>
      <c r="S401">
        <v>1238805</v>
      </c>
      <c r="T401">
        <v>3675</v>
      </c>
      <c r="V401">
        <v>1240</v>
      </c>
      <c r="W401">
        <v>-70701</v>
      </c>
      <c r="X401">
        <v>-69481</v>
      </c>
      <c r="Y401">
        <v>382</v>
      </c>
      <c r="AA401">
        <v>-230862</v>
      </c>
      <c r="AB401">
        <v>1447237</v>
      </c>
      <c r="AC401">
        <v>1216375</v>
      </c>
      <c r="AD401">
        <v>22430</v>
      </c>
      <c r="AE401">
        <v>-190613</v>
      </c>
      <c r="AF401">
        <v>213043</v>
      </c>
      <c r="AG401">
        <v>26521</v>
      </c>
      <c r="AI401" t="b">
        <v>1</v>
      </c>
      <c r="AK401">
        <v>6.8500000000000005E-2</v>
      </c>
      <c r="AL401">
        <v>6.8500000000000005E-2</v>
      </c>
      <c r="AM401">
        <v>6.8500000000000005E-2</v>
      </c>
      <c r="AN401">
        <v>6.8500000000000005E-2</v>
      </c>
      <c r="AS401">
        <v>134674</v>
      </c>
      <c r="AT401">
        <v>-73670</v>
      </c>
      <c r="AV401" t="s">
        <v>631</v>
      </c>
      <c r="BB401">
        <f t="shared" si="952"/>
        <v>0.98189384124216483</v>
      </c>
      <c r="BD401">
        <f t="shared" si="953"/>
        <v>112244</v>
      </c>
      <c r="BE401">
        <f t="shared" si="954"/>
        <v>-96100</v>
      </c>
      <c r="BF401">
        <f t="shared" si="955"/>
        <v>9.0606673366671906</v>
      </c>
      <c r="BG401">
        <f t="shared" si="956"/>
        <v>-7.757475954649844</v>
      </c>
      <c r="BH401">
        <f t="shared" si="957"/>
        <v>8.4090716456585177</v>
      </c>
      <c r="BI401">
        <f t="shared" si="958"/>
        <v>65.159569100867358</v>
      </c>
      <c r="BJ401">
        <f t="shared" si="959"/>
        <v>8</v>
      </c>
      <c r="BK401">
        <f>IF($BJ401&lt;=30,IF($B401=2015,VLOOKUP($BJ401,'Treasury Yields'!$C$5:$N$34,$E401,FALSE)/100,IF($B401=2016,VLOOKUP($BJ401,'Treasury Yields'!$C$40:$N$69,$E401,FALSE)/100,IF($B401=2017,VLOOKUP($BJ401,'Treasury Yields'!$C$75:$N$104,$E401,FALSE)/100,IF($B401=2018,VLOOKUP($BJ401,'Treasury Yields'!$C$110:$N$139,$E401,FALSE)/100,IF($B401=2019,VLOOKUP($BJ401,'Treasury Yields'!$C$145:$N$174,$E401,FALSE)/100,IF($B401=2020,VLOOKUP($BJ401,'Treasury Yields'!$C$180:$N$209,$E401,FALSE)/100,IF($B401=2021,VLOOKUP($BJ401,'Treasury Yields'!$C$215:$N$244,$E401,FALSE)/100,IF($B401=2022,VLOOKUP($BJ401,'Treasury Yields'!$C$250:$N$279,$E401,FALSE)/100)))))))),0)</f>
        <v>1.8243913043478263E-2</v>
      </c>
      <c r="BL401">
        <f t="shared" si="960"/>
        <v>1.4251327101240174</v>
      </c>
      <c r="BM401">
        <f t="shared" si="961"/>
        <v>1790855.9667268833</v>
      </c>
      <c r="BN401">
        <f t="shared" si="962"/>
        <v>343618.96672688331</v>
      </c>
      <c r="BP401">
        <f>IF($BJ401&lt;=30,IF($B401=2015,VLOOKUP($BJ401,'Treasury Yields'!$C$40:$N$69,$E401,FALSE)/100,IF($B401=2016,VLOOKUP($BJ401,'Treasury Yields'!$C$75:$N$104,$E401,FALSE)/100,IF($B401=2017,VLOOKUP($BJ401,'Treasury Yields'!$C$110:$N$139,$E401,FALSE)/100,IF($B401=2018,VLOOKUP($BJ401,'Treasury Yields'!$C$145:$N$174,$E401,FALSE)/100,IF($B401=2019,VLOOKUP($BJ401,'Treasury Yields'!$C$180:$N$209,$E401,FALSE)/100,IF($B401=2020,VLOOKUP($BJ401,'Treasury Yields'!$C$215:$N$244,$E401,FALSE)/100,IF($B401=2021,VLOOKUP($BJ401,'Treasury Yields'!$C$250:$N$279,$E401,FALSE)/100,IF($B401=2022,VLOOKUP($BJ401,'Treasury Yields'!$C$285:$N$314,$E401,FALSE)/100)))))))),0)</f>
        <v>3.8059545454545457E-2</v>
      </c>
      <c r="BQ401">
        <f t="shared" si="963"/>
        <v>1.2569025844720727</v>
      </c>
      <c r="BR401">
        <f t="shared" si="964"/>
        <v>1557057.206156926</v>
      </c>
      <c r="BS401">
        <f t="shared" si="965"/>
        <v>340682.206156926</v>
      </c>
      <c r="BU401">
        <f t="shared" si="928"/>
        <v>11</v>
      </c>
      <c r="BV401">
        <f t="shared" si="966"/>
        <v>2.1399958398947052</v>
      </c>
      <c r="BW401">
        <f t="shared" si="967"/>
        <v>5206.6098784638179</v>
      </c>
      <c r="BX401" s="5">
        <f t="shared" si="968"/>
        <v>31045.622613885644</v>
      </c>
      <c r="BY401" s="5">
        <f t="shared" si="969"/>
        <v>4642.3566325812926</v>
      </c>
      <c r="BZ401" s="5">
        <f t="shared" si="970"/>
        <v>85334</v>
      </c>
      <c r="CA401" s="5">
        <f t="shared" si="971"/>
        <v>9848.9665110451097</v>
      </c>
      <c r="CC401" s="5">
        <f t="shared" si="972"/>
        <v>1557057.206156926</v>
      </c>
      <c r="CD401" s="5" t="str">
        <f t="shared" si="973"/>
        <v>Utah</v>
      </c>
      <c r="CE401" s="5">
        <f t="shared" si="927"/>
        <v>0.98189384124216483</v>
      </c>
      <c r="CF401" s="10">
        <f t="shared" si="974"/>
        <v>0.78120122702634298</v>
      </c>
    </row>
    <row r="402" spans="1:84" x14ac:dyDescent="0.2">
      <c r="A402">
        <v>45000000004607</v>
      </c>
      <c r="B402">
        <v>2015</v>
      </c>
      <c r="C402">
        <v>595</v>
      </c>
      <c r="D402" t="s">
        <v>621</v>
      </c>
      <c r="E402">
        <v>12</v>
      </c>
      <c r="F402" t="s">
        <v>622</v>
      </c>
      <c r="G402" t="s">
        <v>632</v>
      </c>
      <c r="H402" t="s">
        <v>633</v>
      </c>
      <c r="I402" t="b">
        <v>1</v>
      </c>
      <c r="J402">
        <v>51005</v>
      </c>
      <c r="K402">
        <v>8370</v>
      </c>
      <c r="L402">
        <v>0</v>
      </c>
      <c r="M402">
        <v>-4982</v>
      </c>
      <c r="N402">
        <v>0</v>
      </c>
      <c r="O402">
        <v>333</v>
      </c>
      <c r="P402">
        <v>0</v>
      </c>
      <c r="Q402">
        <v>54060</v>
      </c>
      <c r="R402">
        <v>86261</v>
      </c>
      <c r="S402">
        <v>140321</v>
      </c>
      <c r="T402">
        <v>49645</v>
      </c>
      <c r="V402">
        <v>0</v>
      </c>
      <c r="W402">
        <v>1963</v>
      </c>
      <c r="X402">
        <v>3</v>
      </c>
      <c r="Y402">
        <v>30</v>
      </c>
      <c r="AA402">
        <v>51248</v>
      </c>
      <c r="AB402">
        <v>89291</v>
      </c>
      <c r="AC402">
        <v>140539</v>
      </c>
      <c r="AD402">
        <v>-218</v>
      </c>
      <c r="AE402">
        <v>-3030</v>
      </c>
      <c r="AF402">
        <v>2812</v>
      </c>
      <c r="AG402">
        <v>637560</v>
      </c>
      <c r="AH402">
        <v>7.7867181128050689E-2</v>
      </c>
      <c r="AI402" t="b">
        <v>1</v>
      </c>
      <c r="AK402">
        <v>7.4999999999999997E-2</v>
      </c>
      <c r="AL402">
        <v>7.4999999999999997E-2</v>
      </c>
      <c r="AM402">
        <v>7.4999999999999997E-2</v>
      </c>
      <c r="AN402">
        <v>7.4999999999999997E-2</v>
      </c>
      <c r="AO402">
        <v>1</v>
      </c>
      <c r="AP402">
        <v>0</v>
      </c>
      <c r="AS402">
        <v>40032</v>
      </c>
      <c r="AT402">
        <v>-30724</v>
      </c>
      <c r="AU402" t="s">
        <v>625</v>
      </c>
      <c r="AV402" t="s">
        <v>634</v>
      </c>
      <c r="BB402">
        <f t="shared" si="952"/>
        <v>1.0015535807184954</v>
      </c>
      <c r="BD402">
        <f t="shared" si="953"/>
        <v>40250</v>
      </c>
      <c r="BE402">
        <f t="shared" si="954"/>
        <v>-30506</v>
      </c>
      <c r="BF402">
        <f t="shared" si="955"/>
        <v>28.684231155707273</v>
      </c>
      <c r="BG402">
        <f t="shared" si="956"/>
        <v>-21.740152935056052</v>
      </c>
      <c r="BH402">
        <f t="shared" si="957"/>
        <v>25.212192045381659</v>
      </c>
      <c r="BI402">
        <f t="shared" si="958"/>
        <v>347.20391103256105</v>
      </c>
      <c r="BJ402">
        <f t="shared" si="959"/>
        <v>25</v>
      </c>
      <c r="BK402">
        <f>IF($BJ402&lt;=30,IF($B402=2015,VLOOKUP($BJ402,'Treasury Yields'!$C$5:$N$34,$E402,FALSE)/100,IF($B402=2016,VLOOKUP($BJ402,'Treasury Yields'!$C$40:$N$69,$E402,FALSE)/100,IF($B402=2017,VLOOKUP($BJ402,'Treasury Yields'!$C$75:$N$104,$E402,FALSE)/100,IF($B402=2018,VLOOKUP($BJ402,'Treasury Yields'!$C$110:$N$139,$E402,FALSE)/100,IF($B402=2019,VLOOKUP($BJ402,'Treasury Yields'!$C$145:$N$174,$E402,FALSE)/100,IF($B402=2020,VLOOKUP($BJ402,'Treasury Yields'!$C$180:$N$209,$E402,FALSE)/100,IF($B402=2021,VLOOKUP($BJ402,'Treasury Yields'!$C$215:$N$244,$E402,FALSE)/100,IF($B402=2022,VLOOKUP($BJ402,'Treasury Yields'!$C$250:$N$279,$E402,FALSE)/100)))))))),0)</f>
        <v>2.8154999999999993E-2</v>
      </c>
      <c r="BL402">
        <f t="shared" si="960"/>
        <v>2.1832595903909038</v>
      </c>
      <c r="BM402">
        <f t="shared" si="961"/>
        <v>188330.15552670974</v>
      </c>
      <c r="BN402">
        <f t="shared" si="962"/>
        <v>99039.155526709743</v>
      </c>
      <c r="BP402">
        <f>IF($BJ402&lt;=30,IF($B402=2015,VLOOKUP($BJ402,'Treasury Yields'!$C$40:$N$69,$E402,FALSE)/100,IF($B402=2016,VLOOKUP($BJ402,'Treasury Yields'!$C$75:$N$104,$E402,FALSE)/100,IF($B402=2017,VLOOKUP($BJ402,'Treasury Yields'!$C$110:$N$139,$E402,FALSE)/100,IF($B402=2018,VLOOKUP($BJ402,'Treasury Yields'!$C$145:$N$174,$E402,FALSE)/100,IF($B402=2019,VLOOKUP($BJ402,'Treasury Yields'!$C$180:$N$209,$E402,FALSE)/100,IF($B402=2020,VLOOKUP($BJ402,'Treasury Yields'!$C$215:$N$244,$E402,FALSE)/100,IF($B402=2021,VLOOKUP($BJ402,'Treasury Yields'!$C$250:$N$279,$E402,FALSE)/100,IF($B402=2022,VLOOKUP($BJ402,'Treasury Yields'!$C$285:$N$314,$E402,FALSE)/100)))))))),0)</f>
        <v>3.0934999999999987E-2</v>
      </c>
      <c r="BQ402">
        <f t="shared" si="963"/>
        <v>2.1129169667047427</v>
      </c>
      <c r="BR402">
        <f t="shared" si="964"/>
        <v>296486.62168497621</v>
      </c>
      <c r="BS402">
        <f t="shared" si="965"/>
        <v>155947.62168497621</v>
      </c>
      <c r="BU402">
        <f t="shared" si="928"/>
        <v>28</v>
      </c>
      <c r="BV402">
        <f t="shared" si="966"/>
        <v>4.2546481564270495</v>
      </c>
      <c r="BW402">
        <f t="shared" si="967"/>
        <v>217008.32921856167</v>
      </c>
      <c r="BX402" s="5">
        <f t="shared" si="968"/>
        <v>11402.929423003114</v>
      </c>
      <c r="BY402" s="5">
        <f t="shared" si="969"/>
        <v>8888.9413180031133</v>
      </c>
      <c r="BZ402" s="5">
        <f t="shared" si="970"/>
        <v>59375</v>
      </c>
      <c r="CA402" s="5">
        <f t="shared" si="971"/>
        <v>225897.27053656479</v>
      </c>
      <c r="CC402" s="5">
        <f t="shared" si="972"/>
        <v>296486.62168497621</v>
      </c>
      <c r="CD402" s="5" t="str">
        <f t="shared" si="973"/>
        <v>Utah</v>
      </c>
      <c r="CE402" s="5">
        <f t="shared" si="927"/>
        <v>1.0015535807184954</v>
      </c>
      <c r="CF402" s="10">
        <f t="shared" si="974"/>
        <v>0.4740146425538414</v>
      </c>
    </row>
    <row r="403" spans="1:84" x14ac:dyDescent="0.2">
      <c r="A403">
        <v>45000000004607</v>
      </c>
      <c r="B403">
        <v>2016</v>
      </c>
      <c r="C403">
        <v>595</v>
      </c>
      <c r="D403" t="s">
        <v>621</v>
      </c>
      <c r="E403">
        <v>12</v>
      </c>
      <c r="F403" t="s">
        <v>622</v>
      </c>
      <c r="G403" t="s">
        <v>632</v>
      </c>
      <c r="H403" t="s">
        <v>633</v>
      </c>
      <c r="I403" t="b">
        <v>1</v>
      </c>
      <c r="J403">
        <v>69887</v>
      </c>
      <c r="K403">
        <v>12608</v>
      </c>
      <c r="L403">
        <v>0</v>
      </c>
      <c r="M403">
        <v>-1917</v>
      </c>
      <c r="N403">
        <v>7867</v>
      </c>
      <c r="O403">
        <v>316</v>
      </c>
      <c r="P403">
        <v>0</v>
      </c>
      <c r="Q403">
        <v>88129</v>
      </c>
      <c r="R403">
        <v>140321</v>
      </c>
      <c r="S403">
        <v>228450</v>
      </c>
      <c r="T403">
        <v>63062</v>
      </c>
      <c r="V403">
        <v>0</v>
      </c>
      <c r="W403">
        <v>14059</v>
      </c>
      <c r="X403">
        <v>0</v>
      </c>
      <c r="Y403">
        <v>51</v>
      </c>
      <c r="AA403">
        <v>76754</v>
      </c>
      <c r="AB403">
        <v>140539</v>
      </c>
      <c r="AC403">
        <v>217293</v>
      </c>
      <c r="AD403">
        <v>11157</v>
      </c>
      <c r="AE403">
        <v>-218</v>
      </c>
      <c r="AF403">
        <v>11375</v>
      </c>
      <c r="AG403">
        <v>822196</v>
      </c>
      <c r="AH403">
        <v>7.6699473118331876E-2</v>
      </c>
      <c r="AI403" t="b">
        <v>1</v>
      </c>
      <c r="AK403">
        <v>7.4999999999999997E-2</v>
      </c>
      <c r="AL403">
        <v>7.1999999999999995E-2</v>
      </c>
      <c r="AM403">
        <v>7.1999999999999995E-2</v>
      </c>
      <c r="AN403">
        <v>7.1999999999999995E-2</v>
      </c>
      <c r="AO403">
        <v>1</v>
      </c>
      <c r="AP403">
        <v>0</v>
      </c>
      <c r="AS403">
        <v>75928</v>
      </c>
      <c r="AT403">
        <v>-38121</v>
      </c>
      <c r="AU403" t="s">
        <v>552</v>
      </c>
      <c r="AV403" t="s">
        <v>626</v>
      </c>
      <c r="BB403">
        <f t="shared" si="952"/>
        <v>0.95116217990807617</v>
      </c>
      <c r="BD403">
        <f t="shared" si="953"/>
        <v>64771</v>
      </c>
      <c r="BE403">
        <f t="shared" si="954"/>
        <v>-49278</v>
      </c>
      <c r="BF403">
        <f t="shared" si="955"/>
        <v>28.352374699058874</v>
      </c>
      <c r="BG403">
        <f t="shared" si="956"/>
        <v>-21.570584372948129</v>
      </c>
      <c r="BH403">
        <f t="shared" si="957"/>
        <v>24.961479536003502</v>
      </c>
      <c r="BI403">
        <f t="shared" si="958"/>
        <v>339.0895163055373</v>
      </c>
      <c r="BJ403">
        <f t="shared" si="959"/>
        <v>25</v>
      </c>
      <c r="BK403">
        <f>IF($BJ403&lt;=30,IF($B403=2015,VLOOKUP($BJ403,'Treasury Yields'!$C$5:$N$34,$E403,FALSE)/100,IF($B403=2016,VLOOKUP($BJ403,'Treasury Yields'!$C$40:$N$69,$E403,FALSE)/100,IF($B403=2017,VLOOKUP($BJ403,'Treasury Yields'!$C$75:$N$104,$E403,FALSE)/100,IF($B403=2018,VLOOKUP($BJ403,'Treasury Yields'!$C$110:$N$139,$E403,FALSE)/100,IF($B403=2019,VLOOKUP($BJ403,'Treasury Yields'!$C$145:$N$174,$E403,FALSE)/100,IF($B403=2020,VLOOKUP($BJ403,'Treasury Yields'!$C$180:$N$209,$E403,FALSE)/100,IF($B403=2021,VLOOKUP($BJ403,'Treasury Yields'!$C$215:$N$244,$E403,FALSE)/100,IF($B403=2022,VLOOKUP($BJ403,'Treasury Yields'!$C$250:$N$279,$E403,FALSE)/100)))))))),0)</f>
        <v>3.0934999999999987E-2</v>
      </c>
      <c r="BL403">
        <f t="shared" si="960"/>
        <v>2.0267294913709839</v>
      </c>
      <c r="BM403">
        <f t="shared" si="961"/>
        <v>284392.70895866782</v>
      </c>
      <c r="BN403">
        <f t="shared" si="962"/>
        <v>143853.70895866782</v>
      </c>
      <c r="BP403">
        <f>IF($BJ403&lt;=30,IF($B403=2015,VLOOKUP($BJ403,'Treasury Yields'!$C$40:$N$69,$E403,FALSE)/100,IF($B403=2016,VLOOKUP($BJ403,'Treasury Yields'!$C$75:$N$104,$E403,FALSE)/100,IF($B403=2017,VLOOKUP($BJ403,'Treasury Yields'!$C$110:$N$139,$E403,FALSE)/100,IF($B403=2018,VLOOKUP($BJ403,'Treasury Yields'!$C$145:$N$174,$E403,FALSE)/100,IF($B403=2019,VLOOKUP($BJ403,'Treasury Yields'!$C$180:$N$209,$E403,FALSE)/100,IF($B403=2020,VLOOKUP($BJ403,'Treasury Yields'!$C$215:$N$244,$E403,FALSE)/100,IF($B403=2021,VLOOKUP($BJ403,'Treasury Yields'!$C$250:$N$279,$E403,FALSE)/100,IF($B403=2022,VLOOKUP($BJ403,'Treasury Yields'!$C$285:$N$314,$E403,FALSE)/100)))))))),0)</f>
        <v>3.1145000000000009E-2</v>
      </c>
      <c r="BQ403">
        <f t="shared" si="963"/>
        <v>2.0214703774684226</v>
      </c>
      <c r="BR403">
        <f t="shared" si="964"/>
        <v>461804.90773266117</v>
      </c>
      <c r="BS403">
        <f t="shared" si="965"/>
        <v>244511.90773266117</v>
      </c>
      <c r="BU403">
        <f t="shared" si="928"/>
        <v>28</v>
      </c>
      <c r="BV403">
        <f t="shared" si="966"/>
        <v>3.7466814138307072</v>
      </c>
      <c r="BW403">
        <f t="shared" si="967"/>
        <v>261844.32396838663</v>
      </c>
      <c r="BX403" s="5">
        <f t="shared" si="968"/>
        <v>16888.067153598422</v>
      </c>
      <c r="BY403" s="5">
        <f t="shared" si="969"/>
        <v>12540.493188598424</v>
      </c>
      <c r="BZ403" s="5">
        <f t="shared" si="970"/>
        <v>82495</v>
      </c>
      <c r="CA403" s="5">
        <f t="shared" si="971"/>
        <v>274384.81715698505</v>
      </c>
      <c r="CC403" s="5">
        <f t="shared" si="972"/>
        <v>461804.90773266117</v>
      </c>
      <c r="CD403" s="5" t="str">
        <f t="shared" si="973"/>
        <v>Utah</v>
      </c>
      <c r="CE403" s="5">
        <f t="shared" si="927"/>
        <v>0.95116217990807617</v>
      </c>
      <c r="CF403" s="10">
        <f t="shared" si="974"/>
        <v>0.4705298630689107</v>
      </c>
    </row>
    <row r="404" spans="1:84" x14ac:dyDescent="0.2">
      <c r="A404">
        <v>45000000004607</v>
      </c>
      <c r="B404">
        <v>2017</v>
      </c>
      <c r="C404">
        <v>595</v>
      </c>
      <c r="D404" t="s">
        <v>621</v>
      </c>
      <c r="E404">
        <v>12</v>
      </c>
      <c r="F404" t="s">
        <v>622</v>
      </c>
      <c r="G404" t="s">
        <v>632</v>
      </c>
      <c r="H404" t="s">
        <v>633</v>
      </c>
      <c r="I404" t="b">
        <v>1</v>
      </c>
      <c r="J404">
        <v>84388</v>
      </c>
      <c r="K404">
        <v>19471</v>
      </c>
      <c r="L404">
        <v>0</v>
      </c>
      <c r="M404">
        <v>357</v>
      </c>
      <c r="N404">
        <v>5786</v>
      </c>
      <c r="O404">
        <v>417</v>
      </c>
      <c r="P404">
        <v>0</v>
      </c>
      <c r="Q404">
        <v>109585</v>
      </c>
      <c r="R404">
        <v>228450</v>
      </c>
      <c r="S404">
        <v>338035</v>
      </c>
      <c r="T404">
        <v>79175</v>
      </c>
      <c r="V404">
        <v>0</v>
      </c>
      <c r="W404">
        <v>33249</v>
      </c>
      <c r="X404">
        <v>0</v>
      </c>
      <c r="Y404">
        <v>82</v>
      </c>
      <c r="AA404">
        <v>111925</v>
      </c>
      <c r="AB404">
        <v>217293</v>
      </c>
      <c r="AC404">
        <v>329218</v>
      </c>
      <c r="AD404">
        <v>8817</v>
      </c>
      <c r="AE404">
        <v>11157</v>
      </c>
      <c r="AF404">
        <v>-2340</v>
      </c>
      <c r="AG404">
        <v>996965</v>
      </c>
      <c r="AH404">
        <v>7.941602764389924E-2</v>
      </c>
      <c r="AI404" t="b">
        <v>1</v>
      </c>
      <c r="AK404">
        <v>7.1999999999999995E-2</v>
      </c>
      <c r="AL404">
        <v>6.9500000000000006E-2</v>
      </c>
      <c r="AM404">
        <v>6.9500000000000006E-2</v>
      </c>
      <c r="AN404">
        <v>7.1999999999999995E-2</v>
      </c>
      <c r="AO404">
        <v>1</v>
      </c>
      <c r="AP404">
        <v>0</v>
      </c>
      <c r="AS404">
        <v>103813</v>
      </c>
      <c r="AT404">
        <v>-64439</v>
      </c>
      <c r="AU404" t="s">
        <v>349</v>
      </c>
      <c r="AV404" t="s">
        <v>628</v>
      </c>
      <c r="BB404">
        <f t="shared" si="952"/>
        <v>0.97391690209593684</v>
      </c>
      <c r="BD404">
        <f t="shared" si="953"/>
        <v>94996</v>
      </c>
      <c r="BE404">
        <f t="shared" si="954"/>
        <v>-73256</v>
      </c>
      <c r="BF404">
        <f t="shared" si="955"/>
        <v>28.102415430354842</v>
      </c>
      <c r="BG404">
        <f t="shared" si="956"/>
        <v>-21.671128729273594</v>
      </c>
      <c r="BH404">
        <f t="shared" si="957"/>
        <v>24.886772079814222</v>
      </c>
      <c r="BI404">
        <f t="shared" si="958"/>
        <v>321.56433505406244</v>
      </c>
      <c r="BJ404">
        <f t="shared" si="959"/>
        <v>25</v>
      </c>
      <c r="BK404">
        <f>IF($BJ404&lt;=30,IF($B404=2015,VLOOKUP($BJ404,'Treasury Yields'!$C$5:$N$34,$E404,FALSE)/100,IF($B404=2016,VLOOKUP($BJ404,'Treasury Yields'!$C$40:$N$69,$E404,FALSE)/100,IF($B404=2017,VLOOKUP($BJ404,'Treasury Yields'!$C$75:$N$104,$E404,FALSE)/100,IF($B404=2018,VLOOKUP($BJ404,'Treasury Yields'!$C$110:$N$139,$E404,FALSE)/100,IF($B404=2019,VLOOKUP($BJ404,'Treasury Yields'!$C$145:$N$174,$E404,FALSE)/100,IF($B404=2020,VLOOKUP($BJ404,'Treasury Yields'!$C$180:$N$209,$E404,FALSE)/100,IF($B404=2021,VLOOKUP($BJ404,'Treasury Yields'!$C$215:$N$244,$E404,FALSE)/100,IF($B404=2022,VLOOKUP($BJ404,'Treasury Yields'!$C$250:$N$279,$E404,FALSE)/100)))))))),0)</f>
        <v>3.1145000000000009E-2</v>
      </c>
      <c r="BL404">
        <f t="shared" si="960"/>
        <v>1.9560032491462742</v>
      </c>
      <c r="BM404">
        <f t="shared" si="961"/>
        <v>446848.94226746634</v>
      </c>
      <c r="BN404">
        <f t="shared" si="962"/>
        <v>229555.94226746634</v>
      </c>
      <c r="BP404">
        <f>IF($BJ404&lt;=30,IF($B404=2015,VLOOKUP($BJ404,'Treasury Yields'!$C$40:$N$69,$E404,FALSE)/100,IF($B404=2016,VLOOKUP($BJ404,'Treasury Yields'!$C$75:$N$104,$E404,FALSE)/100,IF($B404=2017,VLOOKUP($BJ404,'Treasury Yields'!$C$110:$N$139,$E404,FALSE)/100,IF($B404=2018,VLOOKUP($BJ404,'Treasury Yields'!$C$145:$N$174,$E404,FALSE)/100,IF($B404=2019,VLOOKUP($BJ404,'Treasury Yields'!$C$180:$N$209,$E404,FALSE)/100,IF($B404=2020,VLOOKUP($BJ404,'Treasury Yields'!$C$215:$N$244,$E404,FALSE)/100,IF($B404=2021,VLOOKUP($BJ404,'Treasury Yields'!$C$250:$N$279,$E404,FALSE)/100,IF($B404=2022,VLOOKUP($BJ404,'Treasury Yields'!$C$285:$N$314,$E404,FALSE)/100)))))))),0)</f>
        <v>1.5188999999999999E-2</v>
      </c>
      <c r="BQ404">
        <f t="shared" si="963"/>
        <v>2.4170698983473256</v>
      </c>
      <c r="BR404">
        <f t="shared" si="964"/>
        <v>817054.22308783815</v>
      </c>
      <c r="BS404">
        <f t="shared" si="965"/>
        <v>487836.22308783815</v>
      </c>
      <c r="BU404">
        <f t="shared" si="928"/>
        <v>28</v>
      </c>
      <c r="BV404">
        <f t="shared" si="966"/>
        <v>3.6974220814930399</v>
      </c>
      <c r="BW404">
        <f t="shared" si="967"/>
        <v>312018.05461303465</v>
      </c>
      <c r="BX404" s="5">
        <f t="shared" si="968"/>
        <v>23621.925152843211</v>
      </c>
      <c r="BY404" s="5">
        <f t="shared" si="969"/>
        <v>16854.33466784321</v>
      </c>
      <c r="BZ404" s="5">
        <f t="shared" si="970"/>
        <v>103859</v>
      </c>
      <c r="CA404" s="5">
        <f t="shared" si="971"/>
        <v>328872.38928087783</v>
      </c>
      <c r="CC404" s="5">
        <f t="shared" si="972"/>
        <v>817054.22308783815</v>
      </c>
      <c r="CD404" s="5" t="str">
        <f t="shared" si="973"/>
        <v>Utah</v>
      </c>
      <c r="CE404" s="5">
        <f t="shared" si="927"/>
        <v>0.97391690209593684</v>
      </c>
      <c r="CF404" s="10">
        <f t="shared" si="974"/>
        <v>0.40293286626168889</v>
      </c>
    </row>
    <row r="405" spans="1:84" x14ac:dyDescent="0.2">
      <c r="A405">
        <v>45000000004607</v>
      </c>
      <c r="B405">
        <v>2018</v>
      </c>
      <c r="C405">
        <v>595</v>
      </c>
      <c r="D405" t="s">
        <v>621</v>
      </c>
      <c r="E405">
        <v>12</v>
      </c>
      <c r="F405" t="s">
        <v>622</v>
      </c>
      <c r="G405" t="s">
        <v>632</v>
      </c>
      <c r="H405" t="s">
        <v>633</v>
      </c>
      <c r="I405" t="b">
        <v>1</v>
      </c>
      <c r="J405">
        <v>104736</v>
      </c>
      <c r="K405">
        <v>27109</v>
      </c>
      <c r="L405">
        <v>0</v>
      </c>
      <c r="M405">
        <v>-1727</v>
      </c>
      <c r="N405">
        <v>0</v>
      </c>
      <c r="O405">
        <v>692</v>
      </c>
      <c r="P405">
        <v>0</v>
      </c>
      <c r="Q405">
        <v>129426</v>
      </c>
      <c r="R405">
        <v>338035</v>
      </c>
      <c r="S405">
        <v>467461</v>
      </c>
      <c r="T405">
        <v>97680</v>
      </c>
      <c r="V405">
        <v>0</v>
      </c>
      <c r="W405">
        <v>-1454</v>
      </c>
      <c r="X405">
        <v>0</v>
      </c>
      <c r="Y405">
        <v>119</v>
      </c>
      <c r="AA405">
        <v>95415</v>
      </c>
      <c r="AB405">
        <v>329218</v>
      </c>
      <c r="AC405">
        <v>424633</v>
      </c>
      <c r="AD405">
        <v>42828</v>
      </c>
      <c r="AE405">
        <v>8817</v>
      </c>
      <c r="AF405">
        <v>34011</v>
      </c>
      <c r="AG405">
        <v>1171543</v>
      </c>
      <c r="AH405">
        <v>8.3377221322648853E-2</v>
      </c>
      <c r="AI405" t="b">
        <v>1</v>
      </c>
      <c r="AK405">
        <v>6.9500000000000006E-2</v>
      </c>
      <c r="AL405">
        <v>6.9500000000000006E-2</v>
      </c>
      <c r="AM405">
        <v>6.9500000000000006E-2</v>
      </c>
      <c r="AN405">
        <v>6.9500000000000006E-2</v>
      </c>
      <c r="AO405">
        <v>1</v>
      </c>
      <c r="AP405">
        <v>0</v>
      </c>
      <c r="AS405">
        <v>171577</v>
      </c>
      <c r="AT405">
        <v>-56534</v>
      </c>
      <c r="AU405" t="s">
        <v>349</v>
      </c>
      <c r="AV405" t="s">
        <v>630</v>
      </c>
      <c r="BB405">
        <f t="shared" si="952"/>
        <v>0.90838166178568902</v>
      </c>
      <c r="BD405">
        <f t="shared" si="953"/>
        <v>128749</v>
      </c>
      <c r="BE405">
        <f t="shared" si="954"/>
        <v>-99362</v>
      </c>
      <c r="BF405">
        <f t="shared" si="955"/>
        <v>27.542190685426167</v>
      </c>
      <c r="BG405">
        <f t="shared" si="956"/>
        <v>-21.255676944172883</v>
      </c>
      <c r="BH405">
        <f t="shared" si="957"/>
        <v>24.398933814799523</v>
      </c>
      <c r="BI405">
        <f t="shared" si="958"/>
        <v>314.32568706266403</v>
      </c>
      <c r="BJ405">
        <f t="shared" si="959"/>
        <v>24</v>
      </c>
      <c r="BK405">
        <f>IF($BJ405&lt;=30,IF($B405=2015,VLOOKUP($BJ405,'Treasury Yields'!$C$5:$N$34,$E405,FALSE)/100,IF($B405=2016,VLOOKUP($BJ405,'Treasury Yields'!$C$40:$N$69,$E405,FALSE)/100,IF($B405=2017,VLOOKUP($BJ405,'Treasury Yields'!$C$75:$N$104,$E405,FALSE)/100,IF($B405=2018,VLOOKUP($BJ405,'Treasury Yields'!$C$110:$N$139,$E405,FALSE)/100,IF($B405=2019,VLOOKUP($BJ405,'Treasury Yields'!$C$145:$N$174,$E405,FALSE)/100,IF($B405=2020,VLOOKUP($BJ405,'Treasury Yields'!$C$180:$N$209,$E405,FALSE)/100,IF($B405=2021,VLOOKUP($BJ405,'Treasury Yields'!$C$215:$N$244,$E405,FALSE)/100,IF($B405=2022,VLOOKUP($BJ405,'Treasury Yields'!$C$250:$N$279,$E405,FALSE)/100)))))))),0)</f>
        <v>1.76632E-2</v>
      </c>
      <c r="BL405">
        <f t="shared" si="960"/>
        <v>2.2674497062052401</v>
      </c>
      <c r="BM405">
        <f t="shared" si="961"/>
        <v>766477.36143708834</v>
      </c>
      <c r="BN405">
        <f t="shared" si="962"/>
        <v>437259.36143708834</v>
      </c>
      <c r="BP405">
        <f>IF($BJ405&lt;=30,IF($B405=2015,VLOOKUP($BJ405,'Treasury Yields'!$C$40:$N$69,$E405,FALSE)/100,IF($B405=2016,VLOOKUP($BJ405,'Treasury Yields'!$C$75:$N$104,$E405,FALSE)/100,IF($B405=2017,VLOOKUP($BJ405,'Treasury Yields'!$C$110:$N$139,$E405,FALSE)/100,IF($B405=2018,VLOOKUP($BJ405,'Treasury Yields'!$C$145:$N$174,$E405,FALSE)/100,IF($B405=2019,VLOOKUP($BJ405,'Treasury Yields'!$C$180:$N$209,$E405,FALSE)/100,IF($B405=2020,VLOOKUP($BJ405,'Treasury Yields'!$C$215:$N$244,$E405,FALSE)/100,IF($B405=2021,VLOOKUP($BJ405,'Treasury Yields'!$C$250:$N$279,$E405,FALSE)/100,IF($B405=2022,VLOOKUP($BJ405,'Treasury Yields'!$C$285:$N$314,$E405,FALSE)/100)))))))),0)</f>
        <v>2.3846556521739139E-2</v>
      </c>
      <c r="BQ405">
        <f t="shared" si="963"/>
        <v>2.1159795827452008</v>
      </c>
      <c r="BR405">
        <f t="shared" si="964"/>
        <v>989137.93172965432</v>
      </c>
      <c r="BS405">
        <f t="shared" si="965"/>
        <v>564504.93172965432</v>
      </c>
      <c r="BU405">
        <f t="shared" si="928"/>
        <v>27</v>
      </c>
      <c r="BV405">
        <f t="shared" si="966"/>
        <v>4.5089662949928542</v>
      </c>
      <c r="BW405">
        <f t="shared" si="967"/>
        <v>472251.0938723716</v>
      </c>
      <c r="BX405" s="5">
        <f t="shared" si="968"/>
        <v>21867.685517422055</v>
      </c>
      <c r="BY405" s="5">
        <f t="shared" si="969"/>
        <v>16052.642139822054</v>
      </c>
      <c r="BZ405" s="5">
        <f t="shared" si="970"/>
        <v>131845</v>
      </c>
      <c r="CA405" s="5">
        <f t="shared" si="971"/>
        <v>488303.73601219367</v>
      </c>
      <c r="CC405" s="5">
        <f t="shared" si="972"/>
        <v>989137.93172965432</v>
      </c>
      <c r="CD405" s="5" t="str">
        <f t="shared" si="973"/>
        <v>Utah</v>
      </c>
      <c r="CE405" s="5">
        <f t="shared" si="927"/>
        <v>0.90838166178568902</v>
      </c>
      <c r="CF405" s="10">
        <f t="shared" si="974"/>
        <v>0.4292960429264564</v>
      </c>
    </row>
    <row r="406" spans="1:84" x14ac:dyDescent="0.2">
      <c r="A406">
        <v>45000000004607</v>
      </c>
      <c r="B406">
        <v>2019</v>
      </c>
      <c r="C406">
        <v>595</v>
      </c>
      <c r="D406" t="s">
        <v>621</v>
      </c>
      <c r="E406">
        <v>12</v>
      </c>
      <c r="F406" t="s">
        <v>622</v>
      </c>
      <c r="G406" t="s">
        <v>632</v>
      </c>
      <c r="H406" t="s">
        <v>633</v>
      </c>
      <c r="I406" t="b">
        <v>1</v>
      </c>
      <c r="J406">
        <v>124244</v>
      </c>
      <c r="K406">
        <v>36773</v>
      </c>
      <c r="M406">
        <v>6561</v>
      </c>
      <c r="O406">
        <v>965</v>
      </c>
      <c r="Q406">
        <v>166613</v>
      </c>
      <c r="R406">
        <v>467461</v>
      </c>
      <c r="S406">
        <v>634074</v>
      </c>
      <c r="T406">
        <v>119839</v>
      </c>
      <c r="W406">
        <v>68228</v>
      </c>
      <c r="Y406">
        <v>152</v>
      </c>
      <c r="AA406">
        <v>186950</v>
      </c>
      <c r="AB406">
        <v>424633</v>
      </c>
      <c r="AC406">
        <v>611583</v>
      </c>
      <c r="AD406">
        <v>22491</v>
      </c>
      <c r="AE406">
        <v>42828</v>
      </c>
      <c r="AF406">
        <v>-20337</v>
      </c>
      <c r="AG406">
        <v>1380488</v>
      </c>
      <c r="AH406">
        <v>8.6809157341461857E-2</v>
      </c>
      <c r="AI406" t="b">
        <v>1</v>
      </c>
      <c r="AK406">
        <v>6.9500000000000006E-2</v>
      </c>
      <c r="AL406">
        <v>6.9500000000000006E-2</v>
      </c>
      <c r="AM406">
        <v>6.9500000000000006E-2</v>
      </c>
      <c r="AN406">
        <v>6.9500000000000006E-2</v>
      </c>
      <c r="AO406">
        <v>1</v>
      </c>
      <c r="AP406">
        <v>0</v>
      </c>
      <c r="AS406">
        <v>193947</v>
      </c>
      <c r="AT406">
        <v>-110013</v>
      </c>
      <c r="AU406" t="s">
        <v>625</v>
      </c>
      <c r="AV406" t="s">
        <v>634</v>
      </c>
      <c r="BB406">
        <f t="shared" si="952"/>
        <v>0.96452937669735705</v>
      </c>
      <c r="BD406">
        <f t="shared" si="953"/>
        <v>171456</v>
      </c>
      <c r="BE406">
        <f t="shared" si="954"/>
        <v>-132504</v>
      </c>
      <c r="BF406">
        <f t="shared" si="955"/>
        <v>27.040376990698245</v>
      </c>
      <c r="BG406">
        <f t="shared" si="956"/>
        <v>-20.897245431921196</v>
      </c>
      <c r="BH406">
        <f t="shared" si="957"/>
        <v>23.96881121130972</v>
      </c>
      <c r="BI406">
        <f t="shared" si="958"/>
        <v>307.15657793885254</v>
      </c>
      <c r="BJ406">
        <f t="shared" si="959"/>
        <v>24</v>
      </c>
      <c r="BK406">
        <f>IF($BJ406&lt;=30,IF($B406=2015,VLOOKUP($BJ406,'Treasury Yields'!$C$5:$N$34,$E406,FALSE)/100,IF($B406=2016,VLOOKUP($BJ406,'Treasury Yields'!$C$40:$N$69,$E406,FALSE)/100,IF($B406=2017,VLOOKUP($BJ406,'Treasury Yields'!$C$75:$N$104,$E406,FALSE)/100,IF($B406=2018,VLOOKUP($BJ406,'Treasury Yields'!$C$110:$N$139,$E406,FALSE)/100,IF($B406=2019,VLOOKUP($BJ406,'Treasury Yields'!$C$145:$N$174,$E406,FALSE)/100,IF($B406=2020,VLOOKUP($BJ406,'Treasury Yields'!$C$180:$N$209,$E406,FALSE)/100,IF($B406=2021,VLOOKUP($BJ406,'Treasury Yields'!$C$215:$N$244,$E406,FALSE)/100,IF($B406=2022,VLOOKUP($BJ406,'Treasury Yields'!$C$250:$N$279,$E406,FALSE)/100)))))))),0)</f>
        <v>2.3846556521739139E-2</v>
      </c>
      <c r="BL406">
        <f t="shared" si="960"/>
        <v>2.0963430047780562</v>
      </c>
      <c r="BM406">
        <f t="shared" si="961"/>
        <v>979958.59735655494</v>
      </c>
      <c r="BN406">
        <f t="shared" si="962"/>
        <v>555325.59735655494</v>
      </c>
      <c r="BP406">
        <f>IF($BJ406&lt;=30,IF($B406=2015,VLOOKUP($BJ406,'Treasury Yields'!$C$40:$N$69,$E406,FALSE)/100,IF($B406=2016,VLOOKUP($BJ406,'Treasury Yields'!$C$75:$N$104,$E406,FALSE)/100,IF($B406=2017,VLOOKUP($BJ406,'Treasury Yields'!$C$110:$N$139,$E406,FALSE)/100,IF($B406=2018,VLOOKUP($BJ406,'Treasury Yields'!$C$145:$N$174,$E406,FALSE)/100,IF($B406=2019,VLOOKUP($BJ406,'Treasury Yields'!$C$180:$N$209,$E406,FALSE)/100,IF($B406=2020,VLOOKUP($BJ406,'Treasury Yields'!$C$215:$N$244,$E406,FALSE)/100,IF($B406=2021,VLOOKUP($BJ406,'Treasury Yields'!$C$250:$N$279,$E406,FALSE)/100,IF($B406=2022,VLOOKUP($BJ406,'Treasury Yields'!$C$285:$N$314,$E406,FALSE)/100)))))))),0)</f>
        <v>2.4764000000000005E-2</v>
      </c>
      <c r="BQ406">
        <f t="shared" si="963"/>
        <v>2.0742700480451517</v>
      </c>
      <c r="BR406">
        <f t="shared" si="964"/>
        <v>1315240.7064441815</v>
      </c>
      <c r="BS406">
        <f t="shared" si="965"/>
        <v>703657.7064441815</v>
      </c>
      <c r="BU406">
        <f t="shared" si="928"/>
        <v>27</v>
      </c>
      <c r="BV406">
        <f t="shared" si="966"/>
        <v>3.9670888160445692</v>
      </c>
      <c r="BW406">
        <f t="shared" si="967"/>
        <v>492886.98286064144</v>
      </c>
      <c r="BX406" s="5">
        <f t="shared" si="968"/>
        <v>35099.283449399576</v>
      </c>
      <c r="BY406" s="5">
        <f t="shared" si="969"/>
        <v>24973.248613903917</v>
      </c>
      <c r="BZ406" s="5">
        <f t="shared" si="970"/>
        <v>161017</v>
      </c>
      <c r="CA406" s="5">
        <f t="shared" si="971"/>
        <v>517860.23147454538</v>
      </c>
      <c r="CC406" s="5">
        <f t="shared" si="972"/>
        <v>1315240.7064441815</v>
      </c>
      <c r="CD406" s="5" t="str">
        <f t="shared" si="973"/>
        <v>Utah</v>
      </c>
      <c r="CE406" s="5">
        <f t="shared" si="927"/>
        <v>0.96452937669735705</v>
      </c>
      <c r="CF406" s="10">
        <f t="shared" si="974"/>
        <v>0.46499701309689917</v>
      </c>
    </row>
    <row r="407" spans="1:84" x14ac:dyDescent="0.2">
      <c r="A407">
        <v>45000000004607</v>
      </c>
      <c r="B407">
        <v>2020</v>
      </c>
      <c r="C407">
        <v>595</v>
      </c>
      <c r="D407" t="s">
        <v>621</v>
      </c>
      <c r="E407">
        <v>12</v>
      </c>
      <c r="F407" t="s">
        <v>622</v>
      </c>
      <c r="G407" t="s">
        <v>632</v>
      </c>
      <c r="H407" t="s">
        <v>633</v>
      </c>
      <c r="I407" t="b">
        <v>1</v>
      </c>
      <c r="J407">
        <v>146284</v>
      </c>
      <c r="K407">
        <v>49103</v>
      </c>
      <c r="M407">
        <v>8201</v>
      </c>
      <c r="N407">
        <v>10603</v>
      </c>
      <c r="O407">
        <v>1397</v>
      </c>
      <c r="Q407">
        <v>212794</v>
      </c>
      <c r="R407">
        <v>634074</v>
      </c>
      <c r="S407">
        <v>846868</v>
      </c>
      <c r="T407">
        <v>138466</v>
      </c>
      <c r="W407">
        <v>84040</v>
      </c>
      <c r="Y407">
        <v>207</v>
      </c>
      <c r="AA407">
        <v>220902</v>
      </c>
      <c r="AB407">
        <v>611583</v>
      </c>
      <c r="AC407">
        <v>832485</v>
      </c>
      <c r="AD407">
        <v>14383</v>
      </c>
      <c r="AE407">
        <v>22491</v>
      </c>
      <c r="AF407">
        <v>-8108</v>
      </c>
      <c r="AG407">
        <v>1609102</v>
      </c>
      <c r="AH407">
        <v>8.6051723259308613E-2</v>
      </c>
      <c r="AI407" t="b">
        <v>1</v>
      </c>
      <c r="AK407">
        <v>6.9500000000000006E-2</v>
      </c>
      <c r="AL407">
        <v>6.9500000000000006E-2</v>
      </c>
      <c r="AM407">
        <v>6.9500000000000006E-2</v>
      </c>
      <c r="AN407">
        <v>6.9500000000000006E-2</v>
      </c>
      <c r="AO407">
        <v>1</v>
      </c>
      <c r="AP407">
        <v>0</v>
      </c>
      <c r="AS407">
        <v>242019</v>
      </c>
      <c r="AT407">
        <v>-159753</v>
      </c>
      <c r="AU407" t="s">
        <v>625</v>
      </c>
      <c r="AV407" t="s">
        <v>634</v>
      </c>
      <c r="BB407">
        <f t="shared" si="952"/>
        <v>0.98301624338149507</v>
      </c>
      <c r="BD407">
        <f t="shared" si="953"/>
        <v>227636</v>
      </c>
      <c r="BE407">
        <f t="shared" si="954"/>
        <v>-174136</v>
      </c>
      <c r="BF407">
        <f t="shared" si="955"/>
        <v>26.879749854758948</v>
      </c>
      <c r="BG407">
        <f t="shared" si="956"/>
        <v>-20.562354463741691</v>
      </c>
      <c r="BH407">
        <f t="shared" si="957"/>
        <v>23.72105215925032</v>
      </c>
      <c r="BI407">
        <f t="shared" si="958"/>
        <v>315.86976955086271</v>
      </c>
      <c r="BJ407">
        <f t="shared" si="959"/>
        <v>24</v>
      </c>
      <c r="BK407">
        <f>IF($BJ407&lt;=30,IF($B407=2015,VLOOKUP($BJ407,'Treasury Yields'!$C$5:$N$34,$E407,FALSE)/100,IF($B407=2016,VLOOKUP($BJ407,'Treasury Yields'!$C$40:$N$69,$E407,FALSE)/100,IF($B407=2017,VLOOKUP($BJ407,'Treasury Yields'!$C$75:$N$104,$E407,FALSE)/100,IF($B407=2018,VLOOKUP($BJ407,'Treasury Yields'!$C$110:$N$139,$E407,FALSE)/100,IF($B407=2019,VLOOKUP($BJ407,'Treasury Yields'!$C$145:$N$174,$E407,FALSE)/100,IF($B407=2020,VLOOKUP($BJ407,'Treasury Yields'!$C$180:$N$209,$E407,FALSE)/100,IF($B407=2021,VLOOKUP($BJ407,'Treasury Yields'!$C$215:$N$244,$E407,FALSE)/100,IF($B407=2022,VLOOKUP($BJ407,'Treasury Yields'!$C$250:$N$279,$E407,FALSE)/100)))))))),0)</f>
        <v>2.4764000000000005E-2</v>
      </c>
      <c r="BL407">
        <f t="shared" si="960"/>
        <v>2.0631862990922221</v>
      </c>
      <c r="BM407">
        <f t="shared" si="961"/>
        <v>1308212.7894106016</v>
      </c>
      <c r="BN407">
        <f t="shared" si="962"/>
        <v>696629.7894106016</v>
      </c>
      <c r="BP407">
        <f>IF($BJ407&lt;=30,IF($B407=2015,VLOOKUP($BJ407,'Treasury Yields'!$C$40:$N$69,$E407,FALSE)/100,IF($B407=2016,VLOOKUP($BJ407,'Treasury Yields'!$C$75:$N$104,$E407,FALSE)/100,IF($B407=2017,VLOOKUP($BJ407,'Treasury Yields'!$C$110:$N$139,$E407,FALSE)/100,IF($B407=2018,VLOOKUP($BJ407,'Treasury Yields'!$C$145:$N$174,$E407,FALSE)/100,IF($B407=2019,VLOOKUP($BJ407,'Treasury Yields'!$C$180:$N$209,$E407,FALSE)/100,IF($B407=2020,VLOOKUP($BJ407,'Treasury Yields'!$C$215:$N$244,$E407,FALSE)/100,IF($B407=2021,VLOOKUP($BJ407,'Treasury Yields'!$C$250:$N$279,$E407,FALSE)/100,IF($B407=2022,VLOOKUP($BJ407,'Treasury Yields'!$C$285:$N$314,$E407,FALSE)/100)))))))),0)</f>
        <v>1.6026347826086956E-2</v>
      </c>
      <c r="BQ407">
        <f t="shared" si="963"/>
        <v>2.2713107238398171</v>
      </c>
      <c r="BR407">
        <f t="shared" si="964"/>
        <v>1923500.3700767783</v>
      </c>
      <c r="BS407">
        <f t="shared" si="965"/>
        <v>1091015.3700767783</v>
      </c>
      <c r="BU407">
        <f t="shared" si="928"/>
        <v>27</v>
      </c>
      <c r="BV407">
        <f t="shared" si="966"/>
        <v>3.9012102218716493</v>
      </c>
      <c r="BW407">
        <f t="shared" si="967"/>
        <v>570684.63609627238</v>
      </c>
      <c r="BX407" s="5">
        <f t="shared" si="968"/>
        <v>46494.420537252234</v>
      </c>
      <c r="BY407" s="5">
        <f t="shared" si="969"/>
        <v>31349.179125252234</v>
      </c>
      <c r="BZ407" s="5">
        <f t="shared" si="970"/>
        <v>195387</v>
      </c>
      <c r="CA407" s="5">
        <f t="shared" si="971"/>
        <v>602033.81522152456</v>
      </c>
      <c r="CC407" s="5">
        <f t="shared" si="972"/>
        <v>1923500.3700767783</v>
      </c>
      <c r="CD407" s="5" t="str">
        <f t="shared" si="973"/>
        <v>Utah</v>
      </c>
      <c r="CE407" s="5">
        <f t="shared" si="927"/>
        <v>0.98301624338149507</v>
      </c>
      <c r="CF407" s="10">
        <f t="shared" si="974"/>
        <v>0.43279690139429011</v>
      </c>
    </row>
    <row r="408" spans="1:84" x14ac:dyDescent="0.2">
      <c r="A408">
        <v>45000000004607</v>
      </c>
      <c r="B408">
        <v>2021</v>
      </c>
      <c r="C408">
        <v>595</v>
      </c>
      <c r="D408" t="s">
        <v>621</v>
      </c>
      <c r="E408">
        <v>12</v>
      </c>
      <c r="F408" t="s">
        <v>622</v>
      </c>
      <c r="G408" t="s">
        <v>632</v>
      </c>
      <c r="H408" t="s">
        <v>633</v>
      </c>
      <c r="I408" t="b">
        <v>1</v>
      </c>
      <c r="J408">
        <v>167468</v>
      </c>
      <c r="K408">
        <v>64608</v>
      </c>
      <c r="M408">
        <v>9348</v>
      </c>
      <c r="N408">
        <v>25384</v>
      </c>
      <c r="O408">
        <v>1982</v>
      </c>
      <c r="Q408">
        <v>264826</v>
      </c>
      <c r="R408">
        <v>846868</v>
      </c>
      <c r="S408">
        <v>1111694</v>
      </c>
      <c r="T408">
        <v>168232</v>
      </c>
      <c r="V408">
        <v>57</v>
      </c>
      <c r="W408">
        <v>155495</v>
      </c>
      <c r="Y408">
        <v>269</v>
      </c>
      <c r="AA408">
        <v>321533</v>
      </c>
      <c r="AB408">
        <v>832485</v>
      </c>
      <c r="AC408">
        <v>1154018</v>
      </c>
      <c r="AD408">
        <v>-42324</v>
      </c>
      <c r="AE408">
        <v>14383</v>
      </c>
      <c r="AF408">
        <v>-56707</v>
      </c>
      <c r="AG408">
        <v>1810502</v>
      </c>
      <c r="AI408" t="b">
        <v>1</v>
      </c>
      <c r="AK408">
        <v>6.9500000000000006E-2</v>
      </c>
      <c r="AL408">
        <v>6.8500000000000005E-2</v>
      </c>
      <c r="AM408">
        <v>6.8500000000000005E-2</v>
      </c>
      <c r="AN408">
        <v>6.9500000000000006E-2</v>
      </c>
      <c r="AS408">
        <v>252174</v>
      </c>
      <c r="AT408">
        <v>-268437</v>
      </c>
      <c r="BB408">
        <f t="shared" si="952"/>
        <v>1.0380716276241484</v>
      </c>
      <c r="BD408">
        <f t="shared" si="953"/>
        <v>294498</v>
      </c>
      <c r="BE408">
        <f t="shared" si="954"/>
        <v>-226113</v>
      </c>
      <c r="BF408">
        <f t="shared" si="955"/>
        <v>26.490922861866668</v>
      </c>
      <c r="BG408">
        <f t="shared" si="956"/>
        <v>-20.339499898353324</v>
      </c>
      <c r="BH408">
        <f t="shared" si="957"/>
        <v>23.415211380109994</v>
      </c>
      <c r="BI408">
        <f t="shared" si="958"/>
        <v>307.57114817566702</v>
      </c>
      <c r="BJ408">
        <f t="shared" si="959"/>
        <v>23</v>
      </c>
      <c r="BK408">
        <f>IF($BJ408&lt;=30,IF($B408=2015,VLOOKUP($BJ408,'Treasury Yields'!$C$5:$N$34,$E408,FALSE)/100,IF($B408=2016,VLOOKUP($BJ408,'Treasury Yields'!$C$40:$N$69,$E408,FALSE)/100,IF($B408=2017,VLOOKUP($BJ408,'Treasury Yields'!$C$75:$N$104,$E408,FALSE)/100,IF($B408=2018,VLOOKUP($BJ408,'Treasury Yields'!$C$110:$N$139,$E408,FALSE)/100,IF($B408=2019,VLOOKUP($BJ408,'Treasury Yields'!$C$145:$N$174,$E408,FALSE)/100,IF($B408=2020,VLOOKUP($BJ408,'Treasury Yields'!$C$180:$N$209,$E408,FALSE)/100,IF($B408=2021,VLOOKUP($BJ408,'Treasury Yields'!$C$215:$N$244,$E408,FALSE)/100,IF($B408=2022,VLOOKUP($BJ408,'Treasury Yields'!$C$250:$N$279,$E408,FALSE)/100)))))))),0)</f>
        <v>1.5792478260869564E-2</v>
      </c>
      <c r="BL408">
        <f t="shared" si="960"/>
        <v>2.2369358456913631</v>
      </c>
      <c r="BM408">
        <f t="shared" si="961"/>
        <v>1894389.3857689532</v>
      </c>
      <c r="BN408">
        <f t="shared" si="962"/>
        <v>1061904.3857689532</v>
      </c>
      <c r="BP408">
        <f>IF($BJ408&lt;=30,IF($B408=2015,VLOOKUP($BJ408,'Treasury Yields'!$C$40:$N$69,$E408,FALSE)/100,IF($B408=2016,VLOOKUP($BJ408,'Treasury Yields'!$C$75:$N$104,$E408,FALSE)/100,IF($B408=2017,VLOOKUP($BJ408,'Treasury Yields'!$C$110:$N$139,$E408,FALSE)/100,IF($B408=2018,VLOOKUP($BJ408,'Treasury Yields'!$C$145:$N$174,$E408,FALSE)/100,IF($B408=2019,VLOOKUP($BJ408,'Treasury Yields'!$C$180:$N$209,$E408,FALSE)/100,IF($B408=2020,VLOOKUP($BJ408,'Treasury Yields'!$C$215:$N$244,$E408,FALSE)/100,IF($B408=2021,VLOOKUP($BJ408,'Treasury Yields'!$C$250:$N$279,$E408,FALSE)/100,IF($B408=2022,VLOOKUP($BJ408,'Treasury Yields'!$C$285:$N$314,$E408,FALSE)/100)))))))),0)</f>
        <v>1.9183043478260862E-2</v>
      </c>
      <c r="BQ408">
        <f t="shared" si="963"/>
        <v>2.180713969073937</v>
      </c>
      <c r="BR408">
        <f t="shared" si="964"/>
        <v>2424286.6351356814</v>
      </c>
      <c r="BS408">
        <f t="shared" si="965"/>
        <v>1270268.6351356814</v>
      </c>
      <c r="BU408">
        <f t="shared" si="928"/>
        <v>26</v>
      </c>
      <c r="BV408">
        <f t="shared" si="966"/>
        <v>4.5411568677966141</v>
      </c>
      <c r="BW408">
        <f t="shared" si="967"/>
        <v>760498.45833616331</v>
      </c>
      <c r="BX408" s="5">
        <f t="shared" si="968"/>
        <v>41895.957871163875</v>
      </c>
      <c r="BY408" s="5">
        <f t="shared" si="969"/>
        <v>28748.956606163876</v>
      </c>
      <c r="BZ408" s="5">
        <f t="shared" si="970"/>
        <v>232076</v>
      </c>
      <c r="CA408" s="5">
        <f t="shared" si="971"/>
        <v>789247.41494232719</v>
      </c>
      <c r="CC408" s="5">
        <f t="shared" si="972"/>
        <v>2424286.6351356814</v>
      </c>
      <c r="CD408" s="5" t="str">
        <f t="shared" si="973"/>
        <v>Utah</v>
      </c>
      <c r="CE408" s="5">
        <f t="shared" si="927"/>
        <v>1.0380716276241484</v>
      </c>
      <c r="CF408" s="10">
        <f t="shared" si="974"/>
        <v>0.4760237437580942</v>
      </c>
    </row>
    <row r="409" spans="1:84" x14ac:dyDescent="0.2">
      <c r="A409">
        <v>45000000004607</v>
      </c>
      <c r="B409">
        <v>2022</v>
      </c>
      <c r="C409">
        <v>595</v>
      </c>
      <c r="D409" t="s">
        <v>621</v>
      </c>
      <c r="E409">
        <v>12</v>
      </c>
      <c r="F409" t="s">
        <v>622</v>
      </c>
      <c r="G409" t="s">
        <v>632</v>
      </c>
      <c r="H409" t="s">
        <v>633</v>
      </c>
      <c r="I409" t="b">
        <v>1</v>
      </c>
      <c r="J409">
        <v>200266</v>
      </c>
      <c r="K409">
        <v>82921</v>
      </c>
      <c r="M409">
        <v>19941</v>
      </c>
      <c r="N409">
        <v>0</v>
      </c>
      <c r="O409">
        <v>2602</v>
      </c>
      <c r="Q409">
        <v>300526</v>
      </c>
      <c r="R409">
        <v>1111694</v>
      </c>
      <c r="S409">
        <v>1412220</v>
      </c>
      <c r="T409">
        <v>217179</v>
      </c>
      <c r="V409">
        <v>164</v>
      </c>
      <c r="W409">
        <v>-65084</v>
      </c>
      <c r="Y409">
        <v>345</v>
      </c>
      <c r="AA409">
        <v>149313</v>
      </c>
      <c r="AB409">
        <v>1154018</v>
      </c>
      <c r="AC409">
        <v>1303331</v>
      </c>
      <c r="AD409">
        <v>108889</v>
      </c>
      <c r="AE409">
        <v>-42324</v>
      </c>
      <c r="AF409">
        <v>151213</v>
      </c>
      <c r="AG409">
        <v>2099223</v>
      </c>
      <c r="AI409" t="b">
        <v>1</v>
      </c>
      <c r="AK409">
        <v>6.8500000000000005E-2</v>
      </c>
      <c r="AL409">
        <v>6.8500000000000005E-2</v>
      </c>
      <c r="AM409">
        <v>6.8500000000000005E-2</v>
      </c>
      <c r="AN409">
        <v>6.8500000000000005E-2</v>
      </c>
      <c r="AS409">
        <v>475787</v>
      </c>
      <c r="AT409">
        <v>-173759</v>
      </c>
      <c r="BB409">
        <f t="shared" si="952"/>
        <v>0.92289515797821864</v>
      </c>
      <c r="BD409">
        <f t="shared" si="953"/>
        <v>366898</v>
      </c>
      <c r="BE409">
        <f t="shared" si="954"/>
        <v>-282648</v>
      </c>
      <c r="BF409">
        <f t="shared" si="955"/>
        <v>25.9802297092521</v>
      </c>
      <c r="BG409">
        <f t="shared" si="956"/>
        <v>-20.014445341377407</v>
      </c>
      <c r="BH409">
        <f t="shared" si="957"/>
        <v>22.997337525314755</v>
      </c>
      <c r="BI409">
        <f t="shared" si="958"/>
        <v>298.28921839373464</v>
      </c>
      <c r="BJ409">
        <f t="shared" si="959"/>
        <v>23</v>
      </c>
      <c r="BK409">
        <f>IF($BJ409&lt;=30,IF($B409=2015,VLOOKUP($BJ409,'Treasury Yields'!$C$5:$N$34,$E409,FALSE)/100,IF($B409=2016,VLOOKUP($BJ409,'Treasury Yields'!$C$40:$N$69,$E409,FALSE)/100,IF($B409=2017,VLOOKUP($BJ409,'Treasury Yields'!$C$75:$N$104,$E409,FALSE)/100,IF($B409=2018,VLOOKUP($BJ409,'Treasury Yields'!$C$110:$N$139,$E409,FALSE)/100,IF($B409=2019,VLOOKUP($BJ409,'Treasury Yields'!$C$145:$N$174,$E409,FALSE)/100,IF($B409=2020,VLOOKUP($BJ409,'Treasury Yields'!$C$180:$N$209,$E409,FALSE)/100,IF($B409=2021,VLOOKUP($BJ409,'Treasury Yields'!$C$215:$N$244,$E409,FALSE)/100,IF($B409=2022,VLOOKUP($BJ409,'Treasury Yields'!$C$250:$N$279,$E409,FALSE)/100)))))))),0)</f>
        <v>1.9183043478260862E-2</v>
      </c>
      <c r="BL409">
        <f t="shared" si="960"/>
        <v>2.1365908570522749</v>
      </c>
      <c r="BM409">
        <f t="shared" si="961"/>
        <v>2375235.2362398719</v>
      </c>
      <c r="BN409">
        <f t="shared" si="962"/>
        <v>1221217.2362398719</v>
      </c>
      <c r="BP409">
        <f>IF($BJ409&lt;=30,IF($B409=2015,VLOOKUP($BJ409,'Treasury Yields'!$C$40:$N$69,$E409,FALSE)/100,IF($B409=2016,VLOOKUP($BJ409,'Treasury Yields'!$C$75:$N$104,$E409,FALSE)/100,IF($B409=2017,VLOOKUP($BJ409,'Treasury Yields'!$C$110:$N$139,$E409,FALSE)/100,IF($B409=2018,VLOOKUP($BJ409,'Treasury Yields'!$C$145:$N$174,$E409,FALSE)/100,IF($B409=2019,VLOOKUP($BJ409,'Treasury Yields'!$C$180:$N$209,$E409,FALSE)/100,IF($B409=2020,VLOOKUP($BJ409,'Treasury Yields'!$C$215:$N$244,$E409,FALSE)/100,IF($B409=2021,VLOOKUP($BJ409,'Treasury Yields'!$C$250:$N$279,$E409,FALSE)/100,IF($B409=2022,VLOOKUP($BJ409,'Treasury Yields'!$C$285:$N$314,$E409,FALSE)/100)))))))),0)</f>
        <v>3.7745499999999994E-2</v>
      </c>
      <c r="BQ409">
        <f t="shared" si="963"/>
        <v>1.7082174561925427</v>
      </c>
      <c r="BR409">
        <f t="shared" si="964"/>
        <v>2412378.8559842329</v>
      </c>
      <c r="BS409">
        <f t="shared" si="965"/>
        <v>1109047.8559842329</v>
      </c>
      <c r="BU409">
        <f t="shared" si="928"/>
        <v>26</v>
      </c>
      <c r="BV409">
        <f t="shared" si="966"/>
        <v>4.1418873262308749</v>
      </c>
      <c r="BW409">
        <f t="shared" si="967"/>
        <v>829479.20727495244</v>
      </c>
      <c r="BX409" s="5">
        <f t="shared" si="968"/>
        <v>61426.262226225001</v>
      </c>
      <c r="BY409" s="5">
        <f t="shared" si="969"/>
        <v>39288.684757529358</v>
      </c>
      <c r="BZ409" s="5">
        <f t="shared" si="970"/>
        <v>283187</v>
      </c>
      <c r="CA409" s="5">
        <f t="shared" si="971"/>
        <v>868767.89203248185</v>
      </c>
      <c r="CC409" s="5">
        <f t="shared" si="972"/>
        <v>2412378.8559842329</v>
      </c>
      <c r="CD409" s="5" t="str">
        <f t="shared" si="973"/>
        <v>Utah</v>
      </c>
      <c r="CE409" s="5">
        <f t="shared" si="927"/>
        <v>0.92289515797821864</v>
      </c>
      <c r="CF409" s="10">
        <f t="shared" si="974"/>
        <v>0.54026795864460131</v>
      </c>
    </row>
    <row r="410" spans="1:84" x14ac:dyDescent="0.2">
      <c r="A410">
        <v>46000000003503</v>
      </c>
      <c r="B410">
        <v>2015</v>
      </c>
      <c r="C410">
        <v>621</v>
      </c>
      <c r="D410" t="s">
        <v>635</v>
      </c>
      <c r="E410">
        <v>6</v>
      </c>
      <c r="F410" t="s">
        <v>636</v>
      </c>
      <c r="G410" t="s">
        <v>637</v>
      </c>
      <c r="H410" t="s">
        <v>509</v>
      </c>
      <c r="I410" t="b">
        <v>1</v>
      </c>
      <c r="J410">
        <v>33613.557000000001</v>
      </c>
      <c r="K410">
        <v>215447.50200000001</v>
      </c>
      <c r="L410">
        <v>0</v>
      </c>
      <c r="M410">
        <v>20002.876</v>
      </c>
      <c r="N410">
        <v>57488.61</v>
      </c>
      <c r="O410">
        <v>150732.845</v>
      </c>
      <c r="Q410">
        <v>175819.7</v>
      </c>
      <c r="R410">
        <v>2663801.594</v>
      </c>
      <c r="S410">
        <v>2839621.2940000002</v>
      </c>
      <c r="T410">
        <v>72908.804999999993</v>
      </c>
      <c r="V410">
        <v>34863.531000000003</v>
      </c>
      <c r="W410">
        <v>-7566.6970000000001</v>
      </c>
      <c r="Y410">
        <v>2259.402</v>
      </c>
      <c r="Z410">
        <v>538.44399999999996</v>
      </c>
      <c r="AA410">
        <v>-52248.163999999997</v>
      </c>
      <c r="AB410">
        <v>1705364.6040000001</v>
      </c>
      <c r="AC410">
        <v>1653116.4410000001</v>
      </c>
      <c r="AD410">
        <v>1186504.8529999999</v>
      </c>
      <c r="AE410">
        <v>958436.99</v>
      </c>
      <c r="AF410">
        <v>228067.8629999999</v>
      </c>
      <c r="AG410">
        <v>567074</v>
      </c>
      <c r="AH410">
        <v>0.12857017778984753</v>
      </c>
      <c r="AI410" t="b">
        <v>1</v>
      </c>
      <c r="AK410">
        <v>8.1500000000000003E-2</v>
      </c>
      <c r="AL410">
        <v>7.9500000000000001E-2</v>
      </c>
      <c r="AM410">
        <v>7.9500000000000001E-2</v>
      </c>
      <c r="AN410">
        <v>8.1500000000000003E-2</v>
      </c>
      <c r="AO410">
        <v>1</v>
      </c>
      <c r="AP410">
        <v>0</v>
      </c>
      <c r="AS410">
        <v>1506647</v>
      </c>
      <c r="AT410">
        <v>917934</v>
      </c>
      <c r="AU410" t="s">
        <v>638</v>
      </c>
      <c r="AV410" t="s">
        <v>639</v>
      </c>
      <c r="BB410">
        <f t="shared" ref="BB410:BB417" si="975">AC410/S410</f>
        <v>0.58216088338714933</v>
      </c>
      <c r="BD410">
        <f t="shared" ref="BD410:BD417" si="976">AS410-AD410</f>
        <v>320142.14700000011</v>
      </c>
      <c r="BE410">
        <f t="shared" ref="BE410:BE417" si="977">AT410-AD410</f>
        <v>-268570.85299999989</v>
      </c>
      <c r="BF410">
        <f t="shared" ref="BF410:BF417" si="978">BD410/S410*100</f>
        <v>11.274114181227155</v>
      </c>
      <c r="BG410">
        <f t="shared" ref="BG410:BG417" si="979">BE410/S410*100</f>
        <v>-9.4579813712299856</v>
      </c>
      <c r="BH410">
        <f t="shared" ref="BH410:BH417" si="980">(BD410-BE410)/(2*S410)*100</f>
        <v>10.366047776228571</v>
      </c>
      <c r="BI410">
        <f t="shared" ref="BI410:BI417" si="981">(BD410+BE410)/(2*S410*(0.01^2))</f>
        <v>90.806640499858531</v>
      </c>
      <c r="BJ410">
        <f t="shared" ref="BJ410:BJ417" si="982">ROUND(BH410,0)</f>
        <v>10</v>
      </c>
      <c r="BK410">
        <f>IF($BJ410&lt;=30,IF($B410=2015,VLOOKUP($BJ410,'Treasury Yields'!$C$5:$N$34,$E410,FALSE)/100,IF($B410=2016,VLOOKUP($BJ410,'Treasury Yields'!$C$40:$N$69,$E410,FALSE)/100,IF($B410=2017,VLOOKUP($BJ410,'Treasury Yields'!$C$75:$N$104,$E410,FALSE)/100,IF($B410=2018,VLOOKUP($BJ410,'Treasury Yields'!$C$110:$N$139,$E410,FALSE)/100,IF($B410=2019,VLOOKUP($BJ410,'Treasury Yields'!$C$145:$N$174,$E410,FALSE)/100,IF($B410=2020,VLOOKUP($BJ410,'Treasury Yields'!$C$180:$N$209,$E410,FALSE)/100,IF($B410=2021,VLOOKUP($BJ410,'Treasury Yields'!$C$215:$N$244,$E410,FALSE)/100,IF($B410=2022,VLOOKUP($BJ410,'Treasury Yields'!$C$250:$N$279,$E410,FALSE)/100)))))))),0)</f>
        <v>2.7109999999999999E-2</v>
      </c>
      <c r="BL410">
        <f t="shared" ref="BL410:BL417" si="983">1+BH410*(AL410-BK410)+(AL410-BK410)^2</f>
        <v>1.5458219550966148</v>
      </c>
      <c r="BM410">
        <f t="shared" ref="BM410:BM417" si="984">BL410*R410</f>
        <v>4117762.9880265589</v>
      </c>
      <c r="BN410">
        <f t="shared" ref="BN410:BN417" si="985">BM410-AB410</f>
        <v>2412398.3840265591</v>
      </c>
      <c r="BP410">
        <f>IF($BJ410&lt;=30,IF($B410=2015,VLOOKUP($BJ410,'Treasury Yields'!$C$40:$N$69,$E410,FALSE)/100,IF($B410=2016,VLOOKUP($BJ410,'Treasury Yields'!$C$75:$N$104,$E410,FALSE)/100,IF($B410=2017,VLOOKUP($BJ410,'Treasury Yields'!$C$110:$N$139,$E410,FALSE)/100,IF($B410=2018,VLOOKUP($BJ410,'Treasury Yields'!$C$145:$N$174,$E410,FALSE)/100,IF($B410=2019,VLOOKUP($BJ410,'Treasury Yields'!$C$180:$N$209,$E410,FALSE)/100,IF($B410=2020,VLOOKUP($BJ410,'Treasury Yields'!$C$215:$N$244,$E410,FALSE)/100,IF($B410=2021,VLOOKUP($BJ410,'Treasury Yields'!$C$250:$N$279,$E410,FALSE)/100,IF($B410=2022,VLOOKUP($BJ410,'Treasury Yields'!$C$285:$N$314,$E410,FALSE)/100)))))))),0)</f>
        <v>2.5470000000000003E-2</v>
      </c>
      <c r="BQ410">
        <f t="shared" ref="BQ410:BQ417" si="986">1+BH410*(AN410-BP410)+(AN410-BP410)^2</f>
        <v>1.583949017802087</v>
      </c>
      <c r="BR410">
        <f t="shared" ref="BR410:BR417" si="987">BQ410*S410</f>
        <v>4497815.3595611919</v>
      </c>
      <c r="BS410">
        <f t="shared" ref="BS410:BS417" si="988">BR410-AC410</f>
        <v>2844698.9185611918</v>
      </c>
      <c r="BU410">
        <f t="shared" si="928"/>
        <v>13</v>
      </c>
      <c r="BV410">
        <f t="shared" ref="BV410:BV417" si="989">1+(BH410+BU410)*(AN410-BK410)+(AN410-BK410)^2*BI410</f>
        <v>2.539510089634534</v>
      </c>
      <c r="BW410">
        <f t="shared" ref="BW410:BW417" si="990">BV410*J410</f>
        <v>85361.967150005512</v>
      </c>
      <c r="BX410" s="5">
        <f t="shared" ref="BX410:BX417" si="991">(BM410+BW410-O410)*BK410</f>
        <v>109860.35010688663</v>
      </c>
      <c r="BY410" s="5">
        <f t="shared" ref="BY410:BY417" si="992">BK410*(BN410+BW410-O410)</f>
        <v>63627.915692446659</v>
      </c>
      <c r="BZ410" s="5">
        <f t="shared" ref="BZ410:BZ417" si="993">SUM(J410:K410)</f>
        <v>249061.05900000001</v>
      </c>
      <c r="CA410" s="5">
        <f t="shared" ref="CA410:CA417" si="994">SUM(BW410+BY410)</f>
        <v>148989.88284245218</v>
      </c>
      <c r="CC410" s="5">
        <f t="shared" ref="CC410:CC417" si="995">BR410</f>
        <v>4497815.3595611919</v>
      </c>
      <c r="CD410" s="5" t="str">
        <f t="shared" ref="CD410:CD417" si="996">F410</f>
        <v>Vermont</v>
      </c>
      <c r="CE410" s="5">
        <f t="shared" si="927"/>
        <v>0.58216088338714933</v>
      </c>
      <c r="CF410" s="10">
        <f t="shared" ref="CF410:CF417" si="997">AC410/CC410</f>
        <v>0.36753763968676534</v>
      </c>
    </row>
    <row r="411" spans="1:84" x14ac:dyDescent="0.2">
      <c r="A411">
        <v>46000000003503</v>
      </c>
      <c r="B411">
        <v>2016</v>
      </c>
      <c r="C411">
        <v>621</v>
      </c>
      <c r="D411" t="s">
        <v>635</v>
      </c>
      <c r="E411">
        <v>6</v>
      </c>
      <c r="F411" t="s">
        <v>636</v>
      </c>
      <c r="G411" t="s">
        <v>637</v>
      </c>
      <c r="H411" t="s">
        <v>509</v>
      </c>
      <c r="I411" t="b">
        <v>1</v>
      </c>
      <c r="J411">
        <v>34979</v>
      </c>
      <c r="K411">
        <v>222185</v>
      </c>
      <c r="M411">
        <v>3613</v>
      </c>
      <c r="N411">
        <v>-7224</v>
      </c>
      <c r="O411">
        <v>162751</v>
      </c>
      <c r="Q411">
        <v>90802</v>
      </c>
      <c r="R411">
        <v>2839621</v>
      </c>
      <c r="S411">
        <v>2930423</v>
      </c>
      <c r="T411">
        <v>73225</v>
      </c>
      <c r="V411">
        <v>35409</v>
      </c>
      <c r="W411">
        <v>19877</v>
      </c>
      <c r="Y411">
        <v>1797</v>
      </c>
      <c r="Z411">
        <v>3821</v>
      </c>
      <c r="AA411">
        <v>-32217</v>
      </c>
      <c r="AB411">
        <v>1653116</v>
      </c>
      <c r="AC411">
        <v>1620900</v>
      </c>
      <c r="AD411">
        <v>1309523</v>
      </c>
      <c r="AE411">
        <v>1186505</v>
      </c>
      <c r="AF411">
        <v>123018</v>
      </c>
      <c r="AG411">
        <v>557708</v>
      </c>
      <c r="AH411">
        <v>0.13129630559360814</v>
      </c>
      <c r="AI411" t="b">
        <v>1</v>
      </c>
      <c r="AK411">
        <v>7.9500000000000001E-2</v>
      </c>
      <c r="AL411">
        <v>7.9500000000000001E-2</v>
      </c>
      <c r="AM411">
        <v>7.9500000000000001E-2</v>
      </c>
      <c r="AN411">
        <v>7.9500000000000001E-2</v>
      </c>
      <c r="AO411">
        <v>1</v>
      </c>
      <c r="AP411">
        <v>0</v>
      </c>
      <c r="AS411">
        <v>1638648</v>
      </c>
      <c r="AT411">
        <v>1033302</v>
      </c>
      <c r="AU411" t="s">
        <v>640</v>
      </c>
      <c r="AV411" t="s">
        <v>641</v>
      </c>
      <c r="BB411">
        <f t="shared" si="975"/>
        <v>0.55312833676230355</v>
      </c>
      <c r="BD411">
        <f t="shared" si="976"/>
        <v>329125</v>
      </c>
      <c r="BE411">
        <f t="shared" si="977"/>
        <v>-276221</v>
      </c>
      <c r="BF411">
        <f t="shared" si="978"/>
        <v>11.231313704540266</v>
      </c>
      <c r="BG411">
        <f t="shared" si="979"/>
        <v>-9.4259770688395506</v>
      </c>
      <c r="BH411">
        <f t="shared" si="980"/>
        <v>10.328645386689908</v>
      </c>
      <c r="BI411">
        <f t="shared" si="981"/>
        <v>90.266831785035805</v>
      </c>
      <c r="BJ411">
        <f t="shared" si="982"/>
        <v>10</v>
      </c>
      <c r="BK411">
        <f>IF($BJ411&lt;=30,IF($B411=2015,VLOOKUP($BJ411,'Treasury Yields'!$C$5:$N$34,$E411,FALSE)/100,IF($B411=2016,VLOOKUP($BJ411,'Treasury Yields'!$C$40:$N$69,$E411,FALSE)/100,IF($B411=2017,VLOOKUP($BJ411,'Treasury Yields'!$C$75:$N$104,$E411,FALSE)/100,IF($B411=2018,VLOOKUP($BJ411,'Treasury Yields'!$C$110:$N$139,$E411,FALSE)/100,IF($B411=2019,VLOOKUP($BJ411,'Treasury Yields'!$C$145:$N$174,$E411,FALSE)/100,IF($B411=2020,VLOOKUP($BJ411,'Treasury Yields'!$C$180:$N$209,$E411,FALSE)/100,IF($B411=2021,VLOOKUP($BJ411,'Treasury Yields'!$C$215:$N$244,$E411,FALSE)/100,IF($B411=2022,VLOOKUP($BJ411,'Treasury Yields'!$C$250:$N$279,$E411,FALSE)/100)))))))),0)</f>
        <v>2.5470000000000003E-2</v>
      </c>
      <c r="BL411">
        <f t="shared" si="983"/>
        <v>1.5609759511428558</v>
      </c>
      <c r="BM411">
        <f t="shared" si="984"/>
        <v>4432580.0913602272</v>
      </c>
      <c r="BN411">
        <f t="shared" si="985"/>
        <v>2779464.0913602272</v>
      </c>
      <c r="BP411">
        <f>IF($BJ411&lt;=30,IF($B411=2015,VLOOKUP($BJ411,'Treasury Yields'!$C$40:$N$69,$E411,FALSE)/100,IF($B411=2016,VLOOKUP($BJ411,'Treasury Yields'!$C$75:$N$104,$E411,FALSE)/100,IF($B411=2017,VLOOKUP($BJ411,'Treasury Yields'!$C$110:$N$139,$E411,FALSE)/100,IF($B411=2018,VLOOKUP($BJ411,'Treasury Yields'!$C$145:$N$174,$E411,FALSE)/100,IF($B411=2019,VLOOKUP($BJ411,'Treasury Yields'!$C$180:$N$209,$E411,FALSE)/100,IF($B411=2020,VLOOKUP($BJ411,'Treasury Yields'!$C$215:$N$244,$E411,FALSE)/100,IF($B411=2021,VLOOKUP($BJ411,'Treasury Yields'!$C$250:$N$279,$E411,FALSE)/100,IF($B411=2022,VLOOKUP($BJ411,'Treasury Yields'!$C$285:$N$314,$E411,FALSE)/100)))))))),0)</f>
        <v>1.635E-2</v>
      </c>
      <c r="BQ411">
        <f t="shared" si="986"/>
        <v>1.6562418786694675</v>
      </c>
      <c r="BR411">
        <f t="shared" si="987"/>
        <v>4853489.2948162165</v>
      </c>
      <c r="BS411">
        <f t="shared" si="988"/>
        <v>3232589.2948162165</v>
      </c>
      <c r="BU411">
        <f t="shared" si="928"/>
        <v>13</v>
      </c>
      <c r="BV411">
        <f t="shared" si="989"/>
        <v>2.5239573375031519</v>
      </c>
      <c r="BW411">
        <f t="shared" si="990"/>
        <v>88285.503708522752</v>
      </c>
      <c r="BX411" s="5">
        <f t="shared" si="991"/>
        <v>111001.17873640108</v>
      </c>
      <c r="BY411" s="5">
        <f t="shared" si="992"/>
        <v>68896.314216401064</v>
      </c>
      <c r="BZ411" s="5">
        <f t="shared" si="993"/>
        <v>257164</v>
      </c>
      <c r="CA411" s="5">
        <f t="shared" si="994"/>
        <v>157181.81792492382</v>
      </c>
      <c r="CC411" s="5">
        <f t="shared" si="995"/>
        <v>4853489.2948162165</v>
      </c>
      <c r="CD411" s="5" t="str">
        <f t="shared" si="996"/>
        <v>Vermont</v>
      </c>
      <c r="CE411" s="5">
        <f t="shared" si="927"/>
        <v>0.55312833676230355</v>
      </c>
      <c r="CF411" s="10">
        <f t="shared" si="997"/>
        <v>0.33396591638333417</v>
      </c>
    </row>
    <row r="412" spans="1:84" x14ac:dyDescent="0.2">
      <c r="A412">
        <v>46000000003503</v>
      </c>
      <c r="B412">
        <v>2017</v>
      </c>
      <c r="C412">
        <v>621</v>
      </c>
      <c r="D412" t="s">
        <v>635</v>
      </c>
      <c r="E412">
        <v>6</v>
      </c>
      <c r="F412" t="s">
        <v>636</v>
      </c>
      <c r="G412" t="s">
        <v>637</v>
      </c>
      <c r="H412" t="s">
        <v>509</v>
      </c>
      <c r="I412" t="b">
        <v>1</v>
      </c>
      <c r="J412">
        <v>35383</v>
      </c>
      <c r="K412">
        <v>228939</v>
      </c>
      <c r="M412">
        <v>12523</v>
      </c>
      <c r="N412">
        <v>185849</v>
      </c>
      <c r="O412">
        <v>172156</v>
      </c>
      <c r="Q412">
        <v>290538</v>
      </c>
      <c r="R412">
        <v>2930423</v>
      </c>
      <c r="S412">
        <v>3220961</v>
      </c>
      <c r="T412">
        <v>78664</v>
      </c>
      <c r="V412">
        <v>36142</v>
      </c>
      <c r="W412">
        <v>173167</v>
      </c>
      <c r="Y412">
        <v>2214</v>
      </c>
      <c r="Z412">
        <v>4055</v>
      </c>
      <c r="AA412">
        <v>117658</v>
      </c>
      <c r="AB412">
        <v>1620900</v>
      </c>
      <c r="AC412">
        <v>1738558</v>
      </c>
      <c r="AD412">
        <v>1482403</v>
      </c>
      <c r="AE412">
        <v>1309523</v>
      </c>
      <c r="AF412">
        <v>172880</v>
      </c>
      <c r="AG412">
        <v>586397</v>
      </c>
      <c r="AH412">
        <v>0.13414802599604023</v>
      </c>
      <c r="AI412" t="b">
        <v>1</v>
      </c>
      <c r="AK412">
        <v>7.9500000000000001E-2</v>
      </c>
      <c r="AL412">
        <v>7.4999999999999997E-2</v>
      </c>
      <c r="AM412">
        <v>7.4999999999999997E-2</v>
      </c>
      <c r="AN412">
        <v>7.9500000000000001E-2</v>
      </c>
      <c r="AO412">
        <v>1</v>
      </c>
      <c r="AP412">
        <v>0</v>
      </c>
      <c r="AS412">
        <v>1836911</v>
      </c>
      <c r="AT412">
        <v>1186516</v>
      </c>
      <c r="AU412" t="s">
        <v>642</v>
      </c>
      <c r="AV412" t="s">
        <v>643</v>
      </c>
      <c r="BB412">
        <f t="shared" si="975"/>
        <v>0.53976375373685059</v>
      </c>
      <c r="BD412">
        <f t="shared" si="976"/>
        <v>354508</v>
      </c>
      <c r="BE412">
        <f t="shared" si="977"/>
        <v>-295887</v>
      </c>
      <c r="BF412">
        <f t="shared" si="978"/>
        <v>11.006280423761728</v>
      </c>
      <c r="BG412">
        <f t="shared" si="979"/>
        <v>-9.1862956428221274</v>
      </c>
      <c r="BH412">
        <f t="shared" si="980"/>
        <v>10.096288033291929</v>
      </c>
      <c r="BI412">
        <f t="shared" si="981"/>
        <v>90.999239046980065</v>
      </c>
      <c r="BJ412">
        <f t="shared" si="982"/>
        <v>10</v>
      </c>
      <c r="BK412">
        <f>IF($BJ412&lt;=30,IF($B412=2015,VLOOKUP($BJ412,'Treasury Yields'!$C$5:$N$34,$E412,FALSE)/100,IF($B412=2016,VLOOKUP($BJ412,'Treasury Yields'!$C$40:$N$69,$E412,FALSE)/100,IF($B412=2017,VLOOKUP($BJ412,'Treasury Yields'!$C$75:$N$104,$E412,FALSE)/100,IF($B412=2018,VLOOKUP($BJ412,'Treasury Yields'!$C$110:$N$139,$E412,FALSE)/100,IF($B412=2019,VLOOKUP($BJ412,'Treasury Yields'!$C$145:$N$174,$E412,FALSE)/100,IF($B412=2020,VLOOKUP($BJ412,'Treasury Yields'!$C$180:$N$209,$E412,FALSE)/100,IF($B412=2021,VLOOKUP($BJ412,'Treasury Yields'!$C$215:$N$244,$E412,FALSE)/100,IF($B412=2022,VLOOKUP($BJ412,'Treasury Yields'!$C$250:$N$279,$E412,FALSE)/100)))))))),0)</f>
        <v>1.635E-2</v>
      </c>
      <c r="BL412">
        <f t="shared" si="983"/>
        <v>1.5955871156525716</v>
      </c>
      <c r="BM412">
        <f t="shared" si="984"/>
        <v>4675745.182211956</v>
      </c>
      <c r="BN412">
        <f t="shared" si="985"/>
        <v>3054845.182211956</v>
      </c>
      <c r="BP412">
        <f>IF($BJ412&lt;=30,IF($B412=2015,VLOOKUP($BJ412,'Treasury Yields'!$C$40:$N$69,$E412,FALSE)/100,IF($B412=2016,VLOOKUP($BJ412,'Treasury Yields'!$C$75:$N$104,$E412,FALSE)/100,IF($B412=2017,VLOOKUP($BJ412,'Treasury Yields'!$C$110:$N$139,$E412,FALSE)/100,IF($B412=2018,VLOOKUP($BJ412,'Treasury Yields'!$C$145:$N$174,$E412,FALSE)/100,IF($B412=2019,VLOOKUP($BJ412,'Treasury Yields'!$C$180:$N$209,$E412,FALSE)/100,IF($B412=2020,VLOOKUP($BJ412,'Treasury Yields'!$C$215:$N$244,$E412,FALSE)/100,IF($B412=2021,VLOOKUP($BJ412,'Treasury Yields'!$C$250:$N$279,$E412,FALSE)/100,IF($B412=2022,VLOOKUP($BJ412,'Treasury Yields'!$C$285:$N$314,$E412,FALSE)/100)))))))),0)</f>
        <v>2.4670000000000001E-2</v>
      </c>
      <c r="BQ412">
        <f t="shared" si="986"/>
        <v>1.5565858017653964</v>
      </c>
      <c r="BR412">
        <f t="shared" si="987"/>
        <v>5013702.160640073</v>
      </c>
      <c r="BS412">
        <f t="shared" si="988"/>
        <v>3275144.160640073</v>
      </c>
      <c r="BU412">
        <f t="shared" si="928"/>
        <v>13</v>
      </c>
      <c r="BV412">
        <f t="shared" si="989"/>
        <v>2.8214285021807157</v>
      </c>
      <c r="BW412">
        <f t="shared" si="990"/>
        <v>99830.604692660258</v>
      </c>
      <c r="BX412" s="5">
        <f t="shared" si="991"/>
        <v>75265.913515890483</v>
      </c>
      <c r="BY412" s="5">
        <f t="shared" si="992"/>
        <v>48764.198515890479</v>
      </c>
      <c r="BZ412" s="5">
        <f t="shared" si="993"/>
        <v>264322</v>
      </c>
      <c r="CA412" s="5">
        <f t="shared" si="994"/>
        <v>148594.80320855073</v>
      </c>
      <c r="CC412" s="5">
        <f t="shared" si="995"/>
        <v>5013702.160640073</v>
      </c>
      <c r="CD412" s="5" t="str">
        <f t="shared" si="996"/>
        <v>Vermont</v>
      </c>
      <c r="CE412" s="5">
        <f t="shared" si="927"/>
        <v>0.53976375373685059</v>
      </c>
      <c r="CF412" s="10">
        <f t="shared" si="997"/>
        <v>0.34676132412661054</v>
      </c>
    </row>
    <row r="413" spans="1:84" x14ac:dyDescent="0.2">
      <c r="A413">
        <v>46000000003503</v>
      </c>
      <c r="B413">
        <v>2018</v>
      </c>
      <c r="C413">
        <v>621</v>
      </c>
      <c r="D413" t="s">
        <v>635</v>
      </c>
      <c r="E413">
        <v>6</v>
      </c>
      <c r="F413" t="s">
        <v>636</v>
      </c>
      <c r="G413" t="s">
        <v>637</v>
      </c>
      <c r="H413" t="s">
        <v>509</v>
      </c>
      <c r="I413" t="b">
        <v>1</v>
      </c>
      <c r="J413">
        <v>40117</v>
      </c>
      <c r="K413">
        <v>237747</v>
      </c>
      <c r="M413">
        <v>59469</v>
      </c>
      <c r="N413">
        <v>-32957</v>
      </c>
      <c r="O413">
        <v>182259</v>
      </c>
      <c r="Q413">
        <v>122117</v>
      </c>
      <c r="R413">
        <v>3220961</v>
      </c>
      <c r="S413">
        <v>3343078</v>
      </c>
      <c r="T413">
        <v>110354</v>
      </c>
      <c r="V413">
        <v>37889</v>
      </c>
      <c r="W413">
        <v>125566</v>
      </c>
      <c r="Y413">
        <v>2084</v>
      </c>
      <c r="Z413">
        <v>4349</v>
      </c>
      <c r="AA413">
        <v>93815</v>
      </c>
      <c r="AB413">
        <v>1738558</v>
      </c>
      <c r="AC413">
        <v>1832373</v>
      </c>
      <c r="AD413">
        <v>1510705</v>
      </c>
      <c r="AE413">
        <v>1482403</v>
      </c>
      <c r="AF413">
        <v>28302</v>
      </c>
      <c r="AG413">
        <v>607355</v>
      </c>
      <c r="AH413">
        <v>0.18169604267685291</v>
      </c>
      <c r="AI413" t="b">
        <v>1</v>
      </c>
      <c r="AK413">
        <v>7.4999999999999997E-2</v>
      </c>
      <c r="AL413">
        <v>7.4999999999999997E-2</v>
      </c>
      <c r="AM413">
        <v>7.4999999999999997E-2</v>
      </c>
      <c r="AN413">
        <v>7.4999999999999997E-2</v>
      </c>
      <c r="AO413">
        <v>1</v>
      </c>
      <c r="AP413">
        <v>0</v>
      </c>
      <c r="AS413">
        <v>1824257</v>
      </c>
      <c r="AT413">
        <v>1196832</v>
      </c>
      <c r="AU413" t="s">
        <v>644</v>
      </c>
      <c r="AV413" t="s">
        <v>645</v>
      </c>
      <c r="BB413">
        <f t="shared" si="975"/>
        <v>0.54810955652246218</v>
      </c>
      <c r="BD413">
        <f t="shared" si="976"/>
        <v>313552</v>
      </c>
      <c r="BE413">
        <f t="shared" si="977"/>
        <v>-313873</v>
      </c>
      <c r="BF413">
        <f t="shared" si="978"/>
        <v>9.3791410191446332</v>
      </c>
      <c r="BG413">
        <f t="shared" si="979"/>
        <v>-9.3887429488632925</v>
      </c>
      <c r="BH413">
        <f t="shared" si="980"/>
        <v>9.3839419840039628</v>
      </c>
      <c r="BI413">
        <f t="shared" si="981"/>
        <v>-0.48009648593302334</v>
      </c>
      <c r="BJ413">
        <f t="shared" si="982"/>
        <v>9</v>
      </c>
      <c r="BK413">
        <f>IF($BJ413&lt;=30,IF($B413=2015,VLOOKUP($BJ413,'Treasury Yields'!$C$5:$N$34,$E413,FALSE)/100,IF($B413=2016,VLOOKUP($BJ413,'Treasury Yields'!$C$40:$N$69,$E413,FALSE)/100,IF($B413=2017,VLOOKUP($BJ413,'Treasury Yields'!$C$75:$N$104,$E413,FALSE)/100,IF($B413=2018,VLOOKUP($BJ413,'Treasury Yields'!$C$110:$N$139,$E413,FALSE)/100,IF($B413=2019,VLOOKUP($BJ413,'Treasury Yields'!$C$145:$N$174,$E413,FALSE)/100,IF($B413=2020,VLOOKUP($BJ413,'Treasury Yields'!$C$180:$N$209,$E413,FALSE)/100,IF($B413=2021,VLOOKUP($BJ413,'Treasury Yields'!$C$215:$N$244,$E413,FALSE)/100,IF($B413=2022,VLOOKUP($BJ413,'Treasury Yields'!$C$250:$N$279,$E413,FALSE)/100)))))))),0)</f>
        <v>2.3910000000000001E-2</v>
      </c>
      <c r="BL413">
        <f t="shared" si="983"/>
        <v>1.4820357840627625</v>
      </c>
      <c r="BM413">
        <f t="shared" si="984"/>
        <v>4773579.4610705795</v>
      </c>
      <c r="BN413">
        <f t="shared" si="985"/>
        <v>3035021.4610705795</v>
      </c>
      <c r="BP413">
        <f>IF($BJ413&lt;=30,IF($B413=2015,VLOOKUP($BJ413,'Treasury Yields'!$C$40:$N$69,$E413,FALSE)/100,IF($B413=2016,VLOOKUP($BJ413,'Treasury Yields'!$C$75:$N$104,$E413,FALSE)/100,IF($B413=2017,VLOOKUP($BJ413,'Treasury Yields'!$C$110:$N$139,$E413,FALSE)/100,IF($B413=2018,VLOOKUP($BJ413,'Treasury Yields'!$C$145:$N$174,$E413,FALSE)/100,IF($B413=2019,VLOOKUP($BJ413,'Treasury Yields'!$C$180:$N$209,$E413,FALSE)/100,IF($B413=2020,VLOOKUP($BJ413,'Treasury Yields'!$C$215:$N$244,$E413,FALSE)/100,IF($B413=2021,VLOOKUP($BJ413,'Treasury Yields'!$C$250:$N$279,$E413,FALSE)/100,IF($B413=2022,VLOOKUP($BJ413,'Treasury Yields'!$C$285:$N$314,$E413,FALSE)/100)))))))),0)</f>
        <v>2.9440000000000001E-2</v>
      </c>
      <c r="BQ413">
        <f t="shared" si="986"/>
        <v>1.4296081103912206</v>
      </c>
      <c r="BR413">
        <f t="shared" si="987"/>
        <v>4779291.4224704606</v>
      </c>
      <c r="BS413">
        <f t="shared" si="988"/>
        <v>2946918.4224704606</v>
      </c>
      <c r="BU413">
        <f t="shared" si="928"/>
        <v>12</v>
      </c>
      <c r="BV413">
        <f t="shared" si="989"/>
        <v>2.0912524538283281</v>
      </c>
      <c r="BW413">
        <f t="shared" si="990"/>
        <v>83894.774690231046</v>
      </c>
      <c r="BX413" s="5">
        <f t="shared" si="991"/>
        <v>111784.39628704099</v>
      </c>
      <c r="BY413" s="5">
        <f t="shared" si="992"/>
        <v>70215.47450704097</v>
      </c>
      <c r="BZ413" s="5">
        <f t="shared" si="993"/>
        <v>277864</v>
      </c>
      <c r="CA413" s="5">
        <f t="shared" si="994"/>
        <v>154110.249197272</v>
      </c>
      <c r="CC413" s="5">
        <f t="shared" si="995"/>
        <v>4779291.4224704606</v>
      </c>
      <c r="CD413" s="5" t="str">
        <f t="shared" si="996"/>
        <v>Vermont</v>
      </c>
      <c r="CE413" s="5">
        <f t="shared" si="927"/>
        <v>0.54810955652246218</v>
      </c>
      <c r="CF413" s="10">
        <f t="shared" si="997"/>
        <v>0.38339846601210797</v>
      </c>
    </row>
    <row r="414" spans="1:84" x14ac:dyDescent="0.2">
      <c r="A414">
        <v>46000000003503</v>
      </c>
      <c r="B414">
        <v>2019</v>
      </c>
      <c r="C414">
        <v>621</v>
      </c>
      <c r="D414" t="s">
        <v>635</v>
      </c>
      <c r="E414">
        <v>6</v>
      </c>
      <c r="F414" t="s">
        <v>636</v>
      </c>
      <c r="G414" t="s">
        <v>637</v>
      </c>
      <c r="H414" t="s">
        <v>509</v>
      </c>
      <c r="I414" t="b">
        <v>1</v>
      </c>
      <c r="J414">
        <v>39766</v>
      </c>
      <c r="K414">
        <v>246468</v>
      </c>
      <c r="M414">
        <v>28988</v>
      </c>
      <c r="N414">
        <v>0</v>
      </c>
      <c r="O414">
        <v>193197</v>
      </c>
      <c r="Q414">
        <v>122035</v>
      </c>
      <c r="R414">
        <v>3343113</v>
      </c>
      <c r="S414">
        <v>3465113</v>
      </c>
      <c r="T414">
        <v>113748</v>
      </c>
      <c r="V414">
        <v>39075</v>
      </c>
      <c r="W414">
        <v>109429</v>
      </c>
      <c r="Y414">
        <v>2715</v>
      </c>
      <c r="Z414">
        <v>5775</v>
      </c>
      <c r="AA414">
        <v>72115</v>
      </c>
      <c r="AB414">
        <v>1832373</v>
      </c>
      <c r="AC414">
        <v>1904488</v>
      </c>
      <c r="AD414">
        <v>1560625</v>
      </c>
      <c r="AE414">
        <v>1510705</v>
      </c>
      <c r="AF414">
        <v>49920</v>
      </c>
      <c r="AG414">
        <v>612899</v>
      </c>
      <c r="AH414">
        <v>0.18559012170031278</v>
      </c>
      <c r="AI414" t="b">
        <v>1</v>
      </c>
      <c r="AK414">
        <v>7.4999999999999997E-2</v>
      </c>
      <c r="AL414">
        <v>7.4999999999999997E-2</v>
      </c>
      <c r="AM414">
        <v>7.4999999999999997E-2</v>
      </c>
      <c r="AN414">
        <v>7.4999999999999997E-2</v>
      </c>
      <c r="AO414">
        <v>1</v>
      </c>
      <c r="AP414">
        <v>0</v>
      </c>
      <c r="AS414">
        <v>1938120</v>
      </c>
      <c r="AT414">
        <v>1242124</v>
      </c>
      <c r="AU414" t="s">
        <v>646</v>
      </c>
      <c r="AV414" t="s">
        <v>647</v>
      </c>
      <c r="BB414">
        <f t="shared" si="975"/>
        <v>0.54961786239005772</v>
      </c>
      <c r="BD414">
        <f t="shared" si="976"/>
        <v>377495</v>
      </c>
      <c r="BE414">
        <f t="shared" si="977"/>
        <v>-318501</v>
      </c>
      <c r="BF414">
        <f t="shared" si="978"/>
        <v>10.894161315951312</v>
      </c>
      <c r="BG414">
        <f t="shared" si="979"/>
        <v>-9.1916482954524135</v>
      </c>
      <c r="BH414">
        <f t="shared" si="980"/>
        <v>10.042904805701863</v>
      </c>
      <c r="BI414">
        <f t="shared" si="981"/>
        <v>85.125651024944929</v>
      </c>
      <c r="BJ414">
        <f t="shared" si="982"/>
        <v>10</v>
      </c>
      <c r="BK414">
        <f>IF($BJ414&lt;=30,IF($B414=2015,VLOOKUP($BJ414,'Treasury Yields'!$C$5:$N$34,$E414,FALSE)/100,IF($B414=2016,VLOOKUP($BJ414,'Treasury Yields'!$C$40:$N$69,$E414,FALSE)/100,IF($B414=2017,VLOOKUP($BJ414,'Treasury Yields'!$C$75:$N$104,$E414,FALSE)/100,IF($B414=2018,VLOOKUP($BJ414,'Treasury Yields'!$C$110:$N$139,$E414,FALSE)/100,IF($B414=2019,VLOOKUP($BJ414,'Treasury Yields'!$C$145:$N$174,$E414,FALSE)/100,IF($B414=2020,VLOOKUP($BJ414,'Treasury Yields'!$C$180:$N$209,$E414,FALSE)/100,IF($B414=2021,VLOOKUP($BJ414,'Treasury Yields'!$C$215:$N$244,$E414,FALSE)/100,IF($B414=2022,VLOOKUP($BJ414,'Treasury Yields'!$C$250:$N$279,$E414,FALSE)/100)))))))),0)</f>
        <v>2.964E-2</v>
      </c>
      <c r="BL414">
        <f t="shared" si="983"/>
        <v>1.4576036915866366</v>
      </c>
      <c r="BM414">
        <f t="shared" si="984"/>
        <v>4872933.8501912756</v>
      </c>
      <c r="BN414">
        <f t="shared" si="985"/>
        <v>3040560.8501912756</v>
      </c>
      <c r="BP414">
        <f>IF($BJ414&lt;=30,IF($B414=2015,VLOOKUP($BJ414,'Treasury Yields'!$C$40:$N$69,$E414,FALSE)/100,IF($B414=2016,VLOOKUP($BJ414,'Treasury Yields'!$C$75:$N$104,$E414,FALSE)/100,IF($B414=2017,VLOOKUP($BJ414,'Treasury Yields'!$C$110:$N$139,$E414,FALSE)/100,IF($B414=2018,VLOOKUP($BJ414,'Treasury Yields'!$C$145:$N$174,$E414,FALSE)/100,IF($B414=2019,VLOOKUP($BJ414,'Treasury Yields'!$C$180:$N$209,$E414,FALSE)/100,IF($B414=2020,VLOOKUP($BJ414,'Treasury Yields'!$C$215:$N$244,$E414,FALSE)/100,IF($B414=2021,VLOOKUP($BJ414,'Treasury Yields'!$C$250:$N$279,$E414,FALSE)/100,IF($B414=2022,VLOOKUP($BJ414,'Treasury Yields'!$C$285:$N$314,$E414,FALSE)/100)))))))),0)</f>
        <v>2.1259999999999998E-2</v>
      </c>
      <c r="BQ414">
        <f t="shared" si="986"/>
        <v>1.542593691858418</v>
      </c>
      <c r="BR414">
        <f t="shared" si="987"/>
        <v>5345261.4553765981</v>
      </c>
      <c r="BS414">
        <f t="shared" si="988"/>
        <v>3440773.4553765981</v>
      </c>
      <c r="BU414">
        <f t="shared" si="928"/>
        <v>13</v>
      </c>
      <c r="BV414">
        <f t="shared" si="989"/>
        <v>2.220374708689731</v>
      </c>
      <c r="BW414">
        <f t="shared" si="990"/>
        <v>88295.420665755839</v>
      </c>
      <c r="BX414" s="5">
        <f t="shared" si="991"/>
        <v>141324.47650820241</v>
      </c>
      <c r="BY414" s="5">
        <f t="shared" si="992"/>
        <v>87012.94078820241</v>
      </c>
      <c r="BZ414" s="5">
        <f t="shared" si="993"/>
        <v>286234</v>
      </c>
      <c r="CA414" s="5">
        <f t="shared" si="994"/>
        <v>175308.36145395826</v>
      </c>
      <c r="CC414" s="5">
        <f t="shared" si="995"/>
        <v>5345261.4553765981</v>
      </c>
      <c r="CD414" s="5" t="str">
        <f t="shared" si="996"/>
        <v>Vermont</v>
      </c>
      <c r="CE414" s="5">
        <f t="shared" si="927"/>
        <v>0.54961786239005772</v>
      </c>
      <c r="CF414" s="10">
        <f t="shared" si="997"/>
        <v>0.35629463888699903</v>
      </c>
    </row>
    <row r="415" spans="1:84" x14ac:dyDescent="0.2">
      <c r="A415">
        <v>46000000003503</v>
      </c>
      <c r="B415">
        <v>2020</v>
      </c>
      <c r="C415">
        <v>621</v>
      </c>
      <c r="D415" t="s">
        <v>635</v>
      </c>
      <c r="E415">
        <v>6</v>
      </c>
      <c r="F415" t="s">
        <v>636</v>
      </c>
      <c r="G415" t="s">
        <v>637</v>
      </c>
      <c r="H415" t="s">
        <v>509</v>
      </c>
      <c r="I415" t="b">
        <v>1</v>
      </c>
      <c r="J415">
        <v>40744</v>
      </c>
      <c r="K415">
        <v>255393</v>
      </c>
      <c r="M415">
        <v>31637</v>
      </c>
      <c r="N415">
        <v>310968</v>
      </c>
      <c r="O415">
        <v>201237</v>
      </c>
      <c r="Q415">
        <v>437505</v>
      </c>
      <c r="R415">
        <v>3465113</v>
      </c>
      <c r="S415">
        <v>3902618</v>
      </c>
      <c r="T415">
        <v>120247</v>
      </c>
      <c r="V415">
        <v>40599</v>
      </c>
      <c r="W415">
        <v>83105</v>
      </c>
      <c r="Y415">
        <v>2815</v>
      </c>
      <c r="Z415">
        <v>7103</v>
      </c>
      <c r="AA415">
        <v>47002</v>
      </c>
      <c r="AB415">
        <v>1904488</v>
      </c>
      <c r="AC415">
        <v>1951490</v>
      </c>
      <c r="AD415">
        <v>1951128</v>
      </c>
      <c r="AE415">
        <v>1560625</v>
      </c>
      <c r="AF415">
        <v>390503</v>
      </c>
      <c r="AG415">
        <v>624908</v>
      </c>
      <c r="AH415">
        <v>0.19242352474284213</v>
      </c>
      <c r="AI415" t="b">
        <v>1</v>
      </c>
      <c r="AK415">
        <v>7.4999999999999997E-2</v>
      </c>
      <c r="AL415">
        <v>7.0000000000000007E-2</v>
      </c>
      <c r="AM415">
        <v>7.0000000000000007E-2</v>
      </c>
      <c r="AN415">
        <v>7.4999999999999997E-2</v>
      </c>
      <c r="AO415">
        <v>1</v>
      </c>
      <c r="AP415">
        <v>0</v>
      </c>
      <c r="AS415">
        <v>2430339</v>
      </c>
      <c r="AT415">
        <v>1552656</v>
      </c>
      <c r="AU415" t="s">
        <v>646</v>
      </c>
      <c r="AV415" t="s">
        <v>647</v>
      </c>
      <c r="BB415">
        <f t="shared" si="975"/>
        <v>0.50004637912293748</v>
      </c>
      <c r="BD415">
        <f t="shared" si="976"/>
        <v>479211</v>
      </c>
      <c r="BE415">
        <f t="shared" si="977"/>
        <v>-398472</v>
      </c>
      <c r="BF415">
        <f t="shared" si="978"/>
        <v>12.279218719331485</v>
      </c>
      <c r="BG415">
        <f t="shared" si="979"/>
        <v>-10.210376726597376</v>
      </c>
      <c r="BH415">
        <f t="shared" si="980"/>
        <v>11.244797722964432</v>
      </c>
      <c r="BI415">
        <f t="shared" si="981"/>
        <v>103.44209963670541</v>
      </c>
      <c r="BJ415">
        <f t="shared" si="982"/>
        <v>11</v>
      </c>
      <c r="BK415">
        <f>IF($BJ415&lt;=30,IF($B415=2015,VLOOKUP($BJ415,'Treasury Yields'!$C$5:$N$34,$E415,FALSE)/100,IF($B415=2016,VLOOKUP($BJ415,'Treasury Yields'!$C$40:$N$69,$E415,FALSE)/100,IF($B415=2017,VLOOKUP($BJ415,'Treasury Yields'!$C$75:$N$104,$E415,FALSE)/100,IF($B415=2018,VLOOKUP($BJ415,'Treasury Yields'!$C$110:$N$139,$E415,FALSE)/100,IF($B415=2019,VLOOKUP($BJ415,'Treasury Yields'!$C$145:$N$174,$E415,FALSE)/100,IF($B415=2020,VLOOKUP($BJ415,'Treasury Yields'!$C$180:$N$209,$E415,FALSE)/100,IF($B415=2021,VLOOKUP($BJ415,'Treasury Yields'!$C$215:$N$244,$E415,FALSE)/100,IF($B415=2022,VLOOKUP($BJ415,'Treasury Yields'!$C$250:$N$279,$E415,FALSE)/100)))))))),0)</f>
        <v>2.1722000000000002E-2</v>
      </c>
      <c r="BL415">
        <f t="shared" si="983"/>
        <v>1.5452071097532767</v>
      </c>
      <c r="BM415">
        <f t="shared" si="984"/>
        <v>5354317.2436985057</v>
      </c>
      <c r="BN415">
        <f t="shared" si="985"/>
        <v>3449829.2436985057</v>
      </c>
      <c r="BP415">
        <f>IF($BJ415&lt;=30,IF($B415=2015,VLOOKUP($BJ415,'Treasury Yields'!$C$40:$N$69,$E415,FALSE)/100,IF($B415=2016,VLOOKUP($BJ415,'Treasury Yields'!$C$75:$N$104,$E415,FALSE)/100,IF($B415=2017,VLOOKUP($BJ415,'Treasury Yields'!$C$110:$N$139,$E415,FALSE)/100,IF($B415=2018,VLOOKUP($BJ415,'Treasury Yields'!$C$145:$N$174,$E415,FALSE)/100,IF($B415=2019,VLOOKUP($BJ415,'Treasury Yields'!$C$180:$N$209,$E415,FALSE)/100,IF($B415=2020,VLOOKUP($BJ415,'Treasury Yields'!$C$215:$N$244,$E415,FALSE)/100,IF($B415=2021,VLOOKUP($BJ415,'Treasury Yields'!$C$250:$N$279,$E415,FALSE)/100,IF($B415=2022,VLOOKUP($BJ415,'Treasury Yields'!$C$285:$N$314,$E415,FALSE)/100)))))))),0)</f>
        <v>1.4551090909090908E-2</v>
      </c>
      <c r="BQ415">
        <f t="shared" si="986"/>
        <v>1.6833898259114195</v>
      </c>
      <c r="BR415">
        <f t="shared" si="987"/>
        <v>6569627.4356187722</v>
      </c>
      <c r="BS415">
        <f t="shared" si="988"/>
        <v>4618137.4356187722</v>
      </c>
      <c r="BU415">
        <f t="shared" si="928"/>
        <v>14</v>
      </c>
      <c r="BV415">
        <f t="shared" si="989"/>
        <v>2.6386174171749266</v>
      </c>
      <c r="BW415">
        <f t="shared" si="990"/>
        <v>107507.82804537521</v>
      </c>
      <c r="BX415" s="5">
        <f t="shared" si="991"/>
        <v>114270.4940944206</v>
      </c>
      <c r="BY415" s="5">
        <f t="shared" si="992"/>
        <v>72901.20575842059</v>
      </c>
      <c r="BZ415" s="5">
        <f t="shared" si="993"/>
        <v>296137</v>
      </c>
      <c r="CA415" s="5">
        <f t="shared" si="994"/>
        <v>180409.03380379581</v>
      </c>
      <c r="CC415" s="5">
        <f t="shared" si="995"/>
        <v>6569627.4356187722</v>
      </c>
      <c r="CD415" s="5" t="str">
        <f t="shared" si="996"/>
        <v>Vermont</v>
      </c>
      <c r="CE415" s="5">
        <f t="shared" si="927"/>
        <v>0.50004637912293748</v>
      </c>
      <c r="CF415" s="10">
        <f t="shared" si="997"/>
        <v>0.29704728603322927</v>
      </c>
    </row>
    <row r="416" spans="1:84" x14ac:dyDescent="0.2">
      <c r="A416">
        <v>46000000003503</v>
      </c>
      <c r="B416">
        <v>2021</v>
      </c>
      <c r="C416">
        <v>621</v>
      </c>
      <c r="D416" t="s">
        <v>635</v>
      </c>
      <c r="E416">
        <v>6</v>
      </c>
      <c r="F416" t="s">
        <v>636</v>
      </c>
      <c r="G416" t="s">
        <v>637</v>
      </c>
      <c r="H416" t="s">
        <v>509</v>
      </c>
      <c r="I416" t="b">
        <v>1</v>
      </c>
      <c r="J416">
        <v>72149</v>
      </c>
      <c r="K416">
        <v>270700</v>
      </c>
      <c r="M416">
        <v>88065</v>
      </c>
      <c r="N416">
        <v>0</v>
      </c>
      <c r="O416">
        <v>215249</v>
      </c>
      <c r="Q416">
        <v>215665</v>
      </c>
      <c r="R416">
        <v>3902618</v>
      </c>
      <c r="S416">
        <v>4118283</v>
      </c>
      <c r="T416">
        <v>125910</v>
      </c>
      <c r="V416">
        <v>42199</v>
      </c>
      <c r="W416">
        <v>512194</v>
      </c>
      <c r="Y416">
        <v>2782</v>
      </c>
      <c r="Z416">
        <v>9031</v>
      </c>
      <c r="AA416">
        <v>471303</v>
      </c>
      <c r="AB416">
        <v>1951490</v>
      </c>
      <c r="AC416">
        <v>2422793</v>
      </c>
      <c r="AD416">
        <v>1695490</v>
      </c>
      <c r="AE416">
        <v>1951128</v>
      </c>
      <c r="AF416">
        <v>-255638</v>
      </c>
      <c r="AG416">
        <v>645903</v>
      </c>
      <c r="AI416" t="b">
        <v>1</v>
      </c>
      <c r="AK416">
        <v>7.0000000000000007E-2</v>
      </c>
      <c r="AL416">
        <v>7.0000000000000007E-2</v>
      </c>
      <c r="AM416">
        <v>7.0000000000000007E-2</v>
      </c>
      <c r="AN416">
        <v>7.0000000000000007E-2</v>
      </c>
      <c r="AS416">
        <v>2220769</v>
      </c>
      <c r="AT416">
        <v>1261020</v>
      </c>
      <c r="BB416">
        <f t="shared" si="975"/>
        <v>0.58830172671474978</v>
      </c>
      <c r="BD416">
        <f t="shared" si="976"/>
        <v>525279</v>
      </c>
      <c r="BE416">
        <f t="shared" si="977"/>
        <v>-434470</v>
      </c>
      <c r="BF416">
        <f t="shared" si="978"/>
        <v>12.754805825631701</v>
      </c>
      <c r="BG416">
        <f t="shared" si="979"/>
        <v>-10.549784946784861</v>
      </c>
      <c r="BH416">
        <f t="shared" si="980"/>
        <v>11.652295386208282</v>
      </c>
      <c r="BI416">
        <f t="shared" si="981"/>
        <v>110.25104394234199</v>
      </c>
      <c r="BJ416">
        <f t="shared" si="982"/>
        <v>12</v>
      </c>
      <c r="BK416">
        <f>IF($BJ416&lt;=30,IF($B416=2015,VLOOKUP($BJ416,'Treasury Yields'!$C$5:$N$34,$E416,FALSE)/100,IF($B416=2016,VLOOKUP($BJ416,'Treasury Yields'!$C$40:$N$69,$E416,FALSE)/100,IF($B416=2017,VLOOKUP($BJ416,'Treasury Yields'!$C$75:$N$104,$E416,FALSE)/100,IF($B416=2018,VLOOKUP($BJ416,'Treasury Yields'!$C$110:$N$139,$E416,FALSE)/100,IF($B416=2019,VLOOKUP($BJ416,'Treasury Yields'!$C$145:$N$174,$E416,FALSE)/100,IF($B416=2020,VLOOKUP($BJ416,'Treasury Yields'!$C$180:$N$209,$E416,FALSE)/100,IF($B416=2021,VLOOKUP($BJ416,'Treasury Yields'!$C$215:$N$244,$E416,FALSE)/100,IF($B416=2022,VLOOKUP($BJ416,'Treasury Yields'!$C$250:$N$279,$E416,FALSE)/100)))))))),0)</f>
        <v>1.3689454545454545E-2</v>
      </c>
      <c r="BL416">
        <f t="shared" si="983"/>
        <v>1.6593179865242602</v>
      </c>
      <c r="BM416">
        <f t="shared" si="984"/>
        <v>6475684.2419333356</v>
      </c>
      <c r="BN416">
        <f t="shared" si="985"/>
        <v>4524194.2419333356</v>
      </c>
      <c r="BP416">
        <f>IF($BJ416&lt;=30,IF($B416=2015,VLOOKUP($BJ416,'Treasury Yields'!$C$40:$N$69,$E416,FALSE)/100,IF($B416=2016,VLOOKUP($BJ416,'Treasury Yields'!$C$75:$N$104,$E416,FALSE)/100,IF($B416=2017,VLOOKUP($BJ416,'Treasury Yields'!$C$110:$N$139,$E416,FALSE)/100,IF($B416=2018,VLOOKUP($BJ416,'Treasury Yields'!$C$145:$N$174,$E416,FALSE)/100,IF($B416=2019,VLOOKUP($BJ416,'Treasury Yields'!$C$180:$N$209,$E416,FALSE)/100,IF($B416=2020,VLOOKUP($BJ416,'Treasury Yields'!$C$215:$N$244,$E416,FALSE)/100,IF($B416=2021,VLOOKUP($BJ416,'Treasury Yields'!$C$250:$N$279,$E416,FALSE)/100,IF($B416=2022,VLOOKUP($BJ416,'Treasury Yields'!$C$285:$N$314,$E416,FALSE)/100)))))))),0)</f>
        <v>2.1085818181818185E-2</v>
      </c>
      <c r="BQ416">
        <f t="shared" si="986"/>
        <v>1.5723550923030953</v>
      </c>
      <c r="BR416">
        <f t="shared" si="987"/>
        <v>6475403.2465952681</v>
      </c>
      <c r="BS416">
        <f t="shared" si="988"/>
        <v>4052610.2465952681</v>
      </c>
      <c r="BU416">
        <f t="shared" si="928"/>
        <v>15</v>
      </c>
      <c r="BV416">
        <f t="shared" si="989"/>
        <v>2.8503978486414421</v>
      </c>
      <c r="BW416">
        <f t="shared" si="990"/>
        <v>205653.35438163139</v>
      </c>
      <c r="BX416" s="5">
        <f t="shared" si="991"/>
        <v>88517.22592613571</v>
      </c>
      <c r="BY416" s="5">
        <f t="shared" si="992"/>
        <v>61802.39227522663</v>
      </c>
      <c r="BZ416" s="5">
        <f t="shared" si="993"/>
        <v>342849</v>
      </c>
      <c r="CA416" s="5">
        <f t="shared" si="994"/>
        <v>267455.74665685801</v>
      </c>
      <c r="CC416" s="5">
        <f t="shared" si="995"/>
        <v>6475403.2465952681</v>
      </c>
      <c r="CD416" s="5" t="str">
        <f t="shared" si="996"/>
        <v>Vermont</v>
      </c>
      <c r="CE416" s="5">
        <f t="shared" si="927"/>
        <v>0.58830172671474978</v>
      </c>
      <c r="CF416" s="10">
        <f t="shared" si="997"/>
        <v>0.37415322378168364</v>
      </c>
    </row>
    <row r="417" spans="1:84" x14ac:dyDescent="0.2">
      <c r="A417">
        <v>46000000003503</v>
      </c>
      <c r="B417">
        <v>2022</v>
      </c>
      <c r="C417">
        <v>621</v>
      </c>
      <c r="D417" t="s">
        <v>635</v>
      </c>
      <c r="E417">
        <v>6</v>
      </c>
      <c r="F417" t="s">
        <v>636</v>
      </c>
      <c r="G417" t="s">
        <v>637</v>
      </c>
      <c r="H417" t="s">
        <v>509</v>
      </c>
      <c r="I417" t="b">
        <v>1</v>
      </c>
      <c r="J417">
        <v>71861</v>
      </c>
      <c r="K417">
        <v>285340</v>
      </c>
      <c r="L417">
        <v>-32528</v>
      </c>
      <c r="M417">
        <v>52714</v>
      </c>
      <c r="N417">
        <v>0</v>
      </c>
      <c r="O417">
        <v>149689</v>
      </c>
      <c r="Q417">
        <v>149689</v>
      </c>
      <c r="R417">
        <v>4118283</v>
      </c>
      <c r="S417">
        <v>4267972</v>
      </c>
      <c r="T417">
        <v>314664</v>
      </c>
      <c r="V417">
        <v>44597</v>
      </c>
      <c r="W417">
        <v>-223275</v>
      </c>
      <c r="Y417">
        <v>2715</v>
      </c>
      <c r="Z417">
        <v>11047</v>
      </c>
      <c r="AA417">
        <v>-83380</v>
      </c>
      <c r="AB417">
        <v>2422793</v>
      </c>
      <c r="AC417">
        <v>2339413</v>
      </c>
      <c r="AD417">
        <v>1928559</v>
      </c>
      <c r="AE417">
        <v>1695490</v>
      </c>
      <c r="AF417">
        <v>233069</v>
      </c>
      <c r="AG417">
        <v>657935</v>
      </c>
      <c r="AI417" t="b">
        <v>1</v>
      </c>
      <c r="AK417">
        <v>7.0000000000000007E-2</v>
      </c>
      <c r="AL417">
        <v>7.0000000000000007E-2</v>
      </c>
      <c r="AM417">
        <v>7.0000000000000007E-2</v>
      </c>
      <c r="AN417">
        <v>7.0000000000000007E-2</v>
      </c>
      <c r="AS417">
        <v>2455235</v>
      </c>
      <c r="AT417">
        <v>1490986</v>
      </c>
      <c r="AV417" t="s">
        <v>648</v>
      </c>
      <c r="BB417">
        <f t="shared" si="975"/>
        <v>0.54813222767159675</v>
      </c>
      <c r="BD417">
        <f t="shared" si="976"/>
        <v>526676</v>
      </c>
      <c r="BE417">
        <f t="shared" si="977"/>
        <v>-437573</v>
      </c>
      <c r="BF417">
        <f t="shared" si="978"/>
        <v>12.340193422074934</v>
      </c>
      <c r="BG417">
        <f t="shared" si="979"/>
        <v>-10.252480569225852</v>
      </c>
      <c r="BH417">
        <f t="shared" si="980"/>
        <v>11.296336995650393</v>
      </c>
      <c r="BI417">
        <f t="shared" si="981"/>
        <v>104.38564264245407</v>
      </c>
      <c r="BJ417">
        <f t="shared" si="982"/>
        <v>11</v>
      </c>
      <c r="BK417">
        <f>IF($BJ417&lt;=30,IF($B417=2015,VLOOKUP($BJ417,'Treasury Yields'!$C$5:$N$34,$E417,FALSE)/100,IF($B417=2016,VLOOKUP($BJ417,'Treasury Yields'!$C$40:$N$69,$E417,FALSE)/100,IF($B417=2017,VLOOKUP($BJ417,'Treasury Yields'!$C$75:$N$104,$E417,FALSE)/100,IF($B417=2018,VLOOKUP($BJ417,'Treasury Yields'!$C$110:$N$139,$E417,FALSE)/100,IF($B417=2019,VLOOKUP($BJ417,'Treasury Yields'!$C$145:$N$174,$E417,FALSE)/100,IF($B417=2020,VLOOKUP($BJ417,'Treasury Yields'!$C$180:$N$209,$E417,FALSE)/100,IF($B417=2021,VLOOKUP($BJ417,'Treasury Yields'!$C$215:$N$244,$E417,FALSE)/100,IF($B417=2022,VLOOKUP($BJ417,'Treasury Yields'!$C$250:$N$279,$E417,FALSE)/100)))))))),0)</f>
        <v>2.1554272727272727E-2</v>
      </c>
      <c r="BL417">
        <f t="shared" si="983"/>
        <v>1.5496062497630818</v>
      </c>
      <c r="BM417">
        <f t="shared" si="984"/>
        <v>6381717.0750930542</v>
      </c>
      <c r="BN417">
        <f t="shared" si="985"/>
        <v>3958924.0750930542</v>
      </c>
      <c r="BP417">
        <f>IF($BJ417&lt;=30,IF($B417=2015,VLOOKUP($BJ417,'Treasury Yields'!$C$40:$N$69,$E417,FALSE)/100,IF($B417=2016,VLOOKUP($BJ417,'Treasury Yields'!$C$75:$N$104,$E417,FALSE)/100,IF($B417=2017,VLOOKUP($BJ417,'Treasury Yields'!$C$110:$N$139,$E417,FALSE)/100,IF($B417=2018,VLOOKUP($BJ417,'Treasury Yields'!$C$145:$N$174,$E417,FALSE)/100,IF($B417=2019,VLOOKUP($BJ417,'Treasury Yields'!$C$180:$N$209,$E417,FALSE)/100,IF($B417=2020,VLOOKUP($BJ417,'Treasury Yields'!$C$215:$N$244,$E417,FALSE)/100,IF($B417=2021,VLOOKUP($BJ417,'Treasury Yields'!$C$250:$N$279,$E417,FALSE)/100,IF($B417=2022,VLOOKUP($BJ417,'Treasury Yields'!$C$285:$N$314,$E417,FALSE)/100)))))))),0)</f>
        <v>3.1935909090909091E-2</v>
      </c>
      <c r="BQ417">
        <f t="shared" si="986"/>
        <v>1.431433673358899</v>
      </c>
      <c r="BR417">
        <f t="shared" si="987"/>
        <v>6109318.8377529271</v>
      </c>
      <c r="BS417">
        <f t="shared" si="988"/>
        <v>3769905.8377529271</v>
      </c>
      <c r="BU417">
        <f t="shared" si="928"/>
        <v>14</v>
      </c>
      <c r="BV417">
        <f t="shared" si="989"/>
        <v>2.4704913449960335</v>
      </c>
      <c r="BW417">
        <f t="shared" si="990"/>
        <v>177531.97854275996</v>
      </c>
      <c r="BX417" s="5">
        <f t="shared" si="991"/>
        <v>138153.40545789915</v>
      </c>
      <c r="BY417" s="5">
        <f t="shared" si="992"/>
        <v>85931.864374171884</v>
      </c>
      <c r="BZ417" s="5">
        <f t="shared" si="993"/>
        <v>357201</v>
      </c>
      <c r="CA417" s="5">
        <f t="shared" si="994"/>
        <v>263463.84291693184</v>
      </c>
      <c r="CC417" s="5">
        <f t="shared" si="995"/>
        <v>6109318.8377529271</v>
      </c>
      <c r="CD417" s="5" t="str">
        <f t="shared" si="996"/>
        <v>Vermont</v>
      </c>
      <c r="CE417" s="5">
        <f t="shared" si="927"/>
        <v>0.54813222767159675</v>
      </c>
      <c r="CF417" s="10">
        <f t="shared" si="997"/>
        <v>0.38292534112697596</v>
      </c>
    </row>
    <row r="418" spans="1:84" x14ac:dyDescent="0.2">
      <c r="A418">
        <v>47000000011701</v>
      </c>
      <c r="B418">
        <v>2015</v>
      </c>
      <c r="C418">
        <v>632</v>
      </c>
      <c r="D418" t="s">
        <v>649</v>
      </c>
      <c r="E418">
        <v>6</v>
      </c>
      <c r="F418" t="s">
        <v>650</v>
      </c>
      <c r="G418" t="s">
        <v>651</v>
      </c>
      <c r="H418" t="s">
        <v>652</v>
      </c>
      <c r="I418" t="b">
        <v>1</v>
      </c>
      <c r="J418">
        <v>828901</v>
      </c>
      <c r="K418">
        <v>2834138</v>
      </c>
      <c r="L418">
        <v>0</v>
      </c>
      <c r="M418">
        <v>-212089</v>
      </c>
      <c r="N418">
        <v>0</v>
      </c>
      <c r="O418">
        <v>1980353</v>
      </c>
      <c r="P418">
        <v>36058</v>
      </c>
      <c r="Q418">
        <v>1434539</v>
      </c>
      <c r="R418">
        <v>41495883</v>
      </c>
      <c r="S418">
        <v>42930422</v>
      </c>
      <c r="T418">
        <v>1267250</v>
      </c>
      <c r="V418">
        <v>373525</v>
      </c>
      <c r="W418">
        <v>1327047</v>
      </c>
      <c r="Y418">
        <v>18238</v>
      </c>
      <c r="Z418">
        <v>-284</v>
      </c>
      <c r="AA418">
        <v>932889</v>
      </c>
      <c r="AB418">
        <v>29411183</v>
      </c>
      <c r="AC418">
        <v>30344072</v>
      </c>
      <c r="AD418">
        <v>12586350</v>
      </c>
      <c r="AE418">
        <v>12084700</v>
      </c>
      <c r="AF418">
        <v>501650</v>
      </c>
      <c r="AG418">
        <v>7434932</v>
      </c>
      <c r="AH418">
        <v>0.17044540555313753</v>
      </c>
      <c r="AI418" t="b">
        <v>1</v>
      </c>
      <c r="AK418">
        <v>7.0000000000000007E-2</v>
      </c>
      <c r="AL418">
        <v>7.0000000000000007E-2</v>
      </c>
      <c r="AM418">
        <v>7.0000000000000007E-2</v>
      </c>
      <c r="AN418">
        <v>7.0000000000000007E-2</v>
      </c>
      <c r="AO418">
        <v>1</v>
      </c>
      <c r="AP418">
        <v>0</v>
      </c>
      <c r="AS418">
        <v>18418928</v>
      </c>
      <c r="AT418">
        <v>7784902</v>
      </c>
      <c r="AV418" t="s">
        <v>653</v>
      </c>
      <c r="BB418">
        <f t="shared" ref="BB418:BB425" si="998">AC418/S418</f>
        <v>0.70681979319933075</v>
      </c>
      <c r="BD418">
        <f t="shared" ref="BD418:BD425" si="999">AS418-AD418</f>
        <v>5832578</v>
      </c>
      <c r="BE418">
        <f t="shared" ref="BE418:BE425" si="1000">AT418-AD418</f>
        <v>-4801448</v>
      </c>
      <c r="BF418">
        <f t="shared" ref="BF418:BF425" si="1001">BD418/S418*100</f>
        <v>13.58611848725829</v>
      </c>
      <c r="BG418">
        <f t="shared" ref="BG418:BG425" si="1002">BE418/S418*100</f>
        <v>-11.184255305014238</v>
      </c>
      <c r="BH418">
        <f t="shared" ref="BH418:BH425" si="1003">(BD418-BE418)/(2*S418)*100</f>
        <v>12.385186896136265</v>
      </c>
      <c r="BI418">
        <f t="shared" ref="BI418:BI425" si="1004">(BD418+BE418)/(2*S418*(0.01^2))</f>
        <v>120.09315911220253</v>
      </c>
      <c r="BJ418">
        <f t="shared" ref="BJ418:BJ425" si="1005">ROUND(BH418,0)</f>
        <v>12</v>
      </c>
      <c r="BK418">
        <f>IF($BJ418&lt;=30,IF($B418=2015,VLOOKUP($BJ418,'Treasury Yields'!$C$5:$N$34,$E418,FALSE)/100,IF($B418=2016,VLOOKUP($BJ418,'Treasury Yields'!$C$40:$N$69,$E418,FALSE)/100,IF($B418=2017,VLOOKUP($BJ418,'Treasury Yields'!$C$75:$N$104,$E418,FALSE)/100,IF($B418=2018,VLOOKUP($BJ418,'Treasury Yields'!$C$110:$N$139,$E418,FALSE)/100,IF($B418=2019,VLOOKUP($BJ418,'Treasury Yields'!$C$145:$N$174,$E418,FALSE)/100,IF($B418=2020,VLOOKUP($BJ418,'Treasury Yields'!$C$180:$N$209,$E418,FALSE)/100,IF($B418=2021,VLOOKUP($BJ418,'Treasury Yields'!$C$215:$N$244,$E418,FALSE)/100,IF($B418=2022,VLOOKUP($BJ418,'Treasury Yields'!$C$250:$N$279,$E418,FALSE)/100)))))))),0)</f>
        <v>2.9186E-2</v>
      </c>
      <c r="BL418">
        <f t="shared" ref="BL418:BL425" si="1006">1+BH418*(AL418-BK418)+(AL418-BK418)^2</f>
        <v>1.5071548005749056</v>
      </c>
      <c r="BM418">
        <f t="shared" ref="BM418:BM425" si="1007">BL418*R418</f>
        <v>62540719.267544612</v>
      </c>
      <c r="BN418">
        <f t="shared" ref="BN418:BN425" si="1008">BM418-AB418</f>
        <v>33129536.267544612</v>
      </c>
      <c r="BP418">
        <f>IF($BJ418&lt;=30,IF($B418=2015,VLOOKUP($BJ418,'Treasury Yields'!$C$40:$N$69,$E418,FALSE)/100,IF($B418=2016,VLOOKUP($BJ418,'Treasury Yields'!$C$75:$N$104,$E418,FALSE)/100,IF($B418=2017,VLOOKUP($BJ418,'Treasury Yields'!$C$110:$N$139,$E418,FALSE)/100,IF($B418=2018,VLOOKUP($BJ418,'Treasury Yields'!$C$145:$N$174,$E418,FALSE)/100,IF($B418=2019,VLOOKUP($BJ418,'Treasury Yields'!$C$180:$N$209,$E418,FALSE)/100,IF($B418=2020,VLOOKUP($BJ418,'Treasury Yields'!$C$215:$N$244,$E418,FALSE)/100,IF($B418=2021,VLOOKUP($BJ418,'Treasury Yields'!$C$250:$N$279,$E418,FALSE)/100,IF($B418=2022,VLOOKUP($BJ418,'Treasury Yields'!$C$285:$N$314,$E418,FALSE)/100)))))))),0)</f>
        <v>2.7045999999999997E-2</v>
      </c>
      <c r="BQ418">
        <f t="shared" ref="BQ418:BQ425" si="1009">1+BH418*(AN418-BP418)+(AN418-BP418)^2</f>
        <v>1.5338383640526372</v>
      </c>
      <c r="BR418">
        <f t="shared" ref="BR418:BR425" si="1010">BQ418*S418</f>
        <v>65848328.248569347</v>
      </c>
      <c r="BS418">
        <f t="shared" ref="BS418:BS425" si="1011">BR418-AC418</f>
        <v>35504256.248569347</v>
      </c>
      <c r="BU418">
        <f t="shared" si="928"/>
        <v>15</v>
      </c>
      <c r="BV418">
        <f t="shared" ref="BV418:BV425" si="1012">1+(BH418+BU418)*(AN418-BK418)+(AN418-BK418)^2*BI418</f>
        <v>2.3177481123266714</v>
      </c>
      <c r="BW418">
        <f t="shared" ref="BW418:BW425" si="1013">BV418*J418</f>
        <v>1921183.7280556902</v>
      </c>
      <c r="BX418" s="5">
        <f t="shared" ref="BX418:BX425" si="1014">(BM418+BW418-O418)*BK418</f>
        <v>1823586.5181715905</v>
      </c>
      <c r="BY418" s="5">
        <f t="shared" ref="BY418:BY425" si="1015">BK418*(BN418+BW418-O418)</f>
        <v>965191.73113359057</v>
      </c>
      <c r="BZ418" s="5">
        <f t="shared" ref="BZ418:BZ425" si="1016">SUM(J418:K418)</f>
        <v>3663039</v>
      </c>
      <c r="CA418" s="5">
        <f t="shared" ref="CA418:CA425" si="1017">SUM(BW418+BY418)</f>
        <v>2886375.4591892809</v>
      </c>
      <c r="CC418" s="5">
        <f t="shared" ref="CC418:CC425" si="1018">BR418</f>
        <v>65848328.248569347</v>
      </c>
      <c r="CD418" s="5" t="str">
        <f t="shared" ref="CD418:CD425" si="1019">F418</f>
        <v>Virginia</v>
      </c>
      <c r="CE418" s="5">
        <f t="shared" si="927"/>
        <v>0.70681979319933075</v>
      </c>
      <c r="CF418" s="10">
        <f t="shared" ref="CF418:CF425" si="1020">AC418/CC418</f>
        <v>0.46081765182336681</v>
      </c>
    </row>
    <row r="419" spans="1:84" x14ac:dyDescent="0.2">
      <c r="A419">
        <v>47000000011701</v>
      </c>
      <c r="B419">
        <v>2016</v>
      </c>
      <c r="C419">
        <v>632</v>
      </c>
      <c r="D419" t="s">
        <v>649</v>
      </c>
      <c r="E419">
        <v>6</v>
      </c>
      <c r="F419" t="s">
        <v>650</v>
      </c>
      <c r="G419" t="s">
        <v>651</v>
      </c>
      <c r="H419" t="s">
        <v>652</v>
      </c>
      <c r="I419" t="b">
        <v>1</v>
      </c>
      <c r="J419">
        <v>828856</v>
      </c>
      <c r="K419">
        <v>2931065</v>
      </c>
      <c r="M419">
        <v>-391881</v>
      </c>
      <c r="O419">
        <v>2081069</v>
      </c>
      <c r="P419">
        <v>35067</v>
      </c>
      <c r="Q419">
        <v>1251904</v>
      </c>
      <c r="R419">
        <v>42930422</v>
      </c>
      <c r="S419">
        <v>44182326</v>
      </c>
      <c r="T419">
        <v>1062338</v>
      </c>
      <c r="V419">
        <v>380314</v>
      </c>
      <c r="W419">
        <v>516704</v>
      </c>
      <c r="Y419">
        <v>18859</v>
      </c>
      <c r="Z419">
        <v>-222</v>
      </c>
      <c r="AA419">
        <v>-175861</v>
      </c>
      <c r="AB419">
        <v>30344072</v>
      </c>
      <c r="AC419">
        <v>30168211</v>
      </c>
      <c r="AD419">
        <v>14014115</v>
      </c>
      <c r="AE419">
        <v>12586350</v>
      </c>
      <c r="AF419">
        <v>1427765</v>
      </c>
      <c r="AG419">
        <v>7624612</v>
      </c>
      <c r="AH419">
        <v>0.13933010624016015</v>
      </c>
      <c r="AI419" t="b">
        <v>1</v>
      </c>
      <c r="AK419">
        <v>7.0000000000000007E-2</v>
      </c>
      <c r="AL419">
        <v>7.0000000000000007E-2</v>
      </c>
      <c r="AM419">
        <v>7.0000000000000007E-2</v>
      </c>
      <c r="AN419">
        <v>7.0000000000000007E-2</v>
      </c>
      <c r="AO419">
        <v>1</v>
      </c>
      <c r="AP419">
        <v>0</v>
      </c>
      <c r="AS419">
        <v>19977164</v>
      </c>
      <c r="AT419">
        <v>9102001</v>
      </c>
      <c r="AU419" t="s">
        <v>654</v>
      </c>
      <c r="AV419" t="s">
        <v>655</v>
      </c>
      <c r="BB419">
        <f t="shared" si="998"/>
        <v>0.682811742414829</v>
      </c>
      <c r="BD419">
        <f t="shared" si="999"/>
        <v>5963049</v>
      </c>
      <c r="BE419">
        <f t="shared" si="1000"/>
        <v>-4912114</v>
      </c>
      <c r="BF419">
        <f t="shared" si="1001"/>
        <v>13.496457837009304</v>
      </c>
      <c r="BG419">
        <f t="shared" si="1002"/>
        <v>-11.117825711575257</v>
      </c>
      <c r="BH419">
        <f t="shared" si="1003"/>
        <v>12.307141774292282</v>
      </c>
      <c r="BI419">
        <f t="shared" si="1004"/>
        <v>118.93160627170239</v>
      </c>
      <c r="BJ419">
        <f t="shared" si="1005"/>
        <v>12</v>
      </c>
      <c r="BK419">
        <f>IF($BJ419&lt;=30,IF($B419=2015,VLOOKUP($BJ419,'Treasury Yields'!$C$5:$N$34,$E419,FALSE)/100,IF($B419=2016,VLOOKUP($BJ419,'Treasury Yields'!$C$40:$N$69,$E419,FALSE)/100,IF($B419=2017,VLOOKUP($BJ419,'Treasury Yields'!$C$75:$N$104,$E419,FALSE)/100,IF($B419=2018,VLOOKUP($BJ419,'Treasury Yields'!$C$110:$N$139,$E419,FALSE)/100,IF($B419=2019,VLOOKUP($BJ419,'Treasury Yields'!$C$145:$N$174,$E419,FALSE)/100,IF($B419=2020,VLOOKUP($BJ419,'Treasury Yields'!$C$180:$N$209,$E419,FALSE)/100,IF($B419=2021,VLOOKUP($BJ419,'Treasury Yields'!$C$215:$N$244,$E419,FALSE)/100,IF($B419=2022,VLOOKUP($BJ419,'Treasury Yields'!$C$250:$N$279,$E419,FALSE)/100)))))))),0)</f>
        <v>2.7045999999999997E-2</v>
      </c>
      <c r="BL419">
        <f t="shared" si="1006"/>
        <v>1.5304860138889509</v>
      </c>
      <c r="BM419">
        <f t="shared" si="1007"/>
        <v>65704410.44135052</v>
      </c>
      <c r="BN419">
        <f t="shared" si="1008"/>
        <v>35360338.44135052</v>
      </c>
      <c r="BP419">
        <f>IF($BJ419&lt;=30,IF($B419=2015,VLOOKUP($BJ419,'Treasury Yields'!$C$40:$N$69,$E419,FALSE)/100,IF($B419=2016,VLOOKUP($BJ419,'Treasury Yields'!$C$75:$N$104,$E419,FALSE)/100,IF($B419=2017,VLOOKUP($BJ419,'Treasury Yields'!$C$110:$N$139,$E419,FALSE)/100,IF($B419=2018,VLOOKUP($BJ419,'Treasury Yields'!$C$145:$N$174,$E419,FALSE)/100,IF($B419=2019,VLOOKUP($BJ419,'Treasury Yields'!$C$180:$N$209,$E419,FALSE)/100,IF($B419=2020,VLOOKUP($BJ419,'Treasury Yields'!$C$215:$N$244,$E419,FALSE)/100,IF($B419=2021,VLOOKUP($BJ419,'Treasury Yields'!$C$250:$N$279,$E419,FALSE)/100,IF($B419=2022,VLOOKUP($BJ419,'Treasury Yields'!$C$285:$N$314,$E419,FALSE)/100)))))))),0)</f>
        <v>1.7546000000000003E-2</v>
      </c>
      <c r="BQ419">
        <f t="shared" si="1009"/>
        <v>1.6483102367447275</v>
      </c>
      <c r="BR419">
        <f t="shared" si="1010"/>
        <v>72826180.22899273</v>
      </c>
      <c r="BS419">
        <f t="shared" si="1011"/>
        <v>42657969.22899273</v>
      </c>
      <c r="BU419">
        <f t="shared" si="928"/>
        <v>15</v>
      </c>
      <c r="BV419">
        <f t="shared" si="1012"/>
        <v>2.3923852659941964</v>
      </c>
      <c r="BW419">
        <f t="shared" si="1013"/>
        <v>1982942.8820308857</v>
      </c>
      <c r="BX419" s="5">
        <f t="shared" si="1014"/>
        <v>1774387.5658101733</v>
      </c>
      <c r="BY419" s="5">
        <f t="shared" si="1015"/>
        <v>953701.79449817352</v>
      </c>
      <c r="BZ419" s="5">
        <f t="shared" si="1016"/>
        <v>3759921</v>
      </c>
      <c r="CA419" s="5">
        <f t="shared" si="1017"/>
        <v>2936644.6765290592</v>
      </c>
      <c r="CC419" s="5">
        <f t="shared" si="1018"/>
        <v>72826180.22899273</v>
      </c>
      <c r="CD419" s="5" t="str">
        <f t="shared" si="1019"/>
        <v>Virginia</v>
      </c>
      <c r="CE419" s="5">
        <f t="shared" si="927"/>
        <v>0.682811742414829</v>
      </c>
      <c r="CF419" s="10">
        <f t="shared" si="1020"/>
        <v>0.4142495309398333</v>
      </c>
    </row>
    <row r="420" spans="1:84" x14ac:dyDescent="0.2">
      <c r="A420">
        <v>47000000011701</v>
      </c>
      <c r="B420">
        <v>2017</v>
      </c>
      <c r="C420">
        <v>632</v>
      </c>
      <c r="D420" t="s">
        <v>649</v>
      </c>
      <c r="E420">
        <v>6</v>
      </c>
      <c r="F420" t="s">
        <v>650</v>
      </c>
      <c r="G420" t="s">
        <v>651</v>
      </c>
      <c r="H420" t="s">
        <v>652</v>
      </c>
      <c r="I420" t="b">
        <v>1</v>
      </c>
      <c r="J420">
        <v>830475</v>
      </c>
      <c r="K420">
        <v>3016207</v>
      </c>
      <c r="M420">
        <v>-642745</v>
      </c>
      <c r="O420">
        <v>2147781</v>
      </c>
      <c r="P420">
        <v>39521</v>
      </c>
      <c r="Q420">
        <v>1235194</v>
      </c>
      <c r="R420">
        <v>44182326</v>
      </c>
      <c r="S420">
        <v>45417520</v>
      </c>
      <c r="T420">
        <v>1137976</v>
      </c>
      <c r="V420">
        <v>392730</v>
      </c>
      <c r="W420">
        <v>3632291</v>
      </c>
      <c r="Y420">
        <v>21123</v>
      </c>
      <c r="Z420">
        <v>-3238</v>
      </c>
      <c r="AA420">
        <v>2951334</v>
      </c>
      <c r="AB420">
        <v>30168211</v>
      </c>
      <c r="AC420">
        <v>33119545</v>
      </c>
      <c r="AD420">
        <v>12297975</v>
      </c>
      <c r="AE420">
        <v>14014115</v>
      </c>
      <c r="AF420">
        <v>-1716140</v>
      </c>
      <c r="AG420">
        <v>7891783</v>
      </c>
      <c r="AH420">
        <v>0.14419757867138516</v>
      </c>
      <c r="AI420" t="b">
        <v>1</v>
      </c>
      <c r="AK420">
        <v>7.0000000000000007E-2</v>
      </c>
      <c r="AL420">
        <v>7.0000000000000007E-2</v>
      </c>
      <c r="AM420">
        <v>7.0000000000000007E-2</v>
      </c>
      <c r="AN420">
        <v>7.0000000000000007E-2</v>
      </c>
      <c r="AO420">
        <v>1</v>
      </c>
      <c r="AP420">
        <v>0</v>
      </c>
      <c r="AS420">
        <v>18364993</v>
      </c>
      <c r="AT420">
        <v>7279318</v>
      </c>
      <c r="AU420" t="s">
        <v>656</v>
      </c>
      <c r="AV420" t="s">
        <v>657</v>
      </c>
      <c r="BB420">
        <f t="shared" si="998"/>
        <v>0.72922398669059874</v>
      </c>
      <c r="BD420">
        <f t="shared" si="999"/>
        <v>6067018</v>
      </c>
      <c r="BE420">
        <f t="shared" si="1000"/>
        <v>-5018657</v>
      </c>
      <c r="BF420">
        <f t="shared" si="1001"/>
        <v>13.358320753753178</v>
      </c>
      <c r="BG420">
        <f t="shared" si="1002"/>
        <v>-11.05004632573509</v>
      </c>
      <c r="BH420">
        <f t="shared" si="1003"/>
        <v>12.204183539744134</v>
      </c>
      <c r="BI420">
        <f t="shared" si="1004"/>
        <v>115.41372140090431</v>
      </c>
      <c r="BJ420">
        <f t="shared" si="1005"/>
        <v>12</v>
      </c>
      <c r="BK420">
        <f>IF($BJ420&lt;=30,IF($B420=2015,VLOOKUP($BJ420,'Treasury Yields'!$C$5:$N$34,$E420,FALSE)/100,IF($B420=2016,VLOOKUP($BJ420,'Treasury Yields'!$C$40:$N$69,$E420,FALSE)/100,IF($B420=2017,VLOOKUP($BJ420,'Treasury Yields'!$C$75:$N$104,$E420,FALSE)/100,IF($B420=2018,VLOOKUP($BJ420,'Treasury Yields'!$C$110:$N$139,$E420,FALSE)/100,IF($B420=2019,VLOOKUP($BJ420,'Treasury Yields'!$C$145:$N$174,$E420,FALSE)/100,IF($B420=2020,VLOOKUP($BJ420,'Treasury Yields'!$C$180:$N$209,$E420,FALSE)/100,IF($B420=2021,VLOOKUP($BJ420,'Treasury Yields'!$C$215:$N$244,$E420,FALSE)/100,IF($B420=2022,VLOOKUP($BJ420,'Treasury Yields'!$C$250:$N$279,$E420,FALSE)/100)))))))),0)</f>
        <v>1.7546000000000003E-2</v>
      </c>
      <c r="BL420">
        <f t="shared" si="1006"/>
        <v>1.642909665509739</v>
      </c>
      <c r="BM420">
        <f t="shared" si="1007"/>
        <v>72587570.430102244</v>
      </c>
      <c r="BN420">
        <f t="shared" si="1008"/>
        <v>42419359.430102244</v>
      </c>
      <c r="BP420">
        <f>IF($BJ420&lt;=30,IF($B420=2015,VLOOKUP($BJ420,'Treasury Yields'!$C$40:$N$69,$E420,FALSE)/100,IF($B420=2016,VLOOKUP($BJ420,'Treasury Yields'!$C$75:$N$104,$E420,FALSE)/100,IF($B420=2017,VLOOKUP($BJ420,'Treasury Yields'!$C$110:$N$139,$E420,FALSE)/100,IF($B420=2018,VLOOKUP($BJ420,'Treasury Yields'!$C$145:$N$174,$E420,FALSE)/100,IF($B420=2019,VLOOKUP($BJ420,'Treasury Yields'!$C$180:$N$209,$E420,FALSE)/100,IF($B420=2020,VLOOKUP($BJ420,'Treasury Yields'!$C$215:$N$244,$E420,FALSE)/100,IF($B420=2021,VLOOKUP($BJ420,'Treasury Yields'!$C$250:$N$279,$E420,FALSE)/100,IF($B420=2022,VLOOKUP($BJ420,'Treasury Yields'!$C$285:$N$314,$E420,FALSE)/100)))))))),0)</f>
        <v>2.5467599999999993E-2</v>
      </c>
      <c r="BQ420">
        <f t="shared" si="1009"/>
        <v>1.5454647177150618</v>
      </c>
      <c r="BR420">
        <f t="shared" si="1010"/>
        <v>70191174.726118177</v>
      </c>
      <c r="BS420">
        <f t="shared" si="1011"/>
        <v>37071629.726118177</v>
      </c>
      <c r="BU420">
        <f t="shared" si="928"/>
        <v>15</v>
      </c>
      <c r="BV420">
        <f t="shared" si="1012"/>
        <v>2.7445201089460496</v>
      </c>
      <c r="BW420">
        <f t="shared" si="1013"/>
        <v>2279255.3374769706</v>
      </c>
      <c r="BX420" s="5">
        <f t="shared" si="1014"/>
        <v>1275928.359491945</v>
      </c>
      <c r="BY420" s="5">
        <f t="shared" si="1015"/>
        <v>746596.92928594502</v>
      </c>
      <c r="BZ420" s="5">
        <f t="shared" si="1016"/>
        <v>3846682</v>
      </c>
      <c r="CA420" s="5">
        <f t="shared" si="1017"/>
        <v>3025852.2667629155</v>
      </c>
      <c r="CC420" s="5">
        <f t="shared" si="1018"/>
        <v>70191174.726118177</v>
      </c>
      <c r="CD420" s="5" t="str">
        <f t="shared" si="1019"/>
        <v>Virginia</v>
      </c>
      <c r="CE420" s="5">
        <f t="shared" si="927"/>
        <v>0.72922398669059874</v>
      </c>
      <c r="CF420" s="10">
        <f t="shared" si="1020"/>
        <v>0.47184770919179669</v>
      </c>
    </row>
    <row r="421" spans="1:84" x14ac:dyDescent="0.2">
      <c r="A421">
        <v>47000000011701</v>
      </c>
      <c r="B421">
        <v>2018</v>
      </c>
      <c r="C421">
        <v>632</v>
      </c>
      <c r="D421" t="s">
        <v>649</v>
      </c>
      <c r="E421">
        <v>6</v>
      </c>
      <c r="F421" t="s">
        <v>650</v>
      </c>
      <c r="G421" t="s">
        <v>651</v>
      </c>
      <c r="H421" t="s">
        <v>652</v>
      </c>
      <c r="I421" t="b">
        <v>1</v>
      </c>
      <c r="J421">
        <v>885510</v>
      </c>
      <c r="K421">
        <v>3099338</v>
      </c>
      <c r="M421">
        <v>-440308</v>
      </c>
      <c r="O421">
        <v>2241927</v>
      </c>
      <c r="P421">
        <v>40578</v>
      </c>
      <c r="Q421">
        <v>1262035</v>
      </c>
      <c r="R421">
        <v>45417520</v>
      </c>
      <c r="S421">
        <v>46679555</v>
      </c>
      <c r="T421">
        <v>1292988</v>
      </c>
      <c r="V421">
        <v>391490</v>
      </c>
      <c r="W421">
        <v>2421157</v>
      </c>
      <c r="Y421">
        <v>20945</v>
      </c>
      <c r="Z421">
        <v>-2167</v>
      </c>
      <c r="AA421">
        <v>1800018</v>
      </c>
      <c r="AB421">
        <v>33119545</v>
      </c>
      <c r="AC421">
        <v>34919563</v>
      </c>
      <c r="AD421">
        <v>11759992</v>
      </c>
      <c r="AE421">
        <v>12297975</v>
      </c>
      <c r="AF421">
        <v>-537983</v>
      </c>
      <c r="AG421">
        <v>8086986</v>
      </c>
      <c r="AH421">
        <v>0.15988503009650321</v>
      </c>
      <c r="AI421" t="b">
        <v>1</v>
      </c>
      <c r="AK421">
        <v>7.0000000000000007E-2</v>
      </c>
      <c r="AL421">
        <v>7.0000000000000007E-2</v>
      </c>
      <c r="AM421">
        <v>7.0000000000000007E-2</v>
      </c>
      <c r="AN421">
        <v>7.0000000000000007E-2</v>
      </c>
      <c r="AO421">
        <v>1</v>
      </c>
      <c r="AP421">
        <v>0</v>
      </c>
      <c r="AS421">
        <v>17963676</v>
      </c>
      <c r="AT421">
        <v>6625048</v>
      </c>
      <c r="AU421" t="s">
        <v>658</v>
      </c>
      <c r="AV421" t="s">
        <v>659</v>
      </c>
      <c r="BB421">
        <f t="shared" si="998"/>
        <v>0.74806974916534663</v>
      </c>
      <c r="BD421">
        <f t="shared" si="999"/>
        <v>6203684</v>
      </c>
      <c r="BE421">
        <f t="shared" si="1000"/>
        <v>-5134944</v>
      </c>
      <c r="BF421">
        <f t="shared" si="1001"/>
        <v>13.289938175288945</v>
      </c>
      <c r="BG421">
        <f t="shared" si="1002"/>
        <v>-11.000413350127266</v>
      </c>
      <c r="BH421">
        <f t="shared" si="1003"/>
        <v>12.145175762708107</v>
      </c>
      <c r="BI421">
        <f t="shared" si="1004"/>
        <v>114.47624125808397</v>
      </c>
      <c r="BJ421">
        <f t="shared" si="1005"/>
        <v>12</v>
      </c>
      <c r="BK421">
        <f>IF($BJ421&lt;=30,IF($B421=2015,VLOOKUP($BJ421,'Treasury Yields'!$C$5:$N$34,$E421,FALSE)/100,IF($B421=2016,VLOOKUP($BJ421,'Treasury Yields'!$C$40:$N$69,$E421,FALSE)/100,IF($B421=2017,VLOOKUP($BJ421,'Treasury Yields'!$C$75:$N$104,$E421,FALSE)/100,IF($B421=2018,VLOOKUP($BJ421,'Treasury Yields'!$C$110:$N$139,$E421,FALSE)/100,IF($B421=2019,VLOOKUP($BJ421,'Treasury Yields'!$C$145:$N$174,$E421,FALSE)/100,IF($B421=2020,VLOOKUP($BJ421,'Treasury Yields'!$C$180:$N$209,$E421,FALSE)/100,IF($B421=2021,VLOOKUP($BJ421,'Treasury Yields'!$C$215:$N$244,$E421,FALSE)/100,IF($B421=2022,VLOOKUP($BJ421,'Treasury Yields'!$C$250:$N$279,$E421,FALSE)/100)))))))),0)</f>
        <v>2.5467599999999993E-2</v>
      </c>
      <c r="BL421">
        <f t="shared" si="1006"/>
        <v>1.5428369597849827</v>
      </c>
      <c r="BM421">
        <f t="shared" si="1007"/>
        <v>70071828.477773651</v>
      </c>
      <c r="BN421">
        <f t="shared" si="1008"/>
        <v>36952283.477773651</v>
      </c>
      <c r="BP421">
        <f>IF($BJ421&lt;=30,IF($B421=2015,VLOOKUP($BJ421,'Treasury Yields'!$C$40:$N$69,$E421,FALSE)/100,IF($B421=2016,VLOOKUP($BJ421,'Treasury Yields'!$C$75:$N$104,$E421,FALSE)/100,IF($B421=2017,VLOOKUP($BJ421,'Treasury Yields'!$C$110:$N$139,$E421,FALSE)/100,IF($B421=2018,VLOOKUP($BJ421,'Treasury Yields'!$C$145:$N$174,$E421,FALSE)/100,IF($B421=2019,VLOOKUP($BJ421,'Treasury Yields'!$C$180:$N$209,$E421,FALSE)/100,IF($B421=2020,VLOOKUP($BJ421,'Treasury Yields'!$C$215:$N$244,$E421,FALSE)/100,IF($B421=2021,VLOOKUP($BJ421,'Treasury Yields'!$C$250:$N$279,$E421,FALSE)/100,IF($B421=2022,VLOOKUP($BJ421,'Treasury Yields'!$C$285:$N$314,$E421,FALSE)/100)))))))),0)</f>
        <v>2.8906472727272727E-2</v>
      </c>
      <c r="BQ421">
        <f t="shared" si="1009"/>
        <v>1.5007767894206263</v>
      </c>
      <c r="BR421">
        <f t="shared" si="1010"/>
        <v>70055592.684483543</v>
      </c>
      <c r="BS421">
        <f t="shared" si="1011"/>
        <v>35136029.684483543</v>
      </c>
      <c r="BU421">
        <f t="shared" si="928"/>
        <v>15</v>
      </c>
      <c r="BV421">
        <f t="shared" si="1012"/>
        <v>2.4358616257484145</v>
      </c>
      <c r="BW421">
        <f t="shared" si="1013"/>
        <v>2156979.8282164787</v>
      </c>
      <c r="BX421" s="5">
        <f t="shared" si="1014"/>
        <v>1782397.8983484337</v>
      </c>
      <c r="BY421" s="5">
        <f t="shared" si="1015"/>
        <v>938922.57410643401</v>
      </c>
      <c r="BZ421" s="5">
        <f t="shared" si="1016"/>
        <v>3984848</v>
      </c>
      <c r="CA421" s="5">
        <f t="shared" si="1017"/>
        <v>3095902.4023229126</v>
      </c>
      <c r="CC421" s="5">
        <f t="shared" si="1018"/>
        <v>70055592.684483543</v>
      </c>
      <c r="CD421" s="5" t="str">
        <f t="shared" si="1019"/>
        <v>Virginia</v>
      </c>
      <c r="CE421" s="5">
        <f t="shared" si="927"/>
        <v>0.74806974916534663</v>
      </c>
      <c r="CF421" s="10">
        <f t="shared" si="1020"/>
        <v>0.4984550363776204</v>
      </c>
    </row>
    <row r="422" spans="1:84" x14ac:dyDescent="0.2">
      <c r="A422">
        <v>47000000011701</v>
      </c>
      <c r="B422">
        <v>2019</v>
      </c>
      <c r="C422">
        <v>632</v>
      </c>
      <c r="D422" t="s">
        <v>649</v>
      </c>
      <c r="E422">
        <v>6</v>
      </c>
      <c r="F422" t="s">
        <v>650</v>
      </c>
      <c r="G422" t="s">
        <v>651</v>
      </c>
      <c r="H422" t="s">
        <v>652</v>
      </c>
      <c r="I422" t="b">
        <v>1</v>
      </c>
      <c r="J422">
        <v>889003</v>
      </c>
      <c r="K422">
        <v>3184697</v>
      </c>
      <c r="M422">
        <v>-174815</v>
      </c>
      <c r="N422">
        <v>1472649</v>
      </c>
      <c r="O422">
        <v>2331038</v>
      </c>
      <c r="P422">
        <v>36715</v>
      </c>
      <c r="Q422">
        <v>3003781</v>
      </c>
      <c r="R422">
        <v>46679555</v>
      </c>
      <c r="S422">
        <v>49683555</v>
      </c>
      <c r="T422">
        <v>1280964</v>
      </c>
      <c r="V422">
        <v>403258</v>
      </c>
      <c r="W422">
        <v>2311028</v>
      </c>
      <c r="Y422">
        <v>22843</v>
      </c>
      <c r="Z422">
        <v>-1448</v>
      </c>
      <c r="AA422">
        <v>1603206</v>
      </c>
      <c r="AB422">
        <v>34919563</v>
      </c>
      <c r="AC422">
        <v>36522769</v>
      </c>
      <c r="AD422">
        <v>13160567</v>
      </c>
      <c r="AE422">
        <v>11759992</v>
      </c>
      <c r="AF422">
        <v>1400575</v>
      </c>
      <c r="AG422">
        <v>8387503</v>
      </c>
      <c r="AH422">
        <v>0.1527229260007418</v>
      </c>
      <c r="AI422" t="b">
        <v>1</v>
      </c>
      <c r="AK422">
        <v>7.0000000000000007E-2</v>
      </c>
      <c r="AL422">
        <v>6.7500000000000004E-2</v>
      </c>
      <c r="AM422">
        <v>6.7500000000000004E-2</v>
      </c>
      <c r="AN422">
        <v>7.0000000000000007E-2</v>
      </c>
      <c r="AO422">
        <v>1</v>
      </c>
      <c r="AP422">
        <v>0</v>
      </c>
      <c r="AS422">
        <v>19812371</v>
      </c>
      <c r="AT422">
        <v>7660756</v>
      </c>
      <c r="AV422" t="s">
        <v>653</v>
      </c>
      <c r="BB422">
        <f t="shared" si="998"/>
        <v>0.73510780377933904</v>
      </c>
      <c r="BD422">
        <f t="shared" si="999"/>
        <v>6651804</v>
      </c>
      <c r="BE422">
        <f t="shared" si="1000"/>
        <v>-5499811</v>
      </c>
      <c r="BF422">
        <f t="shared" si="1001"/>
        <v>13.388341474357057</v>
      </c>
      <c r="BG422">
        <f t="shared" si="1002"/>
        <v>-11.069680903469971</v>
      </c>
      <c r="BH422">
        <f t="shared" si="1003"/>
        <v>12.229011188913514</v>
      </c>
      <c r="BI422">
        <f t="shared" si="1004"/>
        <v>115.93302854435436</v>
      </c>
      <c r="BJ422">
        <f t="shared" si="1005"/>
        <v>12</v>
      </c>
      <c r="BK422">
        <f>IF($BJ422&lt;=30,IF($B422=2015,VLOOKUP($BJ422,'Treasury Yields'!$C$5:$N$34,$E422,FALSE)/100,IF($B422=2016,VLOOKUP($BJ422,'Treasury Yields'!$C$40:$N$69,$E422,FALSE)/100,IF($B422=2017,VLOOKUP($BJ422,'Treasury Yields'!$C$75:$N$104,$E422,FALSE)/100,IF($B422=2018,VLOOKUP($BJ422,'Treasury Yields'!$C$110:$N$139,$E422,FALSE)/100,IF($B422=2019,VLOOKUP($BJ422,'Treasury Yields'!$C$145:$N$174,$E422,FALSE)/100,IF($B422=2020,VLOOKUP($BJ422,'Treasury Yields'!$C$180:$N$209,$E422,FALSE)/100,IF($B422=2021,VLOOKUP($BJ422,'Treasury Yields'!$C$215:$N$244,$E422,FALSE)/100,IF($B422=2022,VLOOKUP($BJ422,'Treasury Yields'!$C$250:$N$279,$E422,FALSE)/100)))))))),0)</f>
        <v>2.8906472727272727E-2</v>
      </c>
      <c r="BL422">
        <f t="shared" si="1006"/>
        <v>1.4734501371851714</v>
      </c>
      <c r="BM422">
        <f t="shared" si="1007"/>
        <v>68779996.718492746</v>
      </c>
      <c r="BN422">
        <f t="shared" si="1008"/>
        <v>33860433.718492746</v>
      </c>
      <c r="BP422">
        <f>IF($BJ422&lt;=30,IF($B422=2015,VLOOKUP($BJ422,'Treasury Yields'!$C$40:$N$69,$E422,FALSE)/100,IF($B422=2016,VLOOKUP($BJ422,'Treasury Yields'!$C$75:$N$104,$E422,FALSE)/100,IF($B422=2017,VLOOKUP($BJ422,'Treasury Yields'!$C$110:$N$139,$E422,FALSE)/100,IF($B422=2018,VLOOKUP($BJ422,'Treasury Yields'!$C$145:$N$174,$E422,FALSE)/100,IF($B422=2019,VLOOKUP($BJ422,'Treasury Yields'!$C$180:$N$209,$E422,FALSE)/100,IF($B422=2020,VLOOKUP($BJ422,'Treasury Yields'!$C$215:$N$244,$E422,FALSE)/100,IF($B422=2021,VLOOKUP($BJ422,'Treasury Yields'!$C$250:$N$279,$E422,FALSE)/100,IF($B422=2022,VLOOKUP($BJ422,'Treasury Yields'!$C$285:$N$314,$E422,FALSE)/100)))))))),0)</f>
        <v>2.2184000000000002E-2</v>
      </c>
      <c r="BQ422">
        <f t="shared" si="1009"/>
        <v>1.5870287688650888</v>
      </c>
      <c r="BR422">
        <f t="shared" si="1010"/>
        <v>78849231.124490932</v>
      </c>
      <c r="BS422">
        <f t="shared" si="1011"/>
        <v>42326462.124490932</v>
      </c>
      <c r="BU422">
        <f t="shared" si="928"/>
        <v>15</v>
      </c>
      <c r="BV422">
        <f t="shared" si="1012"/>
        <v>2.3147096667891955</v>
      </c>
      <c r="BW422">
        <f t="shared" si="1013"/>
        <v>2057783.8379045953</v>
      </c>
      <c r="BX422" s="5">
        <f t="shared" si="1014"/>
        <v>1980288.2853407939</v>
      </c>
      <c r="BY422" s="5">
        <f t="shared" si="1015"/>
        <v>970886.88983301178</v>
      </c>
      <c r="BZ422" s="5">
        <f t="shared" si="1016"/>
        <v>4073700</v>
      </c>
      <c r="CA422" s="5">
        <f t="shared" si="1017"/>
        <v>3028670.727737607</v>
      </c>
      <c r="CC422" s="5">
        <f t="shared" si="1018"/>
        <v>78849231.124490932</v>
      </c>
      <c r="CD422" s="5" t="str">
        <f t="shared" si="1019"/>
        <v>Virginia</v>
      </c>
      <c r="CE422" s="5">
        <f t="shared" si="927"/>
        <v>0.73510780377933904</v>
      </c>
      <c r="CF422" s="10">
        <f t="shared" si="1020"/>
        <v>0.46319752874109971</v>
      </c>
    </row>
    <row r="423" spans="1:84" x14ac:dyDescent="0.2">
      <c r="A423">
        <v>47000000011701</v>
      </c>
      <c r="B423">
        <v>2020</v>
      </c>
      <c r="C423">
        <v>632</v>
      </c>
      <c r="D423" t="s">
        <v>649</v>
      </c>
      <c r="E423">
        <v>6</v>
      </c>
      <c r="F423" t="s">
        <v>650</v>
      </c>
      <c r="G423" t="s">
        <v>651</v>
      </c>
      <c r="H423" t="s">
        <v>652</v>
      </c>
      <c r="I423" t="b">
        <v>1</v>
      </c>
      <c r="J423">
        <v>938143</v>
      </c>
      <c r="K423">
        <v>3269776</v>
      </c>
      <c r="M423">
        <v>-404985</v>
      </c>
      <c r="O423">
        <v>2448204</v>
      </c>
      <c r="P423">
        <v>36211</v>
      </c>
      <c r="Q423">
        <v>1318519</v>
      </c>
      <c r="R423">
        <v>49683336</v>
      </c>
      <c r="S423">
        <v>51001855</v>
      </c>
      <c r="T423">
        <v>1327774</v>
      </c>
      <c r="V423">
        <v>418909</v>
      </c>
      <c r="W423">
        <v>689010</v>
      </c>
      <c r="Y423">
        <v>23649</v>
      </c>
      <c r="Z423">
        <v>-1169</v>
      </c>
      <c r="AA423">
        <v>-73540</v>
      </c>
      <c r="AB423">
        <v>36522769</v>
      </c>
      <c r="AC423">
        <v>36449229</v>
      </c>
      <c r="AD423">
        <v>14552626</v>
      </c>
      <c r="AE423">
        <v>13160567</v>
      </c>
      <c r="AF423">
        <v>1392059</v>
      </c>
      <c r="AG423">
        <v>8766667</v>
      </c>
      <c r="AH423">
        <v>0.15145710450733443</v>
      </c>
      <c r="AI423" t="b">
        <v>1</v>
      </c>
      <c r="AK423">
        <v>6.7500000000000004E-2</v>
      </c>
      <c r="AL423">
        <v>6.7500000000000004E-2</v>
      </c>
      <c r="AM423">
        <v>6.7500000000000004E-2</v>
      </c>
      <c r="AN423">
        <v>6.7500000000000004E-2</v>
      </c>
      <c r="AO423">
        <v>1</v>
      </c>
      <c r="AP423">
        <v>0</v>
      </c>
      <c r="AS423">
        <v>21351971</v>
      </c>
      <c r="AT423">
        <v>8928708</v>
      </c>
      <c r="AV423" t="s">
        <v>653</v>
      </c>
      <c r="BB423">
        <f t="shared" si="998"/>
        <v>0.71466477052648381</v>
      </c>
      <c r="BD423">
        <f t="shared" si="999"/>
        <v>6799345</v>
      </c>
      <c r="BE423">
        <f t="shared" si="1000"/>
        <v>-5623918</v>
      </c>
      <c r="BF423">
        <f t="shared" si="1001"/>
        <v>13.331564116638503</v>
      </c>
      <c r="BG423">
        <f t="shared" si="1002"/>
        <v>-11.026889120013379</v>
      </c>
      <c r="BH423">
        <f t="shared" si="1003"/>
        <v>12.179226618325941</v>
      </c>
      <c r="BI423">
        <f t="shared" si="1004"/>
        <v>115.23374983125612</v>
      </c>
      <c r="BJ423">
        <f t="shared" si="1005"/>
        <v>12</v>
      </c>
      <c r="BK423">
        <f>IF($BJ423&lt;=30,IF($B423=2015,VLOOKUP($BJ423,'Treasury Yields'!$C$5:$N$34,$E423,FALSE)/100,IF($B423=2016,VLOOKUP($BJ423,'Treasury Yields'!$C$40:$N$69,$E423,FALSE)/100,IF($B423=2017,VLOOKUP($BJ423,'Treasury Yields'!$C$75:$N$104,$E423,FALSE)/100,IF($B423=2018,VLOOKUP($BJ423,'Treasury Yields'!$C$110:$N$139,$E423,FALSE)/100,IF($B423=2019,VLOOKUP($BJ423,'Treasury Yields'!$C$145:$N$174,$E423,FALSE)/100,IF($B423=2020,VLOOKUP($BJ423,'Treasury Yields'!$C$180:$N$209,$E423,FALSE)/100,IF($B423=2021,VLOOKUP($BJ423,'Treasury Yields'!$C$215:$N$244,$E423,FALSE)/100,IF($B423=2022,VLOOKUP($BJ423,'Treasury Yields'!$C$250:$N$279,$E423,FALSE)/100)))))))),0)</f>
        <v>2.2184000000000002E-2</v>
      </c>
      <c r="BL423">
        <f t="shared" si="1006"/>
        <v>1.5539673732920583</v>
      </c>
      <c r="BM423">
        <f t="shared" si="1007"/>
        <v>77206283.140306756</v>
      </c>
      <c r="BN423">
        <f t="shared" si="1008"/>
        <v>40683514.140306756</v>
      </c>
      <c r="BP423">
        <f>IF($BJ423&lt;=30,IF($B423=2015,VLOOKUP($BJ423,'Treasury Yields'!$C$40:$N$69,$E423,FALSE)/100,IF($B423=2016,VLOOKUP($BJ423,'Treasury Yields'!$C$75:$N$104,$E423,FALSE)/100,IF($B423=2017,VLOOKUP($BJ423,'Treasury Yields'!$C$110:$N$139,$E423,FALSE)/100,IF($B423=2018,VLOOKUP($BJ423,'Treasury Yields'!$C$145:$N$174,$E423,FALSE)/100,IF($B423=2019,VLOOKUP($BJ423,'Treasury Yields'!$C$180:$N$209,$E423,FALSE)/100,IF($B423=2020,VLOOKUP($BJ423,'Treasury Yields'!$C$215:$N$244,$E423,FALSE)/100,IF($B423=2021,VLOOKUP($BJ423,'Treasury Yields'!$C$250:$N$279,$E423,FALSE)/100,IF($B423=2022,VLOOKUP($BJ423,'Treasury Yields'!$C$285:$N$314,$E423,FALSE)/100)))))))),0)</f>
        <v>1.3689454545454545E-2</v>
      </c>
      <c r="BQ423">
        <f t="shared" si="1009"/>
        <v>1.6582664023487537</v>
      </c>
      <c r="BR423">
        <f t="shared" si="1010"/>
        <v>84574662.603962794</v>
      </c>
      <c r="BS423">
        <f t="shared" si="1011"/>
        <v>48125433.603962794</v>
      </c>
      <c r="BU423">
        <f t="shared" si="928"/>
        <v>15</v>
      </c>
      <c r="BV423">
        <f t="shared" si="1012"/>
        <v>2.4682909314708761</v>
      </c>
      <c r="BW423">
        <f t="shared" si="1013"/>
        <v>2315609.8593228823</v>
      </c>
      <c r="BX423" s="5">
        <f t="shared" si="1014"/>
        <v>1709802.716767784</v>
      </c>
      <c r="BY423" s="5">
        <f t="shared" si="1015"/>
        <v>899581.60927178396</v>
      </c>
      <c r="BZ423" s="5">
        <f t="shared" si="1016"/>
        <v>4207919</v>
      </c>
      <c r="CA423" s="5">
        <f t="shared" si="1017"/>
        <v>3215191.4685946661</v>
      </c>
      <c r="CC423" s="5">
        <f t="shared" si="1018"/>
        <v>84574662.603962794</v>
      </c>
      <c r="CD423" s="5" t="str">
        <f t="shared" si="1019"/>
        <v>Virginia</v>
      </c>
      <c r="CE423" s="5">
        <f t="shared" si="927"/>
        <v>0.71466477052648381</v>
      </c>
      <c r="CF423" s="10">
        <f t="shared" si="1020"/>
        <v>0.43097102462803266</v>
      </c>
    </row>
    <row r="424" spans="1:84" x14ac:dyDescent="0.2">
      <c r="A424">
        <v>47000000011701</v>
      </c>
      <c r="B424">
        <v>2021</v>
      </c>
      <c r="C424">
        <v>632</v>
      </c>
      <c r="D424" t="s">
        <v>649</v>
      </c>
      <c r="E424">
        <v>6</v>
      </c>
      <c r="F424" t="s">
        <v>650</v>
      </c>
      <c r="G424" t="s">
        <v>651</v>
      </c>
      <c r="H424" t="s">
        <v>652</v>
      </c>
      <c r="I424" t="b">
        <v>1</v>
      </c>
      <c r="J424">
        <v>948915</v>
      </c>
      <c r="K424">
        <v>3355158</v>
      </c>
      <c r="M424">
        <v>-178349</v>
      </c>
      <c r="N424">
        <v>845179</v>
      </c>
      <c r="O424">
        <v>2553153</v>
      </c>
      <c r="P424">
        <v>38464</v>
      </c>
      <c r="Q424">
        <v>2379286</v>
      </c>
      <c r="R424">
        <v>51001855</v>
      </c>
      <c r="S424">
        <v>53381141</v>
      </c>
      <c r="T424">
        <v>1416135</v>
      </c>
      <c r="V424">
        <v>419415</v>
      </c>
      <c r="W424">
        <v>9887249</v>
      </c>
      <c r="Y424">
        <v>24543</v>
      </c>
      <c r="Z424">
        <v>832</v>
      </c>
      <c r="AA424">
        <v>9168649</v>
      </c>
      <c r="AB424">
        <v>36449229</v>
      </c>
      <c r="AC424">
        <v>45617878</v>
      </c>
      <c r="AD424">
        <v>7763263</v>
      </c>
      <c r="AE424">
        <v>14552626</v>
      </c>
      <c r="AF424">
        <v>-6789363</v>
      </c>
      <c r="AG424">
        <v>8843887</v>
      </c>
      <c r="AI424" t="b">
        <v>1</v>
      </c>
      <c r="AK424">
        <v>6.7500000000000004E-2</v>
      </c>
      <c r="AL424">
        <v>6.7500000000000004E-2</v>
      </c>
      <c r="AM424">
        <v>6.7500000000000004E-2</v>
      </c>
      <c r="AN424">
        <v>6.7500000000000004E-2</v>
      </c>
      <c r="AS424">
        <v>14982524</v>
      </c>
      <c r="AT424">
        <v>1824458</v>
      </c>
      <c r="BB424">
        <f t="shared" si="998"/>
        <v>0.85456918202628906</v>
      </c>
      <c r="BD424">
        <f t="shared" si="999"/>
        <v>7219261</v>
      </c>
      <c r="BE424">
        <f t="shared" si="1000"/>
        <v>-5938805</v>
      </c>
      <c r="BF424">
        <f t="shared" si="1001"/>
        <v>13.523991553496392</v>
      </c>
      <c r="BG424">
        <f t="shared" si="1002"/>
        <v>-11.125286737501545</v>
      </c>
      <c r="BH424">
        <f t="shared" si="1003"/>
        <v>12.324639145498969</v>
      </c>
      <c r="BI424">
        <f t="shared" si="1004"/>
        <v>119.93524079974235</v>
      </c>
      <c r="BJ424">
        <f t="shared" si="1005"/>
        <v>12</v>
      </c>
      <c r="BK424">
        <f>IF($BJ424&lt;=30,IF($B424=2015,VLOOKUP($BJ424,'Treasury Yields'!$C$5:$N$34,$E424,FALSE)/100,IF($B424=2016,VLOOKUP($BJ424,'Treasury Yields'!$C$40:$N$69,$E424,FALSE)/100,IF($B424=2017,VLOOKUP($BJ424,'Treasury Yields'!$C$75:$N$104,$E424,FALSE)/100,IF($B424=2018,VLOOKUP($BJ424,'Treasury Yields'!$C$110:$N$139,$E424,FALSE)/100,IF($B424=2019,VLOOKUP($BJ424,'Treasury Yields'!$C$145:$N$174,$E424,FALSE)/100,IF($B424=2020,VLOOKUP($BJ424,'Treasury Yields'!$C$180:$N$209,$E424,FALSE)/100,IF($B424=2021,VLOOKUP($BJ424,'Treasury Yields'!$C$215:$N$244,$E424,FALSE)/100,IF($B424=2022,VLOOKUP($BJ424,'Treasury Yields'!$C$250:$N$279,$E424,FALSE)/100)))))))),0)</f>
        <v>1.3689454545454545E-2</v>
      </c>
      <c r="BL424">
        <f t="shared" si="1006"/>
        <v>1.6660911297518584</v>
      </c>
      <c r="BM424">
        <f t="shared" si="1007"/>
        <v>84973738.216390461</v>
      </c>
      <c r="BN424">
        <f t="shared" si="1008"/>
        <v>48524509.216390461</v>
      </c>
      <c r="BP424">
        <f>IF($BJ424&lt;=30,IF($B424=2015,VLOOKUP($BJ424,'Treasury Yields'!$C$40:$N$69,$E424,FALSE)/100,IF($B424=2016,VLOOKUP($BJ424,'Treasury Yields'!$C$75:$N$104,$E424,FALSE)/100,IF($B424=2017,VLOOKUP($BJ424,'Treasury Yields'!$C$110:$N$139,$E424,FALSE)/100,IF($B424=2018,VLOOKUP($BJ424,'Treasury Yields'!$C$145:$N$174,$E424,FALSE)/100,IF($B424=2019,VLOOKUP($BJ424,'Treasury Yields'!$C$180:$N$209,$E424,FALSE)/100,IF($B424=2020,VLOOKUP($BJ424,'Treasury Yields'!$C$215:$N$244,$E424,FALSE)/100,IF($B424=2021,VLOOKUP($BJ424,'Treasury Yields'!$C$250:$N$279,$E424,FALSE)/100,IF($B424=2022,VLOOKUP($BJ424,'Treasury Yields'!$C$285:$N$314,$E424,FALSE)/100)))))))),0)</f>
        <v>2.1085818181818185E-2</v>
      </c>
      <c r="BQ424">
        <f t="shared" si="1009"/>
        <v>1.5741923184165216</v>
      </c>
      <c r="BR424">
        <f t="shared" si="1010"/>
        <v>84032182.110509232</v>
      </c>
      <c r="BS424">
        <f t="shared" si="1011"/>
        <v>38414304.110509232</v>
      </c>
      <c r="BU424">
        <f t="shared" si="928"/>
        <v>15</v>
      </c>
      <c r="BV424">
        <f t="shared" si="1012"/>
        <v>2.8176351979133374</v>
      </c>
      <c r="BW424">
        <f t="shared" si="1013"/>
        <v>2673696.3038279344</v>
      </c>
      <c r="BX424" s="5">
        <f t="shared" si="1014"/>
        <v>1164894.2989491425</v>
      </c>
      <c r="BY424" s="5">
        <f t="shared" si="1015"/>
        <v>665924.2353367788</v>
      </c>
      <c r="BZ424" s="5">
        <f t="shared" si="1016"/>
        <v>4304073</v>
      </c>
      <c r="CA424" s="5">
        <f t="shared" si="1017"/>
        <v>3339620.5391647131</v>
      </c>
      <c r="CC424" s="5">
        <f t="shared" si="1018"/>
        <v>84032182.110509232</v>
      </c>
      <c r="CD424" s="5" t="str">
        <f t="shared" si="1019"/>
        <v>Virginia</v>
      </c>
      <c r="CE424" s="5">
        <f t="shared" si="927"/>
        <v>0.85456918202628906</v>
      </c>
      <c r="CF424" s="10">
        <f t="shared" si="1020"/>
        <v>0.54286199470589425</v>
      </c>
    </row>
    <row r="425" spans="1:84" x14ac:dyDescent="0.2">
      <c r="A425">
        <v>47000000011701</v>
      </c>
      <c r="B425">
        <v>2022</v>
      </c>
      <c r="C425">
        <v>632</v>
      </c>
      <c r="D425" t="s">
        <v>649</v>
      </c>
      <c r="E425">
        <v>6</v>
      </c>
      <c r="F425" t="s">
        <v>650</v>
      </c>
      <c r="G425" t="s">
        <v>651</v>
      </c>
      <c r="H425" t="s">
        <v>652</v>
      </c>
      <c r="I425" t="b">
        <v>1</v>
      </c>
      <c r="J425">
        <v>823885</v>
      </c>
      <c r="K425">
        <v>3568410</v>
      </c>
      <c r="M425">
        <v>-361725</v>
      </c>
      <c r="N425">
        <v>0</v>
      </c>
      <c r="O425">
        <v>2635945</v>
      </c>
      <c r="P425">
        <v>43437</v>
      </c>
      <c r="Q425">
        <v>1351188</v>
      </c>
      <c r="R425">
        <v>53381141</v>
      </c>
      <c r="S425">
        <v>54732329</v>
      </c>
      <c r="T425">
        <v>1485307</v>
      </c>
      <c r="V425">
        <v>439139</v>
      </c>
      <c r="W425">
        <v>-66609</v>
      </c>
      <c r="Y425">
        <v>27876</v>
      </c>
      <c r="Z425">
        <v>737</v>
      </c>
      <c r="AA425">
        <v>-406313</v>
      </c>
      <c r="AB425">
        <v>45617878</v>
      </c>
      <c r="AC425">
        <v>45211731</v>
      </c>
      <c r="AD425">
        <v>9520598</v>
      </c>
      <c r="AE425">
        <v>7763263</v>
      </c>
      <c r="AF425">
        <v>1757335</v>
      </c>
      <c r="AG425">
        <v>9319260</v>
      </c>
      <c r="AI425" t="b">
        <v>1</v>
      </c>
      <c r="AK425">
        <v>6.7500000000000004E-2</v>
      </c>
      <c r="AL425">
        <v>6.7500000000000004E-2</v>
      </c>
      <c r="AM425">
        <v>6.7500000000000004E-2</v>
      </c>
      <c r="AN425">
        <v>6.7500000000000004E-2</v>
      </c>
      <c r="AS425">
        <v>17004518</v>
      </c>
      <c r="AT425">
        <v>3427043</v>
      </c>
      <c r="AV425" t="s">
        <v>660</v>
      </c>
      <c r="BB425">
        <f t="shared" si="998"/>
        <v>0.82605165586869145</v>
      </c>
      <c r="BD425">
        <f t="shared" si="999"/>
        <v>7483920</v>
      </c>
      <c r="BE425">
        <f t="shared" si="1000"/>
        <v>-6093555</v>
      </c>
      <c r="BF425">
        <f t="shared" si="1001"/>
        <v>13.673673561379051</v>
      </c>
      <c r="BG425">
        <f t="shared" si="1002"/>
        <v>-11.133374207408568</v>
      </c>
      <c r="BH425">
        <f t="shared" si="1003"/>
        <v>12.403523884393811</v>
      </c>
      <c r="BI425">
        <f t="shared" si="1004"/>
        <v>127.01496769852422</v>
      </c>
      <c r="BJ425">
        <f t="shared" si="1005"/>
        <v>12</v>
      </c>
      <c r="BK425">
        <f>IF($BJ425&lt;=30,IF($B425=2015,VLOOKUP($BJ425,'Treasury Yields'!$C$5:$N$34,$E425,FALSE)/100,IF($B425=2016,VLOOKUP($BJ425,'Treasury Yields'!$C$40:$N$69,$E425,FALSE)/100,IF($B425=2017,VLOOKUP($BJ425,'Treasury Yields'!$C$75:$N$104,$E425,FALSE)/100,IF($B425=2018,VLOOKUP($BJ425,'Treasury Yields'!$C$110:$N$139,$E425,FALSE)/100,IF($B425=2019,VLOOKUP($BJ425,'Treasury Yields'!$C$145:$N$174,$E425,FALSE)/100,IF($B425=2020,VLOOKUP($BJ425,'Treasury Yields'!$C$180:$N$209,$E425,FALSE)/100,IF($B425=2021,VLOOKUP($BJ425,'Treasury Yields'!$C$215:$N$244,$E425,FALSE)/100,IF($B425=2022,VLOOKUP($BJ425,'Treasury Yields'!$C$250:$N$279,$E425,FALSE)/100)))))))),0)</f>
        <v>2.1085818181818185E-2</v>
      </c>
      <c r="BL425">
        <f t="shared" si="1006"/>
        <v>1.5778536890302666</v>
      </c>
      <c r="BM425">
        <f t="shared" si="1007"/>
        <v>84227630.25149481</v>
      </c>
      <c r="BN425">
        <f t="shared" si="1008"/>
        <v>38609752.25149481</v>
      </c>
      <c r="BP425">
        <f>IF($BJ425&lt;=30,IF($B425=2015,VLOOKUP($BJ425,'Treasury Yields'!$C$40:$N$69,$E425,FALSE)/100,IF($B425=2016,VLOOKUP($BJ425,'Treasury Yields'!$C$75:$N$104,$E425,FALSE)/100,IF($B425=2017,VLOOKUP($BJ425,'Treasury Yields'!$C$110:$N$139,$E425,FALSE)/100,IF($B425=2018,VLOOKUP($BJ425,'Treasury Yields'!$C$145:$N$174,$E425,FALSE)/100,IF($B425=2019,VLOOKUP($BJ425,'Treasury Yields'!$C$180:$N$209,$E425,FALSE)/100,IF($B425=2020,VLOOKUP($BJ425,'Treasury Yields'!$C$215:$N$244,$E425,FALSE)/100,IF($B425=2021,VLOOKUP($BJ425,'Treasury Yields'!$C$250:$N$279,$E425,FALSE)/100,IF($B425=2022,VLOOKUP($BJ425,'Treasury Yields'!$C$285:$N$314,$E425,FALSE)/100)))))))),0)</f>
        <v>3.2402272727272724E-2</v>
      </c>
      <c r="BQ425">
        <f t="shared" si="1009"/>
        <v>1.4365673489749236</v>
      </c>
      <c r="BR425">
        <f t="shared" si="1010"/>
        <v>78626676.774753332</v>
      </c>
      <c r="BS425">
        <f t="shared" si="1011"/>
        <v>33414945.774753332</v>
      </c>
      <c r="BU425">
        <f t="shared" si="928"/>
        <v>15</v>
      </c>
      <c r="BV425">
        <f t="shared" si="1012"/>
        <v>2.545537471366055</v>
      </c>
      <c r="BW425">
        <f t="shared" si="1013"/>
        <v>2097230.1395964222</v>
      </c>
      <c r="BX425" s="5">
        <f t="shared" si="1014"/>
        <v>1764649.2537701151</v>
      </c>
      <c r="BY425" s="5">
        <f t="shared" si="1015"/>
        <v>802758.97242175147</v>
      </c>
      <c r="BZ425" s="5">
        <f t="shared" si="1016"/>
        <v>4392295</v>
      </c>
      <c r="CA425" s="5">
        <f t="shared" si="1017"/>
        <v>2899989.1120181736</v>
      </c>
      <c r="CC425" s="5">
        <f t="shared" si="1018"/>
        <v>78626676.774753332</v>
      </c>
      <c r="CD425" s="5" t="str">
        <f t="shared" si="1019"/>
        <v>Virginia</v>
      </c>
      <c r="CE425" s="5">
        <f t="shared" si="927"/>
        <v>0.82605165586869145</v>
      </c>
      <c r="CF425" s="10">
        <f t="shared" si="1020"/>
        <v>0.57501770206466718</v>
      </c>
    </row>
    <row r="426" spans="1:84" hidden="1" x14ac:dyDescent="0.2">
      <c r="A426">
        <v>48000000003506</v>
      </c>
      <c r="B426">
        <v>2015</v>
      </c>
      <c r="C426">
        <v>579</v>
      </c>
      <c r="D426" t="s">
        <v>661</v>
      </c>
      <c r="E426">
        <v>6</v>
      </c>
      <c r="F426" t="s">
        <v>662</v>
      </c>
      <c r="G426" t="s">
        <v>663</v>
      </c>
      <c r="H426" t="s">
        <v>664</v>
      </c>
      <c r="I426" t="b">
        <v>1</v>
      </c>
      <c r="J426">
        <v>15630</v>
      </c>
      <c r="K426">
        <v>676915</v>
      </c>
      <c r="L426">
        <v>0</v>
      </c>
      <c r="M426">
        <v>23516</v>
      </c>
      <c r="N426">
        <v>6552</v>
      </c>
      <c r="O426">
        <v>928571</v>
      </c>
      <c r="Q426">
        <v>-205958</v>
      </c>
      <c r="R426">
        <v>9443688</v>
      </c>
      <c r="S426">
        <v>9237730</v>
      </c>
      <c r="T426">
        <v>223886</v>
      </c>
      <c r="V426">
        <v>10324</v>
      </c>
      <c r="W426">
        <v>269742</v>
      </c>
      <c r="Y426">
        <v>28</v>
      </c>
      <c r="Z426">
        <v>1</v>
      </c>
      <c r="AA426">
        <v>-424646</v>
      </c>
      <c r="AB426">
        <v>6494234</v>
      </c>
      <c r="AC426">
        <v>6069588</v>
      </c>
      <c r="AD426">
        <v>3168142</v>
      </c>
      <c r="AE426">
        <v>2949454</v>
      </c>
      <c r="AF426">
        <v>218688</v>
      </c>
      <c r="AG426">
        <v>4794824</v>
      </c>
      <c r="AH426">
        <v>4.669326757353346E-2</v>
      </c>
      <c r="AI426" t="b">
        <v>1</v>
      </c>
      <c r="AK426">
        <v>7.4999999999999997E-2</v>
      </c>
      <c r="AL426">
        <v>7.4999999999999997E-2</v>
      </c>
      <c r="AM426">
        <v>7.4999999999999997E-2</v>
      </c>
      <c r="AN426">
        <v>7.4999999999999997E-2</v>
      </c>
      <c r="AO426">
        <v>1</v>
      </c>
      <c r="AP426">
        <v>0</v>
      </c>
      <c r="AS426">
        <v>3982571</v>
      </c>
      <c r="AT426">
        <v>2467801</v>
      </c>
      <c r="BB426">
        <f t="shared" ref="BB426:BB439" si="1021">AC426/S426</f>
        <v>0.65704323464747294</v>
      </c>
      <c r="BD426">
        <f t="shared" ref="BD426:BD441" si="1022">AS426-AD426</f>
        <v>814429</v>
      </c>
      <c r="BE426">
        <f t="shared" ref="BE426:BE441" si="1023">AT426-AD426</f>
        <v>-700341</v>
      </c>
      <c r="BF426">
        <f t="shared" ref="BF426:BF441" si="1024">BD426/S426*100</f>
        <v>8.8163325838707127</v>
      </c>
      <c r="BG426">
        <f t="shared" ref="BG426:BG441" si="1025">BE426/S426*100</f>
        <v>-7.5813105600618336</v>
      </c>
      <c r="BH426">
        <f t="shared" ref="BH426:BH441" si="1026">(BD426-BE426)/(2*S426)*100</f>
        <v>8.198821571966274</v>
      </c>
      <c r="BI426">
        <f t="shared" ref="BI426:BI441" si="1027">(BD426+BE426)/(2*S426*(0.01^2))</f>
        <v>61.751101190443968</v>
      </c>
      <c r="BJ426">
        <f t="shared" ref="BJ426:BJ441" si="1028">ROUND(BH426,0)</f>
        <v>8</v>
      </c>
      <c r="BK426">
        <f>IF($BJ426&lt;=30,IF($B426=2015,VLOOKUP($BJ426,'Treasury Yields'!$C$5:$N$34,$E426,FALSE)/100,IF($B426=2016,VLOOKUP($BJ426,'Treasury Yields'!$C$40:$N$69,$E426,FALSE)/100,IF($B426=2017,VLOOKUP($BJ426,'Treasury Yields'!$C$75:$N$104,$E426,FALSE)/100,IF($B426=2018,VLOOKUP($BJ426,'Treasury Yields'!$C$110:$N$139,$E426,FALSE)/100,IF($B426=2019,VLOOKUP($BJ426,'Treasury Yields'!$C$145:$N$174,$E426,FALSE)/100,IF($B426=2020,VLOOKUP($BJ426,'Treasury Yields'!$C$180:$N$209,$E426,FALSE)/100,IF($B426=2021,VLOOKUP($BJ426,'Treasury Yields'!$C$215:$N$244,$E426,FALSE)/100,IF($B426=2022,VLOOKUP($BJ426,'Treasury Yields'!$C$250:$N$279,$E426,FALSE)/100)))))))),0)</f>
        <v>2.4239999999999998E-2</v>
      </c>
      <c r="BL426">
        <f t="shared" ref="BL426:BL441" si="1029">1+BH426*(AL426-BK426)+(AL426-BK426)^2</f>
        <v>1.418748760593008</v>
      </c>
      <c r="BM426">
        <f t="shared" ref="BM426:BM441" si="1030">BL426*R426</f>
        <v>13398220.645427063</v>
      </c>
      <c r="BN426">
        <f t="shared" ref="BN426:BN441" si="1031">BM426-AB426</f>
        <v>6903986.6454270631</v>
      </c>
      <c r="BP426">
        <f>IF($BJ426&lt;=30,IF($B426=2015,VLOOKUP($BJ426,'Treasury Yields'!$C$40:$N$69,$E426,FALSE)/100,IF($B426=2016,VLOOKUP($BJ426,'Treasury Yields'!$C$75:$N$104,$E426,FALSE)/100,IF($B426=2017,VLOOKUP($BJ426,'Treasury Yields'!$C$110:$N$139,$E426,FALSE)/100,IF($B426=2018,VLOOKUP($BJ426,'Treasury Yields'!$C$145:$N$174,$E426,FALSE)/100,IF($B426=2019,VLOOKUP($BJ426,'Treasury Yields'!$C$180:$N$209,$E426,FALSE)/100,IF($B426=2020,VLOOKUP($BJ426,'Treasury Yields'!$C$215:$N$244,$E426,FALSE)/100,IF($B426=2021,VLOOKUP($BJ426,'Treasury Yields'!$C$250:$N$279,$E426,FALSE)/100,IF($B426=2022,VLOOKUP($BJ426,'Treasury Yields'!$C$285:$N$314,$E426,FALSE)/100)))))))),0)</f>
        <v>2.3290000000000002E-2</v>
      </c>
      <c r="BQ426">
        <f t="shared" ref="BQ426:BQ441" si="1032">1+BH426*(AN426-BP426)+(AN426-BP426)^2</f>
        <v>1.426634987586376</v>
      </c>
      <c r="BR426">
        <f t="shared" ref="BR426:BR441" si="1033">BQ426*S426</f>
        <v>13178868.823876293</v>
      </c>
      <c r="BS426">
        <f t="shared" ref="BS426:BS441" si="1034">BR426-AC426</f>
        <v>7109280.8238762934</v>
      </c>
      <c r="BU426">
        <f t="shared" si="928"/>
        <v>11</v>
      </c>
      <c r="BV426">
        <f t="shared" ref="BV426:BV441" si="1035">1+(BH426+BU426)*(AN426-BK426)+(AN426-BK426)^2*BI426</f>
        <v>2.1336386870956394</v>
      </c>
      <c r="BW426">
        <f t="shared" ref="BW426:BW441" si="1036">BV426*J426</f>
        <v>33348.772679304842</v>
      </c>
      <c r="BX426" s="5">
        <f t="shared" ref="BX426:BX441" si="1037">(BM426+BW426-O426)*BK426</f>
        <v>303072.68165489833</v>
      </c>
      <c r="BY426" s="5">
        <f t="shared" ref="BY426:BY441" si="1038">BK426*(BN426+BW426-O426)</f>
        <v>145652.44949489835</v>
      </c>
      <c r="BZ426" s="5">
        <f t="shared" ref="BZ426:BZ441" si="1039">SUM(J426:K426)</f>
        <v>692545</v>
      </c>
      <c r="CA426" s="5">
        <f t="shared" ref="CA426:CA441" si="1040">SUM(BW426+BY426)</f>
        <v>179001.2221742032</v>
      </c>
      <c r="CC426" s="5">
        <f t="shared" ref="CC426:CC441" si="1041">BR426</f>
        <v>13178868.823876293</v>
      </c>
      <c r="CD426" s="5" t="str">
        <f t="shared" ref="CD426:CD441" si="1042">F426</f>
        <v>Washington</v>
      </c>
      <c r="CE426" s="5">
        <f t="shared" si="927"/>
        <v>0.65704323464747294</v>
      </c>
      <c r="CF426" s="10">
        <f t="shared" ref="CF426:CF441" si="1043">AC426/CC426</f>
        <v>0.46055454994769085</v>
      </c>
    </row>
    <row r="427" spans="1:84" hidden="1" x14ac:dyDescent="0.2">
      <c r="A427">
        <v>48000000003506</v>
      </c>
      <c r="B427">
        <v>2016</v>
      </c>
      <c r="C427">
        <v>579</v>
      </c>
      <c r="D427" t="s">
        <v>661</v>
      </c>
      <c r="E427">
        <v>6</v>
      </c>
      <c r="F427" t="s">
        <v>662</v>
      </c>
      <c r="G427" t="s">
        <v>663</v>
      </c>
      <c r="H427" t="s">
        <v>664</v>
      </c>
      <c r="I427" t="b">
        <v>1</v>
      </c>
      <c r="J427">
        <v>12608</v>
      </c>
      <c r="K427">
        <v>660865</v>
      </c>
      <c r="M427">
        <v>25314</v>
      </c>
      <c r="N427">
        <v>-9700</v>
      </c>
      <c r="O427">
        <v>925559</v>
      </c>
      <c r="Q427">
        <v>-236473</v>
      </c>
      <c r="R427">
        <v>9237730</v>
      </c>
      <c r="S427">
        <v>9001257</v>
      </c>
      <c r="T427">
        <v>315934</v>
      </c>
      <c r="V427">
        <v>8802</v>
      </c>
      <c r="W427">
        <v>118296</v>
      </c>
      <c r="Y427">
        <v>41</v>
      </c>
      <c r="AA427">
        <v>-482568</v>
      </c>
      <c r="AB427">
        <v>6069588</v>
      </c>
      <c r="AC427">
        <v>5587020</v>
      </c>
      <c r="AD427">
        <v>3414237</v>
      </c>
      <c r="AE427">
        <v>3168142</v>
      </c>
      <c r="AF427">
        <v>246095</v>
      </c>
      <c r="AG427">
        <v>5138262</v>
      </c>
      <c r="AH427">
        <v>6.1486549342949039E-2</v>
      </c>
      <c r="AI427" t="b">
        <v>1</v>
      </c>
      <c r="AK427">
        <v>7.4999999999999997E-2</v>
      </c>
      <c r="AL427">
        <v>7.4999999999999997E-2</v>
      </c>
      <c r="AM427">
        <v>7.4999999999999997E-2</v>
      </c>
      <c r="AN427">
        <v>7.4999999999999997E-2</v>
      </c>
      <c r="AO427">
        <v>1</v>
      </c>
      <c r="AP427">
        <v>0</v>
      </c>
      <c r="AS427">
        <v>4197137</v>
      </c>
      <c r="AT427">
        <v>2739882</v>
      </c>
      <c r="AU427" t="s">
        <v>72</v>
      </c>
      <c r="AV427" t="s">
        <v>665</v>
      </c>
      <c r="BB427">
        <f t="shared" si="1021"/>
        <v>0.62069330983439308</v>
      </c>
      <c r="BD427">
        <f t="shared" si="1022"/>
        <v>782900</v>
      </c>
      <c r="BE427">
        <f t="shared" si="1023"/>
        <v>-674355</v>
      </c>
      <c r="BF427">
        <f t="shared" si="1024"/>
        <v>8.697674113737671</v>
      </c>
      <c r="BG427">
        <f t="shared" si="1025"/>
        <v>-7.491786980418401</v>
      </c>
      <c r="BH427">
        <f t="shared" si="1026"/>
        <v>8.0947305470780364</v>
      </c>
      <c r="BI427">
        <f t="shared" si="1027"/>
        <v>60.294356665963427</v>
      </c>
      <c r="BJ427">
        <f t="shared" si="1028"/>
        <v>8</v>
      </c>
      <c r="BK427">
        <f>IF($BJ427&lt;=30,IF($B427=2015,VLOOKUP($BJ427,'Treasury Yields'!$C$5:$N$34,$E427,FALSE)/100,IF($B427=2016,VLOOKUP($BJ427,'Treasury Yields'!$C$40:$N$69,$E427,FALSE)/100,IF($B427=2017,VLOOKUP($BJ427,'Treasury Yields'!$C$75:$N$104,$E427,FALSE)/100,IF($B427=2018,VLOOKUP($BJ427,'Treasury Yields'!$C$110:$N$139,$E427,FALSE)/100,IF($B427=2019,VLOOKUP($BJ427,'Treasury Yields'!$C$145:$N$174,$E427,FALSE)/100,IF($B427=2020,VLOOKUP($BJ427,'Treasury Yields'!$C$180:$N$209,$E427,FALSE)/100,IF($B427=2021,VLOOKUP($BJ427,'Treasury Yields'!$C$215:$N$244,$E427,FALSE)/100,IF($B427=2022,VLOOKUP($BJ427,'Treasury Yields'!$C$250:$N$279,$E427,FALSE)/100)))))))),0)</f>
        <v>2.3290000000000002E-2</v>
      </c>
      <c r="BL427">
        <f t="shared" si="1029"/>
        <v>1.4212524406894051</v>
      </c>
      <c r="BM427">
        <f t="shared" si="1030"/>
        <v>13129146.30892974</v>
      </c>
      <c r="BN427">
        <f t="shared" si="1031"/>
        <v>7059558.3089297395</v>
      </c>
      <c r="BP427">
        <f>IF($BJ427&lt;=30,IF($B427=2015,VLOOKUP($BJ427,'Treasury Yields'!$C$40:$N$69,$E427,FALSE)/100,IF($B427=2016,VLOOKUP($BJ427,'Treasury Yields'!$C$75:$N$104,$E427,FALSE)/100,IF($B427=2017,VLOOKUP($BJ427,'Treasury Yields'!$C$110:$N$139,$E427,FALSE)/100,IF($B427=2018,VLOOKUP($BJ427,'Treasury Yields'!$C$145:$N$174,$E427,FALSE)/100,IF($B427=2019,VLOOKUP($BJ427,'Treasury Yields'!$C$180:$N$209,$E427,FALSE)/100,IF($B427=2020,VLOOKUP($BJ427,'Treasury Yields'!$C$215:$N$244,$E427,FALSE)/100,IF($B427=2021,VLOOKUP($BJ427,'Treasury Yields'!$C$250:$N$279,$E427,FALSE)/100,IF($B427=2022,VLOOKUP($BJ427,'Treasury Yields'!$C$285:$N$314,$E427,FALSE)/100)))))))),0)</f>
        <v>1.4579999999999999E-2</v>
      </c>
      <c r="BQ427">
        <f t="shared" si="1032"/>
        <v>1.4927341960544551</v>
      </c>
      <c r="BR427">
        <f t="shared" si="1033"/>
        <v>13436484.131374536</v>
      </c>
      <c r="BS427">
        <f t="shared" si="1034"/>
        <v>7849464.1313745361</v>
      </c>
      <c r="BU427">
        <f t="shared" si="928"/>
        <v>11</v>
      </c>
      <c r="BV427">
        <f t="shared" si="1035"/>
        <v>2.1486110499725202</v>
      </c>
      <c r="BW427">
        <f t="shared" si="1036"/>
        <v>27089.688118053535</v>
      </c>
      <c r="BX427" s="5">
        <f t="shared" si="1037"/>
        <v>284852.46726124315</v>
      </c>
      <c r="BY427" s="5">
        <f t="shared" si="1038"/>
        <v>143491.76274124312</v>
      </c>
      <c r="BZ427" s="5">
        <f t="shared" si="1039"/>
        <v>673473</v>
      </c>
      <c r="CA427" s="5">
        <f t="shared" si="1040"/>
        <v>170581.45085929666</v>
      </c>
      <c r="CC427" s="5">
        <f t="shared" si="1041"/>
        <v>13436484.131374536</v>
      </c>
      <c r="CD427" s="5" t="str">
        <f t="shared" si="1042"/>
        <v>Washington</v>
      </c>
      <c r="CE427" s="5">
        <f t="shared" si="927"/>
        <v>0.62069330983439308</v>
      </c>
      <c r="CF427" s="10">
        <f t="shared" si="1043"/>
        <v>0.41580966757175447</v>
      </c>
    </row>
    <row r="428" spans="1:84" hidden="1" x14ac:dyDescent="0.2">
      <c r="A428">
        <v>48000000003506</v>
      </c>
      <c r="B428">
        <v>2017</v>
      </c>
      <c r="C428">
        <v>579</v>
      </c>
      <c r="D428" t="s">
        <v>661</v>
      </c>
      <c r="E428">
        <v>6</v>
      </c>
      <c r="F428" t="s">
        <v>662</v>
      </c>
      <c r="G428" t="s">
        <v>663</v>
      </c>
      <c r="H428" t="s">
        <v>664</v>
      </c>
      <c r="I428" t="b">
        <v>1</v>
      </c>
      <c r="J428">
        <v>9370</v>
      </c>
      <c r="K428">
        <v>645151</v>
      </c>
      <c r="M428">
        <v>39299</v>
      </c>
      <c r="N428">
        <v>-2</v>
      </c>
      <c r="O428">
        <v>912314</v>
      </c>
      <c r="Q428">
        <v>-218496</v>
      </c>
      <c r="R428">
        <v>9001257</v>
      </c>
      <c r="S428">
        <v>8782761</v>
      </c>
      <c r="T428">
        <v>348968</v>
      </c>
      <c r="V428">
        <v>6907</v>
      </c>
      <c r="W428">
        <v>728988</v>
      </c>
      <c r="Y428">
        <v>76</v>
      </c>
      <c r="Z428">
        <v>0</v>
      </c>
      <c r="AA428">
        <v>172473</v>
      </c>
      <c r="AB428">
        <v>5587020</v>
      </c>
      <c r="AC428">
        <v>5759493</v>
      </c>
      <c r="AD428">
        <v>3023268</v>
      </c>
      <c r="AE428">
        <v>3414237</v>
      </c>
      <c r="AF428">
        <v>-390969</v>
      </c>
      <c r="AG428">
        <v>5530315</v>
      </c>
      <c r="AH428">
        <v>6.3100926439090724E-2</v>
      </c>
      <c r="AI428" t="b">
        <v>1</v>
      </c>
      <c r="AK428">
        <v>7.4999999999999997E-2</v>
      </c>
      <c r="AL428">
        <v>7.4999999999999997E-2</v>
      </c>
      <c r="AM428">
        <v>7.6999999999999999E-2</v>
      </c>
      <c r="AN428">
        <v>7.4999999999999997E-2</v>
      </c>
      <c r="AO428">
        <v>1</v>
      </c>
      <c r="AP428">
        <v>2.0000000000000018E-3</v>
      </c>
      <c r="AS428">
        <v>3759386</v>
      </c>
      <c r="AT428">
        <v>2386123</v>
      </c>
      <c r="AU428" t="s">
        <v>395</v>
      </c>
      <c r="AV428" t="s">
        <v>666</v>
      </c>
      <c r="BB428">
        <f t="shared" si="1021"/>
        <v>0.65577248430191826</v>
      </c>
      <c r="BD428">
        <f t="shared" si="1022"/>
        <v>736118</v>
      </c>
      <c r="BE428">
        <f t="shared" si="1023"/>
        <v>-637145</v>
      </c>
      <c r="BF428">
        <f t="shared" si="1024"/>
        <v>8.3813962374701987</v>
      </c>
      <c r="BG428">
        <f t="shared" si="1025"/>
        <v>-7.2544954826847725</v>
      </c>
      <c r="BH428">
        <f t="shared" si="1026"/>
        <v>7.8179458600774856</v>
      </c>
      <c r="BI428">
        <f t="shared" si="1027"/>
        <v>56.345037739271284</v>
      </c>
      <c r="BJ428">
        <f t="shared" si="1028"/>
        <v>8</v>
      </c>
      <c r="BK428">
        <f>IF($BJ428&lt;=30,IF($B428=2015,VLOOKUP($BJ428,'Treasury Yields'!$C$5:$N$34,$E428,FALSE)/100,IF($B428=2016,VLOOKUP($BJ428,'Treasury Yields'!$C$40:$N$69,$E428,FALSE)/100,IF($B428=2017,VLOOKUP($BJ428,'Treasury Yields'!$C$75:$N$104,$E428,FALSE)/100,IF($B428=2018,VLOOKUP($BJ428,'Treasury Yields'!$C$110:$N$139,$E428,FALSE)/100,IF($B428=2019,VLOOKUP($BJ428,'Treasury Yields'!$C$145:$N$174,$E428,FALSE)/100,IF($B428=2020,VLOOKUP($BJ428,'Treasury Yields'!$C$180:$N$209,$E428,FALSE)/100,IF($B428=2021,VLOOKUP($BJ428,'Treasury Yields'!$C$215:$N$244,$E428,FALSE)/100,IF($B428=2022,VLOOKUP($BJ428,'Treasury Yields'!$C$250:$N$279,$E428,FALSE)/100)))))))),0)</f>
        <v>1.4579999999999999E-2</v>
      </c>
      <c r="BL428">
        <f t="shared" si="1029"/>
        <v>1.4760108652658819</v>
      </c>
      <c r="BM428">
        <f t="shared" si="1030"/>
        <v>13285953.133050576</v>
      </c>
      <c r="BN428">
        <f t="shared" si="1031"/>
        <v>7698933.1330505759</v>
      </c>
      <c r="BP428">
        <f>IF($BJ428&lt;=30,IF($B428=2015,VLOOKUP($BJ428,'Treasury Yields'!$C$40:$N$69,$E428,FALSE)/100,IF($B428=2016,VLOOKUP($BJ428,'Treasury Yields'!$C$75:$N$104,$E428,FALSE)/100,IF($B428=2017,VLOOKUP($BJ428,'Treasury Yields'!$C$110:$N$139,$E428,FALSE)/100,IF($B428=2018,VLOOKUP($BJ428,'Treasury Yields'!$C$145:$N$174,$E428,FALSE)/100,IF($B428=2019,VLOOKUP($BJ428,'Treasury Yields'!$C$180:$N$209,$E428,FALSE)/100,IF($B428=2020,VLOOKUP($BJ428,'Treasury Yields'!$C$215:$N$244,$E428,FALSE)/100,IF($B428=2021,VLOOKUP($BJ428,'Treasury Yields'!$C$250:$N$279,$E428,FALSE)/100,IF($B428=2022,VLOOKUP($BJ428,'Treasury Yields'!$C$285:$N$314,$E428,FALSE)/100)))))))),0)</f>
        <v>2.3099999999999999E-2</v>
      </c>
      <c r="BQ428">
        <f t="shared" si="1032"/>
        <v>1.4084450001380213</v>
      </c>
      <c r="BR428">
        <f t="shared" si="1033"/>
        <v>12370035.817857208</v>
      </c>
      <c r="BS428">
        <f t="shared" si="1034"/>
        <v>6610542.8178572077</v>
      </c>
      <c r="BU428">
        <f t="shared" si="928"/>
        <v>11</v>
      </c>
      <c r="BV428">
        <f t="shared" si="1035"/>
        <v>2.3426721538939748</v>
      </c>
      <c r="BW428">
        <f t="shared" si="1036"/>
        <v>21950.838081986545</v>
      </c>
      <c r="BX428" s="5">
        <f t="shared" si="1037"/>
        <v>180727.70177911274</v>
      </c>
      <c r="BY428" s="5">
        <f t="shared" si="1038"/>
        <v>99268.950179112755</v>
      </c>
      <c r="BZ428" s="5">
        <f t="shared" si="1039"/>
        <v>654521</v>
      </c>
      <c r="CA428" s="5">
        <f t="shared" si="1040"/>
        <v>121219.7882610993</v>
      </c>
      <c r="CC428" s="5">
        <f t="shared" si="1041"/>
        <v>12370035.817857208</v>
      </c>
      <c r="CD428" s="5" t="str">
        <f t="shared" si="1042"/>
        <v>Washington</v>
      </c>
      <c r="CE428" s="5">
        <f t="shared" si="927"/>
        <v>0.65577248430191826</v>
      </c>
      <c r="CF428" s="10">
        <f t="shared" si="1043"/>
        <v>0.46560034949015083</v>
      </c>
    </row>
    <row r="429" spans="1:84" hidden="1" x14ac:dyDescent="0.2">
      <c r="A429">
        <v>48000000003506</v>
      </c>
      <c r="B429">
        <v>2018</v>
      </c>
      <c r="C429">
        <v>579</v>
      </c>
      <c r="D429" t="s">
        <v>661</v>
      </c>
      <c r="E429">
        <v>6</v>
      </c>
      <c r="F429" t="s">
        <v>662</v>
      </c>
      <c r="G429" t="s">
        <v>663</v>
      </c>
      <c r="H429" t="s">
        <v>664</v>
      </c>
      <c r="I429" t="b">
        <v>1</v>
      </c>
      <c r="J429">
        <v>6792</v>
      </c>
      <c r="K429">
        <v>625902</v>
      </c>
      <c r="L429">
        <v>96500</v>
      </c>
      <c r="M429">
        <v>36644</v>
      </c>
      <c r="N429">
        <v>78582</v>
      </c>
      <c r="O429">
        <v>904742</v>
      </c>
      <c r="Q429">
        <v>-60322</v>
      </c>
      <c r="R429">
        <v>8782761</v>
      </c>
      <c r="S429">
        <v>8722439</v>
      </c>
      <c r="T429">
        <v>420540</v>
      </c>
      <c r="V429">
        <v>4287</v>
      </c>
      <c r="W429">
        <v>522377</v>
      </c>
      <c r="Y429">
        <v>108</v>
      </c>
      <c r="Z429">
        <v>0</v>
      </c>
      <c r="AA429">
        <v>42354</v>
      </c>
      <c r="AB429">
        <v>5759493</v>
      </c>
      <c r="AC429">
        <v>5801847</v>
      </c>
      <c r="AD429">
        <v>2920592</v>
      </c>
      <c r="AE429">
        <v>3023268</v>
      </c>
      <c r="AF429">
        <v>-102676</v>
      </c>
      <c r="AG429">
        <v>5939270</v>
      </c>
      <c r="AH429">
        <v>7.0806681629223794E-2</v>
      </c>
      <c r="AI429" t="b">
        <v>1</v>
      </c>
      <c r="AK429">
        <v>7.4999999999999997E-2</v>
      </c>
      <c r="AL429">
        <v>7.3999999999999996E-2</v>
      </c>
      <c r="AM429">
        <v>7.4999999999999997E-2</v>
      </c>
      <c r="AN429">
        <v>7.6999999999999999E-2</v>
      </c>
      <c r="AO429">
        <v>1</v>
      </c>
      <c r="AP429">
        <v>1.0000000000000009E-3</v>
      </c>
      <c r="AS429">
        <v>3650431</v>
      </c>
      <c r="AT429">
        <v>2288760</v>
      </c>
      <c r="AU429" t="s">
        <v>629</v>
      </c>
      <c r="AV429" t="s">
        <v>667</v>
      </c>
      <c r="BB429">
        <f t="shared" si="1021"/>
        <v>0.6651633791878625</v>
      </c>
      <c r="BD429">
        <f t="shared" si="1022"/>
        <v>729839</v>
      </c>
      <c r="BE429">
        <f t="shared" si="1023"/>
        <v>-631832</v>
      </c>
      <c r="BF429">
        <f t="shared" si="1024"/>
        <v>8.3673729331899018</v>
      </c>
      <c r="BG429">
        <f t="shared" si="1025"/>
        <v>-7.2437537253055018</v>
      </c>
      <c r="BH429">
        <f t="shared" si="1026"/>
        <v>7.8055633292477031</v>
      </c>
      <c r="BI429">
        <f t="shared" si="1027"/>
        <v>56.180960394220008</v>
      </c>
      <c r="BJ429">
        <f t="shared" si="1028"/>
        <v>8</v>
      </c>
      <c r="BK429">
        <f>IF($BJ429&lt;=30,IF($B429=2015,VLOOKUP($BJ429,'Treasury Yields'!$C$5:$N$34,$E429,FALSE)/100,IF($B429=2016,VLOOKUP($BJ429,'Treasury Yields'!$C$40:$N$69,$E429,FALSE)/100,IF($B429=2017,VLOOKUP($BJ429,'Treasury Yields'!$C$75:$N$104,$E429,FALSE)/100,IF($B429=2018,VLOOKUP($BJ429,'Treasury Yields'!$C$110:$N$139,$E429,FALSE)/100,IF($B429=2019,VLOOKUP($BJ429,'Treasury Yields'!$C$145:$N$174,$E429,FALSE)/100,IF($B429=2020,VLOOKUP($BJ429,'Treasury Yields'!$C$180:$N$209,$E429,FALSE)/100,IF($B429=2021,VLOOKUP($BJ429,'Treasury Yields'!$C$215:$N$244,$E429,FALSE)/100,IF($B429=2022,VLOOKUP($BJ429,'Treasury Yields'!$C$250:$N$279,$E429,FALSE)/100)))))))),0)</f>
        <v>2.3099999999999999E-2</v>
      </c>
      <c r="BL429">
        <f t="shared" si="1029"/>
        <v>1.3998939834587081</v>
      </c>
      <c r="BM429">
        <f t="shared" si="1030"/>
        <v>12294934.282055786</v>
      </c>
      <c r="BN429">
        <f t="shared" si="1031"/>
        <v>6535441.2820557859</v>
      </c>
      <c r="BP429">
        <f>IF($BJ429&lt;=30,IF($B429=2015,VLOOKUP($BJ429,'Treasury Yields'!$C$40:$N$69,$E429,FALSE)/100,IF($B429=2016,VLOOKUP($BJ429,'Treasury Yields'!$C$75:$N$104,$E429,FALSE)/100,IF($B429=2017,VLOOKUP($BJ429,'Treasury Yields'!$C$110:$N$139,$E429,FALSE)/100,IF($B429=2018,VLOOKUP($BJ429,'Treasury Yields'!$C$145:$N$174,$E429,FALSE)/100,IF($B429=2019,VLOOKUP($BJ429,'Treasury Yields'!$C$180:$N$209,$E429,FALSE)/100,IF($B429=2020,VLOOKUP($BJ429,'Treasury Yields'!$C$215:$N$244,$E429,FALSE)/100,IF($B429=2021,VLOOKUP($BJ429,'Treasury Yields'!$C$250:$N$279,$E429,FALSE)/100,IF($B429=2022,VLOOKUP($BJ429,'Treasury Yields'!$C$285:$N$314,$E429,FALSE)/100)))))))),0)</f>
        <v>2.913E-2</v>
      </c>
      <c r="BQ429">
        <f t="shared" si="1032"/>
        <v>1.3759438534710875</v>
      </c>
      <c r="BR429">
        <f t="shared" si="1033"/>
        <v>12001586.329326499</v>
      </c>
      <c r="BS429">
        <f t="shared" si="1034"/>
        <v>6199739.3293264993</v>
      </c>
      <c r="BU429">
        <f t="shared" si="928"/>
        <v>11</v>
      </c>
      <c r="BV429">
        <f t="shared" si="1035"/>
        <v>2.1768373513933437</v>
      </c>
      <c r="BW429">
        <f t="shared" si="1036"/>
        <v>14785.079290663591</v>
      </c>
      <c r="BX429" s="5">
        <f t="shared" si="1037"/>
        <v>263454.97704710299</v>
      </c>
      <c r="BY429" s="5">
        <f t="shared" si="1038"/>
        <v>130410.68874710298</v>
      </c>
      <c r="BZ429" s="5">
        <f t="shared" si="1039"/>
        <v>632694</v>
      </c>
      <c r="CA429" s="5">
        <f t="shared" si="1040"/>
        <v>145195.76803776657</v>
      </c>
      <c r="CC429" s="5">
        <f t="shared" si="1041"/>
        <v>12001586.329326499</v>
      </c>
      <c r="CD429" s="5" t="str">
        <f t="shared" si="1042"/>
        <v>Washington</v>
      </c>
      <c r="CE429" s="5">
        <f t="shared" si="927"/>
        <v>0.6651633791878625</v>
      </c>
      <c r="CF429" s="10">
        <f t="shared" si="1043"/>
        <v>0.48342334428098771</v>
      </c>
    </row>
    <row r="430" spans="1:84" hidden="1" x14ac:dyDescent="0.2">
      <c r="A430">
        <v>48000000003506</v>
      </c>
      <c r="B430">
        <v>2019</v>
      </c>
      <c r="C430">
        <v>579</v>
      </c>
      <c r="D430" t="s">
        <v>661</v>
      </c>
      <c r="E430">
        <v>6</v>
      </c>
      <c r="F430" t="s">
        <v>662</v>
      </c>
      <c r="G430" t="s">
        <v>663</v>
      </c>
      <c r="H430" t="s">
        <v>664</v>
      </c>
      <c r="I430" t="b">
        <v>1</v>
      </c>
      <c r="J430">
        <v>5361</v>
      </c>
      <c r="K430">
        <v>612930</v>
      </c>
      <c r="M430">
        <v>-90666</v>
      </c>
      <c r="N430">
        <v>11521</v>
      </c>
      <c r="O430">
        <v>906089</v>
      </c>
      <c r="Q430">
        <v>-366943</v>
      </c>
      <c r="R430">
        <v>8722439</v>
      </c>
      <c r="S430">
        <v>8355496</v>
      </c>
      <c r="T430">
        <v>500822</v>
      </c>
      <c r="V430">
        <v>2856</v>
      </c>
      <c r="W430">
        <v>480313</v>
      </c>
      <c r="Y430">
        <v>76</v>
      </c>
      <c r="Z430">
        <v>20</v>
      </c>
      <c r="AA430">
        <v>77846</v>
      </c>
      <c r="AB430">
        <v>5801847</v>
      </c>
      <c r="AC430">
        <v>5879693</v>
      </c>
      <c r="AD430">
        <v>2475803</v>
      </c>
      <c r="AE430">
        <v>2920592</v>
      </c>
      <c r="AF430">
        <v>-444789</v>
      </c>
      <c r="AG430">
        <v>6758331</v>
      </c>
      <c r="AH430">
        <v>7.4104390566250747E-2</v>
      </c>
      <c r="AI430" t="b">
        <v>1</v>
      </c>
      <c r="AK430">
        <v>7.4999999999999997E-2</v>
      </c>
      <c r="AL430">
        <v>7.3999999999999996E-2</v>
      </c>
      <c r="AM430">
        <v>7.4999999999999997E-2</v>
      </c>
      <c r="AN430">
        <v>7.4999999999999997E-2</v>
      </c>
      <c r="AO430">
        <v>1</v>
      </c>
      <c r="AP430">
        <v>1.0000000000000009E-3</v>
      </c>
      <c r="AS430">
        <v>4021800</v>
      </c>
      <c r="AT430">
        <v>2521600</v>
      </c>
      <c r="BB430">
        <f t="shared" si="1021"/>
        <v>0.70369167790876808</v>
      </c>
      <c r="BD430">
        <f t="shared" si="1022"/>
        <v>1545997</v>
      </c>
      <c r="BE430">
        <f t="shared" si="1023"/>
        <v>45797</v>
      </c>
      <c r="BF430">
        <f t="shared" si="1024"/>
        <v>18.502755551555527</v>
      </c>
      <c r="BG430">
        <f t="shared" si="1025"/>
        <v>0.54810630033214069</v>
      </c>
      <c r="BH430">
        <f t="shared" si="1026"/>
        <v>8.9773246256116934</v>
      </c>
      <c r="BI430">
        <f t="shared" si="1027"/>
        <v>952.54309259438332</v>
      </c>
      <c r="BJ430">
        <f t="shared" si="1028"/>
        <v>9</v>
      </c>
      <c r="BK430">
        <f>IF($BJ430&lt;=30,IF($B430=2015,VLOOKUP($BJ430,'Treasury Yields'!$C$5:$N$34,$E430,FALSE)/100,IF($B430=2016,VLOOKUP($BJ430,'Treasury Yields'!$C$40:$N$69,$E430,FALSE)/100,IF($B430=2017,VLOOKUP($BJ430,'Treasury Yields'!$C$75:$N$104,$E430,FALSE)/100,IF($B430=2018,VLOOKUP($BJ430,'Treasury Yields'!$C$110:$N$139,$E430,FALSE)/100,IF($B430=2019,VLOOKUP($BJ430,'Treasury Yields'!$C$145:$N$174,$E430,FALSE)/100,IF($B430=2020,VLOOKUP($BJ430,'Treasury Yields'!$C$180:$N$209,$E430,FALSE)/100,IF($B430=2021,VLOOKUP($BJ430,'Treasury Yields'!$C$215:$N$244,$E430,FALSE)/100,IF($B430=2022,VLOOKUP($BJ430,'Treasury Yields'!$C$250:$N$279,$E430,FALSE)/100)))))))),0)</f>
        <v>2.9440000000000001E-2</v>
      </c>
      <c r="BL430">
        <f t="shared" si="1029"/>
        <v>1.402015178917257</v>
      </c>
      <c r="BM430">
        <f t="shared" si="1030"/>
        <v>12228991.875179861</v>
      </c>
      <c r="BN430">
        <f t="shared" si="1031"/>
        <v>6427144.8751798607</v>
      </c>
      <c r="BP430">
        <f>IF($BJ430&lt;=30,IF($B430=2015,VLOOKUP($BJ430,'Treasury Yields'!$C$40:$N$69,$E430,FALSE)/100,IF($B430=2016,VLOOKUP($BJ430,'Treasury Yields'!$C$75:$N$104,$E430,FALSE)/100,IF($B430=2017,VLOOKUP($BJ430,'Treasury Yields'!$C$110:$N$139,$E430,FALSE)/100,IF($B430=2018,VLOOKUP($BJ430,'Treasury Yields'!$C$145:$N$174,$E430,FALSE)/100,IF($B430=2019,VLOOKUP($BJ430,'Treasury Yields'!$C$180:$N$209,$E430,FALSE)/100,IF($B430=2020,VLOOKUP($BJ430,'Treasury Yields'!$C$215:$N$244,$E430,FALSE)/100,IF($B430=2021,VLOOKUP($BJ430,'Treasury Yields'!$C$250:$N$279,$E430,FALSE)/100,IF($B430=2022,VLOOKUP($BJ430,'Treasury Yields'!$C$285:$N$314,$E430,FALSE)/100)))))))),0)</f>
        <v>2.0739999999999998E-2</v>
      </c>
      <c r="BQ430">
        <f t="shared" si="1032"/>
        <v>1.4900537817856905</v>
      </c>
      <c r="BR430">
        <f t="shared" si="1033"/>
        <v>12450138.413495209</v>
      </c>
      <c r="BS430">
        <f t="shared" si="1034"/>
        <v>6570445.4134952091</v>
      </c>
      <c r="BU430">
        <f t="shared" si="928"/>
        <v>12</v>
      </c>
      <c r="BV430">
        <f t="shared" si="1035"/>
        <v>3.9329335618270891</v>
      </c>
      <c r="BW430">
        <f t="shared" si="1036"/>
        <v>21084.456824955025</v>
      </c>
      <c r="BX430" s="5">
        <f t="shared" si="1037"/>
        <v>333966.9870542218</v>
      </c>
      <c r="BY430" s="5">
        <f t="shared" si="1038"/>
        <v>163160.61137422177</v>
      </c>
      <c r="BZ430" s="5">
        <f t="shared" si="1039"/>
        <v>618291</v>
      </c>
      <c r="CA430" s="5">
        <f t="shared" si="1040"/>
        <v>184245.06819917681</v>
      </c>
      <c r="CC430" s="5">
        <f t="shared" si="1041"/>
        <v>12450138.413495209</v>
      </c>
      <c r="CD430" s="5" t="str">
        <f t="shared" si="1042"/>
        <v>Washington</v>
      </c>
      <c r="CE430" s="5">
        <f t="shared" si="927"/>
        <v>0.70369167790876808</v>
      </c>
      <c r="CF430" s="10">
        <f t="shared" si="1043"/>
        <v>0.47225924762625632</v>
      </c>
    </row>
    <row r="431" spans="1:84" hidden="1" x14ac:dyDescent="0.2">
      <c r="A431">
        <v>48000000003506</v>
      </c>
      <c r="B431">
        <v>2020</v>
      </c>
      <c r="C431">
        <v>579</v>
      </c>
      <c r="D431" t="s">
        <v>661</v>
      </c>
      <c r="E431">
        <v>6</v>
      </c>
      <c r="F431" t="s">
        <v>662</v>
      </c>
      <c r="G431" t="s">
        <v>663</v>
      </c>
      <c r="H431" t="s">
        <v>664</v>
      </c>
      <c r="I431" t="b">
        <v>1</v>
      </c>
      <c r="J431">
        <v>4045</v>
      </c>
      <c r="K431">
        <v>586414</v>
      </c>
      <c r="L431">
        <v>132000</v>
      </c>
      <c r="M431">
        <v>119402</v>
      </c>
      <c r="N431">
        <v>-132134</v>
      </c>
      <c r="O431">
        <v>885861</v>
      </c>
      <c r="Q431">
        <v>-176134</v>
      </c>
      <c r="R431">
        <v>8355496</v>
      </c>
      <c r="S431">
        <v>8179362</v>
      </c>
      <c r="T431">
        <v>521550</v>
      </c>
      <c r="V431">
        <v>2506</v>
      </c>
      <c r="W431">
        <v>252689</v>
      </c>
      <c r="Y431">
        <v>39</v>
      </c>
      <c r="Z431">
        <v>38</v>
      </c>
      <c r="AA431">
        <v>-109117</v>
      </c>
      <c r="AB431">
        <v>5879693</v>
      </c>
      <c r="AC431">
        <v>5770576</v>
      </c>
      <c r="AD431">
        <v>2408786</v>
      </c>
      <c r="AE431">
        <v>2475803</v>
      </c>
      <c r="AF431">
        <v>-67017</v>
      </c>
      <c r="AG431">
        <v>7189878</v>
      </c>
      <c r="AH431">
        <v>7.2539478416740868E-2</v>
      </c>
      <c r="AI431" t="b">
        <v>1</v>
      </c>
      <c r="AK431">
        <v>7.4999999999999997E-2</v>
      </c>
      <c r="AL431">
        <v>7.3999999999999996E-2</v>
      </c>
      <c r="AM431">
        <v>7.4999999999999997E-2</v>
      </c>
      <c r="AN431">
        <v>7.4999999999999997E-2</v>
      </c>
      <c r="AO431">
        <v>1</v>
      </c>
      <c r="AP431">
        <v>1.0000000000000009E-3</v>
      </c>
      <c r="AS431">
        <v>3051911</v>
      </c>
      <c r="AT431">
        <v>1874550</v>
      </c>
      <c r="BB431">
        <f t="shared" si="1021"/>
        <v>0.70550441464749936</v>
      </c>
      <c r="BD431">
        <f t="shared" si="1022"/>
        <v>643125</v>
      </c>
      <c r="BE431">
        <f t="shared" si="1023"/>
        <v>-534236</v>
      </c>
      <c r="BF431">
        <f t="shared" si="1024"/>
        <v>7.8627770723437838</v>
      </c>
      <c r="BG431">
        <f t="shared" si="1025"/>
        <v>-6.5315118709747777</v>
      </c>
      <c r="BH431">
        <f t="shared" si="1026"/>
        <v>7.1971444716592812</v>
      </c>
      <c r="BI431">
        <f t="shared" si="1027"/>
        <v>66.563260068450333</v>
      </c>
      <c r="BJ431">
        <f t="shared" si="1028"/>
        <v>7</v>
      </c>
      <c r="BK431">
        <f>IF($BJ431&lt;=30,IF($B431=2015,VLOOKUP($BJ431,'Treasury Yields'!$C$5:$N$34,$E431,FALSE)/100,IF($B431=2016,VLOOKUP($BJ431,'Treasury Yields'!$C$40:$N$69,$E431,FALSE)/100,IF($B431=2017,VLOOKUP($BJ431,'Treasury Yields'!$C$75:$N$104,$E431,FALSE)/100,IF($B431=2018,VLOOKUP($BJ431,'Treasury Yields'!$C$110:$N$139,$E431,FALSE)/100,IF($B431=2019,VLOOKUP($BJ431,'Treasury Yields'!$C$145:$N$174,$E431,FALSE)/100,IF($B431=2020,VLOOKUP($BJ431,'Treasury Yields'!$C$180:$N$209,$E431,FALSE)/100,IF($B431=2021,VLOOKUP($BJ431,'Treasury Yields'!$C$215:$N$244,$E431,FALSE)/100,IF($B431=2022,VLOOKUP($BJ431,'Treasury Yields'!$C$250:$N$279,$E431,FALSE)/100)))))))),0)</f>
        <v>1.958E-2</v>
      </c>
      <c r="BL431">
        <f t="shared" si="1029"/>
        <v>1.394630138547698</v>
      </c>
      <c r="BM431">
        <f t="shared" si="1030"/>
        <v>11652826.544114737</v>
      </c>
      <c r="BN431">
        <f t="shared" si="1031"/>
        <v>5773133.5441147368</v>
      </c>
      <c r="BP431">
        <f>IF($BJ431&lt;=30,IF($B431=2015,VLOOKUP($BJ431,'Treasury Yields'!$C$40:$N$69,$E431,FALSE)/100,IF($B431=2016,VLOOKUP($BJ431,'Treasury Yields'!$C$75:$N$104,$E431,FALSE)/100,IF($B431=2017,VLOOKUP($BJ431,'Treasury Yields'!$C$110:$N$139,$E431,FALSE)/100,IF($B431=2018,VLOOKUP($BJ431,'Treasury Yields'!$C$145:$N$174,$E431,FALSE)/100,IF($B431=2019,VLOOKUP($BJ431,'Treasury Yields'!$C$180:$N$209,$E431,FALSE)/100,IF($B431=2020,VLOOKUP($BJ431,'Treasury Yields'!$C$215:$N$244,$E431,FALSE)/100,IF($B431=2021,VLOOKUP($BJ431,'Treasury Yields'!$C$250:$N$279,$E431,FALSE)/100,IF($B431=2022,VLOOKUP($BJ431,'Treasury Yields'!$C$285:$N$314,$E431,FALSE)/100)))))))),0)</f>
        <v>7.3481818181818179E-3</v>
      </c>
      <c r="BQ431">
        <f t="shared" si="1032"/>
        <v>1.4914766777282773</v>
      </c>
      <c r="BR431">
        <f t="shared" si="1033"/>
        <v>12199327.661696918</v>
      </c>
      <c r="BS431">
        <f t="shared" si="1034"/>
        <v>6428751.6616969183</v>
      </c>
      <c r="BU431">
        <f t="shared" si="928"/>
        <v>10</v>
      </c>
      <c r="BV431">
        <f t="shared" si="1035"/>
        <v>2.1575065727006582</v>
      </c>
      <c r="BW431">
        <f t="shared" si="1036"/>
        <v>8727.1140865741618</v>
      </c>
      <c r="BX431" s="5">
        <f t="shared" si="1037"/>
        <v>210988.06224758166</v>
      </c>
      <c r="BY431" s="5">
        <f t="shared" si="1038"/>
        <v>95863.673307581659</v>
      </c>
      <c r="BZ431" s="5">
        <f t="shared" si="1039"/>
        <v>590459</v>
      </c>
      <c r="CA431" s="5">
        <f t="shared" si="1040"/>
        <v>104590.78739415582</v>
      </c>
      <c r="CC431" s="5">
        <f t="shared" si="1041"/>
        <v>12199327.661696918</v>
      </c>
      <c r="CD431" s="5" t="str">
        <f t="shared" si="1042"/>
        <v>Washington</v>
      </c>
      <c r="CE431" s="5">
        <f t="shared" si="927"/>
        <v>0.70550441464749936</v>
      </c>
      <c r="CF431" s="10">
        <f t="shared" si="1043"/>
        <v>0.47302410100175279</v>
      </c>
    </row>
    <row r="432" spans="1:84" hidden="1" x14ac:dyDescent="0.2">
      <c r="A432">
        <v>48000000003506</v>
      </c>
      <c r="B432">
        <v>2021</v>
      </c>
      <c r="C432">
        <v>579</v>
      </c>
      <c r="D432" t="s">
        <v>661</v>
      </c>
      <c r="E432">
        <v>6</v>
      </c>
      <c r="F432" t="s">
        <v>662</v>
      </c>
      <c r="G432" t="s">
        <v>663</v>
      </c>
      <c r="H432" t="s">
        <v>664</v>
      </c>
      <c r="I432" t="b">
        <v>1</v>
      </c>
      <c r="J432">
        <v>2680</v>
      </c>
      <c r="K432">
        <v>573207</v>
      </c>
      <c r="L432">
        <v>0</v>
      </c>
      <c r="M432">
        <v>-17181</v>
      </c>
      <c r="N432">
        <v>0</v>
      </c>
      <c r="O432">
        <v>887857</v>
      </c>
      <c r="Q432">
        <v>-329151</v>
      </c>
      <c r="R432">
        <v>8179362</v>
      </c>
      <c r="S432" s="6">
        <v>7850211</v>
      </c>
      <c r="T432">
        <v>550653</v>
      </c>
      <c r="V432">
        <v>1260</v>
      </c>
      <c r="W432">
        <v>1742309</v>
      </c>
      <c r="Y432">
        <v>28</v>
      </c>
      <c r="Z432">
        <v>0</v>
      </c>
      <c r="AA432">
        <v>1406337</v>
      </c>
      <c r="AB432" s="6">
        <v>5770576</v>
      </c>
      <c r="AC432" s="6">
        <v>7176913</v>
      </c>
      <c r="AD432" s="6">
        <v>673298</v>
      </c>
      <c r="AE432" s="6">
        <v>2408786</v>
      </c>
      <c r="AF432" s="6">
        <v>-1735488</v>
      </c>
      <c r="AG432" s="6">
        <v>7449710</v>
      </c>
      <c r="AI432" t="b">
        <v>1</v>
      </c>
      <c r="AK432">
        <v>7.3999999999999996E-2</v>
      </c>
      <c r="AL432">
        <v>7.3999999999999996E-2</v>
      </c>
      <c r="AM432">
        <v>7.3999999999999996E-2</v>
      </c>
      <c r="AN432">
        <v>7.3999999999999996E-2</v>
      </c>
      <c r="AS432">
        <v>1290542</v>
      </c>
      <c r="AT432">
        <v>134647</v>
      </c>
      <c r="AV432" t="s">
        <v>668</v>
      </c>
      <c r="BB432" s="7">
        <f>AC432/S432</f>
        <v>0.91423185950033703</v>
      </c>
      <c r="BD432">
        <f t="shared" si="1022"/>
        <v>617244</v>
      </c>
      <c r="BE432">
        <f t="shared" si="1023"/>
        <v>-538651</v>
      </c>
      <c r="BF432">
        <f t="shared" si="1024"/>
        <v>7.8627695484872957</v>
      </c>
      <c r="BG432">
        <f t="shared" si="1025"/>
        <v>-6.8616117452129632</v>
      </c>
      <c r="BH432">
        <f t="shared" si="1026"/>
        <v>7.362190646850129</v>
      </c>
      <c r="BI432">
        <f t="shared" si="1027"/>
        <v>50.057890163716614</v>
      </c>
      <c r="BJ432">
        <f t="shared" si="1028"/>
        <v>7</v>
      </c>
      <c r="BK432">
        <f>IF($BJ432&lt;=30,IF($B432=2015,VLOOKUP($BJ432,'Treasury Yields'!$C$5:$N$34,$E432,FALSE)/100,IF($B432=2016,VLOOKUP($BJ432,'Treasury Yields'!$C$40:$N$69,$E432,FALSE)/100,IF($B432=2017,VLOOKUP($BJ432,'Treasury Yields'!$C$75:$N$104,$E432,FALSE)/100,IF($B432=2018,VLOOKUP($BJ432,'Treasury Yields'!$C$110:$N$139,$E432,FALSE)/100,IF($B432=2019,VLOOKUP($BJ432,'Treasury Yields'!$C$145:$N$174,$E432,FALSE)/100,IF($B432=2020,VLOOKUP($BJ432,'Treasury Yields'!$C$180:$N$209,$E432,FALSE)/100,IF($B432=2021,VLOOKUP($BJ432,'Treasury Yields'!$C$215:$N$244,$E432,FALSE)/100,IF($B432=2022,VLOOKUP($BJ432,'Treasury Yields'!$C$250:$N$279,$E432,FALSE)/100)))))))),0)</f>
        <v>7.3481818181818179E-3</v>
      </c>
      <c r="BL432">
        <f t="shared" si="1029"/>
        <v>1.4951458572806793</v>
      </c>
      <c r="BM432">
        <f t="shared" si="1030"/>
        <v>12229339.209499011</v>
      </c>
      <c r="BN432">
        <f t="shared" si="1031"/>
        <v>6458763.2094990108</v>
      </c>
      <c r="BP432">
        <f>IF($BJ432&lt;=30,IF($B432=2015,VLOOKUP($BJ432,'Treasury Yields'!$C$40:$N$69,$E432,FALSE)/100,IF($B432=2016,VLOOKUP($BJ432,'Treasury Yields'!$C$75:$N$104,$E432,FALSE)/100,IF($B432=2017,VLOOKUP($BJ432,'Treasury Yields'!$C$110:$N$139,$E432,FALSE)/100,IF($B432=2018,VLOOKUP($BJ432,'Treasury Yields'!$C$145:$N$174,$E432,FALSE)/100,IF($B432=2019,VLOOKUP($BJ432,'Treasury Yields'!$C$180:$N$209,$E432,FALSE)/100,IF($B432=2020,VLOOKUP($BJ432,'Treasury Yields'!$C$215:$N$244,$E432,FALSE)/100,IF($B432=2021,VLOOKUP($BJ432,'Treasury Yields'!$C$250:$N$279,$E432,FALSE)/100,IF($B432=2022,VLOOKUP($BJ432,'Treasury Yields'!$C$285:$N$314,$E432,FALSE)/100)))))))),0)</f>
        <v>1.5282272727272726E-2</v>
      </c>
      <c r="BQ432">
        <f>1+BH432*(AN432-BP432)+(AN432-BP432)^2</f>
        <v>1.4357388740276438</v>
      </c>
      <c r="BR432" s="7">
        <f>BQ432*S432</f>
        <v>11270853.102019424</v>
      </c>
      <c r="BS432">
        <f t="shared" si="1034"/>
        <v>4093940.1020194236</v>
      </c>
      <c r="BU432">
        <f t="shared" si="928"/>
        <v>10</v>
      </c>
      <c r="BV432">
        <f t="shared" si="1035"/>
        <v>2.3796019925974785</v>
      </c>
      <c r="BW432">
        <f t="shared" si="1036"/>
        <v>6377.3333401612426</v>
      </c>
      <c r="BX432" s="5">
        <f t="shared" si="1037"/>
        <v>83386.135167971835</v>
      </c>
      <c r="BY432" s="5">
        <f t="shared" si="1038"/>
        <v>40982.893524335479</v>
      </c>
      <c r="BZ432" s="5">
        <f t="shared" si="1039"/>
        <v>575887</v>
      </c>
      <c r="CA432" s="5">
        <f t="shared" si="1040"/>
        <v>47360.226864496719</v>
      </c>
      <c r="CC432" s="5">
        <f>BR432</f>
        <v>11270853.102019424</v>
      </c>
      <c r="CD432" s="5" t="str">
        <f t="shared" si="1042"/>
        <v>Washington</v>
      </c>
      <c r="CE432" s="5">
        <f t="shared" si="927"/>
        <v>0.91423185950033703</v>
      </c>
      <c r="CF432" s="10">
        <f t="shared" si="1043"/>
        <v>0.63676750420197537</v>
      </c>
    </row>
    <row r="433" spans="1:84" hidden="1" x14ac:dyDescent="0.2">
      <c r="A433">
        <v>48000000003506</v>
      </c>
      <c r="B433">
        <v>2022</v>
      </c>
      <c r="C433">
        <v>579</v>
      </c>
      <c r="D433" t="s">
        <v>661</v>
      </c>
      <c r="E433">
        <v>6</v>
      </c>
      <c r="F433" t="s">
        <v>662</v>
      </c>
      <c r="G433" t="s">
        <v>663</v>
      </c>
      <c r="H433" t="s">
        <v>664</v>
      </c>
      <c r="I433" t="b">
        <v>1</v>
      </c>
      <c r="J433">
        <v>2045</v>
      </c>
      <c r="K433">
        <v>549564</v>
      </c>
      <c r="L433">
        <v>912959</v>
      </c>
      <c r="M433">
        <v>62464</v>
      </c>
      <c r="N433">
        <v>228812</v>
      </c>
      <c r="O433">
        <v>866909</v>
      </c>
      <c r="Q433">
        <v>888935</v>
      </c>
      <c r="R433">
        <v>7850211</v>
      </c>
      <c r="S433" s="6">
        <v>8739146</v>
      </c>
      <c r="T433">
        <v>509461</v>
      </c>
      <c r="V433">
        <v>1148</v>
      </c>
      <c r="W433">
        <v>16732</v>
      </c>
      <c r="Y433">
        <v>30</v>
      </c>
      <c r="Z433">
        <v>1</v>
      </c>
      <c r="AA433">
        <v>-339597</v>
      </c>
      <c r="AB433" s="6">
        <v>7176913</v>
      </c>
      <c r="AC433" s="6">
        <v>6837316</v>
      </c>
      <c r="AD433" s="6">
        <v>1901830</v>
      </c>
      <c r="AE433" s="6">
        <v>673298</v>
      </c>
      <c r="AF433" s="6">
        <v>1228532</v>
      </c>
      <c r="AG433" s="6">
        <v>7927939</v>
      </c>
      <c r="AI433" t="b">
        <v>1</v>
      </c>
      <c r="AK433">
        <v>7.3999999999999996E-2</v>
      </c>
      <c r="AL433">
        <v>7.0000000000000007E-2</v>
      </c>
      <c r="AM433">
        <v>7.0000000000000007E-2</v>
      </c>
      <c r="AN433">
        <v>7.3999999999999996E-2</v>
      </c>
      <c r="AS433">
        <v>2582448</v>
      </c>
      <c r="AT433">
        <v>1306883</v>
      </c>
      <c r="AV433" t="s">
        <v>668</v>
      </c>
      <c r="BB433">
        <f t="shared" si="1021"/>
        <v>0.78237804929680776</v>
      </c>
      <c r="BD433">
        <f t="shared" si="1022"/>
        <v>680618</v>
      </c>
      <c r="BE433">
        <f t="shared" si="1023"/>
        <v>-594947</v>
      </c>
      <c r="BF433">
        <f t="shared" si="1024"/>
        <v>7.7881522977187938</v>
      </c>
      <c r="BG433">
        <f t="shared" si="1025"/>
        <v>-6.8078391183760978</v>
      </c>
      <c r="BH433">
        <f t="shared" si="1026"/>
        <v>7.2979957080474458</v>
      </c>
      <c r="BI433">
        <f t="shared" si="1027"/>
        <v>49.015658967134769</v>
      </c>
      <c r="BJ433">
        <f t="shared" si="1028"/>
        <v>7</v>
      </c>
      <c r="BK433">
        <f>IF($BJ433&lt;=30,IF($B433=2015,VLOOKUP($BJ433,'Treasury Yields'!$C$5:$N$34,$E433,FALSE)/100,IF($B433=2016,VLOOKUP($BJ433,'Treasury Yields'!$C$40:$N$69,$E433,FALSE)/100,IF($B433=2017,VLOOKUP($BJ433,'Treasury Yields'!$C$75:$N$104,$E433,FALSE)/100,IF($B433=2018,VLOOKUP($BJ433,'Treasury Yields'!$C$110:$N$139,$E433,FALSE)/100,IF($B433=2019,VLOOKUP($BJ433,'Treasury Yields'!$C$145:$N$174,$E433,FALSE)/100,IF($B433=2020,VLOOKUP($BJ433,'Treasury Yields'!$C$180:$N$209,$E433,FALSE)/100,IF($B433=2021,VLOOKUP($BJ433,'Treasury Yields'!$C$215:$N$244,$E433,FALSE)/100,IF($B433=2022,VLOOKUP($BJ433,'Treasury Yields'!$C$250:$N$279,$E433,FALSE)/100)))))))),0)</f>
        <v>1.5282272727272726E-2</v>
      </c>
      <c r="BL433">
        <f t="shared" si="1029"/>
        <v>1.4023237684683669</v>
      </c>
      <c r="BM433">
        <f t="shared" si="1030"/>
        <v>11008537.472791826</v>
      </c>
      <c r="BN433">
        <f t="shared" si="1031"/>
        <v>3831624.4727918264</v>
      </c>
      <c r="BP433">
        <f>IF($BJ433&lt;=30,IF($B433=2015,VLOOKUP($BJ433,'Treasury Yields'!$C$40:$N$69,$E433,FALSE)/100,IF($B433=2016,VLOOKUP($BJ433,'Treasury Yields'!$C$75:$N$104,$E433,FALSE)/100,IF($B433=2017,VLOOKUP($BJ433,'Treasury Yields'!$C$110:$N$139,$E433,FALSE)/100,IF($B433=2018,VLOOKUP($BJ433,'Treasury Yields'!$C$145:$N$174,$E433,FALSE)/100,IF($B433=2019,VLOOKUP($BJ433,'Treasury Yields'!$C$180:$N$209,$E433,FALSE)/100,IF($B433=2020,VLOOKUP($BJ433,'Treasury Yields'!$C$215:$N$244,$E433,FALSE)/100,IF($B433=2021,VLOOKUP($BJ433,'Treasury Yields'!$C$250:$N$279,$E433,FALSE)/100,IF($B433=2022,VLOOKUP($BJ433,'Treasury Yields'!$C$285:$N$314,$E433,FALSE)/100)))))))),0)</f>
        <v>3.1068181818181814E-2</v>
      </c>
      <c r="BQ433">
        <f t="shared" si="1032"/>
        <v>1.3151593658419791</v>
      </c>
      <c r="BR433">
        <f t="shared" si="1033"/>
        <v>11493369.711360468</v>
      </c>
      <c r="BS433">
        <f t="shared" si="1034"/>
        <v>4656053.7113604676</v>
      </c>
      <c r="BU433">
        <f t="shared" si="928"/>
        <v>10</v>
      </c>
      <c r="BV433">
        <f t="shared" si="1035"/>
        <v>2.1846937861981264</v>
      </c>
      <c r="BW433">
        <f t="shared" si="1036"/>
        <v>4467.6987927751688</v>
      </c>
      <c r="BX433" s="5">
        <f t="shared" si="1037"/>
        <v>155055.40881129357</v>
      </c>
      <c r="BY433" s="5">
        <f t="shared" si="1038"/>
        <v>45375.867005384491</v>
      </c>
      <c r="BZ433" s="5">
        <f t="shared" si="1039"/>
        <v>551609</v>
      </c>
      <c r="CA433" s="5">
        <f t="shared" si="1040"/>
        <v>49843.56579815966</v>
      </c>
      <c r="CC433" s="5">
        <f t="shared" si="1041"/>
        <v>11493369.711360468</v>
      </c>
      <c r="CD433" s="5" t="str">
        <f t="shared" si="1042"/>
        <v>Washington</v>
      </c>
      <c r="CE433" s="5">
        <f t="shared" si="927"/>
        <v>0.78237804929680776</v>
      </c>
      <c r="CF433" s="10">
        <f t="shared" si="1043"/>
        <v>0.59489220060864711</v>
      </c>
    </row>
    <row r="434" spans="1:84" hidden="1" x14ac:dyDescent="0.2">
      <c r="A434">
        <v>48000000000000</v>
      </c>
      <c r="B434">
        <v>2015</v>
      </c>
      <c r="C434">
        <v>580</v>
      </c>
      <c r="D434" t="s">
        <v>661</v>
      </c>
      <c r="E434">
        <v>6</v>
      </c>
      <c r="F434" t="s">
        <v>662</v>
      </c>
      <c r="G434" t="s">
        <v>669</v>
      </c>
      <c r="H434" t="s">
        <v>670</v>
      </c>
      <c r="I434" t="b">
        <v>1</v>
      </c>
      <c r="J434">
        <v>352315</v>
      </c>
      <c r="K434">
        <v>776944</v>
      </c>
      <c r="L434">
        <v>0</v>
      </c>
      <c r="M434">
        <v>163251</v>
      </c>
      <c r="N434">
        <v>896</v>
      </c>
      <c r="O434">
        <v>186052</v>
      </c>
      <c r="Q434">
        <v>1107354</v>
      </c>
      <c r="R434">
        <v>10113479</v>
      </c>
      <c r="S434">
        <v>11220833</v>
      </c>
      <c r="T434">
        <v>267038</v>
      </c>
      <c r="V434">
        <v>52713</v>
      </c>
      <c r="W434">
        <v>453524</v>
      </c>
      <c r="Y434">
        <v>64</v>
      </c>
      <c r="Z434">
        <v>-618</v>
      </c>
      <c r="AA434">
        <v>586541</v>
      </c>
      <c r="AB434">
        <v>9790490</v>
      </c>
      <c r="AC434">
        <v>10377031</v>
      </c>
      <c r="AD434">
        <v>843802</v>
      </c>
      <c r="AE434">
        <v>322989</v>
      </c>
      <c r="AF434">
        <v>520813</v>
      </c>
      <c r="AG434">
        <v>4681511</v>
      </c>
      <c r="AH434">
        <v>5.7040985271635591E-2</v>
      </c>
      <c r="AI434" t="b">
        <v>1</v>
      </c>
      <c r="AK434">
        <v>7.4999999999999997E-2</v>
      </c>
      <c r="AL434">
        <v>7.4999999999999997E-2</v>
      </c>
      <c r="AM434">
        <v>7.4999999999999997E-2</v>
      </c>
      <c r="AN434">
        <v>7.4999999999999997E-2</v>
      </c>
      <c r="AO434">
        <v>1</v>
      </c>
      <c r="AP434">
        <v>0</v>
      </c>
      <c r="AS434">
        <v>3570229</v>
      </c>
      <c r="AT434">
        <v>-1183066</v>
      </c>
      <c r="BB434">
        <f t="shared" si="1021"/>
        <v>0.92480041365912846</v>
      </c>
      <c r="BD434">
        <f t="shared" si="1022"/>
        <v>2726427</v>
      </c>
      <c r="BE434">
        <f t="shared" si="1023"/>
        <v>-2026868</v>
      </c>
      <c r="BF434">
        <f t="shared" si="1024"/>
        <v>24.297901947208373</v>
      </c>
      <c r="BG434">
        <f t="shared" si="1025"/>
        <v>-18.063436110313734</v>
      </c>
      <c r="BH434">
        <f t="shared" si="1026"/>
        <v>21.180669028761056</v>
      </c>
      <c r="BI434">
        <f t="shared" si="1027"/>
        <v>311.72329184473205</v>
      </c>
      <c r="BJ434">
        <f t="shared" si="1028"/>
        <v>21</v>
      </c>
      <c r="BK434">
        <f>IF($BJ434&lt;=30,IF($B434=2015,VLOOKUP($BJ434,'Treasury Yields'!$C$5:$N$34,$E434,FALSE)/100,IF($B434=2016,VLOOKUP($BJ434,'Treasury Yields'!$C$40:$N$69,$E434,FALSE)/100,IF($B434=2017,VLOOKUP($BJ434,'Treasury Yields'!$C$75:$N$104,$E434,FALSE)/100,IF($B434=2018,VLOOKUP($BJ434,'Treasury Yields'!$C$110:$N$139,$E434,FALSE)/100,IF($B434=2019,VLOOKUP($BJ434,'Treasury Yields'!$C$145:$N$174,$E434,FALSE)/100,IF($B434=2020,VLOOKUP($BJ434,'Treasury Yields'!$C$180:$N$209,$E434,FALSE)/100,IF($B434=2021,VLOOKUP($BJ434,'Treasury Yields'!$C$215:$N$244,$E434,FALSE)/100,IF($B434=2022,VLOOKUP($BJ434,'Treasury Yields'!$C$250:$N$279,$E434,FALSE)/100)))))))),0)</f>
        <v>3.4499999999999996E-2</v>
      </c>
      <c r="BL434">
        <f t="shared" si="1029"/>
        <v>1.8594573456648227</v>
      </c>
      <c r="BM434">
        <f t="shared" si="1030"/>
        <v>18805582.816776924</v>
      </c>
      <c r="BN434">
        <f t="shared" si="1031"/>
        <v>9015092.8167769238</v>
      </c>
      <c r="BP434">
        <f>IF($BJ434&lt;=30,IF($B434=2015,VLOOKUP($BJ434,'Treasury Yields'!$C$40:$N$69,$E434,FALSE)/100,IF($B434=2016,VLOOKUP($BJ434,'Treasury Yields'!$C$75:$N$104,$E434,FALSE)/100,IF($B434=2017,VLOOKUP($BJ434,'Treasury Yields'!$C$110:$N$139,$E434,FALSE)/100,IF($B434=2018,VLOOKUP($BJ434,'Treasury Yields'!$C$145:$N$174,$E434,FALSE)/100,IF($B434=2019,VLOOKUP($BJ434,'Treasury Yields'!$C$180:$N$209,$E434,FALSE)/100,IF($B434=2020,VLOOKUP($BJ434,'Treasury Yields'!$C$215:$N$244,$E434,FALSE)/100,IF($B434=2021,VLOOKUP($BJ434,'Treasury Yields'!$C$250:$N$279,$E434,FALSE)/100,IF($B434=2022,VLOOKUP($BJ434,'Treasury Yields'!$C$285:$N$314,$E434,FALSE)/100)))))))),0)</f>
        <v>3.1852999999999999E-2</v>
      </c>
      <c r="BQ434">
        <f t="shared" si="1032"/>
        <v>1.9157439901929534</v>
      </c>
      <c r="BR434">
        <f t="shared" si="1033"/>
        <v>21496243.384708766</v>
      </c>
      <c r="BS434">
        <f t="shared" si="1034"/>
        <v>11119212.384708766</v>
      </c>
      <c r="BU434">
        <f t="shared" si="928"/>
        <v>24</v>
      </c>
      <c r="BV434">
        <f t="shared" si="1035"/>
        <v>3.3411212251131448</v>
      </c>
      <c r="BW434">
        <f t="shared" si="1036"/>
        <v>1177127.1244257377</v>
      </c>
      <c r="BX434" s="5">
        <f t="shared" si="1037"/>
        <v>682984.69897149177</v>
      </c>
      <c r="BY434" s="5">
        <f t="shared" si="1038"/>
        <v>345212.79397149174</v>
      </c>
      <c r="BZ434" s="5">
        <f t="shared" si="1039"/>
        <v>1129259</v>
      </c>
      <c r="CA434" s="5">
        <f t="shared" si="1040"/>
        <v>1522339.9183972294</v>
      </c>
      <c r="CC434" s="5">
        <f t="shared" si="1041"/>
        <v>21496243.384708766</v>
      </c>
      <c r="CD434" s="5" t="str">
        <f t="shared" si="1042"/>
        <v>Washington</v>
      </c>
      <c r="CE434" s="5">
        <f t="shared" si="927"/>
        <v>0.92480041365912846</v>
      </c>
      <c r="CF434" s="10">
        <f t="shared" si="1043"/>
        <v>0.48273695148900497</v>
      </c>
    </row>
    <row r="435" spans="1:84" hidden="1" x14ac:dyDescent="0.2">
      <c r="A435">
        <v>48000000000000</v>
      </c>
      <c r="B435">
        <v>2016</v>
      </c>
      <c r="C435">
        <v>580</v>
      </c>
      <c r="D435" t="s">
        <v>661</v>
      </c>
      <c r="E435">
        <v>6</v>
      </c>
      <c r="F435" t="s">
        <v>662</v>
      </c>
      <c r="G435" t="s">
        <v>669</v>
      </c>
      <c r="H435" t="s">
        <v>670</v>
      </c>
      <c r="I435" t="b">
        <v>1</v>
      </c>
      <c r="J435">
        <v>373617</v>
      </c>
      <c r="K435">
        <v>857073</v>
      </c>
      <c r="M435">
        <v>-74782</v>
      </c>
      <c r="N435">
        <v>16463</v>
      </c>
      <c r="O435">
        <v>220982</v>
      </c>
      <c r="Q435">
        <v>951389</v>
      </c>
      <c r="R435">
        <v>11220833</v>
      </c>
      <c r="S435">
        <v>12172222</v>
      </c>
      <c r="T435">
        <v>316022</v>
      </c>
      <c r="V435">
        <v>68587</v>
      </c>
      <c r="W435">
        <v>258942</v>
      </c>
      <c r="Y435">
        <v>67</v>
      </c>
      <c r="Z435">
        <v>-608</v>
      </c>
      <c r="AA435">
        <v>421894</v>
      </c>
      <c r="AB435">
        <v>10377031</v>
      </c>
      <c r="AC435">
        <v>10798925</v>
      </c>
      <c r="AD435">
        <v>1373297</v>
      </c>
      <c r="AE435">
        <v>843802</v>
      </c>
      <c r="AF435">
        <v>529495</v>
      </c>
      <c r="AG435">
        <v>5054071</v>
      </c>
      <c r="AH435">
        <v>6.2528207458897991E-2</v>
      </c>
      <c r="AI435" t="b">
        <v>1</v>
      </c>
      <c r="AK435">
        <v>7.4999999999999997E-2</v>
      </c>
      <c r="AL435">
        <v>7.4999999999999997E-2</v>
      </c>
      <c r="AM435">
        <v>7.4999999999999997E-2</v>
      </c>
      <c r="AN435">
        <v>7.4999999999999997E-2</v>
      </c>
      <c r="AO435">
        <v>1</v>
      </c>
      <c r="AP435">
        <v>0</v>
      </c>
      <c r="AS435">
        <v>3107958</v>
      </c>
      <c r="AT435">
        <v>-1595357</v>
      </c>
      <c r="AU435" t="s">
        <v>72</v>
      </c>
      <c r="AV435" t="s">
        <v>665</v>
      </c>
      <c r="BB435">
        <f t="shared" si="1021"/>
        <v>0.88717778890329146</v>
      </c>
      <c r="BD435">
        <f t="shared" si="1022"/>
        <v>1734661</v>
      </c>
      <c r="BE435">
        <f t="shared" si="1023"/>
        <v>-2968654</v>
      </c>
      <c r="BF435">
        <f t="shared" si="1024"/>
        <v>14.250980634431412</v>
      </c>
      <c r="BG435">
        <f t="shared" si="1025"/>
        <v>-24.388759915814877</v>
      </c>
      <c r="BH435">
        <f t="shared" si="1026"/>
        <v>19.319870275123144</v>
      </c>
      <c r="BI435">
        <f t="shared" si="1027"/>
        <v>-506.8889640691732</v>
      </c>
      <c r="BJ435">
        <f t="shared" si="1028"/>
        <v>19</v>
      </c>
      <c r="BK435">
        <f>IF($BJ435&lt;=30,IF($B435=2015,VLOOKUP($BJ435,'Treasury Yields'!$C$5:$N$34,$E435,FALSE)/100,IF($B435=2016,VLOOKUP($BJ435,'Treasury Yields'!$C$40:$N$69,$E435,FALSE)/100,IF($B435=2017,VLOOKUP($BJ435,'Treasury Yields'!$C$75:$N$104,$E435,FALSE)/100,IF($B435=2018,VLOOKUP($BJ435,'Treasury Yields'!$C$110:$N$139,$E435,FALSE)/100,IF($B435=2019,VLOOKUP($BJ435,'Treasury Yields'!$C$145:$N$174,$E435,FALSE)/100,IF($B435=2020,VLOOKUP($BJ435,'Treasury Yields'!$C$180:$N$209,$E435,FALSE)/100,IF($B435=2021,VLOOKUP($BJ435,'Treasury Yields'!$C$215:$N$244,$E435,FALSE)/100,IF($B435=2022,VLOOKUP($BJ435,'Treasury Yields'!$C$250:$N$279,$E435,FALSE)/100)))))))),0)</f>
        <v>3.1290000000000005E-2</v>
      </c>
      <c r="BL435">
        <f t="shared" si="1029"/>
        <v>1.8463820938256323</v>
      </c>
      <c r="BM435">
        <f t="shared" si="1030"/>
        <v>20717945.129007753</v>
      </c>
      <c r="BN435">
        <f t="shared" si="1031"/>
        <v>10340914.129007753</v>
      </c>
      <c r="BP435">
        <f>IF($BJ435&lt;=30,IF($B435=2015,VLOOKUP($BJ435,'Treasury Yields'!$C$40:$N$69,$E435,FALSE)/100,IF($B435=2016,VLOOKUP($BJ435,'Treasury Yields'!$C$75:$N$104,$E435,FALSE)/100,IF($B435=2017,VLOOKUP($BJ435,'Treasury Yields'!$C$110:$N$139,$E435,FALSE)/100,IF($B435=2018,VLOOKUP($BJ435,'Treasury Yields'!$C$145:$N$174,$E435,FALSE)/100,IF($B435=2019,VLOOKUP($BJ435,'Treasury Yields'!$C$180:$N$209,$E435,FALSE)/100,IF($B435=2020,VLOOKUP($BJ435,'Treasury Yields'!$C$215:$N$244,$E435,FALSE)/100,IF($B435=2021,VLOOKUP($BJ435,'Treasury Yields'!$C$250:$N$279,$E435,FALSE)/100,IF($B435=2022,VLOOKUP($BJ435,'Treasury Yields'!$C$285:$N$314,$E435,FALSE)/100)))))))),0)</f>
        <v>2.1028000000000002E-2</v>
      </c>
      <c r="BQ435">
        <f t="shared" si="1032"/>
        <v>2.0456450152729464</v>
      </c>
      <c r="BR435">
        <f t="shared" si="1033"/>
        <v>24900045.259095695</v>
      </c>
      <c r="BS435">
        <f t="shared" si="1034"/>
        <v>14101120.259095695</v>
      </c>
      <c r="BU435">
        <f t="shared" si="928"/>
        <v>22</v>
      </c>
      <c r="BV435">
        <f t="shared" si="1035"/>
        <v>1.8376476722888806</v>
      </c>
      <c r="BW435">
        <f t="shared" si="1036"/>
        <v>686576.41037755471</v>
      </c>
      <c r="BX435" s="5">
        <f t="shared" si="1037"/>
        <v>662832.95218736643</v>
      </c>
      <c r="BY435" s="5">
        <f t="shared" si="1038"/>
        <v>338135.65219736635</v>
      </c>
      <c r="BZ435" s="5">
        <f t="shared" si="1039"/>
        <v>1230690</v>
      </c>
      <c r="CA435" s="5">
        <f t="shared" si="1040"/>
        <v>1024712.0625749211</v>
      </c>
      <c r="CC435" s="5">
        <f t="shared" si="1041"/>
        <v>24900045.259095695</v>
      </c>
      <c r="CD435" s="5" t="str">
        <f t="shared" si="1042"/>
        <v>Washington</v>
      </c>
      <c r="CE435" s="5">
        <f t="shared" si="927"/>
        <v>0.88717778890329146</v>
      </c>
      <c r="CF435" s="10">
        <f t="shared" si="1043"/>
        <v>0.43369097877664614</v>
      </c>
    </row>
    <row r="436" spans="1:84" hidden="1" x14ac:dyDescent="0.2">
      <c r="A436">
        <v>48000000000000</v>
      </c>
      <c r="B436">
        <v>2017</v>
      </c>
      <c r="C436">
        <v>580</v>
      </c>
      <c r="D436" t="s">
        <v>661</v>
      </c>
      <c r="E436">
        <v>6</v>
      </c>
      <c r="F436" t="s">
        <v>662</v>
      </c>
      <c r="G436" t="s">
        <v>669</v>
      </c>
      <c r="H436" t="s">
        <v>670</v>
      </c>
      <c r="I436" t="b">
        <v>1</v>
      </c>
      <c r="J436">
        <v>410975</v>
      </c>
      <c r="K436">
        <v>947283</v>
      </c>
      <c r="L436">
        <v>0</v>
      </c>
      <c r="M436">
        <v>173667</v>
      </c>
      <c r="N436">
        <v>115</v>
      </c>
      <c r="O436">
        <v>257731</v>
      </c>
      <c r="Q436">
        <v>1274309</v>
      </c>
      <c r="R436">
        <v>12172222</v>
      </c>
      <c r="S436">
        <v>13446531</v>
      </c>
      <c r="T436">
        <v>364106</v>
      </c>
      <c r="V436">
        <v>81378</v>
      </c>
      <c r="W436">
        <v>1539461</v>
      </c>
      <c r="Y436">
        <v>93</v>
      </c>
      <c r="Z436">
        <v>-2458</v>
      </c>
      <c r="AA436">
        <v>1724663</v>
      </c>
      <c r="AB436">
        <v>10798925</v>
      </c>
      <c r="AC436">
        <v>12523588</v>
      </c>
      <c r="AD436">
        <v>922943</v>
      </c>
      <c r="AE436">
        <v>1373297</v>
      </c>
      <c r="AF436">
        <v>-450354</v>
      </c>
      <c r="AG436">
        <v>5466498</v>
      </c>
      <c r="AH436">
        <v>6.6606811161368754E-2</v>
      </c>
      <c r="AI436" t="b">
        <v>1</v>
      </c>
      <c r="AK436">
        <v>7.4999999999999997E-2</v>
      </c>
      <c r="AL436">
        <v>7.4999999999999997E-2</v>
      </c>
      <c r="AM436">
        <v>7.6999999999999999E-2</v>
      </c>
      <c r="AN436">
        <v>7.4999999999999997E-2</v>
      </c>
      <c r="AO436">
        <v>1</v>
      </c>
      <c r="AP436">
        <v>2.0000000000000018E-3</v>
      </c>
      <c r="AS436">
        <v>3134647</v>
      </c>
      <c r="AT436">
        <v>-873375</v>
      </c>
      <c r="AU436" t="s">
        <v>395</v>
      </c>
      <c r="AV436" t="s">
        <v>666</v>
      </c>
      <c r="BB436">
        <f t="shared" si="1021"/>
        <v>0.93136199961164701</v>
      </c>
      <c r="BD436">
        <f t="shared" si="1022"/>
        <v>2211704</v>
      </c>
      <c r="BE436">
        <f t="shared" si="1023"/>
        <v>-1796318</v>
      </c>
      <c r="BF436">
        <f t="shared" si="1024"/>
        <v>16.448138185231567</v>
      </c>
      <c r="BG436">
        <f t="shared" si="1025"/>
        <v>-13.358969685192413</v>
      </c>
      <c r="BH436">
        <f t="shared" si="1026"/>
        <v>14.903553935211988</v>
      </c>
      <c r="BI436">
        <f t="shared" si="1027"/>
        <v>154.45842500195775</v>
      </c>
      <c r="BJ436">
        <f t="shared" si="1028"/>
        <v>15</v>
      </c>
      <c r="BK436">
        <f>IF($BJ436&lt;=30,IF($B436=2015,VLOOKUP($BJ436,'Treasury Yields'!$C$5:$N$34,$E436,FALSE)/100,IF($B436=2016,VLOOKUP($BJ436,'Treasury Yields'!$C$40:$N$69,$E436,FALSE)/100,IF($B436=2017,VLOOKUP($BJ436,'Treasury Yields'!$C$75:$N$104,$E436,FALSE)/100,IF($B436=2018,VLOOKUP($BJ436,'Treasury Yields'!$C$110:$N$139,$E436,FALSE)/100,IF($B436=2019,VLOOKUP($BJ436,'Treasury Yields'!$C$145:$N$174,$E436,FALSE)/100,IF($B436=2020,VLOOKUP($BJ436,'Treasury Yields'!$C$180:$N$209,$E436,FALSE)/100,IF($B436=2021,VLOOKUP($BJ436,'Treasury Yields'!$C$215:$N$244,$E436,FALSE)/100,IF($B436=2022,VLOOKUP($BJ436,'Treasury Yields'!$C$250:$N$279,$E436,FALSE)/100)))))))),0)</f>
        <v>1.934E-2</v>
      </c>
      <c r="BL436">
        <f t="shared" si="1029"/>
        <v>1.8326298476338994</v>
      </c>
      <c r="BM436">
        <f t="shared" si="1030"/>
        <v>22307177.349225998</v>
      </c>
      <c r="BN436">
        <f t="shared" si="1031"/>
        <v>11508252.349225998</v>
      </c>
      <c r="BP436">
        <f>IF($BJ436&lt;=30,IF($B436=2015,VLOOKUP($BJ436,'Treasury Yields'!$C$40:$N$69,$E436,FALSE)/100,IF($B436=2016,VLOOKUP($BJ436,'Treasury Yields'!$C$75:$N$104,$E436,FALSE)/100,IF($B436=2017,VLOOKUP($BJ436,'Treasury Yields'!$C$110:$N$139,$E436,FALSE)/100,IF($B436=2018,VLOOKUP($BJ436,'Treasury Yields'!$C$145:$N$174,$E436,FALSE)/100,IF($B436=2019,VLOOKUP($BJ436,'Treasury Yields'!$C$180:$N$209,$E436,FALSE)/100,IF($B436=2020,VLOOKUP($BJ436,'Treasury Yields'!$C$215:$N$244,$E436,FALSE)/100,IF($B436=2021,VLOOKUP($BJ436,'Treasury Yields'!$C$250:$N$279,$E436,FALSE)/100,IF($B436=2022,VLOOKUP($BJ436,'Treasury Yields'!$C$285:$N$314,$E436,FALSE)/100)))))))),0)</f>
        <v>2.6669999999999999E-2</v>
      </c>
      <c r="BQ436">
        <f t="shared" si="1032"/>
        <v>1.7226245505887954</v>
      </c>
      <c r="BR436">
        <f t="shared" si="1033"/>
        <v>23163324.420853306</v>
      </c>
      <c r="BS436">
        <f t="shared" si="1034"/>
        <v>10639736.420853306</v>
      </c>
      <c r="BU436">
        <f t="shared" si="928"/>
        <v>18</v>
      </c>
      <c r="BV436">
        <f t="shared" si="1035"/>
        <v>3.3099295114098943</v>
      </c>
      <c r="BW436">
        <f t="shared" si="1036"/>
        <v>1360298.2809516813</v>
      </c>
      <c r="BX436" s="5">
        <f t="shared" si="1037"/>
        <v>452744.46114763635</v>
      </c>
      <c r="BY436" s="5">
        <f t="shared" si="1038"/>
        <v>243893.25164763629</v>
      </c>
      <c r="BZ436" s="5">
        <f t="shared" si="1039"/>
        <v>1358258</v>
      </c>
      <c r="CA436" s="5">
        <f t="shared" si="1040"/>
        <v>1604191.5325993176</v>
      </c>
      <c r="CC436" s="5">
        <f t="shared" si="1041"/>
        <v>23163324.420853306</v>
      </c>
      <c r="CD436" s="5" t="str">
        <f t="shared" si="1042"/>
        <v>Washington</v>
      </c>
      <c r="CE436" s="5">
        <f t="shared" si="927"/>
        <v>0.93136199961164701</v>
      </c>
      <c r="CF436" s="10">
        <f t="shared" si="1043"/>
        <v>0.54066453383199853</v>
      </c>
    </row>
    <row r="437" spans="1:84" hidden="1" x14ac:dyDescent="0.2">
      <c r="A437">
        <v>48000000000000</v>
      </c>
      <c r="B437">
        <v>2018</v>
      </c>
      <c r="C437">
        <v>580</v>
      </c>
      <c r="D437" t="s">
        <v>661</v>
      </c>
      <c r="E437">
        <v>6</v>
      </c>
      <c r="F437" t="s">
        <v>662</v>
      </c>
      <c r="G437" t="s">
        <v>669</v>
      </c>
      <c r="H437" t="s">
        <v>670</v>
      </c>
      <c r="I437" t="b">
        <v>1</v>
      </c>
      <c r="J437">
        <v>419931</v>
      </c>
      <c r="K437">
        <v>1028827</v>
      </c>
      <c r="L437">
        <v>0</v>
      </c>
      <c r="M437">
        <v>32080</v>
      </c>
      <c r="N437">
        <v>-201676</v>
      </c>
      <c r="O437">
        <v>303008</v>
      </c>
      <c r="Q437">
        <v>976154</v>
      </c>
      <c r="R437">
        <v>13446531</v>
      </c>
      <c r="S437">
        <v>14422685</v>
      </c>
      <c r="T437">
        <v>446275</v>
      </c>
      <c r="V437">
        <v>103172</v>
      </c>
      <c r="W437">
        <v>1203551</v>
      </c>
      <c r="Y437">
        <v>88</v>
      </c>
      <c r="Z437">
        <v>-919</v>
      </c>
      <c r="AA437">
        <v>1448983</v>
      </c>
      <c r="AB437">
        <v>12523588</v>
      </c>
      <c r="AC437">
        <v>13972571</v>
      </c>
      <c r="AD437">
        <v>450114</v>
      </c>
      <c r="AE437">
        <v>922943</v>
      </c>
      <c r="AF437">
        <v>-472829</v>
      </c>
      <c r="AG437">
        <v>5891871</v>
      </c>
      <c r="AH437">
        <v>7.574419059751987E-2</v>
      </c>
      <c r="AI437" t="b">
        <v>1</v>
      </c>
      <c r="AK437">
        <v>7.4999999999999997E-2</v>
      </c>
      <c r="AL437">
        <v>7.3999999999999996E-2</v>
      </c>
      <c r="AM437">
        <v>7.4999999999999997E-2</v>
      </c>
      <c r="AN437">
        <v>7.6999999999999999E-2</v>
      </c>
      <c r="AO437">
        <v>1</v>
      </c>
      <c r="AP437">
        <v>1.0000000000000009E-3</v>
      </c>
      <c r="AS437">
        <v>2805439</v>
      </c>
      <c r="AT437">
        <v>-1463229</v>
      </c>
      <c r="AU437" t="s">
        <v>627</v>
      </c>
      <c r="AV437" t="s">
        <v>667</v>
      </c>
      <c r="BB437">
        <f t="shared" si="1021"/>
        <v>0.9687912479541777</v>
      </c>
      <c r="BD437">
        <f t="shared" si="1022"/>
        <v>2355325</v>
      </c>
      <c r="BE437">
        <f t="shared" si="1023"/>
        <v>-1913343</v>
      </c>
      <c r="BF437">
        <f t="shared" si="1024"/>
        <v>16.330697092809</v>
      </c>
      <c r="BG437">
        <f t="shared" si="1025"/>
        <v>-13.266205287018332</v>
      </c>
      <c r="BH437">
        <f t="shared" si="1026"/>
        <v>14.798451189913667</v>
      </c>
      <c r="BI437">
        <f t="shared" si="1027"/>
        <v>153.22459028953347</v>
      </c>
      <c r="BJ437">
        <f t="shared" si="1028"/>
        <v>15</v>
      </c>
      <c r="BK437">
        <f>IF($BJ437&lt;=30,IF($B437=2015,VLOOKUP($BJ437,'Treasury Yields'!$C$5:$N$34,$E437,FALSE)/100,IF($B437=2016,VLOOKUP($BJ437,'Treasury Yields'!$C$40:$N$69,$E437,FALSE)/100,IF($B437=2017,VLOOKUP($BJ437,'Treasury Yields'!$C$75:$N$104,$E437,FALSE)/100,IF($B437=2018,VLOOKUP($BJ437,'Treasury Yields'!$C$110:$N$139,$E437,FALSE)/100,IF($B437=2019,VLOOKUP($BJ437,'Treasury Yields'!$C$145:$N$174,$E437,FALSE)/100,IF($B437=2020,VLOOKUP($BJ437,'Treasury Yields'!$C$180:$N$209,$E437,FALSE)/100,IF($B437=2021,VLOOKUP($BJ437,'Treasury Yields'!$C$215:$N$244,$E437,FALSE)/100,IF($B437=2022,VLOOKUP($BJ437,'Treasury Yields'!$C$250:$N$279,$E437,FALSE)/100)))))))),0)</f>
        <v>2.6669999999999999E-2</v>
      </c>
      <c r="BL437">
        <f t="shared" si="1029"/>
        <v>1.702650823718614</v>
      </c>
      <c r="BM437">
        <f t="shared" si="1030"/>
        <v>22894747.083307877</v>
      </c>
      <c r="BN437">
        <f t="shared" si="1031"/>
        <v>10371159.083307877</v>
      </c>
      <c r="BP437">
        <f>IF($BJ437&lt;=30,IF($B437=2015,VLOOKUP($BJ437,'Treasury Yields'!$C$40:$N$69,$E437,FALSE)/100,IF($B437=2016,VLOOKUP($BJ437,'Treasury Yields'!$C$75:$N$104,$E437,FALSE)/100,IF($B437=2017,VLOOKUP($BJ437,'Treasury Yields'!$C$110:$N$139,$E437,FALSE)/100,IF($B437=2018,VLOOKUP($BJ437,'Treasury Yields'!$C$145:$N$174,$E437,FALSE)/100,IF($B437=2019,VLOOKUP($BJ437,'Treasury Yields'!$C$180:$N$209,$E437,FALSE)/100,IF($B437=2020,VLOOKUP($BJ437,'Treasury Yields'!$C$215:$N$244,$E437,FALSE)/100,IF($B437=2021,VLOOKUP($BJ437,'Treasury Yields'!$C$250:$N$279,$E437,FALSE)/100,IF($B437=2022,VLOOKUP($BJ437,'Treasury Yields'!$C$285:$N$314,$E437,FALSE)/100)))))))),0)</f>
        <v>3.0259999999999999E-2</v>
      </c>
      <c r="BQ437">
        <f t="shared" si="1032"/>
        <v>1.6938642362165648</v>
      </c>
      <c r="BR437">
        <f t="shared" si="1033"/>
        <v>24430070.311717104</v>
      </c>
      <c r="BS437">
        <f t="shared" si="1034"/>
        <v>10457499.311717104</v>
      </c>
      <c r="BU437">
        <f t="shared" si="928"/>
        <v>18</v>
      </c>
      <c r="BV437">
        <f t="shared" si="1035"/>
        <v>3.0388806217496254</v>
      </c>
      <c r="BW437">
        <f t="shared" si="1036"/>
        <v>1276120.1783719419</v>
      </c>
      <c r="BX437" s="5">
        <f t="shared" si="1037"/>
        <v>636555.80650900083</v>
      </c>
      <c r="BY437" s="5">
        <f t="shared" si="1038"/>
        <v>302551.71454900078</v>
      </c>
      <c r="BZ437" s="5">
        <f t="shared" si="1039"/>
        <v>1448758</v>
      </c>
      <c r="CA437" s="5">
        <f t="shared" si="1040"/>
        <v>1578671.8929209427</v>
      </c>
      <c r="CC437" s="5">
        <f t="shared" si="1041"/>
        <v>24430070.311717104</v>
      </c>
      <c r="CD437" s="5" t="str">
        <f t="shared" si="1042"/>
        <v>Washington</v>
      </c>
      <c r="CE437" s="5">
        <f t="shared" si="927"/>
        <v>0.9687912479541777</v>
      </c>
      <c r="CF437" s="10">
        <f t="shared" si="1043"/>
        <v>0.57194149757720925</v>
      </c>
    </row>
    <row r="438" spans="1:84" hidden="1" x14ac:dyDescent="0.2">
      <c r="A438">
        <v>48000000000000</v>
      </c>
      <c r="B438">
        <v>2019</v>
      </c>
      <c r="C438">
        <v>580</v>
      </c>
      <c r="D438" t="s">
        <v>661</v>
      </c>
      <c r="E438">
        <v>6</v>
      </c>
      <c r="F438" t="s">
        <v>662</v>
      </c>
      <c r="G438" t="s">
        <v>669</v>
      </c>
      <c r="H438" t="s">
        <v>670</v>
      </c>
      <c r="I438" t="b">
        <v>1</v>
      </c>
      <c r="J438">
        <v>498667</v>
      </c>
      <c r="K438">
        <v>1116550</v>
      </c>
      <c r="M438">
        <v>288157</v>
      </c>
      <c r="N438">
        <v>248622</v>
      </c>
      <c r="O438">
        <v>386410</v>
      </c>
      <c r="Q438">
        <v>1765586</v>
      </c>
      <c r="R438">
        <v>14779608</v>
      </c>
      <c r="S438">
        <v>16545194</v>
      </c>
      <c r="T438">
        <v>523733</v>
      </c>
      <c r="V438">
        <v>124672</v>
      </c>
      <c r="W438">
        <v>1290598</v>
      </c>
      <c r="Y438">
        <v>196</v>
      </c>
      <c r="Z438">
        <v>82285</v>
      </c>
      <c r="AA438">
        <v>1634682</v>
      </c>
      <c r="AB438">
        <v>14307978</v>
      </c>
      <c r="AC438">
        <v>15942660</v>
      </c>
      <c r="AD438">
        <v>602534</v>
      </c>
      <c r="AE438">
        <v>471630</v>
      </c>
      <c r="AF438">
        <v>130904</v>
      </c>
      <c r="AG438">
        <v>6721600</v>
      </c>
      <c r="AH438">
        <v>7.7917906450845037E-2</v>
      </c>
      <c r="AI438" t="b">
        <v>1</v>
      </c>
      <c r="AK438">
        <v>7.4999999999999997E-2</v>
      </c>
      <c r="AL438">
        <v>7.3999999999999996E-2</v>
      </c>
      <c r="AM438">
        <v>7.4999999999999997E-2</v>
      </c>
      <c r="AN438">
        <v>7.4999999999999997E-2</v>
      </c>
      <c r="AO438">
        <v>1</v>
      </c>
      <c r="AP438">
        <v>1.0000000000000009E-3</v>
      </c>
      <c r="AS438">
        <v>2965100</v>
      </c>
      <c r="AT438">
        <v>-15465</v>
      </c>
      <c r="BB438">
        <f t="shared" si="1021"/>
        <v>0.96358253641510638</v>
      </c>
      <c r="BD438">
        <f t="shared" si="1022"/>
        <v>2362566</v>
      </c>
      <c r="BE438">
        <f t="shared" si="1023"/>
        <v>-617999</v>
      </c>
      <c r="BF438">
        <f t="shared" si="1024"/>
        <v>14.27946991736694</v>
      </c>
      <c r="BG438">
        <f t="shared" si="1025"/>
        <v>-3.7352176106245714</v>
      </c>
      <c r="BH438">
        <f t="shared" si="1026"/>
        <v>9.0073437639957561</v>
      </c>
      <c r="BI438">
        <f t="shared" si="1027"/>
        <v>527.21261533711845</v>
      </c>
      <c r="BJ438">
        <f t="shared" si="1028"/>
        <v>9</v>
      </c>
      <c r="BK438">
        <f>IF($BJ438&lt;=30,IF($B438=2015,VLOOKUP($BJ438,'Treasury Yields'!$C$5:$N$34,$E438,FALSE)/100,IF($B438=2016,VLOOKUP($BJ438,'Treasury Yields'!$C$40:$N$69,$E438,FALSE)/100,IF($B438=2017,VLOOKUP($BJ438,'Treasury Yields'!$C$75:$N$104,$E438,FALSE)/100,IF($B438=2018,VLOOKUP($BJ438,'Treasury Yields'!$C$110:$N$139,$E438,FALSE)/100,IF($B438=2019,VLOOKUP($BJ438,'Treasury Yields'!$C$145:$N$174,$E438,FALSE)/100,IF($B438=2020,VLOOKUP($BJ438,'Treasury Yields'!$C$180:$N$209,$E438,FALSE)/100,IF($B438=2021,VLOOKUP($BJ438,'Treasury Yields'!$C$215:$N$244,$E438,FALSE)/100,IF($B438=2022,VLOOKUP($BJ438,'Treasury Yields'!$C$250:$N$279,$E438,FALSE)/100)))))))),0)</f>
        <v>2.9440000000000001E-2</v>
      </c>
      <c r="BL438">
        <f t="shared" si="1029"/>
        <v>1.4033528317236508</v>
      </c>
      <c r="BM438">
        <f t="shared" si="1030"/>
        <v>20741004.738565523</v>
      </c>
      <c r="BN438">
        <f t="shared" si="1031"/>
        <v>6433026.7385655232</v>
      </c>
      <c r="BP438">
        <f>IF($BJ438&lt;=30,IF($B438=2015,VLOOKUP($BJ438,'Treasury Yields'!$C$40:$N$69,$E438,FALSE)/100,IF($B438=2016,VLOOKUP($BJ438,'Treasury Yields'!$C$75:$N$104,$E438,FALSE)/100,IF($B438=2017,VLOOKUP($BJ438,'Treasury Yields'!$C$110:$N$139,$E438,FALSE)/100,IF($B438=2018,VLOOKUP($BJ438,'Treasury Yields'!$C$145:$N$174,$E438,FALSE)/100,IF($B438=2019,VLOOKUP($BJ438,'Treasury Yields'!$C$180:$N$209,$E438,FALSE)/100,IF($B438=2020,VLOOKUP($BJ438,'Treasury Yields'!$C$215:$N$244,$E438,FALSE)/100,IF($B438=2021,VLOOKUP($BJ438,'Treasury Yields'!$C$250:$N$279,$E438,FALSE)/100,IF($B438=2022,VLOOKUP($BJ438,'Treasury Yields'!$C$285:$N$314,$E438,FALSE)/100)))))))),0)</f>
        <v>2.0739999999999998E-2</v>
      </c>
      <c r="BQ438">
        <f t="shared" si="1032"/>
        <v>1.4916826202344098</v>
      </c>
      <c r="BR438">
        <f t="shared" si="1033"/>
        <v>24680178.338206634</v>
      </c>
      <c r="BS438">
        <f t="shared" si="1034"/>
        <v>8737518.3382066339</v>
      </c>
      <c r="BU438">
        <f t="shared" si="928"/>
        <v>12</v>
      </c>
      <c r="BV438">
        <f t="shared" si="1035"/>
        <v>3.0514369776344719</v>
      </c>
      <c r="BW438">
        <f t="shared" si="1036"/>
        <v>1521650.9233260492</v>
      </c>
      <c r="BX438" s="5">
        <f t="shared" si="1037"/>
        <v>644036.67228608788</v>
      </c>
      <c r="BY438" s="5">
        <f t="shared" si="1038"/>
        <v>222809.79996608788</v>
      </c>
      <c r="BZ438" s="5">
        <f t="shared" si="1039"/>
        <v>1615217</v>
      </c>
      <c r="CA438" s="5">
        <f t="shared" si="1040"/>
        <v>1744460.723292137</v>
      </c>
      <c r="CC438" s="5">
        <f t="shared" si="1041"/>
        <v>24680178.338206634</v>
      </c>
      <c r="CD438" s="5" t="str">
        <f t="shared" si="1042"/>
        <v>Washington</v>
      </c>
      <c r="CE438" s="5">
        <f t="shared" si="927"/>
        <v>0.96358253641510638</v>
      </c>
      <c r="CF438" s="10">
        <f t="shared" si="1043"/>
        <v>0.64597021064955806</v>
      </c>
    </row>
    <row r="439" spans="1:84" hidden="1" x14ac:dyDescent="0.2">
      <c r="A439">
        <v>48000000000000</v>
      </c>
      <c r="B439">
        <v>2020</v>
      </c>
      <c r="C439">
        <v>580</v>
      </c>
      <c r="D439" t="s">
        <v>661</v>
      </c>
      <c r="E439">
        <v>6</v>
      </c>
      <c r="F439" t="s">
        <v>662</v>
      </c>
      <c r="G439" t="s">
        <v>669</v>
      </c>
      <c r="H439" t="s">
        <v>670</v>
      </c>
      <c r="I439" t="b">
        <v>1</v>
      </c>
      <c r="J439">
        <v>555700</v>
      </c>
      <c r="K439">
        <v>1249385</v>
      </c>
      <c r="M439">
        <v>683373</v>
      </c>
      <c r="N439">
        <v>-32118</v>
      </c>
      <c r="O439">
        <v>442513</v>
      </c>
      <c r="Q439">
        <v>2013827</v>
      </c>
      <c r="R439">
        <v>16545194</v>
      </c>
      <c r="S439">
        <v>18559021</v>
      </c>
      <c r="T439">
        <v>584424</v>
      </c>
      <c r="V439">
        <v>145633</v>
      </c>
      <c r="W439">
        <v>731956</v>
      </c>
      <c r="Y439">
        <v>251</v>
      </c>
      <c r="Z439">
        <v>61131</v>
      </c>
      <c r="AA439">
        <v>1080380</v>
      </c>
      <c r="AB439">
        <v>15942660</v>
      </c>
      <c r="AC439">
        <v>17023040</v>
      </c>
      <c r="AD439">
        <v>1535981</v>
      </c>
      <c r="AE439">
        <v>602534</v>
      </c>
      <c r="AF439">
        <v>933447</v>
      </c>
      <c r="AG439">
        <v>7161329</v>
      </c>
      <c r="AH439" t="s">
        <v>671</v>
      </c>
      <c r="AI439" t="b">
        <v>1</v>
      </c>
      <c r="AK439">
        <v>7.4999999999999997E-2</v>
      </c>
      <c r="AL439">
        <v>7.3999999999999996E-2</v>
      </c>
      <c r="AM439">
        <v>7.4999999999999997E-2</v>
      </c>
      <c r="AN439">
        <v>7.4999999999999997E-2</v>
      </c>
      <c r="AO439">
        <v>1</v>
      </c>
      <c r="AP439">
        <v>1.0000000000000009E-3</v>
      </c>
      <c r="AS439">
        <v>4526645</v>
      </c>
      <c r="AT439">
        <v>-903643</v>
      </c>
      <c r="BB439">
        <f t="shared" si="1021"/>
        <v>0.91723803750208588</v>
      </c>
      <c r="BD439">
        <f t="shared" si="1022"/>
        <v>2990664</v>
      </c>
      <c r="BE439">
        <f t="shared" si="1023"/>
        <v>-2439624</v>
      </c>
      <c r="BF439">
        <f t="shared" si="1024"/>
        <v>16.114341376088749</v>
      </c>
      <c r="BG439">
        <f t="shared" si="1025"/>
        <v>-13.145219244053877</v>
      </c>
      <c r="BH439">
        <f t="shared" si="1026"/>
        <v>14.629780310071313</v>
      </c>
      <c r="BI439">
        <f t="shared" si="1027"/>
        <v>148.4561066017437</v>
      </c>
      <c r="BJ439">
        <f t="shared" si="1028"/>
        <v>15</v>
      </c>
      <c r="BK439">
        <f>IF($BJ439&lt;=30,IF($B439=2015,VLOOKUP($BJ439,'Treasury Yields'!$C$5:$N$34,$E439,FALSE)/100,IF($B439=2016,VLOOKUP($BJ439,'Treasury Yields'!$C$40:$N$69,$E439,FALSE)/100,IF($B439=2017,VLOOKUP($BJ439,'Treasury Yields'!$C$75:$N$104,$E439,FALSE)/100,IF($B439=2018,VLOOKUP($BJ439,'Treasury Yields'!$C$110:$N$139,$E439,FALSE)/100,IF($B439=2019,VLOOKUP($BJ439,'Treasury Yields'!$C$145:$N$174,$E439,FALSE)/100,IF($B439=2020,VLOOKUP($BJ439,'Treasury Yields'!$C$180:$N$209,$E439,FALSE)/100,IF($B439=2021,VLOOKUP($BJ439,'Treasury Yields'!$C$215:$N$244,$E439,FALSE)/100,IF($B439=2022,VLOOKUP($BJ439,'Treasury Yields'!$C$250:$N$279,$E439,FALSE)/100)))))))),0)</f>
        <v>2.3570000000000001E-2</v>
      </c>
      <c r="BL439">
        <f t="shared" si="1029"/>
        <v>1.7403230059368962</v>
      </c>
      <c r="BM439">
        <f t="shared" si="1030"/>
        <v>28793981.755889099</v>
      </c>
      <c r="BN439">
        <f t="shared" si="1031"/>
        <v>12851321.755889099</v>
      </c>
      <c r="BP439">
        <f>IF($BJ439&lt;=30,IF($B439=2015,VLOOKUP($BJ439,'Treasury Yields'!$C$40:$N$69,$E439,FALSE)/100,IF($B439=2016,VLOOKUP($BJ439,'Treasury Yields'!$C$75:$N$104,$E439,FALSE)/100,IF($B439=2017,VLOOKUP($BJ439,'Treasury Yields'!$C$110:$N$139,$E439,FALSE)/100,IF($B439=2018,VLOOKUP($BJ439,'Treasury Yields'!$C$145:$N$174,$E439,FALSE)/100,IF($B439=2019,VLOOKUP($BJ439,'Treasury Yields'!$C$180:$N$209,$E439,FALSE)/100,IF($B439=2020,VLOOKUP($BJ439,'Treasury Yields'!$C$215:$N$244,$E439,FALSE)/100,IF($B439=2021,VLOOKUP($BJ439,'Treasury Yields'!$C$250:$N$279,$E439,FALSE)/100,IF($B439=2022,VLOOKUP($BJ439,'Treasury Yields'!$C$285:$N$314,$E439,FALSE)/100)))))))),0)</f>
        <v>1.1104545454545454E-2</v>
      </c>
      <c r="BQ439">
        <f t="shared" si="1032"/>
        <v>1.9388590919237179</v>
      </c>
      <c r="BR439">
        <f t="shared" si="1033"/>
        <v>35983326.603053212</v>
      </c>
      <c r="BS439">
        <f t="shared" si="1034"/>
        <v>18960286.603053212</v>
      </c>
      <c r="BU439">
        <f t="shared" si="928"/>
        <v>18</v>
      </c>
      <c r="BV439">
        <f t="shared" si="1035"/>
        <v>3.0708226689877658</v>
      </c>
      <c r="BW439">
        <f t="shared" si="1036"/>
        <v>1706456.1571565014</v>
      </c>
      <c r="BX439" s="5">
        <f t="shared" si="1037"/>
        <v>708465.2902004848</v>
      </c>
      <c r="BY439" s="5">
        <f t="shared" si="1038"/>
        <v>332696.79400048481</v>
      </c>
      <c r="BZ439" s="5">
        <f t="shared" si="1039"/>
        <v>1805085</v>
      </c>
      <c r="CA439" s="5">
        <f t="shared" si="1040"/>
        <v>2039152.9511569862</v>
      </c>
      <c r="CC439" s="5">
        <f t="shared" si="1041"/>
        <v>35983326.603053212</v>
      </c>
      <c r="CD439" s="5" t="str">
        <f t="shared" si="1042"/>
        <v>Washington</v>
      </c>
      <c r="CE439" s="5">
        <f t="shared" si="927"/>
        <v>0.91723803750208588</v>
      </c>
      <c r="CF439" s="10">
        <f t="shared" si="1043"/>
        <v>0.4730813297999964</v>
      </c>
    </row>
    <row r="440" spans="1:84" hidden="1" x14ac:dyDescent="0.2">
      <c r="A440">
        <v>48000000000000</v>
      </c>
      <c r="B440">
        <v>2021</v>
      </c>
      <c r="C440">
        <v>580</v>
      </c>
      <c r="D440" t="s">
        <v>661</v>
      </c>
      <c r="E440">
        <v>6</v>
      </c>
      <c r="F440" t="s">
        <v>662</v>
      </c>
      <c r="G440" t="s">
        <v>669</v>
      </c>
      <c r="H440" t="s">
        <v>670</v>
      </c>
      <c r="I440" t="b">
        <v>1</v>
      </c>
      <c r="J440">
        <v>602803</v>
      </c>
      <c r="K440">
        <v>1399658</v>
      </c>
      <c r="L440">
        <v>0</v>
      </c>
      <c r="M440">
        <v>-24720</v>
      </c>
      <c r="N440">
        <v>0</v>
      </c>
      <c r="O440">
        <v>504060</v>
      </c>
      <c r="Q440">
        <v>1473681</v>
      </c>
      <c r="R440">
        <v>18559021</v>
      </c>
      <c r="S440" s="6">
        <v>20032702</v>
      </c>
      <c r="T440">
        <v>605742</v>
      </c>
      <c r="V440">
        <v>159795</v>
      </c>
      <c r="W440">
        <v>5445753</v>
      </c>
      <c r="Y440">
        <v>1328</v>
      </c>
      <c r="Z440">
        <v>52567</v>
      </c>
      <c r="AA440">
        <v>5758469</v>
      </c>
      <c r="AB440" s="6">
        <v>17023040</v>
      </c>
      <c r="AC440" s="6">
        <v>22781509</v>
      </c>
      <c r="AD440" s="6">
        <v>-2748807</v>
      </c>
      <c r="AE440" s="6">
        <v>1535981</v>
      </c>
      <c r="AF440" s="6">
        <v>-4284788</v>
      </c>
      <c r="AG440" s="6">
        <v>7430162</v>
      </c>
      <c r="AI440" t="b">
        <v>1</v>
      </c>
      <c r="AK440">
        <v>7.3999999999999996E-2</v>
      </c>
      <c r="AL440">
        <v>7.3999999999999996E-2</v>
      </c>
      <c r="AM440">
        <v>7.3999999999999996E-2</v>
      </c>
      <c r="AN440">
        <v>7.3999999999999996E-2</v>
      </c>
      <c r="AS440">
        <v>479331</v>
      </c>
      <c r="AT440">
        <v>-5382150</v>
      </c>
      <c r="BB440">
        <f>AC440/S440</f>
        <v>1.1372159881377959</v>
      </c>
      <c r="BD440">
        <f t="shared" si="1022"/>
        <v>3228138</v>
      </c>
      <c r="BE440">
        <f t="shared" si="1023"/>
        <v>-2633343</v>
      </c>
      <c r="BF440">
        <f t="shared" si="1024"/>
        <v>16.114341440310948</v>
      </c>
      <c r="BG440">
        <f t="shared" si="1025"/>
        <v>-13.145221248736192</v>
      </c>
      <c r="BH440">
        <f t="shared" si="1026"/>
        <v>14.62978134452357</v>
      </c>
      <c r="BI440">
        <f t="shared" si="1027"/>
        <v>148.45600957873779</v>
      </c>
      <c r="BJ440">
        <f t="shared" si="1028"/>
        <v>15</v>
      </c>
      <c r="BK440">
        <f>IF($BJ440&lt;=30,IF($B440=2015,VLOOKUP($BJ440,'Treasury Yields'!$C$5:$N$34,$E440,FALSE)/100,IF($B440=2016,VLOOKUP($BJ440,'Treasury Yields'!$C$40:$N$69,$E440,FALSE)/100,IF($B440=2017,VLOOKUP($BJ440,'Treasury Yields'!$C$75:$N$104,$E440,FALSE)/100,IF($B440=2018,VLOOKUP($BJ440,'Treasury Yields'!$C$110:$N$139,$E440,FALSE)/100,IF($B440=2019,VLOOKUP($BJ440,'Treasury Yields'!$C$145:$N$174,$E440,FALSE)/100,IF($B440=2020,VLOOKUP($BJ440,'Treasury Yields'!$C$180:$N$209,$E440,FALSE)/100,IF($B440=2021,VLOOKUP($BJ440,'Treasury Yields'!$C$215:$N$244,$E440,FALSE)/100,IF($B440=2022,VLOOKUP($BJ440,'Treasury Yields'!$C$250:$N$279,$E440,FALSE)/100)))))))),0)</f>
        <v>1.1104545454545454E-2</v>
      </c>
      <c r="BL440">
        <f t="shared" si="1029"/>
        <v>1.9241025857669003</v>
      </c>
      <c r="BM440">
        <f t="shared" si="1030"/>
        <v>35709460.295402206</v>
      </c>
      <c r="BN440">
        <f t="shared" si="1031"/>
        <v>18686420.295402206</v>
      </c>
      <c r="BP440">
        <f>IF($BJ440&lt;=30,IF($B440=2015,VLOOKUP($BJ440,'Treasury Yields'!$C$40:$N$69,$E440,FALSE)/100,IF($B440=2016,VLOOKUP($BJ440,'Treasury Yields'!$C$75:$N$104,$E440,FALSE)/100,IF($B440=2017,VLOOKUP($BJ440,'Treasury Yields'!$C$110:$N$139,$E440,FALSE)/100,IF($B440=2018,VLOOKUP($BJ440,'Treasury Yields'!$C$145:$N$174,$E440,FALSE)/100,IF($B440=2019,VLOOKUP($BJ440,'Treasury Yields'!$C$180:$N$209,$E440,FALSE)/100,IF($B440=2020,VLOOKUP($BJ440,'Treasury Yields'!$C$215:$N$244,$E440,FALSE)/100,IF($B440=2021,VLOOKUP($BJ440,'Treasury Yields'!$C$250:$N$279,$E440,FALSE)/100,IF($B440=2022,VLOOKUP($BJ440,'Treasury Yields'!$C$285:$N$314,$E440,FALSE)/100)))))))),0)</f>
        <v>1.9680454545454546E-2</v>
      </c>
      <c r="BQ440">
        <f t="shared" si="1032"/>
        <v>1.7976336857522976</v>
      </c>
      <c r="BR440">
        <f t="shared" si="1033"/>
        <v>36011459.931837425</v>
      </c>
      <c r="BS440">
        <f t="shared" si="1034"/>
        <v>13229950.931837425</v>
      </c>
      <c r="BU440">
        <f t="shared" si="928"/>
        <v>18</v>
      </c>
      <c r="BV440">
        <f t="shared" si="1035"/>
        <v>3.6395328834618126</v>
      </c>
      <c r="BW440">
        <f t="shared" si="1036"/>
        <v>2193921.3407494309</v>
      </c>
      <c r="BX440" s="5">
        <f t="shared" si="1037"/>
        <v>415302.46707781107</v>
      </c>
      <c r="BY440" s="5">
        <f t="shared" si="1038"/>
        <v>226269.34562326566</v>
      </c>
      <c r="BZ440" s="5">
        <f t="shared" si="1039"/>
        <v>2002461</v>
      </c>
      <c r="CA440" s="5">
        <f t="shared" si="1040"/>
        <v>2420190.6863726964</v>
      </c>
      <c r="CC440" s="5">
        <f t="shared" si="1041"/>
        <v>36011459.931837425</v>
      </c>
      <c r="CD440" s="5" t="str">
        <f t="shared" si="1042"/>
        <v>Washington</v>
      </c>
      <c r="CE440" s="5">
        <f t="shared" si="927"/>
        <v>1.1372159881377959</v>
      </c>
      <c r="CF440" s="10">
        <f t="shared" si="1043"/>
        <v>0.63261831214621378</v>
      </c>
    </row>
    <row r="441" spans="1:84" hidden="1" x14ac:dyDescent="0.2">
      <c r="A441">
        <v>48000000000000</v>
      </c>
      <c r="B441">
        <v>2022</v>
      </c>
      <c r="C441">
        <v>580</v>
      </c>
      <c r="D441" t="s">
        <v>661</v>
      </c>
      <c r="E441">
        <v>6</v>
      </c>
      <c r="F441" t="s">
        <v>662</v>
      </c>
      <c r="G441" t="s">
        <v>669</v>
      </c>
      <c r="H441" t="s">
        <v>670</v>
      </c>
      <c r="I441" t="b">
        <v>1</v>
      </c>
      <c r="J441">
        <v>644228</v>
      </c>
      <c r="K441">
        <v>1509015</v>
      </c>
      <c r="M441">
        <v>270317</v>
      </c>
      <c r="N441">
        <v>1070600</v>
      </c>
      <c r="O441">
        <v>580017</v>
      </c>
      <c r="Q441">
        <v>2914143</v>
      </c>
      <c r="R441">
        <v>20032702</v>
      </c>
      <c r="S441" s="6">
        <v>22946845</v>
      </c>
      <c r="T441">
        <v>643764</v>
      </c>
      <c r="V441">
        <v>192183</v>
      </c>
      <c r="W441">
        <v>42843</v>
      </c>
      <c r="Y441">
        <v>447</v>
      </c>
      <c r="Z441">
        <v>63796</v>
      </c>
      <c r="AA441">
        <v>362122</v>
      </c>
      <c r="AB441" s="6">
        <v>22781509</v>
      </c>
      <c r="AC441" s="6">
        <v>23143631</v>
      </c>
      <c r="AD441" s="6">
        <v>-196786</v>
      </c>
      <c r="AE441" s="6">
        <v>-2748807</v>
      </c>
      <c r="AF441" s="6">
        <v>2552021</v>
      </c>
      <c r="AG441" s="6">
        <v>7914729</v>
      </c>
      <c r="AI441" t="b">
        <v>1</v>
      </c>
      <c r="AK441">
        <v>7.3999999999999996E-2</v>
      </c>
      <c r="AL441">
        <v>7.0000000000000007E-2</v>
      </c>
      <c r="AM441">
        <v>7.0000000000000007E-2</v>
      </c>
      <c r="AN441">
        <v>7.3999999999999996E-2</v>
      </c>
      <c r="AS441">
        <v>3565129</v>
      </c>
      <c r="AT441">
        <v>-3225167</v>
      </c>
      <c r="AV441" t="s">
        <v>668</v>
      </c>
      <c r="BB441" s="7">
        <f>AC441/S441</f>
        <v>1.0085757323065545</v>
      </c>
      <c r="BD441">
        <f t="shared" si="1022"/>
        <v>3761915</v>
      </c>
      <c r="BE441">
        <f t="shared" si="1023"/>
        <v>-3028381</v>
      </c>
      <c r="BF441">
        <f t="shared" si="1024"/>
        <v>16.394040226445071</v>
      </c>
      <c r="BG441">
        <f t="shared" si="1025"/>
        <v>-13.197374192399868</v>
      </c>
      <c r="BH441">
        <f t="shared" si="1026"/>
        <v>14.795707209422471</v>
      </c>
      <c r="BI441">
        <f t="shared" si="1027"/>
        <v>159.83330170226014</v>
      </c>
      <c r="BJ441">
        <f t="shared" si="1028"/>
        <v>15</v>
      </c>
      <c r="BK441">
        <f>IF($BJ441&lt;=30,IF($B441=2015,VLOOKUP($BJ441,'Treasury Yields'!$C$5:$N$34,$E441,FALSE)/100,IF($B441=2016,VLOOKUP($BJ441,'Treasury Yields'!$C$40:$N$69,$E441,FALSE)/100,IF($B441=2017,VLOOKUP($BJ441,'Treasury Yields'!$C$75:$N$104,$E441,FALSE)/100,IF($B441=2018,VLOOKUP($BJ441,'Treasury Yields'!$C$110:$N$139,$E441,FALSE)/100,IF($B441=2019,VLOOKUP($BJ441,'Treasury Yields'!$C$145:$N$174,$E441,FALSE)/100,IF($B441=2020,VLOOKUP($BJ441,'Treasury Yields'!$C$180:$N$209,$E441,FALSE)/100,IF($B441=2021,VLOOKUP($BJ441,'Treasury Yields'!$C$215:$N$244,$E441,FALSE)/100,IF($B441=2022,VLOOKUP($BJ441,'Treasury Yields'!$C$250:$N$279,$E441,FALSE)/100)))))))),0)</f>
        <v>1.9680454545454546E-2</v>
      </c>
      <c r="BL441">
        <f t="shared" si="1029"/>
        <v>1.747045318111432</v>
      </c>
      <c r="BM441">
        <f t="shared" si="1030"/>
        <v>34998038.238221519</v>
      </c>
      <c r="BN441">
        <f t="shared" si="1031"/>
        <v>12216529.238221519</v>
      </c>
      <c r="BP441">
        <f>IF($BJ441&lt;=30,IF($B441=2015,VLOOKUP($BJ441,'Treasury Yields'!$C$40:$N$69,$E441,FALSE)/100,IF($B441=2016,VLOOKUP($BJ441,'Treasury Yields'!$C$75:$N$104,$E441,FALSE)/100,IF($B441=2017,VLOOKUP($BJ441,'Treasury Yields'!$C$110:$N$139,$E441,FALSE)/100,IF($B441=2018,VLOOKUP($BJ441,'Treasury Yields'!$C$145:$N$174,$E441,FALSE)/100,IF($B441=2019,VLOOKUP($BJ441,'Treasury Yields'!$C$180:$N$209,$E441,FALSE)/100,IF($B441=2020,VLOOKUP($BJ441,'Treasury Yields'!$C$215:$N$244,$E441,FALSE)/100,IF($B441=2021,VLOOKUP($BJ441,'Treasury Yields'!$C$250:$N$279,$E441,FALSE)/100,IF($B441=2022,VLOOKUP($BJ441,'Treasury Yields'!$C$285:$N$314,$E441,FALSE)/100)))))))),0)</f>
        <v>3.3801363636363636E-2</v>
      </c>
      <c r="BQ441">
        <f t="shared" si="1032"/>
        <v>1.5963831842199028</v>
      </c>
      <c r="BR441">
        <f t="shared" si="1033"/>
        <v>36631957.488900557</v>
      </c>
      <c r="BS441">
        <f t="shared" si="1034"/>
        <v>13488326.488900557</v>
      </c>
      <c r="BU441">
        <f t="shared" si="928"/>
        <v>18</v>
      </c>
      <c r="BV441">
        <f t="shared" si="1035"/>
        <v>3.2530541292508826</v>
      </c>
      <c r="BW441">
        <f t="shared" si="1036"/>
        <v>2095708.5555790376</v>
      </c>
      <c r="BX441" s="5">
        <f t="shared" si="1037"/>
        <v>718606.79949190118</v>
      </c>
      <c r="BY441" s="5">
        <f t="shared" si="1038"/>
        <v>270256.34714053763</v>
      </c>
      <c r="BZ441" s="5">
        <f t="shared" si="1039"/>
        <v>2153243</v>
      </c>
      <c r="CA441" s="5">
        <f t="shared" si="1040"/>
        <v>2365964.9027195754</v>
      </c>
      <c r="CC441" s="5">
        <f t="shared" si="1041"/>
        <v>36631957.488900557</v>
      </c>
      <c r="CD441" s="5" t="str">
        <f t="shared" si="1042"/>
        <v>Washington</v>
      </c>
      <c r="CE441" s="5">
        <f t="shared" si="927"/>
        <v>1.0085757323065545</v>
      </c>
      <c r="CF441" s="10">
        <f t="shared" si="1043"/>
        <v>0.63178799568689425</v>
      </c>
    </row>
    <row r="442" spans="1:84" x14ac:dyDescent="0.2">
      <c r="A442">
        <v>49000000001015</v>
      </c>
      <c r="B442">
        <v>2015</v>
      </c>
      <c r="C442">
        <v>574</v>
      </c>
      <c r="D442" t="s">
        <v>672</v>
      </c>
      <c r="E442">
        <v>6</v>
      </c>
      <c r="F442" t="s">
        <v>673</v>
      </c>
      <c r="G442" t="s">
        <v>254</v>
      </c>
      <c r="H442" t="s">
        <v>69</v>
      </c>
      <c r="I442" t="b">
        <v>1</v>
      </c>
      <c r="J442">
        <v>146798</v>
      </c>
      <c r="K442">
        <v>744460</v>
      </c>
      <c r="M442">
        <v>-36005</v>
      </c>
      <c r="N442">
        <v>0</v>
      </c>
      <c r="O442">
        <v>718695</v>
      </c>
      <c r="Q442">
        <v>136558</v>
      </c>
      <c r="R442">
        <v>10132186</v>
      </c>
      <c r="S442">
        <v>10268596</v>
      </c>
      <c r="T442">
        <v>440762</v>
      </c>
      <c r="U442">
        <v>0</v>
      </c>
      <c r="V442">
        <v>94618</v>
      </c>
      <c r="W442">
        <v>256704</v>
      </c>
      <c r="Y442">
        <v>4432</v>
      </c>
      <c r="Z442">
        <v>52039</v>
      </c>
      <c r="AA442">
        <v>120996</v>
      </c>
      <c r="AB442">
        <v>6682093</v>
      </c>
      <c r="AC442">
        <v>6803342</v>
      </c>
      <c r="AD442">
        <v>3465254</v>
      </c>
      <c r="AE442">
        <v>3450093</v>
      </c>
      <c r="AF442">
        <v>15161</v>
      </c>
      <c r="AG442">
        <v>1481786</v>
      </c>
      <c r="AH442">
        <v>0.29745320849299428</v>
      </c>
      <c r="AI442" t="b">
        <v>1</v>
      </c>
      <c r="AK442">
        <v>7.4999999999999997E-2</v>
      </c>
      <c r="AL442">
        <v>7.4999999999999997E-2</v>
      </c>
      <c r="AM442">
        <v>7.4999999999999997E-2</v>
      </c>
      <c r="AN442">
        <v>7.4999999999999997E-2</v>
      </c>
      <c r="AO442">
        <v>1</v>
      </c>
      <c r="AP442">
        <v>0</v>
      </c>
      <c r="AS442">
        <v>4492815</v>
      </c>
      <c r="AT442">
        <v>2583678</v>
      </c>
      <c r="BB442">
        <f t="shared" ref="BB442:BB449" si="1044">AC442/S442</f>
        <v>0.66253867617345152</v>
      </c>
      <c r="BD442">
        <f t="shared" ref="BD442:BD449" si="1045">AS442-AD442</f>
        <v>1027561</v>
      </c>
      <c r="BE442">
        <f t="shared" ref="BE442:BE449" si="1046">AT442-AD442</f>
        <v>-881576</v>
      </c>
      <c r="BF442">
        <f t="shared" ref="BF442:BF449" si="1047">BD442/S442*100</f>
        <v>10.006830534573567</v>
      </c>
      <c r="BG442">
        <f t="shared" ref="BG442:BG449" si="1048">BE442/S442*100</f>
        <v>-8.5851658785680147</v>
      </c>
      <c r="BH442">
        <f t="shared" ref="BH442:BH449" si="1049">(BD442-BE442)/(2*S442)*100</f>
        <v>9.2959982065707916</v>
      </c>
      <c r="BI442">
        <f t="shared" ref="BI442:BI449" si="1050">(BD442+BE442)/(2*S442*(0.01^2))</f>
        <v>71.083232800277656</v>
      </c>
      <c r="BJ442">
        <f t="shared" ref="BJ442:BJ449" si="1051">ROUND(BH442,0)</f>
        <v>9</v>
      </c>
      <c r="BK442">
        <f>IF($BJ442&lt;=30,IF($B442=2015,VLOOKUP($BJ442,'Treasury Yields'!$C$5:$N$34,$E442,FALSE)/100,IF($B442=2016,VLOOKUP($BJ442,'Treasury Yields'!$C$40:$N$69,$E442,FALSE)/100,IF($B442=2017,VLOOKUP($BJ442,'Treasury Yields'!$C$75:$N$104,$E442,FALSE)/100,IF($B442=2018,VLOOKUP($BJ442,'Treasury Yields'!$C$110:$N$139,$E442,FALSE)/100,IF($B442=2019,VLOOKUP($BJ442,'Treasury Yields'!$C$145:$N$174,$E442,FALSE)/100,IF($B442=2020,VLOOKUP($BJ442,'Treasury Yields'!$C$180:$N$209,$E442,FALSE)/100,IF($B442=2021,VLOOKUP($BJ442,'Treasury Yields'!$C$215:$N$244,$E442,FALSE)/100,IF($B442=2022,VLOOKUP($BJ442,'Treasury Yields'!$C$250:$N$279,$E442,FALSE)/100)))))))),0)</f>
        <v>2.597E-2</v>
      </c>
      <c r="BL442">
        <f t="shared" ref="BL442:BL449" si="1052">1+BH442*(AL442-BK442)+(AL442-BK442)^2</f>
        <v>1.4581867329681659</v>
      </c>
      <c r="BM442">
        <f t="shared" ref="BM442:BM449" si="1053">BL442*R442</f>
        <v>14774619.20116579</v>
      </c>
      <c r="BN442">
        <f t="shared" ref="BN442:BN449" si="1054">BM442-AB442</f>
        <v>8092526.2011657897</v>
      </c>
      <c r="BP442">
        <f>IF($BJ442&lt;=30,IF($B442=2015,VLOOKUP($BJ442,'Treasury Yields'!$C$40:$N$69,$E442,FALSE)/100,IF($B442=2016,VLOOKUP($BJ442,'Treasury Yields'!$C$75:$N$104,$E442,FALSE)/100,IF($B442=2017,VLOOKUP($BJ442,'Treasury Yields'!$C$110:$N$139,$E442,FALSE)/100,IF($B442=2018,VLOOKUP($BJ442,'Treasury Yields'!$C$145:$N$174,$E442,FALSE)/100,IF($B442=2019,VLOOKUP($BJ442,'Treasury Yields'!$C$180:$N$209,$E442,FALSE)/100,IF($B442=2020,VLOOKUP($BJ442,'Treasury Yields'!$C$215:$N$244,$E442,FALSE)/100,IF($B442=2021,VLOOKUP($BJ442,'Treasury Yields'!$C$250:$N$279,$E442,FALSE)/100,IF($B442=2022,VLOOKUP($BJ442,'Treasury Yields'!$C$285:$N$314,$E442,FALSE)/100)))))))),0)</f>
        <v>2.4550000000000002E-2</v>
      </c>
      <c r="BQ442">
        <f t="shared" ref="BQ442:BQ449" si="1055">1+BH442*(AN442-BP442)+(AN442-BP442)^2</f>
        <v>1.4715283120214964</v>
      </c>
      <c r="BR442">
        <f t="shared" ref="BR442:BR449" si="1056">BQ442*S442</f>
        <v>15110529.73871069</v>
      </c>
      <c r="BS442">
        <f t="shared" ref="BS442:BS449" si="1057">BR442-AC442</f>
        <v>8307187.7387106903</v>
      </c>
      <c r="BU442">
        <f t="shared" si="928"/>
        <v>12</v>
      </c>
      <c r="BV442">
        <f t="shared" ref="BV442:BV449" si="1058">1+(BH442+BU442)*(AN442-BK442)+(AN442-BK442)^2*BI442</f>
        <v>2.2150226827009747</v>
      </c>
      <c r="BW442">
        <f t="shared" ref="BW442:BW449" si="1059">BV442*J442</f>
        <v>325160.89977513766</v>
      </c>
      <c r="BX442" s="5">
        <f t="shared" ref="BX442:BX449" si="1060">(BM442+BW442-O442)*BK442</f>
        <v>373476.7800714359</v>
      </c>
      <c r="BY442" s="5">
        <f t="shared" ref="BY442:BY449" si="1061">BK442*(BN442+BW442-O442)</f>
        <v>199942.82486143589</v>
      </c>
      <c r="BZ442" s="5">
        <f t="shared" ref="BZ442:BZ449" si="1062">SUM(J442:K442)</f>
        <v>891258</v>
      </c>
      <c r="CA442" s="5">
        <f t="shared" ref="CA442:CA449" si="1063">SUM(BW442+BY442)</f>
        <v>525103.72463657358</v>
      </c>
      <c r="CC442" s="5">
        <f t="shared" ref="CC442:CC449" si="1064">BR442</f>
        <v>15110529.73871069</v>
      </c>
      <c r="CD442" s="5" t="str">
        <f t="shared" ref="CD442:CD449" si="1065">F442</f>
        <v>West Virginia</v>
      </c>
      <c r="CE442" s="5">
        <f t="shared" ref="CE442:CE465" si="1066">BB442</f>
        <v>0.66253867617345152</v>
      </c>
      <c r="CF442" s="10">
        <f t="shared" ref="CF442:CF449" si="1067">AC442/CC442</f>
        <v>0.45023848386803789</v>
      </c>
    </row>
    <row r="443" spans="1:84" x14ac:dyDescent="0.2">
      <c r="A443">
        <v>49000000001015</v>
      </c>
      <c r="B443">
        <v>2016</v>
      </c>
      <c r="C443">
        <v>574</v>
      </c>
      <c r="D443" t="s">
        <v>672</v>
      </c>
      <c r="E443">
        <v>6</v>
      </c>
      <c r="F443" t="s">
        <v>673</v>
      </c>
      <c r="G443" t="s">
        <v>254</v>
      </c>
      <c r="H443" t="s">
        <v>69</v>
      </c>
      <c r="I443" t="b">
        <v>1</v>
      </c>
      <c r="J443">
        <v>149857</v>
      </c>
      <c r="K443">
        <v>753418</v>
      </c>
      <c r="M443">
        <v>45210</v>
      </c>
      <c r="N443">
        <v>195343</v>
      </c>
      <c r="O443">
        <v>759503</v>
      </c>
      <c r="Q443">
        <v>384325</v>
      </c>
      <c r="R443">
        <v>10268596</v>
      </c>
      <c r="S443">
        <v>10652921</v>
      </c>
      <c r="T443">
        <v>426678</v>
      </c>
      <c r="V443">
        <v>95177</v>
      </c>
      <c r="W443">
        <v>-18402</v>
      </c>
      <c r="Y443">
        <v>4507</v>
      </c>
      <c r="Z443">
        <v>302</v>
      </c>
      <c r="AA443">
        <v>-260255</v>
      </c>
      <c r="AB443">
        <v>6803342</v>
      </c>
      <c r="AC443">
        <v>6543087</v>
      </c>
      <c r="AD443">
        <v>4109834</v>
      </c>
      <c r="AE443">
        <v>3465254</v>
      </c>
      <c r="AF443">
        <v>644580</v>
      </c>
      <c r="AG443">
        <v>1511271</v>
      </c>
      <c r="AH443">
        <v>0.28233056811121238</v>
      </c>
      <c r="AI443" t="b">
        <v>1</v>
      </c>
      <c r="AK443">
        <v>7.4999999999999997E-2</v>
      </c>
      <c r="AL443">
        <v>7.4999999999999997E-2</v>
      </c>
      <c r="AM443">
        <v>7.4999999999999997E-2</v>
      </c>
      <c r="AN443">
        <v>7.4999999999999997E-2</v>
      </c>
      <c r="AO443">
        <v>1</v>
      </c>
      <c r="AP443">
        <v>0</v>
      </c>
      <c r="AS443">
        <v>5199286</v>
      </c>
      <c r="AT443">
        <v>3178615</v>
      </c>
      <c r="AU443" t="s">
        <v>86</v>
      </c>
      <c r="AV443" t="s">
        <v>674</v>
      </c>
      <c r="BB443">
        <f t="shared" si="1044"/>
        <v>0.6142059065302371</v>
      </c>
      <c r="BD443">
        <f t="shared" si="1045"/>
        <v>1089452</v>
      </c>
      <c r="BE443">
        <f t="shared" si="1046"/>
        <v>-931219</v>
      </c>
      <c r="BF443">
        <f t="shared" si="1047"/>
        <v>10.226791318550095</v>
      </c>
      <c r="BG443">
        <f t="shared" si="1048"/>
        <v>-8.7414428399497179</v>
      </c>
      <c r="BH443">
        <f t="shared" si="1049"/>
        <v>9.4841170792499074</v>
      </c>
      <c r="BI443">
        <f t="shared" si="1050"/>
        <v>74.267423930018808</v>
      </c>
      <c r="BJ443">
        <f t="shared" si="1051"/>
        <v>9</v>
      </c>
      <c r="BK443">
        <f>IF($BJ443&lt;=30,IF($B443=2015,VLOOKUP($BJ443,'Treasury Yields'!$C$5:$N$34,$E443,FALSE)/100,IF($B443=2016,VLOOKUP($BJ443,'Treasury Yields'!$C$40:$N$69,$E443,FALSE)/100,IF($B443=2017,VLOOKUP($BJ443,'Treasury Yields'!$C$75:$N$104,$E443,FALSE)/100,IF($B443=2018,VLOOKUP($BJ443,'Treasury Yields'!$C$110:$N$139,$E443,FALSE)/100,IF($B443=2019,VLOOKUP($BJ443,'Treasury Yields'!$C$145:$N$174,$E443,FALSE)/100,IF($B443=2020,VLOOKUP($BJ443,'Treasury Yields'!$C$180:$N$209,$E443,FALSE)/100,IF($B443=2021,VLOOKUP($BJ443,'Treasury Yields'!$C$215:$N$244,$E443,FALSE)/100,IF($B443=2022,VLOOKUP($BJ443,'Treasury Yields'!$C$250:$N$279,$E443,FALSE)/100)))))))),0)</f>
        <v>2.4550000000000002E-2</v>
      </c>
      <c r="BL443">
        <f t="shared" si="1052"/>
        <v>1.4810189091481578</v>
      </c>
      <c r="BM443">
        <f t="shared" si="1053"/>
        <v>15207984.846403137</v>
      </c>
      <c r="BN443">
        <f t="shared" si="1054"/>
        <v>8404642.8464031368</v>
      </c>
      <c r="BP443">
        <f>IF($BJ443&lt;=30,IF($B443=2015,VLOOKUP($BJ443,'Treasury Yields'!$C$40:$N$69,$E443,FALSE)/100,IF($B443=2016,VLOOKUP($BJ443,'Treasury Yields'!$C$75:$N$104,$E443,FALSE)/100,IF($B443=2017,VLOOKUP($BJ443,'Treasury Yields'!$C$110:$N$139,$E443,FALSE)/100,IF($B443=2018,VLOOKUP($BJ443,'Treasury Yields'!$C$145:$N$174,$E443,FALSE)/100,IF($B443=2019,VLOOKUP($BJ443,'Treasury Yields'!$C$180:$N$209,$E443,FALSE)/100,IF($B443=2020,VLOOKUP($BJ443,'Treasury Yields'!$C$215:$N$244,$E443,FALSE)/100,IF($B443=2021,VLOOKUP($BJ443,'Treasury Yields'!$C$250:$N$279,$E443,FALSE)/100,IF($B443=2022,VLOOKUP($BJ443,'Treasury Yields'!$C$285:$N$314,$E443,FALSE)/100)))))))),0)</f>
        <v>1.5700000000000002E-2</v>
      </c>
      <c r="BQ443">
        <f t="shared" si="1055"/>
        <v>1.5659246327995193</v>
      </c>
      <c r="BR443">
        <f t="shared" si="1056"/>
        <v>16681671.405167289</v>
      </c>
      <c r="BS443">
        <f t="shared" si="1057"/>
        <v>10138584.405167289</v>
      </c>
      <c r="BU443">
        <f t="shared" ref="BU443:BU465" si="1068">IF(BJ443="","",ROUND(BJ443+$BT$2,0))</f>
        <v>12</v>
      </c>
      <c r="BV443">
        <f t="shared" si="1058"/>
        <v>2.2728993397034012</v>
      </c>
      <c r="BW443">
        <f t="shared" si="1059"/>
        <v>340609.87634993257</v>
      </c>
      <c r="BX443" s="5">
        <f t="shared" si="1060"/>
        <v>363072.20179358788</v>
      </c>
      <c r="BY443" s="5">
        <f t="shared" si="1061"/>
        <v>196050.15569358791</v>
      </c>
      <c r="BZ443" s="5">
        <f t="shared" si="1062"/>
        <v>903275</v>
      </c>
      <c r="CA443" s="5">
        <f t="shared" si="1063"/>
        <v>536660.03204352048</v>
      </c>
      <c r="CC443" s="5">
        <f t="shared" si="1064"/>
        <v>16681671.405167289</v>
      </c>
      <c r="CD443" s="5" t="str">
        <f t="shared" si="1065"/>
        <v>West Virginia</v>
      </c>
      <c r="CE443" s="5">
        <f t="shared" si="1066"/>
        <v>0.6142059065302371</v>
      </c>
      <c r="CF443" s="10">
        <f t="shared" si="1067"/>
        <v>0.39223209959484173</v>
      </c>
    </row>
    <row r="444" spans="1:84" x14ac:dyDescent="0.2">
      <c r="A444">
        <v>49000000001015</v>
      </c>
      <c r="B444">
        <v>2017</v>
      </c>
      <c r="C444">
        <v>574</v>
      </c>
      <c r="D444" t="s">
        <v>672</v>
      </c>
      <c r="E444">
        <v>6</v>
      </c>
      <c r="F444" t="s">
        <v>673</v>
      </c>
      <c r="G444" t="s">
        <v>254</v>
      </c>
      <c r="H444" t="s">
        <v>69</v>
      </c>
      <c r="I444" t="b">
        <v>1</v>
      </c>
      <c r="J444">
        <v>153006</v>
      </c>
      <c r="K444">
        <v>780855</v>
      </c>
      <c r="M444">
        <v>-52290</v>
      </c>
      <c r="N444">
        <v>0</v>
      </c>
      <c r="O444">
        <v>789058</v>
      </c>
      <c r="Q444">
        <v>92513</v>
      </c>
      <c r="R444">
        <v>10652921</v>
      </c>
      <c r="S444">
        <v>10745434</v>
      </c>
      <c r="T444">
        <v>451447</v>
      </c>
      <c r="V444">
        <v>91503</v>
      </c>
      <c r="W444">
        <v>994989</v>
      </c>
      <c r="Y444">
        <v>4582</v>
      </c>
      <c r="Z444">
        <v>3077</v>
      </c>
      <c r="AA444">
        <v>747376</v>
      </c>
      <c r="AB444">
        <v>6543086</v>
      </c>
      <c r="AC444">
        <v>7290462</v>
      </c>
      <c r="AD444">
        <v>3454972</v>
      </c>
      <c r="AE444">
        <v>4109834</v>
      </c>
      <c r="AF444">
        <v>-654862</v>
      </c>
      <c r="AG444">
        <v>1505080</v>
      </c>
      <c r="AH444">
        <v>0.29994883992877452</v>
      </c>
      <c r="AI444" t="b">
        <v>1</v>
      </c>
      <c r="AK444">
        <v>7.4999999999999997E-2</v>
      </c>
      <c r="AL444">
        <v>7.4999999999999997E-2</v>
      </c>
      <c r="AM444">
        <v>7.4999999999999997E-2</v>
      </c>
      <c r="AN444">
        <v>7.4999999999999997E-2</v>
      </c>
      <c r="AO444">
        <v>1</v>
      </c>
      <c r="AP444">
        <v>0</v>
      </c>
      <c r="AS444">
        <v>4548621</v>
      </c>
      <c r="AT444">
        <v>2520522</v>
      </c>
      <c r="AU444" t="s">
        <v>52</v>
      </c>
      <c r="AV444" t="s">
        <v>675</v>
      </c>
      <c r="BB444">
        <f t="shared" si="1044"/>
        <v>0.67847068810808386</v>
      </c>
      <c r="BD444">
        <f t="shared" si="1045"/>
        <v>1093649</v>
      </c>
      <c r="BE444">
        <f t="shared" si="1046"/>
        <v>-934450</v>
      </c>
      <c r="BF444">
        <f t="shared" si="1047"/>
        <v>10.17780203200727</v>
      </c>
      <c r="BG444">
        <f t="shared" si="1048"/>
        <v>-8.6962518219366469</v>
      </c>
      <c r="BH444">
        <f t="shared" si="1049"/>
        <v>9.4370269269719582</v>
      </c>
      <c r="BI444">
        <f t="shared" si="1050"/>
        <v>74.077510503531073</v>
      </c>
      <c r="BJ444">
        <f t="shared" si="1051"/>
        <v>9</v>
      </c>
      <c r="BK444">
        <f>IF($BJ444&lt;=30,IF($B444=2015,VLOOKUP($BJ444,'Treasury Yields'!$C$5:$N$34,$E444,FALSE)/100,IF($B444=2016,VLOOKUP($BJ444,'Treasury Yields'!$C$40:$N$69,$E444,FALSE)/100,IF($B444=2017,VLOOKUP($BJ444,'Treasury Yields'!$C$75:$N$104,$E444,FALSE)/100,IF($B444=2018,VLOOKUP($BJ444,'Treasury Yields'!$C$110:$N$139,$E444,FALSE)/100,IF($B444=2019,VLOOKUP($BJ444,'Treasury Yields'!$C$145:$N$174,$E444,FALSE)/100,IF($B444=2020,VLOOKUP($BJ444,'Treasury Yields'!$C$180:$N$209,$E444,FALSE)/100,IF($B444=2021,VLOOKUP($BJ444,'Treasury Yields'!$C$215:$N$244,$E444,FALSE)/100,IF($B444=2022,VLOOKUP($BJ444,'Treasury Yields'!$C$250:$N$279,$E444,FALSE)/100)))))))),0)</f>
        <v>1.5700000000000002E-2</v>
      </c>
      <c r="BL444">
        <f t="shared" si="1052"/>
        <v>1.563132186769437</v>
      </c>
      <c r="BM444">
        <f t="shared" si="1053"/>
        <v>16651923.698212057</v>
      </c>
      <c r="BN444">
        <f t="shared" si="1054"/>
        <v>10108837.698212057</v>
      </c>
      <c r="BP444">
        <f>IF($BJ444&lt;=30,IF($B444=2015,VLOOKUP($BJ444,'Treasury Yields'!$C$40:$N$69,$E444,FALSE)/100,IF($B444=2016,VLOOKUP($BJ444,'Treasury Yields'!$C$75:$N$104,$E444,FALSE)/100,IF($B444=2017,VLOOKUP($BJ444,'Treasury Yields'!$C$110:$N$139,$E444,FALSE)/100,IF($B444=2018,VLOOKUP($BJ444,'Treasury Yields'!$C$145:$N$174,$E444,FALSE)/100,IF($B444=2019,VLOOKUP($BJ444,'Treasury Yields'!$C$180:$N$209,$E444,FALSE)/100,IF($B444=2020,VLOOKUP($BJ444,'Treasury Yields'!$C$215:$N$244,$E444,FALSE)/100,IF($B444=2021,VLOOKUP($BJ444,'Treasury Yields'!$C$250:$N$279,$E444,FALSE)/100,IF($B444=2022,VLOOKUP($BJ444,'Treasury Yields'!$C$285:$N$314,$E444,FALSE)/100)))))))),0)</f>
        <v>2.3910000000000001E-2</v>
      </c>
      <c r="BQ444">
        <f t="shared" si="1055"/>
        <v>1.4847478937989973</v>
      </c>
      <c r="BR444">
        <f t="shared" si="1056"/>
        <v>15954260.499456136</v>
      </c>
      <c r="BS444">
        <f t="shared" si="1057"/>
        <v>8663798.4994561356</v>
      </c>
      <c r="BU444">
        <f t="shared" si="1068"/>
        <v>12</v>
      </c>
      <c r="BV444">
        <f t="shared" si="1058"/>
        <v>2.5317085216799988</v>
      </c>
      <c r="BW444">
        <f t="shared" si="1059"/>
        <v>387366.59406816988</v>
      </c>
      <c r="BX444" s="5">
        <f t="shared" si="1060"/>
        <v>255128.64698879959</v>
      </c>
      <c r="BY444" s="5">
        <f t="shared" si="1061"/>
        <v>152402.19678879957</v>
      </c>
      <c r="BZ444" s="5">
        <f t="shared" si="1062"/>
        <v>933861</v>
      </c>
      <c r="CA444" s="5">
        <f t="shared" si="1063"/>
        <v>539768.79085696943</v>
      </c>
      <c r="CC444" s="5">
        <f t="shared" si="1064"/>
        <v>15954260.499456136</v>
      </c>
      <c r="CD444" s="5" t="str">
        <f t="shared" si="1065"/>
        <v>West Virginia</v>
      </c>
      <c r="CE444" s="5">
        <f t="shared" si="1066"/>
        <v>0.67847068810808386</v>
      </c>
      <c r="CF444" s="10">
        <f t="shared" si="1067"/>
        <v>0.45696019569496965</v>
      </c>
    </row>
    <row r="445" spans="1:84" x14ac:dyDescent="0.2">
      <c r="A445">
        <v>49000000001015</v>
      </c>
      <c r="B445">
        <v>2018</v>
      </c>
      <c r="C445">
        <v>574</v>
      </c>
      <c r="D445" t="s">
        <v>672</v>
      </c>
      <c r="E445">
        <v>6</v>
      </c>
      <c r="F445" t="s">
        <v>673</v>
      </c>
      <c r="G445" t="s">
        <v>254</v>
      </c>
      <c r="H445" t="s">
        <v>69</v>
      </c>
      <c r="I445" t="b">
        <v>1</v>
      </c>
      <c r="J445">
        <v>146797</v>
      </c>
      <c r="K445">
        <v>786313</v>
      </c>
      <c r="M445">
        <v>-19576</v>
      </c>
      <c r="N445">
        <v>0</v>
      </c>
      <c r="O445">
        <v>816102</v>
      </c>
      <c r="Q445">
        <v>97432</v>
      </c>
      <c r="R445">
        <v>10745434</v>
      </c>
      <c r="S445">
        <v>10842866</v>
      </c>
      <c r="T445">
        <v>471837</v>
      </c>
      <c r="V445">
        <v>89128</v>
      </c>
      <c r="W445">
        <v>688273</v>
      </c>
      <c r="Y445">
        <v>6035</v>
      </c>
      <c r="Z445">
        <v>3046</v>
      </c>
      <c r="AA445">
        <v>430147</v>
      </c>
      <c r="AB445">
        <v>7290462</v>
      </c>
      <c r="AC445">
        <v>7720609</v>
      </c>
      <c r="AD445">
        <v>3122257</v>
      </c>
      <c r="AE445">
        <v>3454972</v>
      </c>
      <c r="AF445">
        <v>-332715</v>
      </c>
      <c r="AG445">
        <v>1457143</v>
      </c>
      <c r="AH445">
        <v>0.32380967413630646</v>
      </c>
      <c r="AI445" t="b">
        <v>1</v>
      </c>
      <c r="AK445">
        <v>7.4999999999999997E-2</v>
      </c>
      <c r="AL445">
        <v>7.4999999999999997E-2</v>
      </c>
      <c r="AM445">
        <v>7.4999999999999997E-2</v>
      </c>
      <c r="AN445">
        <v>7.4999999999999997E-2</v>
      </c>
      <c r="AO445">
        <v>1</v>
      </c>
      <c r="AP445">
        <v>0</v>
      </c>
      <c r="AS445">
        <v>4214475</v>
      </c>
      <c r="AT445">
        <v>2188490</v>
      </c>
      <c r="AU445" t="s">
        <v>296</v>
      </c>
      <c r="AV445" t="s">
        <v>676</v>
      </c>
      <c r="BB445">
        <f t="shared" si="1044"/>
        <v>0.71204504417927883</v>
      </c>
      <c r="BD445">
        <f t="shared" si="1045"/>
        <v>1092218</v>
      </c>
      <c r="BE445">
        <f t="shared" si="1046"/>
        <v>-933767</v>
      </c>
      <c r="BF445">
        <f t="shared" si="1047"/>
        <v>10.073148556848347</v>
      </c>
      <c r="BG445">
        <f t="shared" si="1048"/>
        <v>-8.6118098296151597</v>
      </c>
      <c r="BH445">
        <f t="shared" si="1049"/>
        <v>9.3424791932317515</v>
      </c>
      <c r="BI445">
        <f t="shared" si="1050"/>
        <v>73.066936361659359</v>
      </c>
      <c r="BJ445">
        <f t="shared" si="1051"/>
        <v>9</v>
      </c>
      <c r="BK445">
        <f>IF($BJ445&lt;=30,IF($B445=2015,VLOOKUP($BJ445,'Treasury Yields'!$C$5:$N$34,$E445,FALSE)/100,IF($B445=2016,VLOOKUP($BJ445,'Treasury Yields'!$C$40:$N$69,$E445,FALSE)/100,IF($B445=2017,VLOOKUP($BJ445,'Treasury Yields'!$C$75:$N$104,$E445,FALSE)/100,IF($B445=2018,VLOOKUP($BJ445,'Treasury Yields'!$C$110:$N$139,$E445,FALSE)/100,IF($B445=2019,VLOOKUP($BJ445,'Treasury Yields'!$C$145:$N$174,$E445,FALSE)/100,IF($B445=2020,VLOOKUP($BJ445,'Treasury Yields'!$C$180:$N$209,$E445,FALSE)/100,IF($B445=2021,VLOOKUP($BJ445,'Treasury Yields'!$C$215:$N$244,$E445,FALSE)/100,IF($B445=2022,VLOOKUP($BJ445,'Treasury Yields'!$C$250:$N$279,$E445,FALSE)/100)))))))),0)</f>
        <v>2.3910000000000001E-2</v>
      </c>
      <c r="BL445">
        <f t="shared" si="1052"/>
        <v>1.4799174500822101</v>
      </c>
      <c r="BM445">
        <f t="shared" si="1053"/>
        <v>15902355.285306683</v>
      </c>
      <c r="BN445">
        <f t="shared" si="1054"/>
        <v>8611893.2853066828</v>
      </c>
      <c r="BP445">
        <f>IF($BJ445&lt;=30,IF($B445=2015,VLOOKUP($BJ445,'Treasury Yields'!$C$40:$N$69,$E445,FALSE)/100,IF($B445=2016,VLOOKUP($BJ445,'Treasury Yields'!$C$75:$N$104,$E445,FALSE)/100,IF($B445=2017,VLOOKUP($BJ445,'Treasury Yields'!$C$110:$N$139,$E445,FALSE)/100,IF($B445=2018,VLOOKUP($BJ445,'Treasury Yields'!$C$145:$N$174,$E445,FALSE)/100,IF($B445=2019,VLOOKUP($BJ445,'Treasury Yields'!$C$180:$N$209,$E445,FALSE)/100,IF($B445=2020,VLOOKUP($BJ445,'Treasury Yields'!$C$215:$N$244,$E445,FALSE)/100,IF($B445=2021,VLOOKUP($BJ445,'Treasury Yields'!$C$250:$N$279,$E445,FALSE)/100,IF($B445=2022,VLOOKUP($BJ445,'Treasury Yields'!$C$285:$N$314,$E445,FALSE)/100)))))))),0)</f>
        <v>2.9440000000000001E-2</v>
      </c>
      <c r="BQ445">
        <f t="shared" si="1055"/>
        <v>1.4277190656436387</v>
      </c>
      <c r="BR445">
        <f t="shared" si="1056"/>
        <v>15480566.514419178</v>
      </c>
      <c r="BS445">
        <f t="shared" si="1057"/>
        <v>7759957.5144191775</v>
      </c>
      <c r="BU445">
        <f t="shared" si="1068"/>
        <v>12</v>
      </c>
      <c r="BV445">
        <f t="shared" si="1058"/>
        <v>2.2811057097768703</v>
      </c>
      <c r="BW445">
        <f t="shared" si="1059"/>
        <v>334859.47487811523</v>
      </c>
      <c r="BX445" s="5">
        <f t="shared" si="1060"/>
        <v>368718.80609601852</v>
      </c>
      <c r="BY445" s="5">
        <f t="shared" si="1061"/>
        <v>194403.85967601853</v>
      </c>
      <c r="BZ445" s="5">
        <f t="shared" si="1062"/>
        <v>933110</v>
      </c>
      <c r="CA445" s="5">
        <f t="shared" si="1063"/>
        <v>529263.3345541337</v>
      </c>
      <c r="CC445" s="5">
        <f t="shared" si="1064"/>
        <v>15480566.514419178</v>
      </c>
      <c r="CD445" s="5" t="str">
        <f t="shared" si="1065"/>
        <v>West Virginia</v>
      </c>
      <c r="CE445" s="5">
        <f t="shared" si="1066"/>
        <v>0.71204504417927883</v>
      </c>
      <c r="CF445" s="10">
        <f t="shared" si="1067"/>
        <v>0.49872909966238876</v>
      </c>
    </row>
    <row r="446" spans="1:84" x14ac:dyDescent="0.2">
      <c r="A446">
        <v>49000000001015</v>
      </c>
      <c r="B446">
        <v>2019</v>
      </c>
      <c r="C446">
        <v>574</v>
      </c>
      <c r="D446" t="s">
        <v>672</v>
      </c>
      <c r="E446">
        <v>6</v>
      </c>
      <c r="F446" t="s">
        <v>673</v>
      </c>
      <c r="G446" t="s">
        <v>254</v>
      </c>
      <c r="H446" t="s">
        <v>69</v>
      </c>
      <c r="I446" t="b">
        <v>1</v>
      </c>
      <c r="J446">
        <v>141472</v>
      </c>
      <c r="K446">
        <v>792389</v>
      </c>
      <c r="L446">
        <v>5200</v>
      </c>
      <c r="M446">
        <v>-69708</v>
      </c>
      <c r="O446">
        <v>838967</v>
      </c>
      <c r="Q446">
        <v>31044</v>
      </c>
      <c r="R446">
        <v>10842866</v>
      </c>
      <c r="S446">
        <v>10873910</v>
      </c>
      <c r="T446">
        <v>281986</v>
      </c>
      <c r="V446">
        <v>92759</v>
      </c>
      <c r="W446">
        <v>444661</v>
      </c>
      <c r="Y446">
        <v>6239</v>
      </c>
      <c r="Z446">
        <v>3272</v>
      </c>
      <c r="AA446">
        <v>178130</v>
      </c>
      <c r="AB446">
        <v>7720609</v>
      </c>
      <c r="AC446">
        <v>7898739</v>
      </c>
      <c r="AD446">
        <v>2975171</v>
      </c>
      <c r="AE446">
        <v>3122257</v>
      </c>
      <c r="AF446">
        <v>-147086</v>
      </c>
      <c r="AG446">
        <v>1404586</v>
      </c>
      <c r="AH446">
        <v>0.20076093596262529</v>
      </c>
      <c r="AI446" t="b">
        <v>1</v>
      </c>
      <c r="AK446">
        <v>7.4999999999999997E-2</v>
      </c>
      <c r="AL446">
        <v>7.4999999999999997E-2</v>
      </c>
      <c r="AM446">
        <v>7.4999999999999997E-2</v>
      </c>
      <c r="AN446">
        <v>7.4999999999999997E-2</v>
      </c>
      <c r="AO446">
        <v>1</v>
      </c>
      <c r="AP446">
        <v>0</v>
      </c>
      <c r="AS446">
        <v>4060828</v>
      </c>
      <c r="AT446">
        <v>2046502</v>
      </c>
      <c r="BB446">
        <f t="shared" si="1044"/>
        <v>0.7263936339366428</v>
      </c>
      <c r="BD446">
        <f t="shared" si="1045"/>
        <v>1085657</v>
      </c>
      <c r="BE446">
        <f t="shared" si="1046"/>
        <v>-928669</v>
      </c>
      <c r="BF446">
        <f t="shared" si="1047"/>
        <v>9.9840535741053582</v>
      </c>
      <c r="BG446">
        <f t="shared" si="1048"/>
        <v>-8.5403410548735454</v>
      </c>
      <c r="BH446">
        <f t="shared" si="1049"/>
        <v>9.2621973144894518</v>
      </c>
      <c r="BI446">
        <f t="shared" si="1050"/>
        <v>72.185625961590631</v>
      </c>
      <c r="BJ446">
        <f t="shared" si="1051"/>
        <v>9</v>
      </c>
      <c r="BK446">
        <f>IF($BJ446&lt;=30,IF($B446=2015,VLOOKUP($BJ446,'Treasury Yields'!$C$5:$N$34,$E446,FALSE)/100,IF($B446=2016,VLOOKUP($BJ446,'Treasury Yields'!$C$40:$N$69,$E446,FALSE)/100,IF($B446=2017,VLOOKUP($BJ446,'Treasury Yields'!$C$75:$N$104,$E446,FALSE)/100,IF($B446=2018,VLOOKUP($BJ446,'Treasury Yields'!$C$110:$N$139,$E446,FALSE)/100,IF($B446=2019,VLOOKUP($BJ446,'Treasury Yields'!$C$145:$N$174,$E446,FALSE)/100,IF($B446=2020,VLOOKUP($BJ446,'Treasury Yields'!$C$180:$N$209,$E446,FALSE)/100,IF($B446=2021,VLOOKUP($BJ446,'Treasury Yields'!$C$215:$N$244,$E446,FALSE)/100,IF($B446=2022,VLOOKUP($BJ446,'Treasury Yields'!$C$250:$N$279,$E446,FALSE)/100)))))))),0)</f>
        <v>2.9440000000000001E-2</v>
      </c>
      <c r="BL446">
        <f t="shared" si="1052"/>
        <v>1.4240614232481394</v>
      </c>
      <c r="BM446">
        <f t="shared" si="1053"/>
        <v>15440907.18804886</v>
      </c>
      <c r="BN446">
        <f t="shared" si="1054"/>
        <v>7720298.1880488601</v>
      </c>
      <c r="BP446">
        <f>IF($BJ446&lt;=30,IF($B446=2015,VLOOKUP($BJ446,'Treasury Yields'!$C$40:$N$69,$E446,FALSE)/100,IF($B446=2016,VLOOKUP($BJ446,'Treasury Yields'!$C$75:$N$104,$E446,FALSE)/100,IF($B446=2017,VLOOKUP($BJ446,'Treasury Yields'!$C$110:$N$139,$E446,FALSE)/100,IF($B446=2018,VLOOKUP($BJ446,'Treasury Yields'!$C$145:$N$174,$E446,FALSE)/100,IF($B446=2019,VLOOKUP($BJ446,'Treasury Yields'!$C$180:$N$209,$E446,FALSE)/100,IF($B446=2020,VLOOKUP($BJ446,'Treasury Yields'!$C$215:$N$244,$E446,FALSE)/100,IF($B446=2021,VLOOKUP($BJ446,'Treasury Yields'!$C$250:$N$279,$E446,FALSE)/100,IF($B446=2022,VLOOKUP($BJ446,'Treasury Yields'!$C$285:$N$314,$E446,FALSE)/100)))))))),0)</f>
        <v>2.0739999999999998E-2</v>
      </c>
      <c r="BQ446">
        <f t="shared" si="1055"/>
        <v>1.5055109738841979</v>
      </c>
      <c r="BR446">
        <f t="shared" si="1056"/>
        <v>16370790.834029118</v>
      </c>
      <c r="BS446">
        <f t="shared" si="1057"/>
        <v>8472051.8340291176</v>
      </c>
      <c r="BU446">
        <f t="shared" si="1068"/>
        <v>12</v>
      </c>
      <c r="BV446">
        <f t="shared" si="1058"/>
        <v>2.1185423951811262</v>
      </c>
      <c r="BW446">
        <f t="shared" si="1059"/>
        <v>299714.4297310643</v>
      </c>
      <c r="BX446" s="5">
        <f t="shared" si="1060"/>
        <v>438704.71194744098</v>
      </c>
      <c r="BY446" s="5">
        <f t="shared" si="1061"/>
        <v>211409.98298744098</v>
      </c>
      <c r="BZ446" s="5">
        <f t="shared" si="1062"/>
        <v>933861</v>
      </c>
      <c r="CA446" s="5">
        <f t="shared" si="1063"/>
        <v>511124.41271850525</v>
      </c>
      <c r="CC446" s="5">
        <f t="shared" si="1064"/>
        <v>16370790.834029118</v>
      </c>
      <c r="CD446" s="5" t="str">
        <f t="shared" si="1065"/>
        <v>West Virginia</v>
      </c>
      <c r="CE446" s="5">
        <f t="shared" si="1066"/>
        <v>0.7263936339366428</v>
      </c>
      <c r="CF446" s="10">
        <f t="shared" si="1067"/>
        <v>0.48248976363324481</v>
      </c>
    </row>
    <row r="447" spans="1:84" x14ac:dyDescent="0.2">
      <c r="A447">
        <v>49000000001015</v>
      </c>
      <c r="B447">
        <v>2020</v>
      </c>
      <c r="C447">
        <v>574</v>
      </c>
      <c r="D447" t="s">
        <v>672</v>
      </c>
      <c r="E447">
        <v>6</v>
      </c>
      <c r="F447" t="s">
        <v>673</v>
      </c>
      <c r="G447" t="s">
        <v>254</v>
      </c>
      <c r="H447" t="s">
        <v>69</v>
      </c>
      <c r="I447" t="b">
        <v>1</v>
      </c>
      <c r="J447">
        <v>149759</v>
      </c>
      <c r="K447">
        <v>794751</v>
      </c>
      <c r="M447">
        <v>83412</v>
      </c>
      <c r="N447">
        <v>17404</v>
      </c>
      <c r="O447">
        <v>853967</v>
      </c>
      <c r="Q447">
        <v>191359</v>
      </c>
      <c r="R447">
        <v>10873910</v>
      </c>
      <c r="S447">
        <v>11065269</v>
      </c>
      <c r="T447">
        <v>463840</v>
      </c>
      <c r="V447">
        <v>96511</v>
      </c>
      <c r="W447">
        <v>241591</v>
      </c>
      <c r="Y447">
        <v>5525</v>
      </c>
      <c r="Z447">
        <v>3139</v>
      </c>
      <c r="AA447">
        <v>-54411</v>
      </c>
      <c r="AB447">
        <v>7898739</v>
      </c>
      <c r="AC447">
        <v>7844328</v>
      </c>
      <c r="AD447">
        <v>3220941</v>
      </c>
      <c r="AE447">
        <v>2975171</v>
      </c>
      <c r="AF447">
        <v>245770</v>
      </c>
      <c r="AG447">
        <v>1509477</v>
      </c>
      <c r="AH447">
        <v>0.30728523852963641</v>
      </c>
      <c r="AI447" t="b">
        <v>1</v>
      </c>
      <c r="AK447">
        <v>7.4999999999999997E-2</v>
      </c>
      <c r="AL447">
        <v>7.4999999999999997E-2</v>
      </c>
      <c r="AM447">
        <v>7.4999999999999997E-2</v>
      </c>
      <c r="AN447">
        <v>7.4999999999999997E-2</v>
      </c>
      <c r="AO447">
        <v>1</v>
      </c>
      <c r="AP447">
        <v>0</v>
      </c>
      <c r="AS447">
        <v>4351215</v>
      </c>
      <c r="AT447">
        <v>2257864</v>
      </c>
      <c r="BB447">
        <f t="shared" si="1044"/>
        <v>0.70891435174327888</v>
      </c>
      <c r="BD447">
        <f t="shared" si="1045"/>
        <v>1130274</v>
      </c>
      <c r="BE447">
        <f t="shared" si="1046"/>
        <v>-963077</v>
      </c>
      <c r="BF447">
        <f t="shared" si="1047"/>
        <v>10.214609333040164</v>
      </c>
      <c r="BG447">
        <f t="shared" si="1048"/>
        <v>-8.7036022350654108</v>
      </c>
      <c r="BH447">
        <f t="shared" si="1049"/>
        <v>9.4591057840527881</v>
      </c>
      <c r="BI447">
        <f t="shared" si="1050"/>
        <v>75.550354898737652</v>
      </c>
      <c r="BJ447">
        <f t="shared" si="1051"/>
        <v>9</v>
      </c>
      <c r="BK447">
        <f>IF($BJ447&lt;=30,IF($B447=2015,VLOOKUP($BJ447,'Treasury Yields'!$C$5:$N$34,$E447,FALSE)/100,IF($B447=2016,VLOOKUP($BJ447,'Treasury Yields'!$C$40:$N$69,$E447,FALSE)/100,IF($B447=2017,VLOOKUP($BJ447,'Treasury Yields'!$C$75:$N$104,$E447,FALSE)/100,IF($B447=2018,VLOOKUP($BJ447,'Treasury Yields'!$C$110:$N$139,$E447,FALSE)/100,IF($B447=2019,VLOOKUP($BJ447,'Treasury Yields'!$C$145:$N$174,$E447,FALSE)/100,IF($B447=2020,VLOOKUP($BJ447,'Treasury Yields'!$C$180:$N$209,$E447,FALSE)/100,IF($B447=2021,VLOOKUP($BJ447,'Treasury Yields'!$C$215:$N$244,$E447,FALSE)/100,IF($B447=2022,VLOOKUP($BJ447,'Treasury Yields'!$C$250:$N$279,$E447,FALSE)/100)))))))),0)</f>
        <v>2.0739999999999998E-2</v>
      </c>
      <c r="BL447">
        <f t="shared" si="1052"/>
        <v>1.5161952274427044</v>
      </c>
      <c r="BM447">
        <f t="shared" si="1053"/>
        <v>16486970.445641497</v>
      </c>
      <c r="BN447">
        <f t="shared" si="1054"/>
        <v>8588231.4456414972</v>
      </c>
      <c r="BP447">
        <f>IF($BJ447&lt;=30,IF($B447=2015,VLOOKUP($BJ447,'Treasury Yields'!$C$40:$N$69,$E447,FALSE)/100,IF($B447=2016,VLOOKUP($BJ447,'Treasury Yields'!$C$75:$N$104,$E447,FALSE)/100,IF($B447=2017,VLOOKUP($BJ447,'Treasury Yields'!$C$110:$N$139,$E447,FALSE)/100,IF($B447=2018,VLOOKUP($BJ447,'Treasury Yields'!$C$145:$N$174,$E447,FALSE)/100,IF($B447=2019,VLOOKUP($BJ447,'Treasury Yields'!$C$180:$N$209,$E447,FALSE)/100,IF($B447=2020,VLOOKUP($BJ447,'Treasury Yields'!$C$215:$N$244,$E447,FALSE)/100,IF($B447=2021,VLOOKUP($BJ447,'Treasury Yields'!$C$250:$N$279,$E447,FALSE)/100,IF($B447=2022,VLOOKUP($BJ447,'Treasury Yields'!$C$285:$N$314,$E447,FALSE)/100)))))))),0)</f>
        <v>1.2896818181818181E-2</v>
      </c>
      <c r="BQ447">
        <f t="shared" si="1055"/>
        <v>1.5912973715363876</v>
      </c>
      <c r="BR447">
        <f t="shared" si="1056"/>
        <v>17608133.475043073</v>
      </c>
      <c r="BS447">
        <f t="shared" si="1057"/>
        <v>9763805.4750430733</v>
      </c>
      <c r="BU447">
        <f t="shared" si="1068"/>
        <v>12</v>
      </c>
      <c r="BV447">
        <f t="shared" si="1058"/>
        <v>2.3868024758969706</v>
      </c>
      <c r="BW447">
        <f t="shared" si="1059"/>
        <v>357445.15198785439</v>
      </c>
      <c r="BX447" s="5">
        <f t="shared" si="1060"/>
        <v>331641.90391483274</v>
      </c>
      <c r="BY447" s="5">
        <f t="shared" si="1061"/>
        <v>167822.05705483272</v>
      </c>
      <c r="BZ447" s="5">
        <f t="shared" si="1062"/>
        <v>944510</v>
      </c>
      <c r="CA447" s="5">
        <f t="shared" si="1063"/>
        <v>525267.20904268709</v>
      </c>
      <c r="CC447" s="5">
        <f t="shared" si="1064"/>
        <v>17608133.475043073</v>
      </c>
      <c r="CD447" s="5" t="str">
        <f t="shared" si="1065"/>
        <v>West Virginia</v>
      </c>
      <c r="CE447" s="5">
        <f t="shared" si="1066"/>
        <v>0.70891435174327888</v>
      </c>
      <c r="CF447" s="10">
        <f t="shared" si="1067"/>
        <v>0.44549457846387724</v>
      </c>
    </row>
    <row r="448" spans="1:84" x14ac:dyDescent="0.2">
      <c r="A448">
        <v>49000000001015</v>
      </c>
      <c r="B448">
        <v>2021</v>
      </c>
      <c r="C448">
        <v>574</v>
      </c>
      <c r="D448" t="s">
        <v>672</v>
      </c>
      <c r="E448">
        <v>6</v>
      </c>
      <c r="F448" t="s">
        <v>673</v>
      </c>
      <c r="G448" t="s">
        <v>254</v>
      </c>
      <c r="H448" t="s">
        <v>69</v>
      </c>
      <c r="I448" t="b">
        <v>1</v>
      </c>
      <c r="J448">
        <v>150254</v>
      </c>
      <c r="K448">
        <v>808482</v>
      </c>
      <c r="L448">
        <v>0</v>
      </c>
      <c r="M448">
        <v>96300</v>
      </c>
      <c r="N448">
        <v>228777</v>
      </c>
      <c r="O448">
        <v>871516</v>
      </c>
      <c r="Q448">
        <v>412297</v>
      </c>
      <c r="R448">
        <v>11065269</v>
      </c>
      <c r="S448">
        <v>11477566</v>
      </c>
      <c r="T448">
        <v>417334</v>
      </c>
      <c r="V448">
        <v>97258</v>
      </c>
      <c r="W448">
        <v>2429811</v>
      </c>
      <c r="Y448">
        <v>5221</v>
      </c>
      <c r="Z448">
        <v>2793</v>
      </c>
      <c r="AA448">
        <v>2070459</v>
      </c>
      <c r="AB448">
        <v>7844328</v>
      </c>
      <c r="AC448">
        <v>9914787</v>
      </c>
      <c r="AD448">
        <v>1562779</v>
      </c>
      <c r="AE448">
        <v>3220941</v>
      </c>
      <c r="AF448">
        <v>-1658162</v>
      </c>
      <c r="AG448">
        <v>1604576</v>
      </c>
      <c r="AI448" t="b">
        <v>1</v>
      </c>
      <c r="AK448">
        <v>7.4999999999999997E-2</v>
      </c>
      <c r="AL448">
        <v>7.2499999999999995E-2</v>
      </c>
      <c r="AM448">
        <v>7.2499999999999995E-2</v>
      </c>
      <c r="AN448">
        <v>7.4999999999999997E-2</v>
      </c>
      <c r="AS448">
        <v>2761538</v>
      </c>
      <c r="AT448">
        <v>544130</v>
      </c>
      <c r="BB448">
        <f t="shared" si="1044"/>
        <v>0.86384055643853408</v>
      </c>
      <c r="BD448">
        <f t="shared" si="1045"/>
        <v>1198759</v>
      </c>
      <c r="BE448">
        <f t="shared" si="1046"/>
        <v>-1018649</v>
      </c>
      <c r="BF448">
        <f t="shared" si="1047"/>
        <v>10.444365991883645</v>
      </c>
      <c r="BG448">
        <f t="shared" si="1048"/>
        <v>-8.8751308422012123</v>
      </c>
      <c r="BH448">
        <f t="shared" si="1049"/>
        <v>9.6597484170424277</v>
      </c>
      <c r="BI448">
        <f t="shared" si="1050"/>
        <v>78.46175748412162</v>
      </c>
      <c r="BJ448">
        <f t="shared" si="1051"/>
        <v>10</v>
      </c>
      <c r="BK448">
        <f>IF($BJ448&lt;=30,IF($B448=2015,VLOOKUP($BJ448,'Treasury Yields'!$C$5:$N$34,$E448,FALSE)/100,IF($B448=2016,VLOOKUP($BJ448,'Treasury Yields'!$C$40:$N$69,$E448,FALSE)/100,IF($B448=2017,VLOOKUP($BJ448,'Treasury Yields'!$C$75:$N$104,$E448,FALSE)/100,IF($B448=2018,VLOOKUP($BJ448,'Treasury Yields'!$C$110:$N$139,$E448,FALSE)/100,IF($B448=2019,VLOOKUP($BJ448,'Treasury Yields'!$C$145:$N$174,$E448,FALSE)/100,IF($B448=2020,VLOOKUP($BJ448,'Treasury Yields'!$C$180:$N$209,$E448,FALSE)/100,IF($B448=2021,VLOOKUP($BJ448,'Treasury Yields'!$C$215:$N$244,$E448,FALSE)/100,IF($B448=2022,VLOOKUP($BJ448,'Treasury Yields'!$C$250:$N$279,$E448,FALSE)/100)))))))),0)</f>
        <v>1.5412727272727269E-2</v>
      </c>
      <c r="BL448">
        <f t="shared" si="1052"/>
        <v>1.5547076490679799</v>
      </c>
      <c r="BM448">
        <f t="shared" si="1053"/>
        <v>17203258.353294797</v>
      </c>
      <c r="BN448">
        <f t="shared" si="1054"/>
        <v>9358930.3532947972</v>
      </c>
      <c r="BP448">
        <f>IF($BJ448&lt;=30,IF($B448=2015,VLOOKUP($BJ448,'Treasury Yields'!$C$40:$N$69,$E448,FALSE)/100,IF($B448=2016,VLOOKUP($BJ448,'Treasury Yields'!$C$75:$N$104,$E448,FALSE)/100,IF($B448=2017,VLOOKUP($BJ448,'Treasury Yields'!$C$110:$N$139,$E448,FALSE)/100,IF($B448=2018,VLOOKUP($BJ448,'Treasury Yields'!$C$145:$N$174,$E448,FALSE)/100,IF($B448=2019,VLOOKUP($BJ448,'Treasury Yields'!$C$180:$N$209,$E448,FALSE)/100,IF($B448=2020,VLOOKUP($BJ448,'Treasury Yields'!$C$215:$N$244,$E448,FALSE)/100,IF($B448=2021,VLOOKUP($BJ448,'Treasury Yields'!$C$250:$N$279,$E448,FALSE)/100,IF($B448=2022,VLOOKUP($BJ448,'Treasury Yields'!$C$285:$N$314,$E448,FALSE)/100)))))))),0)</f>
        <v>2.202272727272727E-2</v>
      </c>
      <c r="BQ448">
        <f t="shared" si="1055"/>
        <v>1.5145537177921176</v>
      </c>
      <c r="BR448">
        <f t="shared" si="1056"/>
        <v>17383390.256504405</v>
      </c>
      <c r="BS448">
        <f t="shared" si="1057"/>
        <v>7468603.2565044053</v>
      </c>
      <c r="BU448">
        <f t="shared" si="1068"/>
        <v>13</v>
      </c>
      <c r="BV448">
        <f t="shared" si="1058"/>
        <v>2.6288223044130086</v>
      </c>
      <c r="BW448">
        <f t="shared" si="1059"/>
        <v>394991.06652727217</v>
      </c>
      <c r="BX448" s="5">
        <f t="shared" si="1060"/>
        <v>257804.58036333029</v>
      </c>
      <c r="BY448" s="5">
        <f t="shared" si="1061"/>
        <v>136902.09226151209</v>
      </c>
      <c r="BZ448" s="5">
        <f t="shared" si="1062"/>
        <v>958736</v>
      </c>
      <c r="CA448" s="5">
        <f t="shared" si="1063"/>
        <v>531893.15878878429</v>
      </c>
      <c r="CC448" s="5">
        <f t="shared" si="1064"/>
        <v>17383390.256504405</v>
      </c>
      <c r="CD448" s="5" t="str">
        <f t="shared" si="1065"/>
        <v>West Virginia</v>
      </c>
      <c r="CE448" s="5">
        <f t="shared" si="1066"/>
        <v>0.86384055643853408</v>
      </c>
      <c r="CF448" s="10">
        <f t="shared" si="1067"/>
        <v>0.57035980057400759</v>
      </c>
    </row>
    <row r="449" spans="1:84" x14ac:dyDescent="0.2">
      <c r="A449">
        <v>49000000001015</v>
      </c>
      <c r="B449">
        <v>2022</v>
      </c>
      <c r="C449">
        <v>574</v>
      </c>
      <c r="D449" t="s">
        <v>672</v>
      </c>
      <c r="E449">
        <v>6</v>
      </c>
      <c r="F449" t="s">
        <v>673</v>
      </c>
      <c r="G449" t="s">
        <v>254</v>
      </c>
      <c r="H449" t="s">
        <v>69</v>
      </c>
      <c r="I449" t="b">
        <v>1</v>
      </c>
      <c r="J449">
        <v>156772</v>
      </c>
      <c r="K449">
        <v>811208</v>
      </c>
      <c r="L449">
        <v>0</v>
      </c>
      <c r="M449">
        <v>18895</v>
      </c>
      <c r="N449">
        <v>0</v>
      </c>
      <c r="O449">
        <v>890519</v>
      </c>
      <c r="Q449">
        <v>96356</v>
      </c>
      <c r="R449">
        <v>11477566</v>
      </c>
      <c r="S449">
        <v>11573922</v>
      </c>
      <c r="T449">
        <v>483005</v>
      </c>
      <c r="V449">
        <v>95694</v>
      </c>
      <c r="W449">
        <v>-600544</v>
      </c>
      <c r="Y449">
        <v>3951</v>
      </c>
      <c r="Z449">
        <v>3385</v>
      </c>
      <c r="AA449">
        <v>-912930</v>
      </c>
      <c r="AB449">
        <v>9914787</v>
      </c>
      <c r="AC449">
        <v>9001857</v>
      </c>
      <c r="AD449">
        <v>2572065</v>
      </c>
      <c r="AE449">
        <v>1562779</v>
      </c>
      <c r="AF449">
        <v>1009286</v>
      </c>
      <c r="AG449">
        <v>1636411</v>
      </c>
      <c r="AI449" t="b">
        <v>1</v>
      </c>
      <c r="AK449">
        <v>7.2499999999999995E-2</v>
      </c>
      <c r="AL449">
        <v>7.2499999999999995E-2</v>
      </c>
      <c r="AM449">
        <v>7.2499999999999995E-2</v>
      </c>
      <c r="AN449">
        <v>7.2499999999999995E-2</v>
      </c>
      <c r="AS449">
        <v>3783191</v>
      </c>
      <c r="AT449">
        <v>1543464</v>
      </c>
      <c r="AV449" t="s">
        <v>677</v>
      </c>
      <c r="BB449">
        <f t="shared" si="1044"/>
        <v>0.7777706640843095</v>
      </c>
      <c r="BD449">
        <f t="shared" si="1045"/>
        <v>1211126</v>
      </c>
      <c r="BE449">
        <f t="shared" si="1046"/>
        <v>-1028601</v>
      </c>
      <c r="BF449">
        <f t="shared" si="1047"/>
        <v>10.464266132085562</v>
      </c>
      <c r="BG449">
        <f t="shared" si="1048"/>
        <v>-8.8872294110846788</v>
      </c>
      <c r="BH449">
        <f t="shared" si="1049"/>
        <v>9.6757477715851206</v>
      </c>
      <c r="BI449">
        <f t="shared" si="1050"/>
        <v>78.851836050044227</v>
      </c>
      <c r="BJ449">
        <f t="shared" si="1051"/>
        <v>10</v>
      </c>
      <c r="BK449">
        <f>IF($BJ449&lt;=30,IF($B449=2015,VLOOKUP($BJ449,'Treasury Yields'!$C$5:$N$34,$E449,FALSE)/100,IF($B449=2016,VLOOKUP($BJ449,'Treasury Yields'!$C$40:$N$69,$E449,FALSE)/100,IF($B449=2017,VLOOKUP($BJ449,'Treasury Yields'!$C$75:$N$104,$E449,FALSE)/100,IF($B449=2018,VLOOKUP($BJ449,'Treasury Yields'!$C$110:$N$139,$E449,FALSE)/100,IF($B449=2019,VLOOKUP($BJ449,'Treasury Yields'!$C$145:$N$174,$E449,FALSE)/100,IF($B449=2020,VLOOKUP($BJ449,'Treasury Yields'!$C$180:$N$209,$E449,FALSE)/100,IF($B449=2021,VLOOKUP($BJ449,'Treasury Yields'!$C$215:$N$244,$E449,FALSE)/100,IF($B449=2022,VLOOKUP($BJ449,'Treasury Yields'!$C$250:$N$279,$E449,FALSE)/100)))))))),0)</f>
        <v>2.202272727272727E-2</v>
      </c>
      <c r="BL449">
        <f t="shared" si="1052"/>
        <v>1.4909533141685869</v>
      </c>
      <c r="BM449">
        <f t="shared" si="1053"/>
        <v>17112515.066288691</v>
      </c>
      <c r="BN449">
        <f t="shared" si="1054"/>
        <v>7197728.066288691</v>
      </c>
      <c r="BP449">
        <f>IF($BJ449&lt;=30,IF($B449=2015,VLOOKUP($BJ449,'Treasury Yields'!$C$40:$N$69,$E449,FALSE)/100,IF($B449=2016,VLOOKUP($BJ449,'Treasury Yields'!$C$75:$N$104,$E449,FALSE)/100,IF($B449=2017,VLOOKUP($BJ449,'Treasury Yields'!$C$110:$N$139,$E449,FALSE)/100,IF($B449=2018,VLOOKUP($BJ449,'Treasury Yields'!$C$145:$N$174,$E449,FALSE)/100,IF($B449=2019,VLOOKUP($BJ449,'Treasury Yields'!$C$180:$N$209,$E449,FALSE)/100,IF($B449=2020,VLOOKUP($BJ449,'Treasury Yields'!$C$215:$N$244,$E449,FALSE)/100,IF($B449=2021,VLOOKUP($BJ449,'Treasury Yields'!$C$250:$N$279,$E449,FALSE)/100,IF($B449=2022,VLOOKUP($BJ449,'Treasury Yields'!$C$285:$N$314,$E449,FALSE)/100)))))))),0)</f>
        <v>3.1469545454545458E-2</v>
      </c>
      <c r="BQ449">
        <f t="shared" si="1055"/>
        <v>1.3986838273355129</v>
      </c>
      <c r="BR449">
        <f t="shared" si="1056"/>
        <v>16188257.520242695</v>
      </c>
      <c r="BS449">
        <f t="shared" si="1057"/>
        <v>7186400.5202426948</v>
      </c>
      <c r="BU449">
        <f t="shared" si="1068"/>
        <v>13</v>
      </c>
      <c r="BV449">
        <f t="shared" si="1058"/>
        <v>2.3455208393715496</v>
      </c>
      <c r="BW449">
        <f t="shared" si="1059"/>
        <v>367711.99302995659</v>
      </c>
      <c r="BX449" s="5">
        <f t="shared" si="1060"/>
        <v>365350.61612454016</v>
      </c>
      <c r="BY449" s="5">
        <f t="shared" si="1061"/>
        <v>146999.96605635839</v>
      </c>
      <c r="BZ449" s="5">
        <f t="shared" si="1062"/>
        <v>967980</v>
      </c>
      <c r="CA449" s="5">
        <f t="shared" si="1063"/>
        <v>514711.95908631501</v>
      </c>
      <c r="CC449" s="5">
        <f t="shared" si="1064"/>
        <v>16188257.520242695</v>
      </c>
      <c r="CD449" s="5" t="str">
        <f t="shared" si="1065"/>
        <v>West Virginia</v>
      </c>
      <c r="CE449" s="5">
        <f t="shared" si="1066"/>
        <v>0.7777706640843095</v>
      </c>
      <c r="CF449" s="10">
        <f t="shared" si="1067"/>
        <v>0.55607325178411449</v>
      </c>
    </row>
    <row r="450" spans="1:84" x14ac:dyDescent="0.2">
      <c r="A450">
        <v>50000000001802</v>
      </c>
      <c r="B450">
        <v>2015</v>
      </c>
      <c r="C450">
        <v>651</v>
      </c>
      <c r="D450" t="s">
        <v>678</v>
      </c>
      <c r="E450">
        <v>12</v>
      </c>
      <c r="F450" t="s">
        <v>679</v>
      </c>
      <c r="G450" t="s">
        <v>680</v>
      </c>
      <c r="H450" t="s">
        <v>601</v>
      </c>
      <c r="I450" t="b">
        <v>1</v>
      </c>
      <c r="J450">
        <v>1787900</v>
      </c>
      <c r="K450">
        <v>6347100</v>
      </c>
      <c r="M450">
        <v>-4247300</v>
      </c>
      <c r="N450">
        <v>1412000</v>
      </c>
      <c r="O450">
        <v>4861200</v>
      </c>
      <c r="P450">
        <v>37600</v>
      </c>
      <c r="Q450">
        <v>438500</v>
      </c>
      <c r="R450">
        <v>89691200</v>
      </c>
      <c r="S450">
        <v>90129700</v>
      </c>
      <c r="T450">
        <v>977700</v>
      </c>
      <c r="V450">
        <v>937200</v>
      </c>
      <c r="W450">
        <v>-673100</v>
      </c>
      <c r="Y450">
        <v>22700</v>
      </c>
      <c r="Z450">
        <v>0</v>
      </c>
      <c r="AA450">
        <v>-3642100</v>
      </c>
      <c r="AB450">
        <v>92146800</v>
      </c>
      <c r="AC450">
        <v>88504700</v>
      </c>
      <c r="AD450">
        <v>1625000</v>
      </c>
      <c r="AE450">
        <v>-2455600</v>
      </c>
      <c r="AF450">
        <v>4080600</v>
      </c>
      <c r="AG450">
        <v>13530500</v>
      </c>
      <c r="AH450">
        <v>7.2258970474114045E-2</v>
      </c>
      <c r="AI450" t="b">
        <v>1</v>
      </c>
      <c r="AK450">
        <v>7.1999999999999995E-2</v>
      </c>
      <c r="AL450">
        <v>7.1999999999999995E-2</v>
      </c>
      <c r="AM450">
        <v>7.1999999999999995E-2</v>
      </c>
      <c r="AN450">
        <v>7.1999999999999995E-2</v>
      </c>
      <c r="AO450">
        <v>1</v>
      </c>
      <c r="AP450">
        <v>0</v>
      </c>
      <c r="AS450">
        <v>11397600</v>
      </c>
      <c r="AT450">
        <v>-6007600</v>
      </c>
      <c r="AU450" t="s">
        <v>681</v>
      </c>
      <c r="AV450" t="s">
        <v>682</v>
      </c>
      <c r="BB450">
        <f t="shared" ref="BB450:BB457" si="1069">AC450/S450</f>
        <v>0.98197042706233351</v>
      </c>
      <c r="BD450">
        <f t="shared" ref="BD450:BD457" si="1070">AS450-AD450</f>
        <v>9772600</v>
      </c>
      <c r="BE450">
        <f t="shared" ref="BE450:BE457" si="1071">AT450-AD450</f>
        <v>-7632600</v>
      </c>
      <c r="BF450">
        <f t="shared" ref="BF450:BF457" si="1072">BD450/S450*100</f>
        <v>10.842818737885514</v>
      </c>
      <c r="BG450">
        <f t="shared" ref="BG450:BG457" si="1073">BE450/S450*100</f>
        <v>-8.4684626710174342</v>
      </c>
      <c r="BH450">
        <f t="shared" ref="BH450:BH457" si="1074">(BD450-BE450)/(2*S450)*100</f>
        <v>9.6556407044514732</v>
      </c>
      <c r="BI450">
        <f t="shared" ref="BI450:BI457" si="1075">(BD450+BE450)/(2*S450*(0.01^2))</f>
        <v>118.71780334340399</v>
      </c>
      <c r="BJ450">
        <f t="shared" ref="BJ450:BJ457" si="1076">ROUND(BH450,0)</f>
        <v>10</v>
      </c>
      <c r="BK450">
        <f>IF($BJ450&lt;=30,IF($B450=2015,VLOOKUP($BJ450,'Treasury Yields'!$C$5:$N$34,$E450,FALSE)/100,IF($B450=2016,VLOOKUP($BJ450,'Treasury Yields'!$C$40:$N$69,$E450,FALSE)/100,IF($B450=2017,VLOOKUP($BJ450,'Treasury Yields'!$C$75:$N$104,$E450,FALSE)/100,IF($B450=2018,VLOOKUP($BJ450,'Treasury Yields'!$C$110:$N$139,$E450,FALSE)/100,IF($B450=2019,VLOOKUP($BJ450,'Treasury Yields'!$C$145:$N$174,$E450,FALSE)/100,IF($B450=2020,VLOOKUP($BJ450,'Treasury Yields'!$C$180:$N$209,$E450,FALSE)/100,IF($B450=2021,VLOOKUP($BJ450,'Treasury Yields'!$C$215:$N$244,$E450,FALSE)/100,IF($B450=2022,VLOOKUP($BJ450,'Treasury Yields'!$C$250:$N$279,$E450,FALSE)/100)))))))),0)</f>
        <v>2.358E-2</v>
      </c>
      <c r="BL450">
        <f t="shared" ref="BL450:BL457" si="1077">1+BH450*(AL450-BK450)+(AL450-BK450)^2</f>
        <v>1.4698706193095401</v>
      </c>
      <c r="BM450">
        <f t="shared" ref="BM450:BM457" si="1078">BL450*R450</f>
        <v>131834459.69061582</v>
      </c>
      <c r="BN450">
        <f t="shared" ref="BN450:BN457" si="1079">BM450-AB450</f>
        <v>39687659.690615818</v>
      </c>
      <c r="BP450">
        <f>IF($BJ450&lt;=30,IF($B450=2015,VLOOKUP($BJ450,'Treasury Yields'!$C$40:$N$69,$E450,FALSE)/100,IF($B450=2016,VLOOKUP($BJ450,'Treasury Yields'!$C$75:$N$104,$E450,FALSE)/100,IF($B450=2017,VLOOKUP($BJ450,'Treasury Yields'!$C$110:$N$139,$E450,FALSE)/100,IF($B450=2018,VLOOKUP($BJ450,'Treasury Yields'!$C$145:$N$174,$E450,FALSE)/100,IF($B450=2019,VLOOKUP($BJ450,'Treasury Yields'!$C$180:$N$209,$E450,FALSE)/100,IF($B450=2020,VLOOKUP($BJ450,'Treasury Yields'!$C$215:$N$244,$E450,FALSE)/100,IF($B450=2021,VLOOKUP($BJ450,'Treasury Yields'!$C$250:$N$279,$E450,FALSE)/100,IF($B450=2022,VLOOKUP($BJ450,'Treasury Yields'!$C$285:$N$314,$E450,FALSE)/100)))))))),0)</f>
        <v>2.4830000000000001E-2</v>
      </c>
      <c r="BQ450">
        <f t="shared" ref="BQ450:BQ457" si="1080">1+BH450*(AN450-BP450)+(AN450-BP450)^2</f>
        <v>1.4576815809289758</v>
      </c>
      <c r="BR450">
        <f t="shared" ref="BR450:BR457" si="1081">BQ450*S450</f>
        <v>131380403.58465432</v>
      </c>
      <c r="BS450">
        <f t="shared" ref="BS450:BS457" si="1082">BR450-AC450</f>
        <v>42875703.584654316</v>
      </c>
      <c r="BU450">
        <f t="shared" si="1068"/>
        <v>13</v>
      </c>
      <c r="BV450">
        <f t="shared" ref="BV450:BV457" si="1083">1+(BH450+BU450)*(AN450-BK450)+(AN450-BK450)^2*BI450</f>
        <v>2.3753195854640587</v>
      </c>
      <c r="BW450">
        <f t="shared" ref="BW450:BW457" si="1084">BV450*J450</f>
        <v>4246833.8868511906</v>
      </c>
      <c r="BX450" s="5">
        <f t="shared" ref="BX450:BX457" si="1085">(BM450+BW450-O450)*BK450</f>
        <v>3094169.8065566719</v>
      </c>
      <c r="BY450" s="5">
        <f t="shared" ref="BY450:BY457" si="1086">BK450*(BN450+BW450-O450)</f>
        <v>921348.2625566721</v>
      </c>
      <c r="BZ450" s="5">
        <f t="shared" ref="BZ450:BZ457" si="1087">SUM(J450:K450)</f>
        <v>8135000</v>
      </c>
      <c r="CA450" s="5">
        <f t="shared" ref="CA450:CA457" si="1088">SUM(BW450+BY450)</f>
        <v>5168182.1494078627</v>
      </c>
      <c r="CC450" s="5">
        <f t="shared" ref="CC450:CC457" si="1089">BR450</f>
        <v>131380403.58465432</v>
      </c>
      <c r="CD450" s="5" t="str">
        <f t="shared" ref="CD450:CD457" si="1090">F450</f>
        <v>Wisconsin</v>
      </c>
      <c r="CE450" s="5">
        <f t="shared" si="1066"/>
        <v>0.98197042706233351</v>
      </c>
      <c r="CF450" s="10">
        <f t="shared" ref="CF450:CF457" si="1091">AC450/CC450</f>
        <v>0.67365221589513868</v>
      </c>
    </row>
    <row r="451" spans="1:84" x14ac:dyDescent="0.2">
      <c r="A451">
        <v>50000000001802</v>
      </c>
      <c r="B451">
        <v>2016</v>
      </c>
      <c r="C451">
        <v>651</v>
      </c>
      <c r="D451" t="s">
        <v>678</v>
      </c>
      <c r="E451">
        <v>12</v>
      </c>
      <c r="F451" t="s">
        <v>679</v>
      </c>
      <c r="G451" t="s">
        <v>680</v>
      </c>
      <c r="H451" t="s">
        <v>601</v>
      </c>
      <c r="I451" t="b">
        <v>1</v>
      </c>
      <c r="J451">
        <v>1814100</v>
      </c>
      <c r="K451">
        <v>6372400</v>
      </c>
      <c r="M451">
        <v>150300</v>
      </c>
      <c r="N451">
        <v>0</v>
      </c>
      <c r="O451">
        <v>5062200</v>
      </c>
      <c r="P451">
        <v>39300</v>
      </c>
      <c r="Q451">
        <v>3274600</v>
      </c>
      <c r="R451">
        <v>90129700</v>
      </c>
      <c r="S451">
        <v>93404300</v>
      </c>
      <c r="T451">
        <v>963100</v>
      </c>
      <c r="V451">
        <v>921900</v>
      </c>
      <c r="W451">
        <v>7273100</v>
      </c>
      <c r="Y451">
        <v>20400</v>
      </c>
      <c r="Z451">
        <v>0</v>
      </c>
      <c r="AA451">
        <v>4075400</v>
      </c>
      <c r="AB451">
        <v>88504700</v>
      </c>
      <c r="AC451">
        <v>92580100</v>
      </c>
      <c r="AD451">
        <v>824200</v>
      </c>
      <c r="AE451">
        <v>1625000</v>
      </c>
      <c r="AF451">
        <v>-800800</v>
      </c>
      <c r="AG451">
        <v>13706000</v>
      </c>
      <c r="AH451">
        <v>7.0268495549394419E-2</v>
      </c>
      <c r="AI451" t="b">
        <v>1</v>
      </c>
      <c r="AK451">
        <v>7.1999999999999995E-2</v>
      </c>
      <c r="AL451">
        <v>7.1999999999999995E-2</v>
      </c>
      <c r="AM451">
        <v>7.1999999999999995E-2</v>
      </c>
      <c r="AN451">
        <v>7.1999999999999995E-2</v>
      </c>
      <c r="AO451">
        <v>1</v>
      </c>
      <c r="AP451">
        <v>0</v>
      </c>
      <c r="AS451">
        <v>10843400</v>
      </c>
      <c r="AT451">
        <v>-6891000</v>
      </c>
      <c r="AU451" t="s">
        <v>60</v>
      </c>
      <c r="AV451" t="s">
        <v>683</v>
      </c>
      <c r="BB451">
        <f t="shared" si="1069"/>
        <v>0.99117599510943288</v>
      </c>
      <c r="BD451">
        <f t="shared" si="1070"/>
        <v>10019200</v>
      </c>
      <c r="BE451">
        <f t="shared" si="1071"/>
        <v>-7715200</v>
      </c>
      <c r="BF451">
        <f t="shared" si="1072"/>
        <v>10.726701019117964</v>
      </c>
      <c r="BG451">
        <f t="shared" si="1073"/>
        <v>-8.2600051603619971</v>
      </c>
      <c r="BH451">
        <f t="shared" si="1074"/>
        <v>9.4933530897399798</v>
      </c>
      <c r="BI451">
        <f t="shared" si="1075"/>
        <v>123.33479293779837</v>
      </c>
      <c r="BJ451">
        <f t="shared" si="1076"/>
        <v>9</v>
      </c>
      <c r="BK451">
        <f>IF($BJ451&lt;=30,IF($B451=2015,VLOOKUP($BJ451,'Treasury Yields'!$C$5:$N$34,$E451,FALSE)/100,IF($B451=2016,VLOOKUP($BJ451,'Treasury Yields'!$C$40:$N$69,$E451,FALSE)/100,IF($B451=2017,VLOOKUP($BJ451,'Treasury Yields'!$C$75:$N$104,$E451,FALSE)/100,IF($B451=2018,VLOOKUP($BJ451,'Treasury Yields'!$C$110:$N$139,$E451,FALSE)/100,IF($B451=2019,VLOOKUP($BJ451,'Treasury Yields'!$C$145:$N$174,$E451,FALSE)/100,IF($B451=2020,VLOOKUP($BJ451,'Treasury Yields'!$C$180:$N$209,$E451,FALSE)/100,IF($B451=2021,VLOOKUP($BJ451,'Treasury Yields'!$C$215:$N$244,$E451,FALSE)/100,IF($B451=2022,VLOOKUP($BJ451,'Treasury Yields'!$C$250:$N$279,$E451,FALSE)/100)))))))),0)</f>
        <v>2.4070000000000001E-2</v>
      </c>
      <c r="BL451">
        <f t="shared" si="1077"/>
        <v>1.4573136984912372</v>
      </c>
      <c r="BM451">
        <f t="shared" si="1078"/>
        <v>131347246.45090565</v>
      </c>
      <c r="BN451">
        <f t="shared" si="1079"/>
        <v>42842546.450905651</v>
      </c>
      <c r="BP451">
        <f>IF($BJ451&lt;=30,IF($B451=2015,VLOOKUP($BJ451,'Treasury Yields'!$C$40:$N$69,$E451,FALSE)/100,IF($B451=2016,VLOOKUP($BJ451,'Treasury Yields'!$C$75:$N$104,$E451,FALSE)/100,IF($B451=2017,VLOOKUP($BJ451,'Treasury Yields'!$C$110:$N$139,$E451,FALSE)/100,IF($B451=2018,VLOOKUP($BJ451,'Treasury Yields'!$C$145:$N$174,$E451,FALSE)/100,IF($B451=2019,VLOOKUP($BJ451,'Treasury Yields'!$C$180:$N$209,$E451,FALSE)/100,IF($B451=2020,VLOOKUP($BJ451,'Treasury Yields'!$C$215:$N$244,$E451,FALSE)/100,IF($B451=2021,VLOOKUP($BJ451,'Treasury Yields'!$C$250:$N$279,$E451,FALSE)/100,IF($B451=2022,VLOOKUP($BJ451,'Treasury Yields'!$C$285:$N$314,$E451,FALSE)/100)))))))),0)</f>
        <v>2.5920000000000002E-2</v>
      </c>
      <c r="BQ451">
        <f t="shared" si="1080"/>
        <v>1.4395770767752183</v>
      </c>
      <c r="BR451">
        <f t="shared" si="1081"/>
        <v>134462689.15223551</v>
      </c>
      <c r="BS451">
        <f t="shared" si="1082"/>
        <v>41882589.152235508</v>
      </c>
      <c r="BU451">
        <f t="shared" si="1068"/>
        <v>12</v>
      </c>
      <c r="BV451">
        <f t="shared" si="1083"/>
        <v>2.3135115710518677</v>
      </c>
      <c r="BW451">
        <f t="shared" si="1084"/>
        <v>4196941.3410451934</v>
      </c>
      <c r="BX451" s="5">
        <f t="shared" si="1085"/>
        <v>3140701.4461522573</v>
      </c>
      <c r="BY451" s="5">
        <f t="shared" si="1086"/>
        <v>1010393.3171522568</v>
      </c>
      <c r="BZ451" s="5">
        <f t="shared" si="1087"/>
        <v>8186500</v>
      </c>
      <c r="CA451" s="5">
        <f t="shared" si="1088"/>
        <v>5207334.6581974505</v>
      </c>
      <c r="CC451" s="5">
        <f t="shared" si="1089"/>
        <v>134462689.15223551</v>
      </c>
      <c r="CD451" s="5" t="str">
        <f t="shared" si="1090"/>
        <v>Wisconsin</v>
      </c>
      <c r="CE451" s="5">
        <f t="shared" si="1066"/>
        <v>0.99117599510943288</v>
      </c>
      <c r="CF451" s="10">
        <f t="shared" si="1091"/>
        <v>0.68851887898198272</v>
      </c>
    </row>
    <row r="452" spans="1:84" x14ac:dyDescent="0.2">
      <c r="A452">
        <v>50000000001802</v>
      </c>
      <c r="B452">
        <v>2017</v>
      </c>
      <c r="C452">
        <v>651</v>
      </c>
      <c r="D452" t="s">
        <v>678</v>
      </c>
      <c r="E452">
        <v>12</v>
      </c>
      <c r="F452" t="s">
        <v>679</v>
      </c>
      <c r="G452" t="s">
        <v>680</v>
      </c>
      <c r="H452" t="s">
        <v>601</v>
      </c>
      <c r="I452" t="b">
        <v>1</v>
      </c>
      <c r="J452">
        <v>1842900</v>
      </c>
      <c r="K452">
        <v>6627200</v>
      </c>
      <c r="M452">
        <v>4459500</v>
      </c>
      <c r="N452">
        <v>0</v>
      </c>
      <c r="O452">
        <v>5294000</v>
      </c>
      <c r="P452">
        <v>38400</v>
      </c>
      <c r="Q452">
        <v>7679900</v>
      </c>
      <c r="R452">
        <v>93747400</v>
      </c>
      <c r="S452">
        <v>101427300</v>
      </c>
      <c r="T452">
        <v>1017600</v>
      </c>
      <c r="V452">
        <v>965500</v>
      </c>
      <c r="W452">
        <v>14875400</v>
      </c>
      <c r="Y452">
        <v>26100</v>
      </c>
      <c r="Z452">
        <v>0</v>
      </c>
      <c r="AA452">
        <v>11582700</v>
      </c>
      <c r="AB452">
        <v>92813800</v>
      </c>
      <c r="AC452">
        <v>104396500</v>
      </c>
      <c r="AD452">
        <v>-2969100</v>
      </c>
      <c r="AE452">
        <v>933600</v>
      </c>
      <c r="AF452">
        <v>-3902700</v>
      </c>
      <c r="AG452">
        <v>13943100</v>
      </c>
      <c r="AH452">
        <v>7.2982335348667077E-2</v>
      </c>
      <c r="AI452" t="b">
        <v>1</v>
      </c>
      <c r="AK452">
        <v>7.1999999999999995E-2</v>
      </c>
      <c r="AL452">
        <v>7.1999999999999995E-2</v>
      </c>
      <c r="AM452">
        <v>7.1999999999999995E-2</v>
      </c>
      <c r="AN452">
        <v>7.1999999999999995E-2</v>
      </c>
      <c r="AO452">
        <v>1</v>
      </c>
      <c r="AP452">
        <v>0</v>
      </c>
      <c r="AQ452">
        <v>3.44E-2</v>
      </c>
      <c r="AR452">
        <v>2037</v>
      </c>
      <c r="AS452">
        <v>7682100</v>
      </c>
      <c r="AT452">
        <v>-11064400</v>
      </c>
      <c r="AU452" t="s">
        <v>684</v>
      </c>
      <c r="AV452" t="s">
        <v>685</v>
      </c>
      <c r="BB452">
        <f t="shared" si="1069"/>
        <v>1.0292741697748042</v>
      </c>
      <c r="BD452">
        <f t="shared" si="1070"/>
        <v>10651200</v>
      </c>
      <c r="BE452">
        <f t="shared" si="1071"/>
        <v>-8095300</v>
      </c>
      <c r="BF452">
        <f t="shared" si="1072"/>
        <v>10.501314734790338</v>
      </c>
      <c r="BG452">
        <f t="shared" si="1073"/>
        <v>-7.9813817384471433</v>
      </c>
      <c r="BH452">
        <f t="shared" si="1074"/>
        <v>9.2413482366187409</v>
      </c>
      <c r="BI452">
        <f t="shared" si="1075"/>
        <v>125.99664981715966</v>
      </c>
      <c r="BJ452">
        <f t="shared" si="1076"/>
        <v>9</v>
      </c>
      <c r="BK452">
        <f>IF($BJ452&lt;=30,IF($B452=2015,VLOOKUP($BJ452,'Treasury Yields'!$C$5:$N$34,$E452,FALSE)/100,IF($B452=2016,VLOOKUP($BJ452,'Treasury Yields'!$C$40:$N$69,$E452,FALSE)/100,IF($B452=2017,VLOOKUP($BJ452,'Treasury Yields'!$C$75:$N$104,$E452,FALSE)/100,IF($B452=2018,VLOOKUP($BJ452,'Treasury Yields'!$C$110:$N$139,$E452,FALSE)/100,IF($B452=2019,VLOOKUP($BJ452,'Treasury Yields'!$C$145:$N$174,$E452,FALSE)/100,IF($B452=2020,VLOOKUP($BJ452,'Treasury Yields'!$C$180:$N$209,$E452,FALSE)/100,IF($B452=2021,VLOOKUP($BJ452,'Treasury Yields'!$C$215:$N$244,$E452,FALSE)/100,IF($B452=2022,VLOOKUP($BJ452,'Treasury Yields'!$C$250:$N$279,$E452,FALSE)/100)))))))),0)</f>
        <v>2.5920000000000002E-2</v>
      </c>
      <c r="BL452">
        <f t="shared" si="1077"/>
        <v>1.4279646931433916</v>
      </c>
      <c r="BM452">
        <f t="shared" si="1078"/>
        <v>133867977.2739908</v>
      </c>
      <c r="BN452">
        <f t="shared" si="1079"/>
        <v>41054177.273990795</v>
      </c>
      <c r="BP452">
        <f>IF($BJ452&lt;=30,IF($B452=2015,VLOOKUP($BJ452,'Treasury Yields'!$C$40:$N$69,$E452,FALSE)/100,IF($B452=2016,VLOOKUP($BJ452,'Treasury Yields'!$C$75:$N$104,$E452,FALSE)/100,IF($B452=2017,VLOOKUP($BJ452,'Treasury Yields'!$C$110:$N$139,$E452,FALSE)/100,IF($B452=2018,VLOOKUP($BJ452,'Treasury Yields'!$C$145:$N$174,$E452,FALSE)/100,IF($B452=2019,VLOOKUP($BJ452,'Treasury Yields'!$C$180:$N$209,$E452,FALSE)/100,IF($B452=2020,VLOOKUP($BJ452,'Treasury Yields'!$C$215:$N$244,$E452,FALSE)/100,IF($B452=2021,VLOOKUP($BJ452,'Treasury Yields'!$C$250:$N$279,$E452,FALSE)/100,IF($B452=2022,VLOOKUP($BJ452,'Treasury Yields'!$C$285:$N$314,$E452,FALSE)/100)))))))),0)</f>
        <v>2.5049999999999999E-2</v>
      </c>
      <c r="BQ452">
        <f t="shared" si="1080"/>
        <v>1.4360856022092499</v>
      </c>
      <c r="BR452">
        <f t="shared" si="1081"/>
        <v>145658285.20095825</v>
      </c>
      <c r="BS452">
        <f t="shared" si="1082"/>
        <v>41261785.200958252</v>
      </c>
      <c r="BU452">
        <f t="shared" si="1068"/>
        <v>12</v>
      </c>
      <c r="BV452">
        <f t="shared" si="1083"/>
        <v>2.2463383794777143</v>
      </c>
      <c r="BW452">
        <f t="shared" si="1084"/>
        <v>4139776.9995394796</v>
      </c>
      <c r="BX452" s="5">
        <f t="shared" si="1085"/>
        <v>3439940.5107699051</v>
      </c>
      <c r="BY452" s="5">
        <f t="shared" si="1086"/>
        <v>1034206.8147699048</v>
      </c>
      <c r="BZ452" s="5">
        <f t="shared" si="1087"/>
        <v>8470100</v>
      </c>
      <c r="CA452" s="5">
        <f t="shared" si="1088"/>
        <v>5173983.8143093847</v>
      </c>
      <c r="CC452" s="5">
        <f t="shared" si="1089"/>
        <v>145658285.20095825</v>
      </c>
      <c r="CD452" s="5" t="str">
        <f t="shared" si="1090"/>
        <v>Wisconsin</v>
      </c>
      <c r="CE452" s="5">
        <f t="shared" si="1066"/>
        <v>1.0292741697748042</v>
      </c>
      <c r="CF452" s="10">
        <f t="shared" si="1091"/>
        <v>0.7167220172609392</v>
      </c>
    </row>
    <row r="453" spans="1:84" x14ac:dyDescent="0.2">
      <c r="A453">
        <v>50000000001802</v>
      </c>
      <c r="B453">
        <v>2018</v>
      </c>
      <c r="C453">
        <v>651</v>
      </c>
      <c r="D453" t="s">
        <v>678</v>
      </c>
      <c r="E453">
        <v>12</v>
      </c>
      <c r="F453" t="s">
        <v>679</v>
      </c>
      <c r="G453" t="s">
        <v>680</v>
      </c>
      <c r="H453" t="s">
        <v>601</v>
      </c>
      <c r="I453" t="b">
        <v>1</v>
      </c>
      <c r="J453">
        <v>1860900</v>
      </c>
      <c r="K453">
        <v>7169700</v>
      </c>
      <c r="M453">
        <v>-4968300</v>
      </c>
      <c r="N453">
        <v>361500</v>
      </c>
      <c r="O453">
        <v>5556400</v>
      </c>
      <c r="P453">
        <v>40200</v>
      </c>
      <c r="Q453">
        <v>-1132600</v>
      </c>
      <c r="R453">
        <v>101427300</v>
      </c>
      <c r="S453">
        <v>100294800</v>
      </c>
      <c r="T453">
        <v>1030500</v>
      </c>
      <c r="V453">
        <v>973000</v>
      </c>
      <c r="W453">
        <v>-4094400</v>
      </c>
      <c r="Y453">
        <v>31600</v>
      </c>
      <c r="Z453">
        <v>-25400</v>
      </c>
      <c r="AA453">
        <v>-7659400</v>
      </c>
      <c r="AB453">
        <v>104396500</v>
      </c>
      <c r="AC453">
        <v>96737100</v>
      </c>
      <c r="AD453">
        <v>3557700</v>
      </c>
      <c r="AE453">
        <v>-2969100</v>
      </c>
      <c r="AF453">
        <v>6526800</v>
      </c>
      <c r="AG453">
        <v>14301400</v>
      </c>
      <c r="AH453">
        <v>7.2055882640860339E-2</v>
      </c>
      <c r="AI453" t="b">
        <v>1</v>
      </c>
      <c r="AK453">
        <v>7.1999999999999995E-2</v>
      </c>
      <c r="AL453">
        <v>7.0000000000000007E-2</v>
      </c>
      <c r="AM453">
        <v>7.0000000000000007E-2</v>
      </c>
      <c r="AN453">
        <v>7.0000000000000007E-2</v>
      </c>
      <c r="AO453">
        <v>1</v>
      </c>
      <c r="AP453">
        <v>0</v>
      </c>
      <c r="AQ453">
        <v>4.1000000000000002E-2</v>
      </c>
      <c r="AR453">
        <v>2033</v>
      </c>
      <c r="AS453">
        <v>14138620</v>
      </c>
      <c r="AT453">
        <v>-4310060</v>
      </c>
      <c r="AU453" t="s">
        <v>686</v>
      </c>
      <c r="AV453" t="s">
        <v>687</v>
      </c>
      <c r="BB453">
        <f t="shared" si="1069"/>
        <v>0.96452757271563427</v>
      </c>
      <c r="BD453">
        <f t="shared" si="1070"/>
        <v>10580920</v>
      </c>
      <c r="BE453">
        <f t="shared" si="1071"/>
        <v>-7867760</v>
      </c>
      <c r="BF453">
        <f t="shared" si="1072"/>
        <v>10.54981913319534</v>
      </c>
      <c r="BG453">
        <f t="shared" si="1073"/>
        <v>-7.844634018912247</v>
      </c>
      <c r="BH453">
        <f t="shared" si="1074"/>
        <v>9.1972265760537937</v>
      </c>
      <c r="BI453">
        <f t="shared" si="1075"/>
        <v>135.25925571415465</v>
      </c>
      <c r="BJ453">
        <f t="shared" si="1076"/>
        <v>9</v>
      </c>
      <c r="BK453">
        <f>IF($BJ453&lt;=30,IF($B453=2015,VLOOKUP($BJ453,'Treasury Yields'!$C$5:$N$34,$E453,FALSE)/100,IF($B453=2016,VLOOKUP($BJ453,'Treasury Yields'!$C$40:$N$69,$E453,FALSE)/100,IF($B453=2017,VLOOKUP($BJ453,'Treasury Yields'!$C$75:$N$104,$E453,FALSE)/100,IF($B453=2018,VLOOKUP($BJ453,'Treasury Yields'!$C$110:$N$139,$E453,FALSE)/100,IF($B453=2019,VLOOKUP($BJ453,'Treasury Yields'!$C$145:$N$174,$E453,FALSE)/100,IF($B453=2020,VLOOKUP($BJ453,'Treasury Yields'!$C$180:$N$209,$E453,FALSE)/100,IF($B453=2021,VLOOKUP($BJ453,'Treasury Yields'!$C$215:$N$244,$E453,FALSE)/100,IF($B453=2022,VLOOKUP($BJ453,'Treasury Yields'!$C$250:$N$279,$E453,FALSE)/100)))))))),0)</f>
        <v>2.5049999999999999E-2</v>
      </c>
      <c r="BL453">
        <f t="shared" si="1077"/>
        <v>1.415435837093618</v>
      </c>
      <c r="BM453">
        <f t="shared" si="1078"/>
        <v>143563835.27964553</v>
      </c>
      <c r="BN453">
        <f t="shared" si="1079"/>
        <v>39167335.279645532</v>
      </c>
      <c r="BP453">
        <f>IF($BJ453&lt;=30,IF($B453=2015,VLOOKUP($BJ453,'Treasury Yields'!$C$40:$N$69,$E453,FALSE)/100,IF($B453=2016,VLOOKUP($BJ453,'Treasury Yields'!$C$75:$N$104,$E453,FALSE)/100,IF($B453=2017,VLOOKUP($BJ453,'Treasury Yields'!$C$110:$N$139,$E453,FALSE)/100,IF($B453=2018,VLOOKUP($BJ453,'Treasury Yields'!$C$145:$N$174,$E453,FALSE)/100,IF($B453=2019,VLOOKUP($BJ453,'Treasury Yields'!$C$180:$N$209,$E453,FALSE)/100,IF($B453=2020,VLOOKUP($BJ453,'Treasury Yields'!$C$215:$N$244,$E453,FALSE)/100,IF($B453=2021,VLOOKUP($BJ453,'Treasury Yields'!$C$250:$N$279,$E453,FALSE)/100,IF($B453=2022,VLOOKUP($BJ453,'Treasury Yields'!$C$285:$N$314,$E453,FALSE)/100)))))))),0)</f>
        <v>2.7810000000000001E-2</v>
      </c>
      <c r="BQ453">
        <f t="shared" si="1080"/>
        <v>1.3898109853437097</v>
      </c>
      <c r="BR453">
        <f t="shared" si="1081"/>
        <v>139390814.8128503</v>
      </c>
      <c r="BS453">
        <f t="shared" si="1082"/>
        <v>42653714.812850296</v>
      </c>
      <c r="BU453">
        <f t="shared" si="1068"/>
        <v>12</v>
      </c>
      <c r="BV453">
        <f t="shared" si="1083"/>
        <v>2.2261069989122069</v>
      </c>
      <c r="BW453">
        <f t="shared" si="1084"/>
        <v>4142562.5142757259</v>
      </c>
      <c r="BX453" s="5">
        <f t="shared" si="1085"/>
        <v>3560857.4447377278</v>
      </c>
      <c r="BY453" s="5">
        <f t="shared" si="1086"/>
        <v>945725.11973772757</v>
      </c>
      <c r="BZ453" s="5">
        <f t="shared" si="1087"/>
        <v>9030600</v>
      </c>
      <c r="CA453" s="5">
        <f t="shared" si="1088"/>
        <v>5088287.6340134535</v>
      </c>
      <c r="CC453" s="5">
        <f t="shared" si="1089"/>
        <v>139390814.8128503</v>
      </c>
      <c r="CD453" s="5" t="str">
        <f t="shared" si="1090"/>
        <v>Wisconsin</v>
      </c>
      <c r="CE453" s="5">
        <f t="shared" si="1066"/>
        <v>0.96452757271563427</v>
      </c>
      <c r="CF453" s="10">
        <f t="shared" si="1091"/>
        <v>0.69399909979636554</v>
      </c>
    </row>
    <row r="454" spans="1:84" x14ac:dyDescent="0.2">
      <c r="A454">
        <v>50000000001802</v>
      </c>
      <c r="B454">
        <v>2019</v>
      </c>
      <c r="C454">
        <v>651</v>
      </c>
      <c r="D454" t="s">
        <v>678</v>
      </c>
      <c r="E454">
        <v>12</v>
      </c>
      <c r="F454" t="s">
        <v>679</v>
      </c>
      <c r="G454" t="s">
        <v>680</v>
      </c>
      <c r="H454" t="s">
        <v>601</v>
      </c>
      <c r="I454" t="b">
        <v>1</v>
      </c>
      <c r="J454">
        <v>1902500</v>
      </c>
      <c r="K454">
        <v>6888100</v>
      </c>
      <c r="M454">
        <v>5473300</v>
      </c>
      <c r="N454">
        <v>0</v>
      </c>
      <c r="O454">
        <v>5690400</v>
      </c>
      <c r="P454">
        <v>44100</v>
      </c>
      <c r="Q454">
        <v>8573500</v>
      </c>
      <c r="R454">
        <v>100294800</v>
      </c>
      <c r="S454">
        <v>108868300</v>
      </c>
      <c r="T454">
        <v>1046900</v>
      </c>
      <c r="V454">
        <v>987700</v>
      </c>
      <c r="W454">
        <v>19049500</v>
      </c>
      <c r="Y454">
        <v>34200</v>
      </c>
      <c r="Z454">
        <v>-3900</v>
      </c>
      <c r="AA454">
        <v>15355700</v>
      </c>
      <c r="AB454">
        <v>96737100</v>
      </c>
      <c r="AC454">
        <v>112092800</v>
      </c>
      <c r="AD454">
        <v>-3224500</v>
      </c>
      <c r="AE454">
        <v>3557700</v>
      </c>
      <c r="AF454">
        <v>-6782200</v>
      </c>
      <c r="AG454">
        <v>14832500</v>
      </c>
      <c r="AH454">
        <v>7.0581493342322596E-2</v>
      </c>
      <c r="AI454" t="b">
        <v>1</v>
      </c>
      <c r="AK454">
        <v>7.0000000000000007E-2</v>
      </c>
      <c r="AL454">
        <v>7.0000000000000007E-2</v>
      </c>
      <c r="AM454">
        <v>7.0000000000000007E-2</v>
      </c>
      <c r="AN454">
        <v>7.0000000000000007E-2</v>
      </c>
      <c r="AO454">
        <v>1</v>
      </c>
      <c r="AP454">
        <v>0</v>
      </c>
      <c r="AQ454">
        <v>2.7400000000000001E-2</v>
      </c>
      <c r="AR454">
        <v>2033</v>
      </c>
      <c r="AS454">
        <v>8303550</v>
      </c>
      <c r="AT454">
        <v>-11842970</v>
      </c>
      <c r="AU454" t="s">
        <v>246</v>
      </c>
      <c r="AV454" t="s">
        <v>688</v>
      </c>
      <c r="BB454">
        <f t="shared" si="1069"/>
        <v>1.0296183553890343</v>
      </c>
      <c r="BD454">
        <f t="shared" si="1070"/>
        <v>11528050</v>
      </c>
      <c r="BE454">
        <f t="shared" si="1071"/>
        <v>-8618470</v>
      </c>
      <c r="BF454">
        <f t="shared" si="1072"/>
        <v>10.588986876804359</v>
      </c>
      <c r="BG454">
        <f t="shared" si="1073"/>
        <v>-7.9164182778641718</v>
      </c>
      <c r="BH454">
        <f t="shared" si="1074"/>
        <v>9.252702577334265</v>
      </c>
      <c r="BI454">
        <f t="shared" si="1075"/>
        <v>133.62842994700938</v>
      </c>
      <c r="BJ454">
        <f t="shared" si="1076"/>
        <v>9</v>
      </c>
      <c r="BK454">
        <f>IF($BJ454&lt;=30,IF($B454=2015,VLOOKUP($BJ454,'Treasury Yields'!$C$5:$N$34,$E454,FALSE)/100,IF($B454=2016,VLOOKUP($BJ454,'Treasury Yields'!$C$40:$N$69,$E454,FALSE)/100,IF($B454=2017,VLOOKUP($BJ454,'Treasury Yields'!$C$75:$N$104,$E454,FALSE)/100,IF($B454=2018,VLOOKUP($BJ454,'Treasury Yields'!$C$110:$N$139,$E454,FALSE)/100,IF($B454=2019,VLOOKUP($BJ454,'Treasury Yields'!$C$145:$N$174,$E454,FALSE)/100,IF($B454=2020,VLOOKUP($BJ454,'Treasury Yields'!$C$180:$N$209,$E454,FALSE)/100,IF($B454=2021,VLOOKUP($BJ454,'Treasury Yields'!$C$215:$N$244,$E454,FALSE)/100,IF($B454=2022,VLOOKUP($BJ454,'Treasury Yields'!$C$250:$N$279,$E454,FALSE)/100)))))))),0)</f>
        <v>2.7810000000000001E-2</v>
      </c>
      <c r="BL454">
        <f t="shared" si="1077"/>
        <v>1.3921515178377326</v>
      </c>
      <c r="BM454">
        <f t="shared" si="1078"/>
        <v>139625558.05123183</v>
      </c>
      <c r="BN454">
        <f t="shared" si="1079"/>
        <v>42888458.051231831</v>
      </c>
      <c r="BP454">
        <f>IF($BJ454&lt;=30,IF($B454=2015,VLOOKUP($BJ454,'Treasury Yields'!$C$40:$N$69,$E454,FALSE)/100,IF($B454=2016,VLOOKUP($BJ454,'Treasury Yields'!$C$75:$N$104,$E454,FALSE)/100,IF($B454=2017,VLOOKUP($BJ454,'Treasury Yields'!$C$110:$N$139,$E454,FALSE)/100,IF($B454=2018,VLOOKUP($BJ454,'Treasury Yields'!$C$145:$N$174,$E454,FALSE)/100,IF($B454=2019,VLOOKUP($BJ454,'Treasury Yields'!$C$180:$N$209,$E454,FALSE)/100,IF($B454=2020,VLOOKUP($BJ454,'Treasury Yields'!$C$215:$N$244,$E454,FALSE)/100,IF($B454=2021,VLOOKUP($BJ454,'Treasury Yields'!$C$250:$N$279,$E454,FALSE)/100,IF($B454=2022,VLOOKUP($BJ454,'Treasury Yields'!$C$285:$N$314,$E454,FALSE)/100)))))))),0)</f>
        <v>2.052E-2</v>
      </c>
      <c r="BQ454">
        <f t="shared" si="1080"/>
        <v>1.4602719939264994</v>
      </c>
      <c r="BR454">
        <f t="shared" si="1081"/>
        <v>158977329.51638833</v>
      </c>
      <c r="BS454">
        <f t="shared" si="1082"/>
        <v>46884529.516388327</v>
      </c>
      <c r="BU454">
        <f t="shared" si="1068"/>
        <v>12</v>
      </c>
      <c r="BV454">
        <f t="shared" si="1083"/>
        <v>2.134509605892533</v>
      </c>
      <c r="BW454">
        <f t="shared" si="1084"/>
        <v>4060904.525210544</v>
      </c>
      <c r="BX454" s="5">
        <f t="shared" si="1085"/>
        <v>3837670.5002508624</v>
      </c>
      <c r="BY454" s="5">
        <f t="shared" si="1086"/>
        <v>1147411.7492508625</v>
      </c>
      <c r="BZ454" s="5">
        <f t="shared" si="1087"/>
        <v>8790600</v>
      </c>
      <c r="CA454" s="5">
        <f t="shared" si="1088"/>
        <v>5208316.2744614063</v>
      </c>
      <c r="CC454" s="5">
        <f t="shared" si="1089"/>
        <v>158977329.51638833</v>
      </c>
      <c r="CD454" s="5" t="str">
        <f t="shared" si="1090"/>
        <v>Wisconsin</v>
      </c>
      <c r="CE454" s="5">
        <f t="shared" si="1066"/>
        <v>1.0296183553890343</v>
      </c>
      <c r="CF454" s="10">
        <f t="shared" si="1091"/>
        <v>0.70508669595210938</v>
      </c>
    </row>
    <row r="455" spans="1:84" x14ac:dyDescent="0.2">
      <c r="A455">
        <v>50000000001802</v>
      </c>
      <c r="B455">
        <v>2020</v>
      </c>
      <c r="C455">
        <v>651</v>
      </c>
      <c r="D455" t="s">
        <v>678</v>
      </c>
      <c r="E455">
        <v>12</v>
      </c>
      <c r="F455" t="s">
        <v>679</v>
      </c>
      <c r="G455" t="s">
        <v>680</v>
      </c>
      <c r="H455" t="s">
        <v>601</v>
      </c>
      <c r="I455" t="b">
        <v>1</v>
      </c>
      <c r="J455">
        <v>1975800</v>
      </c>
      <c r="K455">
        <v>7480000</v>
      </c>
      <c r="M455">
        <v>6376700</v>
      </c>
      <c r="N455">
        <v>0</v>
      </c>
      <c r="O455">
        <v>5939400</v>
      </c>
      <c r="P455">
        <v>38900</v>
      </c>
      <c r="Q455">
        <v>9855000</v>
      </c>
      <c r="R455">
        <v>108868300</v>
      </c>
      <c r="S455">
        <v>118723300</v>
      </c>
      <c r="T455">
        <v>1133300</v>
      </c>
      <c r="V455">
        <v>1053200</v>
      </c>
      <c r="W455">
        <v>16698600</v>
      </c>
      <c r="Y455">
        <v>33300</v>
      </c>
      <c r="Z455">
        <v>0</v>
      </c>
      <c r="AA455">
        <v>12873600</v>
      </c>
      <c r="AB455">
        <v>112092800</v>
      </c>
      <c r="AC455">
        <v>124966400</v>
      </c>
      <c r="AD455">
        <v>-6243100</v>
      </c>
      <c r="AE455">
        <v>-3224500</v>
      </c>
      <c r="AF455">
        <v>-3018600</v>
      </c>
      <c r="AG455">
        <v>15359900</v>
      </c>
      <c r="AH455">
        <v>7.3783032441617463E-2</v>
      </c>
      <c r="AI455" t="b">
        <v>1</v>
      </c>
      <c r="AK455">
        <v>7.0000000000000007E-2</v>
      </c>
      <c r="AL455">
        <v>7.0000000000000007E-2</v>
      </c>
      <c r="AM455">
        <v>7.0000000000000007E-2</v>
      </c>
      <c r="AN455">
        <v>7.0000000000000007E-2</v>
      </c>
      <c r="AO455">
        <v>1</v>
      </c>
      <c r="AP455">
        <v>0</v>
      </c>
      <c r="AQ455">
        <v>2.12E-2</v>
      </c>
      <c r="AR455">
        <v>2033</v>
      </c>
      <c r="AS455">
        <v>5942600</v>
      </c>
      <c r="AT455">
        <v>-15193480</v>
      </c>
      <c r="AU455" t="s">
        <v>62</v>
      </c>
      <c r="AV455" t="s">
        <v>689</v>
      </c>
      <c r="BB455">
        <f t="shared" si="1069"/>
        <v>1.0525852970731104</v>
      </c>
      <c r="BD455">
        <f t="shared" si="1070"/>
        <v>12185700</v>
      </c>
      <c r="BE455">
        <f t="shared" si="1071"/>
        <v>-8950380</v>
      </c>
      <c r="BF455">
        <f t="shared" si="1072"/>
        <v>10.263949873361</v>
      </c>
      <c r="BG455">
        <f t="shared" si="1073"/>
        <v>-7.538857157777791</v>
      </c>
      <c r="BH455">
        <f t="shared" si="1074"/>
        <v>8.9014035155693954</v>
      </c>
      <c r="BI455">
        <f t="shared" si="1075"/>
        <v>136.25463577916045</v>
      </c>
      <c r="BJ455">
        <f t="shared" si="1076"/>
        <v>9</v>
      </c>
      <c r="BK455">
        <f>IF($BJ455&lt;=30,IF($B455=2015,VLOOKUP($BJ455,'Treasury Yields'!$C$5:$N$34,$E455,FALSE)/100,IF($B455=2016,VLOOKUP($BJ455,'Treasury Yields'!$C$40:$N$69,$E455,FALSE)/100,IF($B455=2017,VLOOKUP($BJ455,'Treasury Yields'!$C$75:$N$104,$E455,FALSE)/100,IF($B455=2018,VLOOKUP($BJ455,'Treasury Yields'!$C$110:$N$139,$E455,FALSE)/100,IF($B455=2019,VLOOKUP($BJ455,'Treasury Yields'!$C$145:$N$174,$E455,FALSE)/100,IF($B455=2020,VLOOKUP($BJ455,'Treasury Yields'!$C$180:$N$209,$E455,FALSE)/100,IF($B455=2021,VLOOKUP($BJ455,'Treasury Yields'!$C$215:$N$244,$E455,FALSE)/100,IF($B455=2022,VLOOKUP($BJ455,'Treasury Yields'!$C$250:$N$279,$E455,FALSE)/100)))))))),0)</f>
        <v>2.052E-2</v>
      </c>
      <c r="BL455">
        <f t="shared" si="1077"/>
        <v>1.4428897163503738</v>
      </c>
      <c r="BM455">
        <f t="shared" si="1078"/>
        <v>157084950.50654739</v>
      </c>
      <c r="BN455">
        <f t="shared" si="1079"/>
        <v>44992150.506547391</v>
      </c>
      <c r="BP455">
        <f>IF($BJ455&lt;=30,IF($B455=2015,VLOOKUP($BJ455,'Treasury Yields'!$C$40:$N$69,$E455,FALSE)/100,IF($B455=2016,VLOOKUP($BJ455,'Treasury Yields'!$C$75:$N$104,$E455,FALSE)/100,IF($B455=2017,VLOOKUP($BJ455,'Treasury Yields'!$C$110:$N$139,$E455,FALSE)/100,IF($B455=2018,VLOOKUP($BJ455,'Treasury Yields'!$C$145:$N$174,$E455,FALSE)/100,IF($B455=2019,VLOOKUP($BJ455,'Treasury Yields'!$C$180:$N$209,$E455,FALSE)/100,IF($B455=2020,VLOOKUP($BJ455,'Treasury Yields'!$C$215:$N$244,$E455,FALSE)/100,IF($B455=2021,VLOOKUP($BJ455,'Treasury Yields'!$C$250:$N$279,$E455,FALSE)/100,IF($B455=2022,VLOOKUP($BJ455,'Treasury Yields'!$C$285:$N$314,$E455,FALSE)/100)))))))),0)</f>
        <v>1.5089565217391304E-2</v>
      </c>
      <c r="BQ455">
        <f t="shared" si="1080"/>
        <v>1.4917950930633723</v>
      </c>
      <c r="BR455">
        <f t="shared" si="1081"/>
        <v>177110836.37229067</v>
      </c>
      <c r="BS455">
        <f t="shared" si="1082"/>
        <v>52144436.372290671</v>
      </c>
      <c r="BU455">
        <f t="shared" si="1068"/>
        <v>12</v>
      </c>
      <c r="BV455">
        <f t="shared" si="1083"/>
        <v>2.3677896375912733</v>
      </c>
      <c r="BW455">
        <f t="shared" si="1084"/>
        <v>4678278.7659528377</v>
      </c>
      <c r="BX455" s="5">
        <f t="shared" si="1085"/>
        <v>3197504.9766717046</v>
      </c>
      <c r="BY455" s="5">
        <f t="shared" si="1086"/>
        <v>897360.72067170474</v>
      </c>
      <c r="BZ455" s="5">
        <f t="shared" si="1087"/>
        <v>9455800</v>
      </c>
      <c r="CA455" s="5">
        <f t="shared" si="1088"/>
        <v>5575639.4866245426</v>
      </c>
      <c r="CC455" s="5">
        <f t="shared" si="1089"/>
        <v>177110836.37229067</v>
      </c>
      <c r="CD455" s="5" t="str">
        <f t="shared" si="1090"/>
        <v>Wisconsin</v>
      </c>
      <c r="CE455" s="5">
        <f t="shared" si="1066"/>
        <v>1.0525852970731104</v>
      </c>
      <c r="CF455" s="10">
        <f t="shared" si="1091"/>
        <v>0.70558302676250717</v>
      </c>
    </row>
    <row r="456" spans="1:84" x14ac:dyDescent="0.2">
      <c r="A456">
        <v>50000000001802</v>
      </c>
      <c r="B456">
        <v>2021</v>
      </c>
      <c r="C456">
        <v>651</v>
      </c>
      <c r="D456" t="s">
        <v>678</v>
      </c>
      <c r="E456">
        <v>12</v>
      </c>
      <c r="F456" t="s">
        <v>679</v>
      </c>
      <c r="G456" t="s">
        <v>680</v>
      </c>
      <c r="H456" t="s">
        <v>601</v>
      </c>
      <c r="I456" t="b">
        <v>1</v>
      </c>
      <c r="J456">
        <v>2019300</v>
      </c>
      <c r="K456">
        <v>8157500</v>
      </c>
      <c r="M456">
        <v>9453100</v>
      </c>
      <c r="N456">
        <v>1829100</v>
      </c>
      <c r="O456">
        <v>6352700</v>
      </c>
      <c r="P456">
        <v>42000</v>
      </c>
      <c r="Q456">
        <v>15064300</v>
      </c>
      <c r="R456">
        <v>118723300</v>
      </c>
      <c r="S456">
        <v>133787500</v>
      </c>
      <c r="T456">
        <v>1164600</v>
      </c>
      <c r="V456">
        <v>1086800</v>
      </c>
      <c r="W456">
        <v>21056700</v>
      </c>
      <c r="Y456">
        <v>31900</v>
      </c>
      <c r="Z456">
        <v>0</v>
      </c>
      <c r="AA456">
        <v>16881400</v>
      </c>
      <c r="AB456">
        <v>124966400</v>
      </c>
      <c r="AC456">
        <v>141847800</v>
      </c>
      <c r="AD456">
        <v>-8060300</v>
      </c>
      <c r="AE456">
        <v>-6243100</v>
      </c>
      <c r="AF456">
        <v>-1817200</v>
      </c>
      <c r="AG456">
        <v>15780800</v>
      </c>
      <c r="AH456">
        <v>7.3798539997972215E-2</v>
      </c>
      <c r="AI456" t="b">
        <v>1</v>
      </c>
      <c r="AK456">
        <v>7.0000000000000007E-2</v>
      </c>
      <c r="AL456">
        <v>6.8000000000000005E-2</v>
      </c>
      <c r="AM456">
        <v>6.8000000000000005E-2</v>
      </c>
      <c r="AN456">
        <v>7.0000000000000007E-2</v>
      </c>
      <c r="AS456">
        <v>5719270</v>
      </c>
      <c r="AT456">
        <v>-17978830</v>
      </c>
      <c r="AU456" t="s">
        <v>72</v>
      </c>
      <c r="AV456" t="s">
        <v>690</v>
      </c>
      <c r="BB456">
        <f t="shared" si="1069"/>
        <v>1.0602470335419976</v>
      </c>
      <c r="BD456">
        <f t="shared" si="1070"/>
        <v>13779570</v>
      </c>
      <c r="BE456">
        <f t="shared" si="1071"/>
        <v>-9918530</v>
      </c>
      <c r="BF456">
        <f t="shared" si="1072"/>
        <v>10.299594506213211</v>
      </c>
      <c r="BG456">
        <f t="shared" si="1073"/>
        <v>-7.4136447724936936</v>
      </c>
      <c r="BH456">
        <f t="shared" si="1074"/>
        <v>8.8566196393534522</v>
      </c>
      <c r="BI456">
        <f t="shared" si="1075"/>
        <v>144.29748668597588</v>
      </c>
      <c r="BJ456">
        <f t="shared" si="1076"/>
        <v>9</v>
      </c>
      <c r="BK456">
        <f>IF($BJ456&lt;=30,IF($B456=2015,VLOOKUP($BJ456,'Treasury Yields'!$C$5:$N$34,$E456,FALSE)/100,IF($B456=2016,VLOOKUP($BJ456,'Treasury Yields'!$C$40:$N$69,$E456,FALSE)/100,IF($B456=2017,VLOOKUP($BJ456,'Treasury Yields'!$C$75:$N$104,$E456,FALSE)/100,IF($B456=2018,VLOOKUP($BJ456,'Treasury Yields'!$C$110:$N$139,$E456,FALSE)/100,IF($B456=2019,VLOOKUP($BJ456,'Treasury Yields'!$C$145:$N$174,$E456,FALSE)/100,IF($B456=2020,VLOOKUP($BJ456,'Treasury Yields'!$C$180:$N$209,$E456,FALSE)/100,IF($B456=2021,VLOOKUP($BJ456,'Treasury Yields'!$C$215:$N$244,$E456,FALSE)/100,IF($B456=2022,VLOOKUP($BJ456,'Treasury Yields'!$C$250:$N$279,$E456,FALSE)/100)))))))),0)</f>
        <v>1.5089565217391304E-2</v>
      </c>
      <c r="BL456">
        <f t="shared" si="1077"/>
        <v>1.4714071099312669</v>
      </c>
      <c r="BM456">
        <f t="shared" si="1078"/>
        <v>174690307.73450279</v>
      </c>
      <c r="BN456">
        <f t="shared" si="1079"/>
        <v>49723907.734502792</v>
      </c>
      <c r="BP456">
        <f>IF($BJ456&lt;=30,IF($B456=2015,VLOOKUP($BJ456,'Treasury Yields'!$C$40:$N$69,$E456,FALSE)/100,IF($B456=2016,VLOOKUP($BJ456,'Treasury Yields'!$C$75:$N$104,$E456,FALSE)/100,IF($B456=2017,VLOOKUP($BJ456,'Treasury Yields'!$C$110:$N$139,$E456,FALSE)/100,IF($B456=2018,VLOOKUP($BJ456,'Treasury Yields'!$C$145:$N$174,$E456,FALSE)/100,IF($B456=2019,VLOOKUP($BJ456,'Treasury Yields'!$C$180:$N$209,$E456,FALSE)/100,IF($B456=2020,VLOOKUP($BJ456,'Treasury Yields'!$C$215:$N$244,$E456,FALSE)/100,IF($B456=2021,VLOOKUP($BJ456,'Treasury Yields'!$C$250:$N$279,$E456,FALSE)/100,IF($B456=2022,VLOOKUP($BJ456,'Treasury Yields'!$C$285:$N$314,$E456,FALSE)/100)))))))),0)</f>
        <v>1.9776086956521735E-2</v>
      </c>
      <c r="BQ456">
        <f t="shared" si="1080"/>
        <v>1.4473365360674486</v>
      </c>
      <c r="BR456">
        <f t="shared" si="1081"/>
        <v>193635536.81912377</v>
      </c>
      <c r="BS456">
        <f t="shared" si="1082"/>
        <v>51787736.819123775</v>
      </c>
      <c r="BU456">
        <f t="shared" si="1068"/>
        <v>12</v>
      </c>
      <c r="BV456">
        <f t="shared" si="1083"/>
        <v>2.5803254633274983</v>
      </c>
      <c r="BW456">
        <f t="shared" si="1084"/>
        <v>5210451.2080972176</v>
      </c>
      <c r="BX456" s="5">
        <f t="shared" si="1085"/>
        <v>2618764.7537660329</v>
      </c>
      <c r="BY456" s="5">
        <f t="shared" si="1086"/>
        <v>733076.11098342435</v>
      </c>
      <c r="BZ456" s="5">
        <f t="shared" si="1087"/>
        <v>10176800</v>
      </c>
      <c r="CA456" s="5">
        <f t="shared" si="1088"/>
        <v>5943527.3190806415</v>
      </c>
      <c r="CC456" s="5">
        <f t="shared" si="1089"/>
        <v>193635536.81912377</v>
      </c>
      <c r="CD456" s="5" t="str">
        <f t="shared" si="1090"/>
        <v>Wisconsin</v>
      </c>
      <c r="CE456" s="5">
        <f t="shared" si="1066"/>
        <v>1.0602470335419976</v>
      </c>
      <c r="CF456" s="10">
        <f t="shared" si="1091"/>
        <v>0.73255045189613599</v>
      </c>
    </row>
    <row r="457" spans="1:84" x14ac:dyDescent="0.2">
      <c r="A457">
        <v>50000000001802</v>
      </c>
      <c r="B457">
        <v>2022</v>
      </c>
      <c r="C457">
        <v>651</v>
      </c>
      <c r="D457" t="s">
        <v>678</v>
      </c>
      <c r="E457">
        <v>12</v>
      </c>
      <c r="F457" t="s">
        <v>679</v>
      </c>
      <c r="G457" t="s">
        <v>680</v>
      </c>
      <c r="H457" t="s">
        <v>601</v>
      </c>
      <c r="I457" t="b">
        <v>1</v>
      </c>
      <c r="J457">
        <v>2178900</v>
      </c>
      <c r="K457">
        <v>8933500</v>
      </c>
      <c r="M457">
        <v>-14230100</v>
      </c>
      <c r="N457">
        <v>0</v>
      </c>
      <c r="O457">
        <v>6949100</v>
      </c>
      <c r="P457">
        <v>54800</v>
      </c>
      <c r="Q457">
        <v>-10121600</v>
      </c>
      <c r="R457">
        <v>133787500</v>
      </c>
      <c r="S457">
        <v>123665900</v>
      </c>
      <c r="T457">
        <v>1175900</v>
      </c>
      <c r="V457">
        <v>1082000</v>
      </c>
      <c r="W457">
        <v>-18702300</v>
      </c>
      <c r="Y457">
        <v>31200</v>
      </c>
      <c r="Z457">
        <v>0</v>
      </c>
      <c r="AA457">
        <v>-23479500</v>
      </c>
      <c r="AB457">
        <v>141847800</v>
      </c>
      <c r="AC457">
        <v>118368200</v>
      </c>
      <c r="AD457">
        <v>5297700</v>
      </c>
      <c r="AE457">
        <v>-8060300</v>
      </c>
      <c r="AF457">
        <v>13358000</v>
      </c>
      <c r="AG457">
        <v>16361300</v>
      </c>
      <c r="AH457">
        <v>7.187081711110975E-2</v>
      </c>
      <c r="AI457" t="b">
        <v>1</v>
      </c>
      <c r="AK457">
        <v>6.8000000000000005E-2</v>
      </c>
      <c r="AL457">
        <v>6.8000000000000005E-2</v>
      </c>
      <c r="AM457">
        <v>6.8000000000000005E-2</v>
      </c>
      <c r="AN457">
        <v>6.8000000000000005E-2</v>
      </c>
      <c r="AS457">
        <v>17582910</v>
      </c>
      <c r="AT457">
        <v>-3153460</v>
      </c>
      <c r="AU457" t="s">
        <v>350</v>
      </c>
      <c r="AV457" t="s">
        <v>691</v>
      </c>
      <c r="BB457">
        <f t="shared" si="1069"/>
        <v>0.95716118994807786</v>
      </c>
      <c r="BD457">
        <f t="shared" si="1070"/>
        <v>12285210</v>
      </c>
      <c r="BE457">
        <f t="shared" si="1071"/>
        <v>-8451160</v>
      </c>
      <c r="BF457">
        <f t="shared" si="1072"/>
        <v>9.9341936621170426</v>
      </c>
      <c r="BG457">
        <f t="shared" si="1073"/>
        <v>-6.8338644687015577</v>
      </c>
      <c r="BH457">
        <f t="shared" si="1074"/>
        <v>8.3840290654092993</v>
      </c>
      <c r="BI457">
        <f t="shared" si="1075"/>
        <v>155.01645967077422</v>
      </c>
      <c r="BJ457">
        <f t="shared" si="1076"/>
        <v>8</v>
      </c>
      <c r="BK457">
        <f>IF($BJ457&lt;=30,IF($B457=2015,VLOOKUP($BJ457,'Treasury Yields'!$C$5:$N$34,$E457,FALSE)/100,IF($B457=2016,VLOOKUP($BJ457,'Treasury Yields'!$C$40:$N$69,$E457,FALSE)/100,IF($B457=2017,VLOOKUP($BJ457,'Treasury Yields'!$C$75:$N$104,$E457,FALSE)/100,IF($B457=2018,VLOOKUP($BJ457,'Treasury Yields'!$C$110:$N$139,$E457,FALSE)/100,IF($B457=2019,VLOOKUP($BJ457,'Treasury Yields'!$C$145:$N$174,$E457,FALSE)/100,IF($B457=2020,VLOOKUP($BJ457,'Treasury Yields'!$C$180:$N$209,$E457,FALSE)/100,IF($B457=2021,VLOOKUP($BJ457,'Treasury Yields'!$C$215:$N$244,$E457,FALSE)/100,IF($B457=2022,VLOOKUP($BJ457,'Treasury Yields'!$C$250:$N$279,$E457,FALSE)/100)))))))),0)</f>
        <v>1.8243913043478263E-2</v>
      </c>
      <c r="BL457">
        <f t="shared" si="1077"/>
        <v>1.4196321474137357</v>
      </c>
      <c r="BM457">
        <f t="shared" si="1078"/>
        <v>189929035.92211515</v>
      </c>
      <c r="BN457">
        <f t="shared" si="1079"/>
        <v>48081235.922115147</v>
      </c>
      <c r="BP457">
        <f>IF($BJ457&lt;=30,IF($B457=2015,VLOOKUP($BJ457,'Treasury Yields'!$C$40:$N$69,$E457,FALSE)/100,IF($B457=2016,VLOOKUP($BJ457,'Treasury Yields'!$C$75:$N$104,$E457,FALSE)/100,IF($B457=2017,VLOOKUP($BJ457,'Treasury Yields'!$C$110:$N$139,$E457,FALSE)/100,IF($B457=2018,VLOOKUP($BJ457,'Treasury Yields'!$C$145:$N$174,$E457,FALSE)/100,IF($B457=2019,VLOOKUP($BJ457,'Treasury Yields'!$C$180:$N$209,$E457,FALSE)/100,IF($B457=2020,VLOOKUP($BJ457,'Treasury Yields'!$C$215:$N$244,$E457,FALSE)/100,IF($B457=2021,VLOOKUP($BJ457,'Treasury Yields'!$C$250:$N$279,$E457,FALSE)/100,IF($B457=2022,VLOOKUP($BJ457,'Treasury Yields'!$C$285:$N$314,$E457,FALSE)/100)))))))),0)</f>
        <v>3.8059545454545457E-2</v>
      </c>
      <c r="BQ457">
        <f t="shared" si="1080"/>
        <v>1.2519180719590455</v>
      </c>
      <c r="BR457">
        <f t="shared" si="1081"/>
        <v>154819575.09508011</v>
      </c>
      <c r="BS457">
        <f t="shared" si="1082"/>
        <v>36451375.095080107</v>
      </c>
      <c r="BU457">
        <f t="shared" si="1068"/>
        <v>11</v>
      </c>
      <c r="BV457">
        <f t="shared" si="1083"/>
        <v>2.3482427537594588</v>
      </c>
      <c r="BW457">
        <f t="shared" si="1084"/>
        <v>5116586.136166485</v>
      </c>
      <c r="BX457" s="5">
        <f t="shared" si="1085"/>
        <v>3431616.5922119813</v>
      </c>
      <c r="BY457" s="5">
        <f t="shared" si="1086"/>
        <v>843757.66360328509</v>
      </c>
      <c r="BZ457" s="5">
        <f t="shared" si="1087"/>
        <v>11112400</v>
      </c>
      <c r="CA457" s="5">
        <f t="shared" si="1088"/>
        <v>5960343.7997697704</v>
      </c>
      <c r="CC457" s="5">
        <f t="shared" si="1089"/>
        <v>154819575.09508011</v>
      </c>
      <c r="CD457" s="5" t="str">
        <f t="shared" si="1090"/>
        <v>Wisconsin</v>
      </c>
      <c r="CE457" s="5">
        <f t="shared" si="1066"/>
        <v>0.95716118994807786</v>
      </c>
      <c r="CF457" s="10">
        <f t="shared" si="1091"/>
        <v>0.76455577356613957</v>
      </c>
    </row>
    <row r="458" spans="1:84" x14ac:dyDescent="0.2">
      <c r="A458">
        <v>51000000004501</v>
      </c>
      <c r="B458">
        <v>2015</v>
      </c>
      <c r="C458">
        <v>459</v>
      </c>
      <c r="D458" t="s">
        <v>692</v>
      </c>
      <c r="E458">
        <v>12</v>
      </c>
      <c r="F458" t="s">
        <v>693</v>
      </c>
      <c r="G458" t="s">
        <v>694</v>
      </c>
      <c r="H458" t="s">
        <v>694</v>
      </c>
      <c r="I458" t="b">
        <v>1</v>
      </c>
      <c r="J458">
        <v>217488.95699999999</v>
      </c>
      <c r="K458">
        <v>638943.6</v>
      </c>
      <c r="L458">
        <v>0</v>
      </c>
      <c r="M458">
        <v>-66191.62</v>
      </c>
      <c r="N458">
        <v>0</v>
      </c>
      <c r="O458">
        <v>450589.76899999997</v>
      </c>
      <c r="P458">
        <v>19365.044999999998</v>
      </c>
      <c r="Q458">
        <v>320286.12300000002</v>
      </c>
      <c r="R458">
        <v>8436858.102</v>
      </c>
      <c r="S458">
        <v>8757144.2249999996</v>
      </c>
      <c r="T458">
        <v>144622.37299999999</v>
      </c>
      <c r="V458">
        <v>153529.13399999999</v>
      </c>
      <c r="W458">
        <v>-67155.642000000007</v>
      </c>
      <c r="Y458">
        <v>5097.8180000000002</v>
      </c>
      <c r="Z458">
        <v>-312.70400000000001</v>
      </c>
      <c r="AA458">
        <v>-244369.47099999999</v>
      </c>
      <c r="AB458">
        <v>6672165.875</v>
      </c>
      <c r="AC458">
        <v>6427796.4040000001</v>
      </c>
      <c r="AD458">
        <v>2329347.821</v>
      </c>
      <c r="AE458">
        <v>1764692.227</v>
      </c>
      <c r="AF458">
        <v>564655.59400000004</v>
      </c>
      <c r="AG458">
        <v>1744074</v>
      </c>
      <c r="AH458">
        <v>8.2922154105846427E-2</v>
      </c>
      <c r="AI458" t="b">
        <v>1</v>
      </c>
      <c r="AK458">
        <v>7.7499999999999999E-2</v>
      </c>
      <c r="AL458">
        <v>7.7499999999999999E-2</v>
      </c>
      <c r="AM458">
        <v>7.7499999999999999E-2</v>
      </c>
      <c r="AN458">
        <v>7.7499999999999999E-2</v>
      </c>
      <c r="AO458">
        <v>1</v>
      </c>
      <c r="AP458">
        <v>0</v>
      </c>
      <c r="AQ458">
        <v>3.5700000000000003E-2</v>
      </c>
      <c r="AR458">
        <v>2114</v>
      </c>
      <c r="AS458">
        <v>3344119.3569999998</v>
      </c>
      <c r="AT458">
        <v>1471448.0460000001</v>
      </c>
      <c r="AV458" t="s">
        <v>695</v>
      </c>
      <c r="BB458">
        <f t="shared" ref="BB458:BB465" si="1092">AC458/S458</f>
        <v>0.73400599999824723</v>
      </c>
      <c r="BD458">
        <f t="shared" ref="BD458:BD465" si="1093">AS458-AD458</f>
        <v>1014771.5359999998</v>
      </c>
      <c r="BE458">
        <f t="shared" ref="BE458:BE465" si="1094">AT458-AD458</f>
        <v>-857899.77499999991</v>
      </c>
      <c r="BF458">
        <f t="shared" ref="BF458:BF465" si="1095">BD458/S458*100</f>
        <v>11.58792763859042</v>
      </c>
      <c r="BG458">
        <f t="shared" ref="BG458:BG465" si="1096">BE458/S458*100</f>
        <v>-9.7965701255765261</v>
      </c>
      <c r="BH458">
        <f t="shared" ref="BH458:BH465" si="1097">(BD458-BE458)/(2*S458)*100</f>
        <v>10.692248882083472</v>
      </c>
      <c r="BI458">
        <f t="shared" ref="BI458:BI465" si="1098">(BD458+BE458)/(2*S458*(0.01^2))</f>
        <v>89.567875650694759</v>
      </c>
      <c r="BJ458">
        <f t="shared" ref="BJ458:BJ465" si="1099">ROUND(BH458,0)</f>
        <v>11</v>
      </c>
      <c r="BK458">
        <f>IF($BJ458&lt;=30,IF($B458=2015,VLOOKUP($BJ458,'Treasury Yields'!$C$5:$N$34,$E458,FALSE)/100,IF($B458=2016,VLOOKUP($BJ458,'Treasury Yields'!$C$40:$N$69,$E458,FALSE)/100,IF($B458=2017,VLOOKUP($BJ458,'Treasury Yields'!$C$75:$N$104,$E458,FALSE)/100,IF($B458=2018,VLOOKUP($BJ458,'Treasury Yields'!$C$110:$N$139,$E458,FALSE)/100,IF($B458=2019,VLOOKUP($BJ458,'Treasury Yields'!$C$145:$N$174,$E458,FALSE)/100,IF($B458=2020,VLOOKUP($BJ458,'Treasury Yields'!$C$180:$N$209,$E458,FALSE)/100,IF($B458=2021,VLOOKUP($BJ458,'Treasury Yields'!$C$215:$N$244,$E458,FALSE)/100,IF($B458=2022,VLOOKUP($BJ458,'Treasury Yields'!$C$250:$N$279,$E458,FALSE)/100)))))))),0)</f>
        <v>2.4132000000000001E-2</v>
      </c>
      <c r="BL458">
        <f t="shared" ref="BL458:BL465" si="1100">1+BH458*(AL458-BK458)+(AL458-BK458)^2</f>
        <v>1.5734720817630308</v>
      </c>
      <c r="BM458">
        <f t="shared" ref="BM458:BM465" si="1101">BL458*R458</f>
        <v>13275160.681293232</v>
      </c>
      <c r="BN458">
        <f t="shared" ref="BN458:BN465" si="1102">BM458-AB458</f>
        <v>6602994.8062932324</v>
      </c>
      <c r="BP458">
        <f>IF($BJ458&lt;=30,IF($B458=2015,VLOOKUP($BJ458,'Treasury Yields'!$C$40:$N$69,$E458,FALSE)/100,IF($B458=2016,VLOOKUP($BJ458,'Treasury Yields'!$C$75:$N$104,$E458,FALSE)/100,IF($B458=2017,VLOOKUP($BJ458,'Treasury Yields'!$C$110:$N$139,$E458,FALSE)/100,IF($B458=2018,VLOOKUP($BJ458,'Treasury Yields'!$C$145:$N$174,$E458,FALSE)/100,IF($B458=2019,VLOOKUP($BJ458,'Treasury Yields'!$C$180:$N$209,$E458,FALSE)/100,IF($B458=2020,VLOOKUP($BJ458,'Treasury Yields'!$C$215:$N$244,$E458,FALSE)/100,IF($B458=2021,VLOOKUP($BJ458,'Treasury Yields'!$C$250:$N$279,$E458,FALSE)/100,IF($B458=2022,VLOOKUP($BJ458,'Treasury Yields'!$C$285:$N$314,$E458,FALSE)/100)))))))),0)</f>
        <v>2.5495999999999998E-2</v>
      </c>
      <c r="BQ458">
        <f t="shared" ref="BQ458:BQ465" si="1103">1+BH458*(AN458-BP458)+(AN458-BP458)^2</f>
        <v>1.5587441268798687</v>
      </c>
      <c r="BR458">
        <f t="shared" ref="BR458:BR465" si="1104">BQ458*S458</f>
        <v>13650147.12895871</v>
      </c>
      <c r="BS458">
        <f t="shared" ref="BS458:BS465" si="1105">BR458-AC458</f>
        <v>7222350.7249587094</v>
      </c>
      <c r="BU458">
        <f t="shared" si="1068"/>
        <v>14</v>
      </c>
      <c r="BV458">
        <f t="shared" ref="BV458:BV465" si="1106">1+(BH458+BU458)*(AN458-BK458)+(AN458-BK458)^2*BI458</f>
        <v>2.5728780943752065</v>
      </c>
      <c r="BW458">
        <f t="shared" ref="BW458:BW465" si="1107">BV458*J458</f>
        <v>559572.57323381118</v>
      </c>
      <c r="BX458" s="5">
        <f t="shared" ref="BX458:BX465" si="1108">(BM458+BW458-O458)*BK458</f>
        <v>322986.15059273865</v>
      </c>
      <c r="BY458" s="5">
        <f t="shared" ref="BY458:BY465" si="1109">BK458*(BN458+BW458-O458)</f>
        <v>161973.4436972386</v>
      </c>
      <c r="BZ458" s="5">
        <f t="shared" ref="BZ458:BZ465" si="1110">SUM(J458:K458)</f>
        <v>856432.55700000003</v>
      </c>
      <c r="CA458" s="5">
        <f t="shared" ref="CA458:CA465" si="1111">SUM(BW458+BY458)</f>
        <v>721546.01693104976</v>
      </c>
      <c r="CC458" s="5">
        <f t="shared" ref="CC458:CC465" si="1112">BR458</f>
        <v>13650147.12895871</v>
      </c>
      <c r="CD458" s="5" t="str">
        <f t="shared" ref="CD458:CD465" si="1113">F458</f>
        <v>Wyoming</v>
      </c>
      <c r="CE458" s="5">
        <f t="shared" si="1066"/>
        <v>0.73400599999824723</v>
      </c>
      <c r="CF458" s="10">
        <f t="shared" ref="CF458:CF465" si="1114">AC458/CC458</f>
        <v>0.47089575982397042</v>
      </c>
    </row>
    <row r="459" spans="1:84" x14ac:dyDescent="0.2">
      <c r="A459">
        <v>51000000004501</v>
      </c>
      <c r="B459">
        <v>2016</v>
      </c>
      <c r="C459">
        <v>459</v>
      </c>
      <c r="D459" t="s">
        <v>692</v>
      </c>
      <c r="E459">
        <v>12</v>
      </c>
      <c r="F459" t="s">
        <v>693</v>
      </c>
      <c r="G459" t="s">
        <v>694</v>
      </c>
      <c r="H459" t="s">
        <v>694</v>
      </c>
      <c r="I459" t="b">
        <v>1</v>
      </c>
      <c r="J459">
        <v>219893</v>
      </c>
      <c r="K459">
        <v>664368</v>
      </c>
      <c r="L459">
        <v>0</v>
      </c>
      <c r="M459">
        <v>-43791</v>
      </c>
      <c r="N459">
        <v>0</v>
      </c>
      <c r="O459">
        <v>483482</v>
      </c>
      <c r="P459">
        <v>18128</v>
      </c>
      <c r="Q459">
        <v>338861</v>
      </c>
      <c r="R459">
        <v>8757144</v>
      </c>
      <c r="S459">
        <v>9096005</v>
      </c>
      <c r="T459">
        <v>151489</v>
      </c>
      <c r="V459">
        <v>152423</v>
      </c>
      <c r="W459">
        <v>454713</v>
      </c>
      <c r="Y459">
        <v>5994</v>
      </c>
      <c r="Z459">
        <v>-312</v>
      </c>
      <c r="AA459">
        <v>250708</v>
      </c>
      <c r="AB459">
        <v>6427796</v>
      </c>
      <c r="AC459">
        <v>6678505</v>
      </c>
      <c r="AD459">
        <v>2417500</v>
      </c>
      <c r="AE459">
        <v>2329348</v>
      </c>
      <c r="AF459">
        <v>88152</v>
      </c>
      <c r="AG459">
        <v>1782905</v>
      </c>
      <c r="AH459">
        <v>8.4967510888129205E-2</v>
      </c>
      <c r="AI459" t="b">
        <v>1</v>
      </c>
      <c r="AK459">
        <v>7.7499999999999999E-2</v>
      </c>
      <c r="AL459">
        <v>7.7499999999999999E-2</v>
      </c>
      <c r="AM459">
        <v>7.7499999999999999E-2</v>
      </c>
      <c r="AN459">
        <v>7.7499999999999999E-2</v>
      </c>
      <c r="AO459">
        <v>1</v>
      </c>
      <c r="AP459">
        <v>0</v>
      </c>
      <c r="AQ459">
        <v>3.78E-2</v>
      </c>
      <c r="AR459">
        <v>2115</v>
      </c>
      <c r="AS459">
        <v>3472338</v>
      </c>
      <c r="AT459">
        <v>1531537</v>
      </c>
      <c r="AU459" t="s">
        <v>696</v>
      </c>
      <c r="AV459" t="s">
        <v>695</v>
      </c>
      <c r="BB459">
        <f>AC459/S459</f>
        <v>0.73422398074759199</v>
      </c>
      <c r="BD459">
        <f t="shared" si="1093"/>
        <v>1054838</v>
      </c>
      <c r="BE459">
        <f t="shared" si="1094"/>
        <v>-885963</v>
      </c>
      <c r="BF459">
        <f t="shared" si="1095"/>
        <v>11.596717460027781</v>
      </c>
      <c r="BG459">
        <f t="shared" si="1096"/>
        <v>-9.7401331683524806</v>
      </c>
      <c r="BH459">
        <f t="shared" si="1097"/>
        <v>10.668425314190131</v>
      </c>
      <c r="BI459">
        <f t="shared" si="1098"/>
        <v>92.829214583765065</v>
      </c>
      <c r="BJ459">
        <f t="shared" si="1099"/>
        <v>11</v>
      </c>
      <c r="BK459">
        <f>IF($BJ459&lt;=30,IF($B459=2015,VLOOKUP($BJ459,'Treasury Yields'!$C$5:$N$34,$E459,FALSE)/100,IF($B459=2016,VLOOKUP($BJ459,'Treasury Yields'!$C$40:$N$69,$E459,FALSE)/100,IF($B459=2017,VLOOKUP($BJ459,'Treasury Yields'!$C$75:$N$104,$E459,FALSE)/100,IF($B459=2018,VLOOKUP($BJ459,'Treasury Yields'!$C$110:$N$139,$E459,FALSE)/100,IF($B459=2019,VLOOKUP($BJ459,'Treasury Yields'!$C$145:$N$174,$E459,FALSE)/100,IF($B459=2020,VLOOKUP($BJ459,'Treasury Yields'!$C$180:$N$209,$E459,FALSE)/100,IF($B459=2021,VLOOKUP($BJ459,'Treasury Yields'!$C$215:$N$244,$E459,FALSE)/100,IF($B459=2022,VLOOKUP($BJ459,'Treasury Yields'!$C$250:$N$279,$E459,FALSE)/100)))))))),0)</f>
        <v>2.5495999999999998E-2</v>
      </c>
      <c r="BL459">
        <f t="shared" si="1100"/>
        <v>1.5575052060551435</v>
      </c>
      <c r="BM459">
        <f t="shared" si="1101"/>
        <v>13639297.370174564</v>
      </c>
      <c r="BN459">
        <f t="shared" si="1102"/>
        <v>7211501.3701745644</v>
      </c>
      <c r="BP459">
        <f>IF($BJ459&lt;=30,IF($B459=2015,VLOOKUP($BJ459,'Treasury Yields'!$C$40:$N$69,$E459,FALSE)/100,IF($B459=2016,VLOOKUP($BJ459,'Treasury Yields'!$C$75:$N$104,$E459,FALSE)/100,IF($B459=2017,VLOOKUP($BJ459,'Treasury Yields'!$C$110:$N$139,$E459,FALSE)/100,IF($B459=2018,VLOOKUP($BJ459,'Treasury Yields'!$C$145:$N$174,$E459,FALSE)/100,IF($B459=2019,VLOOKUP($BJ459,'Treasury Yields'!$C$180:$N$209,$E459,FALSE)/100,IF($B459=2020,VLOOKUP($BJ459,'Treasury Yields'!$C$215:$N$244,$E459,FALSE)/100,IF($B459=2021,VLOOKUP($BJ459,'Treasury Yields'!$C$250:$N$279,$E459,FALSE)/100,IF($B459=2022,VLOOKUP($BJ459,'Treasury Yields'!$C$285:$N$314,$E459,FALSE)/100)))))))),0)</f>
        <v>2.7241999999999999E-2</v>
      </c>
      <c r="BQ459">
        <f t="shared" si="1103"/>
        <v>1.5386995860045676</v>
      </c>
      <c r="BR459">
        <f t="shared" si="1104"/>
        <v>13996019.127795476</v>
      </c>
      <c r="BS459">
        <f t="shared" si="1105"/>
        <v>7317514.1277954765</v>
      </c>
      <c r="BU459">
        <f t="shared" si="1068"/>
        <v>14</v>
      </c>
      <c r="BV459">
        <f t="shared" si="1106"/>
        <v>2.5339056047121788</v>
      </c>
      <c r="BW459">
        <f t="shared" si="1107"/>
        <v>557188.10513697518</v>
      </c>
      <c r="BX459" s="5">
        <f t="shared" si="1108"/>
        <v>349626.73660654301</v>
      </c>
      <c r="BY459" s="5">
        <f t="shared" si="1109"/>
        <v>185743.64979054302</v>
      </c>
      <c r="BZ459" s="5">
        <f t="shared" si="1110"/>
        <v>884261</v>
      </c>
      <c r="CA459" s="5">
        <f t="shared" si="1111"/>
        <v>742931.7549275182</v>
      </c>
      <c r="CC459" s="5">
        <f t="shared" si="1112"/>
        <v>13996019.127795476</v>
      </c>
      <c r="CD459" s="5" t="str">
        <f t="shared" si="1113"/>
        <v>Wyoming</v>
      </c>
      <c r="CE459" s="5">
        <f t="shared" si="1066"/>
        <v>0.73422398074759199</v>
      </c>
      <c r="CF459" s="10">
        <f t="shared" si="1114"/>
        <v>0.47717175426952535</v>
      </c>
    </row>
    <row r="460" spans="1:84" x14ac:dyDescent="0.2">
      <c r="A460">
        <v>51000000004501</v>
      </c>
      <c r="B460">
        <v>2017</v>
      </c>
      <c r="C460">
        <v>459</v>
      </c>
      <c r="D460" t="s">
        <v>692</v>
      </c>
      <c r="E460">
        <v>12</v>
      </c>
      <c r="F460" t="s">
        <v>693</v>
      </c>
      <c r="G460" t="s">
        <v>694</v>
      </c>
      <c r="H460" t="s">
        <v>694</v>
      </c>
      <c r="I460" t="b">
        <v>1</v>
      </c>
      <c r="J460">
        <v>201824</v>
      </c>
      <c r="K460">
        <v>641429</v>
      </c>
      <c r="L460">
        <v>0</v>
      </c>
      <c r="M460">
        <v>-56701</v>
      </c>
      <c r="N460">
        <v>290802</v>
      </c>
      <c r="O460">
        <v>516837</v>
      </c>
      <c r="P460">
        <v>18655</v>
      </c>
      <c r="Q460">
        <v>541862</v>
      </c>
      <c r="R460">
        <v>9096005</v>
      </c>
      <c r="S460">
        <v>9637867</v>
      </c>
      <c r="T460">
        <v>148747</v>
      </c>
      <c r="V460">
        <v>149752</v>
      </c>
      <c r="W460">
        <v>923878</v>
      </c>
      <c r="Y460">
        <v>6551</v>
      </c>
      <c r="Z460">
        <v>-312</v>
      </c>
      <c r="AA460">
        <v>680021</v>
      </c>
      <c r="AB460">
        <v>6678505</v>
      </c>
      <c r="AC460">
        <v>7358526</v>
      </c>
      <c r="AD460">
        <v>2279341</v>
      </c>
      <c r="AE460">
        <v>2417500</v>
      </c>
      <c r="AF460">
        <v>-138159</v>
      </c>
      <c r="AG460">
        <v>1776378</v>
      </c>
      <c r="AH460">
        <v>8.3736119226876266E-2</v>
      </c>
      <c r="AI460" t="b">
        <v>1</v>
      </c>
      <c r="AK460">
        <v>7.7499999999999999E-2</v>
      </c>
      <c r="AL460">
        <v>7.0000000000000007E-2</v>
      </c>
      <c r="AM460">
        <v>7.0000000000000007E-2</v>
      </c>
      <c r="AN460">
        <v>7.7499999999999999E-2</v>
      </c>
      <c r="AO460">
        <v>1</v>
      </c>
      <c r="AP460">
        <v>0</v>
      </c>
      <c r="AQ460">
        <v>3.3099999999999997E-2</v>
      </c>
      <c r="AR460">
        <v>2116</v>
      </c>
      <c r="AS460">
        <v>3444971</v>
      </c>
      <c r="AT460">
        <v>1307221</v>
      </c>
      <c r="AU460" t="s">
        <v>180</v>
      </c>
      <c r="AV460" t="s">
        <v>697</v>
      </c>
      <c r="BB460">
        <f t="shared" si="1092"/>
        <v>0.76350150920322934</v>
      </c>
      <c r="BD460">
        <f t="shared" si="1093"/>
        <v>1165630</v>
      </c>
      <c r="BE460">
        <f t="shared" si="1094"/>
        <v>-972120</v>
      </c>
      <c r="BF460">
        <f t="shared" si="1095"/>
        <v>12.094273556586742</v>
      </c>
      <c r="BG460">
        <f t="shared" si="1096"/>
        <v>-10.086464152285977</v>
      </c>
      <c r="BH460">
        <f t="shared" si="1097"/>
        <v>11.09036885443636</v>
      </c>
      <c r="BI460">
        <f t="shared" si="1098"/>
        <v>100.39047021503825</v>
      </c>
      <c r="BJ460">
        <f t="shared" si="1099"/>
        <v>11</v>
      </c>
      <c r="BK460">
        <f>IF($BJ460&lt;=30,IF($B460=2015,VLOOKUP($BJ460,'Treasury Yields'!$C$5:$N$34,$E460,FALSE)/100,IF($B460=2016,VLOOKUP($BJ460,'Treasury Yields'!$C$40:$N$69,$E460,FALSE)/100,IF($B460=2017,VLOOKUP($BJ460,'Treasury Yields'!$C$75:$N$104,$E460,FALSE)/100,IF($B460=2018,VLOOKUP($BJ460,'Treasury Yields'!$C$110:$N$139,$E460,FALSE)/100,IF($B460=2019,VLOOKUP($BJ460,'Treasury Yields'!$C$145:$N$174,$E460,FALSE)/100,IF($B460=2020,VLOOKUP($BJ460,'Treasury Yields'!$C$180:$N$209,$E460,FALSE)/100,IF($B460=2021,VLOOKUP($BJ460,'Treasury Yields'!$C$215:$N$244,$E460,FALSE)/100,IF($B460=2022,VLOOKUP($BJ460,'Treasury Yields'!$C$250:$N$279,$E460,FALSE)/100)))))))),0)</f>
        <v>2.7241999999999999E-2</v>
      </c>
      <c r="BL460">
        <f t="shared" si="1100"/>
        <v>1.4760302380419899</v>
      </c>
      <c r="BM460">
        <f t="shared" si="1101"/>
        <v>13425978.42538113</v>
      </c>
      <c r="BN460">
        <f t="shared" si="1102"/>
        <v>6747473.4253811296</v>
      </c>
      <c r="BP460">
        <f>IF($BJ460&lt;=30,IF($B460=2015,VLOOKUP($BJ460,'Treasury Yields'!$C$40:$N$69,$E460,FALSE)/100,IF($B460=2016,VLOOKUP($BJ460,'Treasury Yields'!$C$75:$N$104,$E460,FALSE)/100,IF($B460=2017,VLOOKUP($BJ460,'Treasury Yields'!$C$110:$N$139,$E460,FALSE)/100,IF($B460=2018,VLOOKUP($BJ460,'Treasury Yields'!$C$145:$N$174,$E460,FALSE)/100,IF($B460=2019,VLOOKUP($BJ460,'Treasury Yields'!$C$180:$N$209,$E460,FALSE)/100,IF($B460=2020,VLOOKUP($BJ460,'Treasury Yields'!$C$215:$N$244,$E460,FALSE)/100,IF($B460=2021,VLOOKUP($BJ460,'Treasury Yields'!$C$250:$N$279,$E460,FALSE)/100,IF($B460=2022,VLOOKUP($BJ460,'Treasury Yields'!$C$285:$N$314,$E460,FALSE)/100)))))))),0)</f>
        <v>2.5790799999999999E-2</v>
      </c>
      <c r="BQ460">
        <f t="shared" si="1103"/>
        <v>1.5761479425324607</v>
      </c>
      <c r="BR460">
        <f t="shared" si="1104"/>
        <v>15190704.2424515</v>
      </c>
      <c r="BS460">
        <f t="shared" si="1105"/>
        <v>7832178.2424515001</v>
      </c>
      <c r="BU460">
        <f t="shared" si="1068"/>
        <v>14</v>
      </c>
      <c r="BV460">
        <f t="shared" si="1106"/>
        <v>2.5145646899466652</v>
      </c>
      <c r="BW460">
        <f t="shared" si="1107"/>
        <v>507499.50398379576</v>
      </c>
      <c r="BX460" s="5">
        <f t="shared" si="1108"/>
        <v>365496.13219775929</v>
      </c>
      <c r="BY460" s="5">
        <f t="shared" si="1109"/>
        <v>183560.29898775928</v>
      </c>
      <c r="BZ460" s="5">
        <f t="shared" si="1110"/>
        <v>843253</v>
      </c>
      <c r="CA460" s="5">
        <f t="shared" si="1111"/>
        <v>691059.80297155504</v>
      </c>
      <c r="CC460" s="5">
        <f t="shared" si="1112"/>
        <v>15190704.2424515</v>
      </c>
      <c r="CD460" s="5" t="str">
        <f t="shared" si="1113"/>
        <v>Wyoming</v>
      </c>
      <c r="CE460" s="5">
        <f>BB460</f>
        <v>0.76350150920322934</v>
      </c>
      <c r="CF460" s="10">
        <f t="shared" si="1114"/>
        <v>0.48440979974029624</v>
      </c>
    </row>
    <row r="461" spans="1:84" x14ac:dyDescent="0.2">
      <c r="A461">
        <v>51000000004501</v>
      </c>
      <c r="B461">
        <v>2018</v>
      </c>
      <c r="C461">
        <v>459</v>
      </c>
      <c r="D461" t="s">
        <v>692</v>
      </c>
      <c r="E461">
        <v>12</v>
      </c>
      <c r="F461" t="s">
        <v>693</v>
      </c>
      <c r="G461" t="s">
        <v>694</v>
      </c>
      <c r="H461" t="s">
        <v>694</v>
      </c>
      <c r="I461" t="b">
        <v>1</v>
      </c>
      <c r="J461">
        <v>195575</v>
      </c>
      <c r="K461">
        <v>658459</v>
      </c>
      <c r="L461">
        <v>0</v>
      </c>
      <c r="M461">
        <v>-49214</v>
      </c>
      <c r="N461">
        <v>0</v>
      </c>
      <c r="O461">
        <v>547913</v>
      </c>
      <c r="P461">
        <v>18114</v>
      </c>
      <c r="Q461">
        <v>238793</v>
      </c>
      <c r="R461">
        <v>9637867</v>
      </c>
      <c r="S461">
        <v>9876659</v>
      </c>
      <c r="T461">
        <v>147633</v>
      </c>
      <c r="V461">
        <v>151131</v>
      </c>
      <c r="W461">
        <v>-252571</v>
      </c>
      <c r="Y461">
        <v>7034</v>
      </c>
      <c r="Z461">
        <v>288</v>
      </c>
      <c r="AA461">
        <v>527157</v>
      </c>
      <c r="AB461">
        <v>7358526</v>
      </c>
      <c r="AC461">
        <v>6831369</v>
      </c>
      <c r="AD461">
        <v>3045291</v>
      </c>
      <c r="AE461">
        <v>2279341</v>
      </c>
      <c r="AF461">
        <v>765950</v>
      </c>
      <c r="AG461">
        <v>1741355</v>
      </c>
      <c r="AH461">
        <v>8.4780530104430166E-2</v>
      </c>
      <c r="AI461" t="b">
        <v>1</v>
      </c>
      <c r="AK461">
        <v>7.0000000000000007E-2</v>
      </c>
      <c r="AL461">
        <v>7.0000000000000007E-2</v>
      </c>
      <c r="AM461">
        <v>7.0000000000000007E-2</v>
      </c>
      <c r="AN461">
        <v>7.0000000000000007E-2</v>
      </c>
      <c r="AO461">
        <v>1</v>
      </c>
      <c r="AP461">
        <v>0</v>
      </c>
      <c r="AQ461">
        <v>3.7100000000000001E-2</v>
      </c>
      <c r="AR461">
        <v>2117</v>
      </c>
      <c r="AS461">
        <v>4223408</v>
      </c>
      <c r="AT461">
        <v>2062163</v>
      </c>
      <c r="AU461" t="s">
        <v>184</v>
      </c>
      <c r="AV461" t="s">
        <v>698</v>
      </c>
      <c r="BB461">
        <f t="shared" si="1092"/>
        <v>0.691668002307258</v>
      </c>
      <c r="BD461">
        <f t="shared" si="1093"/>
        <v>1178117</v>
      </c>
      <c r="BE461">
        <f t="shared" si="1094"/>
        <v>-983128</v>
      </c>
      <c r="BF461">
        <f t="shared" si="1095"/>
        <v>11.928294780654065</v>
      </c>
      <c r="BG461">
        <f t="shared" si="1096"/>
        <v>-9.9540543011558871</v>
      </c>
      <c r="BH461">
        <f t="shared" si="1097"/>
        <v>10.941174540904976</v>
      </c>
      <c r="BI461">
        <f t="shared" si="1098"/>
        <v>98.712023974908917</v>
      </c>
      <c r="BJ461">
        <f t="shared" si="1099"/>
        <v>11</v>
      </c>
      <c r="BK461">
        <f>IF($BJ461&lt;=30,IF($B461=2015,VLOOKUP($BJ461,'Treasury Yields'!$C$5:$N$34,$E461,FALSE)/100,IF($B461=2016,VLOOKUP($BJ461,'Treasury Yields'!$C$40:$N$69,$E461,FALSE)/100,IF($B461=2017,VLOOKUP($BJ461,'Treasury Yields'!$C$75:$N$104,$E461,FALSE)/100,IF($B461=2018,VLOOKUP($BJ461,'Treasury Yields'!$C$110:$N$139,$E461,FALSE)/100,IF($B461=2019,VLOOKUP($BJ461,'Treasury Yields'!$C$145:$N$174,$E461,FALSE)/100,IF($B461=2020,VLOOKUP($BJ461,'Treasury Yields'!$C$180:$N$209,$E461,FALSE)/100,IF($B461=2021,VLOOKUP($BJ461,'Treasury Yields'!$C$215:$N$244,$E461,FALSE)/100,IF($B461=2022,VLOOKUP($BJ461,'Treasury Yields'!$C$250:$N$279,$E461,FALSE)/100)))))))),0)</f>
        <v>2.5790799999999999E-2</v>
      </c>
      <c r="BL461">
        <f t="shared" si="1100"/>
        <v>1.4856550268784163</v>
      </c>
      <c r="BM461">
        <f t="shared" si="1101"/>
        <v>14318545.556935601</v>
      </c>
      <c r="BN461">
        <f t="shared" si="1102"/>
        <v>6960019.5569356009</v>
      </c>
      <c r="BP461">
        <f>IF($BJ461&lt;=30,IF($B461=2015,VLOOKUP($BJ461,'Treasury Yields'!$C$40:$N$69,$E461,FALSE)/100,IF($B461=2016,VLOOKUP($BJ461,'Treasury Yields'!$C$75:$N$104,$E461,FALSE)/100,IF($B461=2017,VLOOKUP($BJ461,'Treasury Yields'!$C$110:$N$139,$E461,FALSE)/100,IF($B461=2018,VLOOKUP($BJ461,'Treasury Yields'!$C$145:$N$174,$E461,FALSE)/100,IF($B461=2019,VLOOKUP($BJ461,'Treasury Yields'!$C$180:$N$209,$E461,FALSE)/100,IF($B461=2020,VLOOKUP($BJ461,'Treasury Yields'!$C$215:$N$244,$E461,FALSE)/100,IF($B461=2021,VLOOKUP($BJ461,'Treasury Yields'!$C$250:$N$279,$E461,FALSE)/100,IF($B461=2022,VLOOKUP($BJ461,'Treasury Yields'!$C$285:$N$314,$E461,FALSE)/100)))))))),0)</f>
        <v>2.7904243478260874E-2</v>
      </c>
      <c r="BQ461">
        <f t="shared" si="1103"/>
        <v>1.4623490722529244</v>
      </c>
      <c r="BR461">
        <f t="shared" si="1104"/>
        <v>14443123.125608496</v>
      </c>
      <c r="BS461">
        <f t="shared" si="1105"/>
        <v>7611754.1256084964</v>
      </c>
      <c r="BU461">
        <f t="shared" si="1068"/>
        <v>14</v>
      </c>
      <c r="BV461">
        <f t="shared" si="1106"/>
        <v>2.2955574209019614</v>
      </c>
      <c r="BW461">
        <f t="shared" si="1107"/>
        <v>448953.64259290107</v>
      </c>
      <c r="BX461" s="5">
        <f t="shared" si="1108"/>
        <v>366734.50375479966</v>
      </c>
      <c r="BY461" s="5">
        <f t="shared" si="1109"/>
        <v>176952.23139399968</v>
      </c>
      <c r="BZ461" s="5">
        <f t="shared" si="1110"/>
        <v>854034</v>
      </c>
      <c r="CA461" s="5">
        <f t="shared" si="1111"/>
        <v>625905.87398690078</v>
      </c>
      <c r="CC461" s="5">
        <f t="shared" si="1112"/>
        <v>14443123.125608496</v>
      </c>
      <c r="CD461" s="5" t="str">
        <f t="shared" si="1113"/>
        <v>Wyoming</v>
      </c>
      <c r="CE461" s="5">
        <f t="shared" si="1066"/>
        <v>0.691668002307258</v>
      </c>
      <c r="CF461" s="10">
        <f t="shared" si="1114"/>
        <v>0.47298419743355824</v>
      </c>
    </row>
    <row r="462" spans="1:84" x14ac:dyDescent="0.2">
      <c r="A462">
        <v>51000000004501</v>
      </c>
      <c r="B462">
        <v>2019</v>
      </c>
      <c r="C462">
        <v>459</v>
      </c>
      <c r="D462" t="s">
        <v>692</v>
      </c>
      <c r="E462">
        <v>12</v>
      </c>
      <c r="F462" t="s">
        <v>693</v>
      </c>
      <c r="G462" t="s">
        <v>694</v>
      </c>
      <c r="H462" t="s">
        <v>694</v>
      </c>
      <c r="I462" t="b">
        <v>1</v>
      </c>
      <c r="J462">
        <v>194455</v>
      </c>
      <c r="K462">
        <v>676902</v>
      </c>
      <c r="L462">
        <v>0</v>
      </c>
      <c r="M462">
        <v>-7044</v>
      </c>
      <c r="N462">
        <v>0</v>
      </c>
      <c r="O462">
        <v>579179</v>
      </c>
      <c r="P462">
        <v>21308</v>
      </c>
      <c r="Q462">
        <v>263825</v>
      </c>
      <c r="R462">
        <v>9876659</v>
      </c>
      <c r="S462">
        <v>10140485</v>
      </c>
      <c r="T462">
        <v>157385</v>
      </c>
      <c r="V462">
        <v>157610</v>
      </c>
      <c r="W462">
        <v>1251518</v>
      </c>
      <c r="Y462">
        <v>6527</v>
      </c>
      <c r="Z462">
        <v>-309</v>
      </c>
      <c r="AA462">
        <v>959190</v>
      </c>
      <c r="AB462">
        <v>6831368</v>
      </c>
      <c r="AC462">
        <v>7790558</v>
      </c>
      <c r="AD462">
        <v>2349926</v>
      </c>
      <c r="AE462">
        <v>3045291</v>
      </c>
      <c r="AF462">
        <v>-695365</v>
      </c>
      <c r="AG462">
        <v>1738212</v>
      </c>
      <c r="AH462">
        <v>9.0544191387471717E-2</v>
      </c>
      <c r="AI462" t="b">
        <v>1</v>
      </c>
      <c r="AK462">
        <v>7.0000000000000007E-2</v>
      </c>
      <c r="AL462">
        <v>7.0000000000000007E-2</v>
      </c>
      <c r="AM462">
        <v>7.0000000000000007E-2</v>
      </c>
      <c r="AN462">
        <v>7.0000000000000007E-2</v>
      </c>
      <c r="AO462">
        <v>1</v>
      </c>
      <c r="AQ462">
        <v>2.75E-2</v>
      </c>
      <c r="AR462">
        <v>2118</v>
      </c>
      <c r="AS462">
        <v>3550342</v>
      </c>
      <c r="AT462">
        <v>1348068</v>
      </c>
      <c r="BB462">
        <f t="shared" si="1092"/>
        <v>0.76826285922221671</v>
      </c>
      <c r="BD462">
        <f t="shared" si="1093"/>
        <v>1200416</v>
      </c>
      <c r="BE462">
        <f t="shared" si="1094"/>
        <v>-1001858</v>
      </c>
      <c r="BF462">
        <f t="shared" si="1095"/>
        <v>11.837855881646686</v>
      </c>
      <c r="BG462">
        <f t="shared" si="1096"/>
        <v>-9.8797838564920699</v>
      </c>
      <c r="BH462">
        <f t="shared" si="1097"/>
        <v>10.858819869069379</v>
      </c>
      <c r="BI462">
        <f t="shared" si="1098"/>
        <v>97.903601257730756</v>
      </c>
      <c r="BJ462">
        <f t="shared" si="1099"/>
        <v>11</v>
      </c>
      <c r="BK462">
        <f>IF($BJ462&lt;=30,IF($B462=2015,VLOOKUP($BJ462,'Treasury Yields'!$C$5:$N$34,$E462,FALSE)/100,IF($B462=2016,VLOOKUP($BJ462,'Treasury Yields'!$C$40:$N$69,$E462,FALSE)/100,IF($B462=2017,VLOOKUP($BJ462,'Treasury Yields'!$C$75:$N$104,$E462,FALSE)/100,IF($B462=2018,VLOOKUP($BJ462,'Treasury Yields'!$C$110:$N$139,$E462,FALSE)/100,IF($B462=2019,VLOOKUP($BJ462,'Treasury Yields'!$C$145:$N$174,$E462,FALSE)/100,IF($B462=2020,VLOOKUP($BJ462,'Treasury Yields'!$C$180:$N$209,$E462,FALSE)/100,IF($B462=2021,VLOOKUP($BJ462,'Treasury Yields'!$C$215:$N$244,$E462,FALSE)/100,IF($B462=2022,VLOOKUP($BJ462,'Treasury Yields'!$C$250:$N$279,$E462,FALSE)/100)))))))),0)</f>
        <v>2.7904243478260874E-2</v>
      </c>
      <c r="BL462">
        <f t="shared" si="1100"/>
        <v>1.4588822900389053</v>
      </c>
      <c r="BM462">
        <f t="shared" si="1101"/>
        <v>14408882.899853365</v>
      </c>
      <c r="BN462">
        <f t="shared" si="1102"/>
        <v>7577514.8998533655</v>
      </c>
      <c r="BP462">
        <f>IF($BJ462&lt;=30,IF($B462=2015,VLOOKUP($BJ462,'Treasury Yields'!$C$40:$N$69,$E462,FALSE)/100,IF($B462=2016,VLOOKUP($BJ462,'Treasury Yields'!$C$75:$N$104,$E462,FALSE)/100,IF($B462=2017,VLOOKUP($BJ462,'Treasury Yields'!$C$110:$N$139,$E462,FALSE)/100,IF($B462=2018,VLOOKUP($BJ462,'Treasury Yields'!$C$145:$N$174,$E462,FALSE)/100,IF($B462=2019,VLOOKUP($BJ462,'Treasury Yields'!$C$180:$N$209,$E462,FALSE)/100,IF($B462=2020,VLOOKUP($BJ462,'Treasury Yields'!$C$215:$N$244,$E462,FALSE)/100,IF($B462=2021,VLOOKUP($BJ462,'Treasury Yields'!$C$250:$N$279,$E462,FALSE)/100,IF($B462=2022,VLOOKUP($BJ462,'Treasury Yields'!$C$285:$N$314,$E462,FALSE)/100)))))))),0)</f>
        <v>2.1368000000000002E-2</v>
      </c>
      <c r="BQ462">
        <f t="shared" si="1103"/>
        <v>1.5304511992965821</v>
      </c>
      <c r="BR462">
        <f t="shared" si="1104"/>
        <v>15519517.429699002</v>
      </c>
      <c r="BS462">
        <f t="shared" si="1105"/>
        <v>7728959.4296990018</v>
      </c>
      <c r="BU462">
        <f t="shared" si="1068"/>
        <v>14</v>
      </c>
      <c r="BV462">
        <f t="shared" si="1106"/>
        <v>2.2199411712524277</v>
      </c>
      <c r="BW462">
        <f t="shared" si="1107"/>
        <v>431678.66045589081</v>
      </c>
      <c r="BX462" s="5">
        <f t="shared" si="1108"/>
        <v>397953.09129949292</v>
      </c>
      <c r="BY462" s="5">
        <f t="shared" si="1109"/>
        <v>207328.93533789291</v>
      </c>
      <c r="BZ462" s="5">
        <f t="shared" si="1110"/>
        <v>871357</v>
      </c>
      <c r="CA462" s="5">
        <f t="shared" si="1111"/>
        <v>639007.59579378366</v>
      </c>
      <c r="CC462" s="5">
        <f t="shared" si="1112"/>
        <v>15519517.429699002</v>
      </c>
      <c r="CD462" s="5" t="str">
        <f t="shared" si="1113"/>
        <v>Wyoming</v>
      </c>
      <c r="CE462" s="5">
        <f t="shared" si="1066"/>
        <v>0.76826285922221671</v>
      </c>
      <c r="CF462" s="10">
        <f t="shared" si="1114"/>
        <v>0.50198455172913814</v>
      </c>
    </row>
    <row r="463" spans="1:84" x14ac:dyDescent="0.2">
      <c r="A463">
        <v>51000000004501</v>
      </c>
      <c r="B463">
        <v>2020</v>
      </c>
      <c r="C463">
        <v>459</v>
      </c>
      <c r="D463" t="s">
        <v>692</v>
      </c>
      <c r="E463">
        <v>12</v>
      </c>
      <c r="F463" t="s">
        <v>693</v>
      </c>
      <c r="G463" t="s">
        <v>694</v>
      </c>
      <c r="H463" t="s">
        <v>694</v>
      </c>
      <c r="I463" t="b">
        <v>1</v>
      </c>
      <c r="J463">
        <v>198288</v>
      </c>
      <c r="K463">
        <v>699015</v>
      </c>
      <c r="L463">
        <v>0</v>
      </c>
      <c r="M463">
        <v>55560</v>
      </c>
      <c r="N463">
        <v>0</v>
      </c>
      <c r="O463">
        <v>606335</v>
      </c>
      <c r="P463">
        <v>19412</v>
      </c>
      <c r="Q463">
        <v>327116</v>
      </c>
      <c r="R463">
        <v>10140485</v>
      </c>
      <c r="S463">
        <v>10467601</v>
      </c>
      <c r="T463">
        <v>165984</v>
      </c>
      <c r="V463">
        <v>165986</v>
      </c>
      <c r="W463">
        <v>805893</v>
      </c>
      <c r="Y463">
        <v>7238</v>
      </c>
      <c r="Z463">
        <v>-294</v>
      </c>
      <c r="AA463">
        <v>503683</v>
      </c>
      <c r="AB463">
        <v>7790558</v>
      </c>
      <c r="AC463">
        <v>8294241</v>
      </c>
      <c r="AD463">
        <v>2173359</v>
      </c>
      <c r="AE463">
        <v>2349926</v>
      </c>
      <c r="AF463">
        <v>-176567</v>
      </c>
      <c r="AG463">
        <v>1780467</v>
      </c>
      <c r="AH463">
        <v>9.3224979738461874E-2</v>
      </c>
      <c r="AI463" t="b">
        <v>1</v>
      </c>
      <c r="AK463">
        <v>7.0000000000000007E-2</v>
      </c>
      <c r="AL463">
        <v>7.0000000000000007E-2</v>
      </c>
      <c r="AM463">
        <v>7.0000000000000007E-2</v>
      </c>
      <c r="AN463">
        <v>7.0000000000000007E-2</v>
      </c>
      <c r="AO463">
        <v>1</v>
      </c>
      <c r="AQ463">
        <v>0.02</v>
      </c>
      <c r="AR463">
        <v>2119</v>
      </c>
      <c r="AS463">
        <v>3405407</v>
      </c>
      <c r="AT463">
        <v>1145205</v>
      </c>
      <c r="BB463">
        <f t="shared" si="1092"/>
        <v>0.79237267450297355</v>
      </c>
      <c r="BD463">
        <f t="shared" si="1093"/>
        <v>1232048</v>
      </c>
      <c r="BE463">
        <f t="shared" si="1094"/>
        <v>-1028154</v>
      </c>
      <c r="BF463">
        <f t="shared" si="1095"/>
        <v>11.770108547316619</v>
      </c>
      <c r="BG463">
        <f t="shared" si="1096"/>
        <v>-9.822250580624921</v>
      </c>
      <c r="BH463">
        <f t="shared" si="1097"/>
        <v>10.796179563970771</v>
      </c>
      <c r="BI463">
        <f t="shared" si="1098"/>
        <v>97.39289833458497</v>
      </c>
      <c r="BJ463">
        <f t="shared" si="1099"/>
        <v>11</v>
      </c>
      <c r="BK463">
        <f>IF($BJ463&lt;=30,IF($B463=2015,VLOOKUP($BJ463,'Treasury Yields'!$C$5:$N$34,$E463,FALSE)/100,IF($B463=2016,VLOOKUP($BJ463,'Treasury Yields'!$C$40:$N$69,$E463,FALSE)/100,IF($B463=2017,VLOOKUP($BJ463,'Treasury Yields'!$C$75:$N$104,$E463,FALSE)/100,IF($B463=2018,VLOOKUP($BJ463,'Treasury Yields'!$C$110:$N$139,$E463,FALSE)/100,IF($B463=2019,VLOOKUP($BJ463,'Treasury Yields'!$C$145:$N$174,$E463,FALSE)/100,IF($B463=2020,VLOOKUP($BJ463,'Treasury Yields'!$C$180:$N$209,$E463,FALSE)/100,IF($B463=2021,VLOOKUP($BJ463,'Treasury Yields'!$C$215:$N$244,$E463,FALSE)/100,IF($B463=2022,VLOOKUP($BJ463,'Treasury Yields'!$C$250:$N$279,$E463,FALSE)/100)))))))),0)</f>
        <v>2.1368000000000002E-2</v>
      </c>
      <c r="BL463">
        <f t="shared" si="1100"/>
        <v>1.5274048759790266</v>
      </c>
      <c r="BM463">
        <f t="shared" si="1101"/>
        <v>15488626.23379218</v>
      </c>
      <c r="BN463">
        <f t="shared" si="1102"/>
        <v>7698068.2337921802</v>
      </c>
      <c r="BP463">
        <f>IF($BJ463&lt;=30,IF($B463=2015,VLOOKUP($BJ463,'Treasury Yields'!$C$40:$N$69,$E463,FALSE)/100,IF($B463=2016,VLOOKUP($BJ463,'Treasury Yields'!$C$75:$N$104,$E463,FALSE)/100,IF($B463=2017,VLOOKUP($BJ463,'Treasury Yields'!$C$110:$N$139,$E463,FALSE)/100,IF($B463=2018,VLOOKUP($BJ463,'Treasury Yields'!$C$145:$N$174,$E463,FALSE)/100,IF($B463=2019,VLOOKUP($BJ463,'Treasury Yields'!$C$180:$N$209,$E463,FALSE)/100,IF($B463=2020,VLOOKUP($BJ463,'Treasury Yields'!$C$215:$N$244,$E463,FALSE)/100,IF($B463=2021,VLOOKUP($BJ463,'Treasury Yields'!$C$250:$N$279,$E463,FALSE)/100,IF($B463=2022,VLOOKUP($BJ463,'Treasury Yields'!$C$285:$N$314,$E463,FALSE)/100)))))))),0)</f>
        <v>1.6585652173913043E-2</v>
      </c>
      <c r="BQ463">
        <f t="shared" si="1103"/>
        <v>1.5795239829765129</v>
      </c>
      <c r="BR463">
        <f t="shared" si="1104"/>
        <v>16533826.823728928</v>
      </c>
      <c r="BS463">
        <f t="shared" si="1105"/>
        <v>8239585.8237289283</v>
      </c>
      <c r="BU463">
        <f t="shared" si="1068"/>
        <v>14</v>
      </c>
      <c r="BV463">
        <f t="shared" si="1106"/>
        <v>2.4362289653066909</v>
      </c>
      <c r="BW463">
        <f t="shared" si="1107"/>
        <v>483074.96907273313</v>
      </c>
      <c r="BX463" s="5">
        <f t="shared" si="1108"/>
        <v>328327.14502281748</v>
      </c>
      <c r="BY463" s="5">
        <f t="shared" si="1109"/>
        <v>161858.50167881747</v>
      </c>
      <c r="BZ463" s="5">
        <f t="shared" si="1110"/>
        <v>897303</v>
      </c>
      <c r="CA463" s="5">
        <f t="shared" si="1111"/>
        <v>644933.47075155063</v>
      </c>
      <c r="CC463" s="5">
        <f t="shared" si="1112"/>
        <v>16533826.823728928</v>
      </c>
      <c r="CD463" s="5" t="str">
        <f t="shared" si="1113"/>
        <v>Wyoming</v>
      </c>
      <c r="CE463" s="5">
        <f t="shared" si="1066"/>
        <v>0.79237267450297355</v>
      </c>
      <c r="CF463" s="10">
        <f t="shared" si="1114"/>
        <v>0.50165282898066377</v>
      </c>
    </row>
    <row r="464" spans="1:84" x14ac:dyDescent="0.2">
      <c r="A464">
        <v>51000000004501</v>
      </c>
      <c r="B464">
        <v>2021</v>
      </c>
      <c r="C464">
        <v>459</v>
      </c>
      <c r="D464" t="s">
        <v>692</v>
      </c>
      <c r="E464">
        <v>12</v>
      </c>
      <c r="F464" t="s">
        <v>693</v>
      </c>
      <c r="G464" t="s">
        <v>694</v>
      </c>
      <c r="H464" t="s">
        <v>694</v>
      </c>
      <c r="I464" t="b">
        <v>1</v>
      </c>
      <c r="J464">
        <v>214076</v>
      </c>
      <c r="K464">
        <v>709100</v>
      </c>
      <c r="L464">
        <v>0</v>
      </c>
      <c r="M464">
        <v>2186</v>
      </c>
      <c r="N464">
        <v>173420</v>
      </c>
      <c r="O464">
        <v>632777</v>
      </c>
      <c r="P464">
        <v>19019</v>
      </c>
      <c r="Q464">
        <v>446987</v>
      </c>
      <c r="R464">
        <v>10467601</v>
      </c>
      <c r="S464">
        <v>10914588</v>
      </c>
      <c r="T464">
        <v>170677</v>
      </c>
      <c r="V464">
        <v>169867</v>
      </c>
      <c r="W464">
        <v>1414900</v>
      </c>
      <c r="Y464">
        <v>7726</v>
      </c>
      <c r="Z464">
        <v>-298</v>
      </c>
      <c r="AA464">
        <v>1095625</v>
      </c>
      <c r="AB464">
        <v>8294241</v>
      </c>
      <c r="AC464">
        <v>9389867</v>
      </c>
      <c r="AD464">
        <v>1524722</v>
      </c>
      <c r="AE464">
        <v>2173359</v>
      </c>
      <c r="AF464">
        <v>-648637</v>
      </c>
      <c r="AG464">
        <v>1819928</v>
      </c>
      <c r="AI464" t="b">
        <v>1</v>
      </c>
      <c r="AK464">
        <v>7.0000000000000007E-2</v>
      </c>
      <c r="AL464">
        <v>6.8000000000000005E-2</v>
      </c>
      <c r="AM464">
        <v>6.8000000000000005E-2</v>
      </c>
      <c r="AN464">
        <v>7.0000000000000007E-2</v>
      </c>
      <c r="AS464">
        <v>2813092</v>
      </c>
      <c r="AT464">
        <v>456735</v>
      </c>
      <c r="AU464" t="s">
        <v>306</v>
      </c>
      <c r="AV464" t="s">
        <v>699</v>
      </c>
      <c r="BB464">
        <f t="shared" si="1092"/>
        <v>0.86030430099606137</v>
      </c>
      <c r="BD464">
        <f t="shared" si="1093"/>
        <v>1288370</v>
      </c>
      <c r="BE464">
        <f t="shared" si="1094"/>
        <v>-1067987</v>
      </c>
      <c r="BF464">
        <f t="shared" si="1095"/>
        <v>11.804110242182297</v>
      </c>
      <c r="BG464">
        <f t="shared" si="1096"/>
        <v>-9.7849501969291008</v>
      </c>
      <c r="BH464">
        <f t="shared" si="1097"/>
        <v>10.7945302195557</v>
      </c>
      <c r="BI464">
        <f t="shared" si="1098"/>
        <v>100.95800226265983</v>
      </c>
      <c r="BJ464">
        <f t="shared" si="1099"/>
        <v>11</v>
      </c>
      <c r="BK464">
        <f>IF($BJ464&lt;=30,IF($B464=2015,VLOOKUP($BJ464,'Treasury Yields'!$C$5:$N$34,$E464,FALSE)/100,IF($B464=2016,VLOOKUP($BJ464,'Treasury Yields'!$C$40:$N$69,$E464,FALSE)/100,IF($B464=2017,VLOOKUP($BJ464,'Treasury Yields'!$C$75:$N$104,$E464,FALSE)/100,IF($B464=2018,VLOOKUP($BJ464,'Treasury Yields'!$C$110:$N$139,$E464,FALSE)/100,IF($B464=2019,VLOOKUP($BJ464,'Treasury Yields'!$C$145:$N$174,$E464,FALSE)/100,IF($B464=2020,VLOOKUP($BJ464,'Treasury Yields'!$C$180:$N$209,$E464,FALSE)/100,IF($B464=2021,VLOOKUP($BJ464,'Treasury Yields'!$C$215:$N$244,$E464,FALSE)/100,IF($B464=2022,VLOOKUP($BJ464,'Treasury Yields'!$C$250:$N$279,$E464,FALSE)/100)))))))),0)</f>
        <v>1.6585652173913043E-2</v>
      </c>
      <c r="BL464">
        <f t="shared" si="1100"/>
        <v>1.5576371664898254</v>
      </c>
      <c r="BM464">
        <f t="shared" si="1101"/>
        <v>16304724.361586062</v>
      </c>
      <c r="BN464">
        <f t="shared" si="1102"/>
        <v>8010483.3615860622</v>
      </c>
      <c r="BP464">
        <f>IF($BJ464&lt;=30,IF($B464=2015,VLOOKUP($BJ464,'Treasury Yields'!$C$40:$N$69,$E464,FALSE)/100,IF($B464=2016,VLOOKUP($BJ464,'Treasury Yields'!$C$75:$N$104,$E464,FALSE)/100,IF($B464=2017,VLOOKUP($BJ464,'Treasury Yields'!$C$110:$N$139,$E464,FALSE)/100,IF($B464=2018,VLOOKUP($BJ464,'Treasury Yields'!$C$145:$N$174,$E464,FALSE)/100,IF($B464=2019,VLOOKUP($BJ464,'Treasury Yields'!$C$180:$N$209,$E464,FALSE)/100,IF($B464=2020,VLOOKUP($BJ464,'Treasury Yields'!$C$215:$N$244,$E464,FALSE)/100,IF($B464=2021,VLOOKUP($BJ464,'Treasury Yields'!$C$250:$N$279,$E464,FALSE)/100,IF($B464=2022,VLOOKUP($BJ464,'Treasury Yields'!$C$285:$N$314,$E464,FALSE)/100)))))))),0)</f>
        <v>1.8857478260869562E-2</v>
      </c>
      <c r="BQ464">
        <f t="shared" si="1103"/>
        <v>1.5546750539471654</v>
      </c>
      <c r="BR464">
        <f t="shared" si="1104"/>
        <v>16968637.687711086</v>
      </c>
      <c r="BS464">
        <f t="shared" si="1105"/>
        <v>7578770.6877110861</v>
      </c>
      <c r="BU464">
        <f t="shared" si="1068"/>
        <v>14</v>
      </c>
      <c r="BV464">
        <f t="shared" si="1106"/>
        <v>2.612426185822402</v>
      </c>
      <c r="BW464">
        <f t="shared" si="1107"/>
        <v>559257.74815611658</v>
      </c>
      <c r="BX464" s="5">
        <f t="shared" si="1108"/>
        <v>269205.1223136239</v>
      </c>
      <c r="BY464" s="5">
        <f t="shared" si="1109"/>
        <v>131639.72604101518</v>
      </c>
      <c r="BZ464" s="5">
        <f t="shared" si="1110"/>
        <v>923176</v>
      </c>
      <c r="CA464" s="5">
        <f t="shared" si="1111"/>
        <v>690897.47419713181</v>
      </c>
      <c r="CC464" s="5">
        <f t="shared" si="1112"/>
        <v>16968637.687711086</v>
      </c>
      <c r="CD464" s="5" t="str">
        <f t="shared" si="1113"/>
        <v>Wyoming</v>
      </c>
      <c r="CE464" s="5">
        <f t="shared" si="1066"/>
        <v>0.86030430099606137</v>
      </c>
      <c r="CF464" s="10">
        <f t="shared" si="1114"/>
        <v>0.55336599041184475</v>
      </c>
    </row>
    <row r="465" spans="1:84" x14ac:dyDescent="0.2">
      <c r="A465">
        <v>51000000004501</v>
      </c>
      <c r="B465">
        <v>2022</v>
      </c>
      <c r="C465">
        <v>459</v>
      </c>
      <c r="D465" t="s">
        <v>692</v>
      </c>
      <c r="E465">
        <v>12</v>
      </c>
      <c r="F465" t="s">
        <v>693</v>
      </c>
      <c r="G465" t="s">
        <v>694</v>
      </c>
      <c r="H465" t="s">
        <v>694</v>
      </c>
      <c r="I465" t="b">
        <v>1</v>
      </c>
      <c r="J465">
        <v>210662</v>
      </c>
      <c r="K465">
        <v>724623</v>
      </c>
      <c r="L465">
        <v>0</v>
      </c>
      <c r="M465">
        <v>-24730</v>
      </c>
      <c r="N465">
        <v>0</v>
      </c>
      <c r="O465">
        <v>660862</v>
      </c>
      <c r="P465">
        <v>24876</v>
      </c>
      <c r="Q465">
        <v>224817</v>
      </c>
      <c r="R465">
        <v>10914588</v>
      </c>
      <c r="S465">
        <v>11139405</v>
      </c>
      <c r="T465">
        <v>178278</v>
      </c>
      <c r="V465">
        <v>177132</v>
      </c>
      <c r="W465">
        <v>-644373</v>
      </c>
      <c r="Y465">
        <v>8031</v>
      </c>
      <c r="Z465">
        <v>-544</v>
      </c>
      <c r="AA465">
        <v>-983276</v>
      </c>
      <c r="AB465">
        <v>9389867</v>
      </c>
      <c r="AC465">
        <v>8406591</v>
      </c>
      <c r="AD465">
        <v>2732814</v>
      </c>
      <c r="AE465">
        <v>1524722</v>
      </c>
      <c r="AF465">
        <v>1208092</v>
      </c>
      <c r="AG465">
        <v>1805533</v>
      </c>
      <c r="AI465" t="b">
        <v>1</v>
      </c>
      <c r="AK465">
        <v>6.8000000000000005E-2</v>
      </c>
      <c r="AL465">
        <v>6.8000000000000005E-2</v>
      </c>
      <c r="AM465">
        <v>6.8000000000000005E-2</v>
      </c>
      <c r="AN465">
        <v>6.8000000000000005E-2</v>
      </c>
      <c r="AS465">
        <v>4035386</v>
      </c>
      <c r="AT465">
        <v>1653336</v>
      </c>
      <c r="AV465" t="s">
        <v>700</v>
      </c>
      <c r="BB465">
        <f t="shared" si="1092"/>
        <v>0.75467145686865678</v>
      </c>
      <c r="BD465">
        <f t="shared" si="1093"/>
        <v>1302572</v>
      </c>
      <c r="BE465">
        <f t="shared" si="1094"/>
        <v>-1079478</v>
      </c>
      <c r="BF465">
        <f t="shared" si="1095"/>
        <v>11.693371414361899</v>
      </c>
      <c r="BG465">
        <f t="shared" si="1096"/>
        <v>-9.6906253071865152</v>
      </c>
      <c r="BH465">
        <f t="shared" si="1097"/>
        <v>10.691998360774207</v>
      </c>
      <c r="BI465">
        <f t="shared" si="1098"/>
        <v>100.13730535876915</v>
      </c>
      <c r="BJ465">
        <f t="shared" si="1099"/>
        <v>11</v>
      </c>
      <c r="BK465">
        <f>IF($BJ465&lt;=30,IF($B465=2015,VLOOKUP($BJ465,'Treasury Yields'!$C$5:$N$34,$E465,FALSE)/100,IF($B465=2016,VLOOKUP($BJ465,'Treasury Yields'!$C$40:$N$69,$E465,FALSE)/100,IF($B465=2017,VLOOKUP($BJ465,'Treasury Yields'!$C$75:$N$104,$E465,FALSE)/100,IF($B465=2018,VLOOKUP($BJ465,'Treasury Yields'!$C$110:$N$139,$E465,FALSE)/100,IF($B465=2019,VLOOKUP($BJ465,'Treasury Yields'!$C$145:$N$174,$E465,FALSE)/100,IF($B465=2020,VLOOKUP($BJ465,'Treasury Yields'!$C$180:$N$209,$E465,FALSE)/100,IF($B465=2021,VLOOKUP($BJ465,'Treasury Yields'!$C$215:$N$244,$E465,FALSE)/100,IF($B465=2022,VLOOKUP($BJ465,'Treasury Yields'!$C$250:$N$279,$E465,FALSE)/100)))))))),0)</f>
        <v>1.8857478260869562E-2</v>
      </c>
      <c r="BL465">
        <f t="shared" si="1100"/>
        <v>1.5278467493219745</v>
      </c>
      <c r="BM465">
        <f t="shared" si="1101"/>
        <v>16675817.795988631</v>
      </c>
      <c r="BN465">
        <f t="shared" si="1102"/>
        <v>7285950.7959886305</v>
      </c>
      <c r="BP465">
        <f>IF($BJ465&lt;=30,IF($B465=2015,VLOOKUP($BJ465,'Treasury Yields'!$C$40:$N$69,$E465,FALSE)/100,IF($B465=2016,VLOOKUP($BJ465,'Treasury Yields'!$C$75:$N$104,$E465,FALSE)/100,IF($B465=2017,VLOOKUP($BJ465,'Treasury Yields'!$C$110:$N$139,$E465,FALSE)/100,IF($B465=2018,VLOOKUP($BJ465,'Treasury Yields'!$C$145:$N$174,$E465,FALSE)/100,IF($B465=2019,VLOOKUP($BJ465,'Treasury Yields'!$C$180:$N$209,$E465,FALSE)/100,IF($B465=2020,VLOOKUP($BJ465,'Treasury Yields'!$C$215:$N$244,$E465,FALSE)/100,IF($B465=2021,VLOOKUP($BJ465,'Treasury Yields'!$C$250:$N$279,$E465,FALSE)/100,IF($B465=2022,VLOOKUP($BJ465,'Treasury Yields'!$C$285:$N$314,$E465,FALSE)/100)))))))),0)</f>
        <v>3.6297090909090904E-2</v>
      </c>
      <c r="BQ465">
        <f t="shared" si="1103"/>
        <v>1.3399725264766003</v>
      </c>
      <c r="BR465">
        <f t="shared" si="1104"/>
        <v>14926496.661296073</v>
      </c>
      <c r="BS465">
        <f t="shared" si="1105"/>
        <v>6519905.6612960733</v>
      </c>
      <c r="BU465">
        <f t="shared" si="1068"/>
        <v>14</v>
      </c>
      <c r="BV465">
        <f t="shared" si="1106"/>
        <v>2.4552574012322785</v>
      </c>
      <c r="BW465">
        <f t="shared" si="1107"/>
        <v>517229.43465839425</v>
      </c>
      <c r="BX465" s="5">
        <f t="shared" si="1108"/>
        <v>311755.32359159511</v>
      </c>
      <c r="BY465" s="5">
        <f t="shared" si="1109"/>
        <v>134686.11076663862</v>
      </c>
      <c r="BZ465" s="5">
        <f t="shared" si="1110"/>
        <v>935285</v>
      </c>
      <c r="CA465" s="5">
        <f t="shared" si="1111"/>
        <v>651915.54542503285</v>
      </c>
      <c r="CC465" s="5">
        <f t="shared" si="1112"/>
        <v>14926496.661296073</v>
      </c>
      <c r="CD465" s="5" t="str">
        <f t="shared" si="1113"/>
        <v>Wyoming</v>
      </c>
      <c r="CE465" s="5">
        <f t="shared" si="1066"/>
        <v>0.75467145686865678</v>
      </c>
      <c r="CF465" s="10">
        <f>AC465/CC465</f>
        <v>0.56319920144410174</v>
      </c>
    </row>
    <row r="467" spans="1:84" x14ac:dyDescent="0.2">
      <c r="CC467">
        <v>2015</v>
      </c>
      <c r="CD467" t="s">
        <v>662</v>
      </c>
      <c r="CE467" s="5">
        <f>(SUMIFS($AC$2:$AC$465,$F$2:$F$465,$CD467,$B$2:$B$465,$CC467))/SUMIFS($S$2:$S$465,$F$2:$F$465,$CD467,$B$2:$B$465,$CC467)</f>
        <v>0.80389903240027172</v>
      </c>
      <c r="CF467" s="5">
        <f>(SUMIFS($AC$2:$AC$465,$F$2:$F$465,$CD467,$B$2:$B$465,$CC467))/SUMIFS($CC$2:$CC$465,$F$2:$F$465,$CD467,$B$2:$B$465,$CC467)</f>
        <v>0.47430615079388416</v>
      </c>
    </row>
    <row r="468" spans="1:84" x14ac:dyDescent="0.2">
      <c r="CC468">
        <v>2016</v>
      </c>
      <c r="CD468" t="s">
        <v>662</v>
      </c>
      <c r="CE468" s="5">
        <f t="shared" ref="CE468:CE490" si="1115">(SUMIFS($AC$2:$AC$465,$F$2:$F$465,CD468,$B$2:$B$465,CC468))/SUMIFS($S$2:$S$465,$F$2:$F$465,CD468,$B$2:$B$465,CC468)</f>
        <v>0.77389006313039066</v>
      </c>
      <c r="CF468" s="5">
        <f t="shared" ref="CF468:CF490" si="1116">(SUMIFS($AC$2:$AC$465,$F$2:$F$465,$CD468,$B$2:$B$465,$CC468))/SUMIFS($CC$2:$CC$465,$F$2:$F$465,$CD468,$B$2:$B$465,$CC468)</f>
        <v>0.42742379815094195</v>
      </c>
    </row>
    <row r="469" spans="1:84" x14ac:dyDescent="0.2">
      <c r="CC469">
        <v>2017</v>
      </c>
      <c r="CD469" t="s">
        <v>662</v>
      </c>
      <c r="CE469" s="5">
        <f t="shared" si="1115"/>
        <v>0.82247698217289156</v>
      </c>
      <c r="CF469" s="5">
        <f t="shared" si="1116"/>
        <v>0.51453284680017874</v>
      </c>
    </row>
    <row r="470" spans="1:84" x14ac:dyDescent="0.2">
      <c r="CC470">
        <v>2018</v>
      </c>
      <c r="CD470" t="s">
        <v>662</v>
      </c>
      <c r="CE470" s="5">
        <f t="shared" si="1115"/>
        <v>0.85436647477023675</v>
      </c>
      <c r="CF470" s="5">
        <f t="shared" si="1116"/>
        <v>0.54278119150152249</v>
      </c>
    </row>
    <row r="471" spans="1:84" x14ac:dyDescent="0.2">
      <c r="CC471">
        <v>2019</v>
      </c>
      <c r="CD471" t="s">
        <v>662</v>
      </c>
      <c r="CE471" s="5">
        <f t="shared" si="1115"/>
        <v>0.87637543377312033</v>
      </c>
      <c r="CF471" s="5">
        <f t="shared" si="1116"/>
        <v>0.58772331908533437</v>
      </c>
    </row>
    <row r="472" spans="1:84" x14ac:dyDescent="0.2">
      <c r="CC472">
        <v>2020</v>
      </c>
      <c r="CD472" t="s">
        <v>662</v>
      </c>
      <c r="CE472" s="5">
        <f t="shared" si="1115"/>
        <v>0.8524680045162043</v>
      </c>
      <c r="CF472" s="5">
        <f t="shared" si="1116"/>
        <v>0.47306684008638239</v>
      </c>
    </row>
    <row r="473" spans="1:84" x14ac:dyDescent="0.2">
      <c r="CC473">
        <v>2021</v>
      </c>
      <c r="CD473" t="s">
        <v>662</v>
      </c>
      <c r="CE473" s="5">
        <f t="shared" si="1115"/>
        <v>1.0744365913274556</v>
      </c>
      <c r="CF473" s="5">
        <f t="shared" si="1116"/>
        <v>0.63360736981179522</v>
      </c>
    </row>
    <row r="474" spans="1:84" x14ac:dyDescent="0.2">
      <c r="CC474">
        <v>2022</v>
      </c>
      <c r="CD474" t="s">
        <v>662</v>
      </c>
      <c r="CE474" s="5">
        <f t="shared" si="1115"/>
        <v>0.94618934279189815</v>
      </c>
      <c r="CF474" s="5">
        <f t="shared" si="1116"/>
        <v>0.62297648128691341</v>
      </c>
    </row>
    <row r="475" spans="1:84" x14ac:dyDescent="0.2">
      <c r="CC475">
        <v>2015</v>
      </c>
      <c r="CD475" t="s">
        <v>337</v>
      </c>
      <c r="CE475" s="5">
        <f t="shared" si="1115"/>
        <v>0.3879113974730693</v>
      </c>
      <c r="CF475" s="5">
        <f t="shared" si="1116"/>
        <v>0.26592613783512675</v>
      </c>
    </row>
    <row r="476" spans="1:84" x14ac:dyDescent="0.2">
      <c r="CC476">
        <v>2016</v>
      </c>
      <c r="CD476" t="s">
        <v>337</v>
      </c>
      <c r="CE476" s="5">
        <f t="shared" si="1115"/>
        <v>0.38151475207294056</v>
      </c>
      <c r="CF476" s="5">
        <f t="shared" si="1116"/>
        <v>0.24397024236811313</v>
      </c>
    </row>
    <row r="477" spans="1:84" x14ac:dyDescent="0.2">
      <c r="CC477">
        <v>2017</v>
      </c>
      <c r="CD477" t="s">
        <v>337</v>
      </c>
      <c r="CE477" s="5">
        <f t="shared" si="1115"/>
        <v>0.40176142106611817</v>
      </c>
      <c r="CF477" s="5">
        <f t="shared" si="1116"/>
        <v>0.27346542889357855</v>
      </c>
    </row>
    <row r="478" spans="1:84" x14ac:dyDescent="0.2">
      <c r="CC478">
        <v>2018</v>
      </c>
      <c r="CD478" t="s">
        <v>337</v>
      </c>
      <c r="CE478" s="5">
        <f t="shared" si="1115"/>
        <v>0.4548542118059194</v>
      </c>
      <c r="CF478" s="5">
        <f t="shared" si="1116"/>
        <v>0.32514527927903225</v>
      </c>
    </row>
    <row r="479" spans="1:84" x14ac:dyDescent="0.2">
      <c r="CC479">
        <v>2019</v>
      </c>
      <c r="CD479" t="s">
        <v>337</v>
      </c>
      <c r="CE479" s="5">
        <f t="shared" si="1115"/>
        <v>0.48519538193944994</v>
      </c>
      <c r="CF479" s="5">
        <f t="shared" si="1116"/>
        <v>0.32706075176428012</v>
      </c>
    </row>
    <row r="480" spans="1:84" x14ac:dyDescent="0.2">
      <c r="CC480">
        <v>2020</v>
      </c>
      <c r="CD480" t="s">
        <v>337</v>
      </c>
      <c r="CE480" s="5">
        <f t="shared" si="1115"/>
        <v>0.49020636458307509</v>
      </c>
      <c r="CF480" s="5">
        <f t="shared" si="1116"/>
        <v>0.3054428369040626</v>
      </c>
    </row>
    <row r="481" spans="81:84" x14ac:dyDescent="0.2">
      <c r="CC481">
        <v>2021</v>
      </c>
      <c r="CD481" t="s">
        <v>337</v>
      </c>
      <c r="CE481" s="5">
        <f t="shared" si="1115"/>
        <v>0.59765335568581279</v>
      </c>
      <c r="CF481" s="5">
        <f t="shared" si="1116"/>
        <v>0.390217138645439</v>
      </c>
    </row>
    <row r="482" spans="81:84" x14ac:dyDescent="0.2">
      <c r="CC482">
        <v>2022</v>
      </c>
      <c r="CD482" t="s">
        <v>337</v>
      </c>
      <c r="CE482" s="5">
        <f t="shared" si="1115"/>
        <v>0.56764188603884391</v>
      </c>
      <c r="CF482" s="5">
        <f t="shared" si="1116"/>
        <v>0.43022106972522001</v>
      </c>
    </row>
    <row r="483" spans="81:84" x14ac:dyDescent="0.2">
      <c r="CC483">
        <v>2015</v>
      </c>
      <c r="CD483" t="s">
        <v>608</v>
      </c>
      <c r="CE483" s="5">
        <f t="shared" si="1115"/>
        <v>0.96441864511818742</v>
      </c>
      <c r="CF483" s="5">
        <f t="shared" si="1116"/>
        <v>0.6152827301032614</v>
      </c>
    </row>
    <row r="484" spans="81:84" x14ac:dyDescent="0.2">
      <c r="CC484">
        <v>2016</v>
      </c>
      <c r="CD484" t="s">
        <v>608</v>
      </c>
      <c r="CE484" s="5">
        <f t="shared" si="1115"/>
        <v>0.959808966261811</v>
      </c>
      <c r="CF484" s="5">
        <f t="shared" si="1116"/>
        <v>0.57244772688779477</v>
      </c>
    </row>
    <row r="485" spans="81:84" x14ac:dyDescent="0.2">
      <c r="CC485">
        <v>2017</v>
      </c>
      <c r="CD485" t="s">
        <v>608</v>
      </c>
      <c r="CE485" s="5">
        <f t="shared" si="1115"/>
        <v>1.0136811818082139</v>
      </c>
      <c r="CF485" s="5">
        <f t="shared" si="1116"/>
        <v>0.6398500068874684</v>
      </c>
    </row>
    <row r="486" spans="81:84" x14ac:dyDescent="0.2">
      <c r="CC486">
        <v>2018</v>
      </c>
      <c r="CD486" t="s">
        <v>608</v>
      </c>
      <c r="CE486" s="5">
        <f t="shared" si="1115"/>
        <v>1.0199942838137781</v>
      </c>
      <c r="CF486" s="5">
        <f t="shared" si="1116"/>
        <v>0.67077740671653763</v>
      </c>
    </row>
    <row r="487" spans="81:84" x14ac:dyDescent="0.2">
      <c r="CC487">
        <v>2019</v>
      </c>
      <c r="CD487" t="s">
        <v>608</v>
      </c>
      <c r="CE487" s="5">
        <f t="shared" si="1115"/>
        <v>1.0257423280967071</v>
      </c>
      <c r="CF487" s="5">
        <f t="shared" si="1116"/>
        <v>0.64190927582416946</v>
      </c>
    </row>
    <row r="488" spans="81:84" x14ac:dyDescent="0.2">
      <c r="CC488">
        <v>2020</v>
      </c>
      <c r="CD488" t="s">
        <v>608</v>
      </c>
      <c r="CE488" s="5">
        <f t="shared" si="1115"/>
        <v>1.030984383386883</v>
      </c>
      <c r="CF488" s="5">
        <f t="shared" si="1116"/>
        <v>0.60796448143572923</v>
      </c>
    </row>
    <row r="489" spans="81:84" x14ac:dyDescent="0.2">
      <c r="CC489">
        <v>2021</v>
      </c>
      <c r="CD489" t="s">
        <v>608</v>
      </c>
      <c r="CE489" s="5">
        <f t="shared" si="1115"/>
        <v>1.223034349261497</v>
      </c>
      <c r="CF489" s="5">
        <f t="shared" si="1116"/>
        <v>0.76463954744620566</v>
      </c>
    </row>
    <row r="490" spans="81:84" x14ac:dyDescent="0.2">
      <c r="CC490">
        <v>2022</v>
      </c>
      <c r="CD490" t="s">
        <v>608</v>
      </c>
      <c r="CE490" s="5">
        <f t="shared" si="1115"/>
        <v>1.0542217020921423</v>
      </c>
      <c r="CF490" s="5">
        <f t="shared" si="1116"/>
        <v>0.70459526907540171</v>
      </c>
    </row>
  </sheetData>
  <autoFilter ref="A1:CJ465" xr:uid="{73E4722B-93F3-5040-8E79-F48449966781}">
    <filterColumn colId="5">
      <filters>
        <filter val="Alabama"/>
        <filter val="Alaska"/>
        <filter val="Arizona"/>
        <filter val="Arkansas"/>
        <filter val="California"/>
        <filter val="Colorado"/>
        <filter val="Connecticut"/>
        <filter val="DC"/>
        <filter val="Delaware"/>
        <filter val="Florida"/>
        <filter val="Georgia"/>
        <filter val="Hawaii"/>
        <filter val="Idaho"/>
        <filter val="Illinois"/>
        <filter val="Iowa"/>
        <filter val="Kansas"/>
        <filter val="Kentucky"/>
        <filter val="Louisiana"/>
        <filter val="Maine"/>
        <filter val="Maryland"/>
        <filter val="Massachusetts"/>
        <filter val="Michigan"/>
        <filter val="Minnesota"/>
        <filter val="Mississippi"/>
        <filter val="Missouri"/>
        <filter val="Montana"/>
        <filter val="Nebraska"/>
        <filter val="Nevada"/>
        <filter val="New Hampshire"/>
        <filter val="New Jersey"/>
        <filter val="New Mexico"/>
        <filter val="New York"/>
        <filter val="North Carolina"/>
        <filter val="North Dakota"/>
        <filter val="Ohio"/>
        <filter val="Oklahoma"/>
        <filter val="Oregon"/>
        <filter val="Pennsylvania"/>
        <filter val="Rhode Island"/>
        <filter val="South Carolina"/>
        <filter val="South Dakota"/>
        <filter val="Texas"/>
        <filter val="Utah"/>
        <filter val="Vermont"/>
        <filter val="Virginia"/>
        <filter val="West Virginia"/>
        <filter val="Wisconsin"/>
        <filter val="Wyoming"/>
      </filters>
    </filterColumn>
    <filterColumn colId="55" showButton="0"/>
  </autoFilter>
  <mergeCells count="1">
    <mergeCell ref="BD1:B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72D54-90F9-2E43-B6AE-737D7B067E3E}">
  <sheetPr>
    <tabColor rgb="FFFFFF00"/>
  </sheetPr>
  <dimension ref="A1:P417"/>
  <sheetViews>
    <sheetView tabSelected="1" workbookViewId="0">
      <selection activeCell="F81" sqref="F9:F81"/>
    </sheetView>
  </sheetViews>
  <sheetFormatPr baseColWidth="10" defaultRowHeight="16" x14ac:dyDescent="0.2"/>
  <cols>
    <col min="1" max="1" width="18.1640625" bestFit="1" customWidth="1"/>
    <col min="2" max="2" width="14.83203125" bestFit="1" customWidth="1"/>
    <col min="3" max="3" width="15.83203125" bestFit="1" customWidth="1"/>
    <col min="4" max="4" width="23.33203125" customWidth="1"/>
    <col min="5" max="5" width="18" customWidth="1"/>
    <col min="6" max="6" width="23.33203125" style="15" bestFit="1" customWidth="1"/>
    <col min="7" max="7" width="23.33203125" bestFit="1" customWidth="1"/>
    <col min="8" max="9" width="23.33203125" customWidth="1"/>
    <col min="10" max="11" width="23.33203125" style="15" customWidth="1"/>
    <col min="12" max="13" width="10.83203125" style="15"/>
    <col min="14" max="14" width="18" style="15" bestFit="1" customWidth="1"/>
    <col min="15" max="15" width="14.6640625" style="15" customWidth="1"/>
    <col min="16" max="16" width="10.83203125" style="15"/>
  </cols>
  <sheetData>
    <row r="1" spans="1:11" x14ac:dyDescent="0.2">
      <c r="A1" t="s">
        <v>168</v>
      </c>
      <c r="B1" t="s">
        <v>704</v>
      </c>
      <c r="C1" t="s">
        <v>707</v>
      </c>
      <c r="D1" t="s">
        <v>123</v>
      </c>
      <c r="E1" t="s">
        <v>703</v>
      </c>
      <c r="H1" t="s">
        <v>704</v>
      </c>
      <c r="I1" t="s">
        <v>705</v>
      </c>
    </row>
    <row r="2" spans="1:11" x14ac:dyDescent="0.2">
      <c r="A2">
        <v>2015</v>
      </c>
      <c r="B2" t="s">
        <v>49</v>
      </c>
      <c r="C2" t="str">
        <f>VLOOKUP(B2,$H$2:$I$49,2,FALSE)</f>
        <v>Democrat</v>
      </c>
      <c r="D2">
        <v>0.74020822239201067</v>
      </c>
      <c r="E2">
        <v>0.46732994282883789</v>
      </c>
      <c r="F2" s="16"/>
      <c r="G2" s="13"/>
      <c r="H2" s="13" t="s">
        <v>188</v>
      </c>
      <c r="I2" s="13" t="s">
        <v>701</v>
      </c>
      <c r="J2" s="16"/>
      <c r="K2" s="16"/>
    </row>
    <row r="3" spans="1:11" x14ac:dyDescent="0.2">
      <c r="A3">
        <v>2016</v>
      </c>
      <c r="B3" t="s">
        <v>49</v>
      </c>
      <c r="C3" t="str">
        <f t="shared" ref="C3:C66" si="0">VLOOKUP(B3,$H$2:$I$49,2,FALSE)</f>
        <v>Democrat</v>
      </c>
      <c r="D3">
        <v>0.70043408372037896</v>
      </c>
      <c r="E3">
        <v>0.41024147846409131</v>
      </c>
      <c r="F3" s="16"/>
      <c r="G3" s="13"/>
      <c r="H3" s="13" t="s">
        <v>199</v>
      </c>
      <c r="I3" s="13" t="s">
        <v>701</v>
      </c>
      <c r="J3" s="16"/>
      <c r="K3" s="16"/>
    </row>
    <row r="4" spans="1:11" x14ac:dyDescent="0.2">
      <c r="A4">
        <v>2017</v>
      </c>
      <c r="B4" t="s">
        <v>49</v>
      </c>
      <c r="C4" t="str">
        <f t="shared" si="0"/>
        <v>Democrat</v>
      </c>
      <c r="D4">
        <v>0.69455261271794666</v>
      </c>
      <c r="E4">
        <v>0.42040850893126208</v>
      </c>
      <c r="F4" s="16"/>
      <c r="G4" s="13"/>
      <c r="H4" s="13" t="s">
        <v>212</v>
      </c>
      <c r="I4" s="13" t="s">
        <v>702</v>
      </c>
      <c r="J4" s="16"/>
      <c r="K4" s="16"/>
    </row>
    <row r="5" spans="1:11" x14ac:dyDescent="0.2">
      <c r="A5">
        <v>2018</v>
      </c>
      <c r="B5" t="s">
        <v>49</v>
      </c>
      <c r="C5" t="str">
        <f t="shared" si="0"/>
        <v>Democrat</v>
      </c>
      <c r="D5">
        <v>0.70986754047023759</v>
      </c>
      <c r="E5">
        <v>0.46670967117646739</v>
      </c>
      <c r="F5" s="16"/>
      <c r="G5" s="13"/>
      <c r="H5" s="13" t="s">
        <v>225</v>
      </c>
      <c r="I5" s="13" t="s">
        <v>701</v>
      </c>
      <c r="J5" s="16"/>
      <c r="K5" s="16"/>
    </row>
    <row r="6" spans="1:11" x14ac:dyDescent="0.2">
      <c r="A6">
        <v>2019</v>
      </c>
      <c r="B6" t="s">
        <v>49</v>
      </c>
      <c r="C6" t="str">
        <f t="shared" si="0"/>
        <v>Democrat</v>
      </c>
      <c r="D6">
        <v>0.72563172508490847</v>
      </c>
      <c r="E6">
        <v>0.45309671552344882</v>
      </c>
      <c r="F6" s="16"/>
      <c r="G6" s="13"/>
      <c r="H6" s="13" t="s">
        <v>49</v>
      </c>
      <c r="I6" s="13" t="s">
        <v>702</v>
      </c>
      <c r="J6" s="16"/>
      <c r="K6" s="16"/>
    </row>
    <row r="7" spans="1:11" x14ac:dyDescent="0.2">
      <c r="A7">
        <v>2020</v>
      </c>
      <c r="B7" t="s">
        <v>49</v>
      </c>
      <c r="C7" t="str">
        <f t="shared" si="0"/>
        <v>Democrat</v>
      </c>
      <c r="D7">
        <v>0.71820013783357028</v>
      </c>
      <c r="E7">
        <v>0.40626201068266155</v>
      </c>
      <c r="F7" s="16"/>
      <c r="G7" s="13"/>
      <c r="H7" s="13" t="s">
        <v>253</v>
      </c>
      <c r="I7" s="13" t="s">
        <v>702</v>
      </c>
      <c r="J7" s="16"/>
      <c r="K7" s="16"/>
    </row>
    <row r="8" spans="1:11" x14ac:dyDescent="0.2">
      <c r="A8">
        <v>2021</v>
      </c>
      <c r="B8" t="s">
        <v>49</v>
      </c>
      <c r="C8" t="str">
        <f t="shared" si="0"/>
        <v>Democrat</v>
      </c>
      <c r="D8">
        <v>0.87209704300999713</v>
      </c>
      <c r="E8">
        <v>0.54253205091669376</v>
      </c>
      <c r="F8" s="16"/>
      <c r="G8" s="13"/>
      <c r="H8" s="13" t="s">
        <v>274</v>
      </c>
      <c r="I8" s="13" t="s">
        <v>702</v>
      </c>
      <c r="J8" s="16"/>
      <c r="K8" s="16"/>
    </row>
    <row r="9" spans="1:11" x14ac:dyDescent="0.2">
      <c r="A9">
        <v>2022</v>
      </c>
      <c r="B9" t="s">
        <v>49</v>
      </c>
      <c r="C9" t="str">
        <f t="shared" si="0"/>
        <v>Democrat</v>
      </c>
      <c r="D9">
        <v>0.81196724594227454</v>
      </c>
      <c r="E9">
        <v>0.55411684946376094</v>
      </c>
      <c r="F9" s="16"/>
      <c r="G9" s="13"/>
      <c r="H9" s="13" t="s">
        <v>708</v>
      </c>
      <c r="I9" s="13" t="s">
        <v>702</v>
      </c>
      <c r="J9" s="16"/>
      <c r="K9" s="16"/>
    </row>
    <row r="10" spans="1:11" x14ac:dyDescent="0.2">
      <c r="A10">
        <v>2015</v>
      </c>
      <c r="B10" t="s">
        <v>67</v>
      </c>
      <c r="C10" t="str">
        <f t="shared" si="0"/>
        <v>Republican</v>
      </c>
      <c r="D10">
        <v>0.78431121372222845</v>
      </c>
      <c r="E10">
        <v>0.48381618570762414</v>
      </c>
      <c r="F10" s="16"/>
      <c r="G10" s="13"/>
      <c r="H10" s="13" t="s">
        <v>79</v>
      </c>
      <c r="I10" s="13" t="s">
        <v>701</v>
      </c>
      <c r="J10" s="16"/>
      <c r="K10" s="16"/>
    </row>
    <row r="11" spans="1:11" x14ac:dyDescent="0.2">
      <c r="A11">
        <v>2016</v>
      </c>
      <c r="B11" t="s">
        <v>67</v>
      </c>
      <c r="C11" t="str">
        <f t="shared" si="0"/>
        <v>Republican</v>
      </c>
      <c r="D11">
        <v>0.78003993081375333</v>
      </c>
      <c r="E11">
        <v>0.45965670015016408</v>
      </c>
      <c r="F11" s="16"/>
      <c r="G11" s="13"/>
      <c r="H11" s="13" t="s">
        <v>92</v>
      </c>
      <c r="I11" s="13" t="s">
        <v>701</v>
      </c>
      <c r="J11" s="16"/>
      <c r="K11" s="16"/>
    </row>
    <row r="12" spans="1:11" x14ac:dyDescent="0.2">
      <c r="A12">
        <v>2017</v>
      </c>
      <c r="B12" t="s">
        <v>67</v>
      </c>
      <c r="C12" t="str">
        <f t="shared" si="0"/>
        <v>Republican</v>
      </c>
      <c r="D12">
        <v>0.82170608459676109</v>
      </c>
      <c r="E12">
        <v>0.50040012177226023</v>
      </c>
      <c r="F12" s="16"/>
      <c r="G12" s="13"/>
      <c r="H12" s="13" t="s">
        <v>706</v>
      </c>
      <c r="I12" s="13" t="s">
        <v>702</v>
      </c>
      <c r="J12" s="16"/>
      <c r="K12" s="16"/>
    </row>
    <row r="13" spans="1:11" x14ac:dyDescent="0.2">
      <c r="A13">
        <v>2018</v>
      </c>
      <c r="B13" t="s">
        <v>67</v>
      </c>
      <c r="C13" t="str">
        <f t="shared" si="0"/>
        <v>Republican</v>
      </c>
      <c r="D13">
        <v>0.7374071942456889</v>
      </c>
      <c r="E13">
        <v>0.45506696992393819</v>
      </c>
      <c r="F13" s="16"/>
      <c r="G13" s="13"/>
      <c r="H13" s="13" t="s">
        <v>301</v>
      </c>
      <c r="I13" s="13" t="s">
        <v>701</v>
      </c>
      <c r="J13" s="16"/>
      <c r="K13" s="16"/>
    </row>
    <row r="14" spans="1:11" x14ac:dyDescent="0.2">
      <c r="A14">
        <v>2019</v>
      </c>
      <c r="B14" t="s">
        <v>67</v>
      </c>
      <c r="C14" t="str">
        <f t="shared" si="0"/>
        <v>Republican</v>
      </c>
      <c r="D14">
        <v>0.75241570798812596</v>
      </c>
      <c r="E14">
        <v>0.45006952171122011</v>
      </c>
      <c r="F14" s="16"/>
      <c r="G14" s="13"/>
      <c r="H14" s="13" t="s">
        <v>313</v>
      </c>
      <c r="I14" s="13" t="s">
        <v>702</v>
      </c>
      <c r="J14" s="16"/>
      <c r="K14" s="16"/>
    </row>
    <row r="15" spans="1:11" x14ac:dyDescent="0.2">
      <c r="A15">
        <v>2020</v>
      </c>
      <c r="B15" t="s">
        <v>67</v>
      </c>
      <c r="C15" t="str">
        <f t="shared" si="0"/>
        <v>Republican</v>
      </c>
      <c r="D15">
        <v>0.75541429640080204</v>
      </c>
      <c r="E15">
        <v>0.43851707221294661</v>
      </c>
      <c r="F15" s="16"/>
      <c r="G15" s="13"/>
      <c r="H15" s="13" t="s">
        <v>337</v>
      </c>
      <c r="I15" s="13" t="s">
        <v>702</v>
      </c>
      <c r="J15" s="16"/>
      <c r="K15" s="16"/>
    </row>
    <row r="16" spans="1:11" x14ac:dyDescent="0.2">
      <c r="A16">
        <v>2021</v>
      </c>
      <c r="B16" t="s">
        <v>67</v>
      </c>
      <c r="C16" t="str">
        <f t="shared" si="0"/>
        <v>Republican</v>
      </c>
      <c r="D16">
        <v>0.8879479304279887</v>
      </c>
      <c r="E16">
        <v>0.53832970547180081</v>
      </c>
      <c r="F16" s="16"/>
      <c r="G16" s="13"/>
      <c r="H16" s="13" t="s">
        <v>353</v>
      </c>
      <c r="I16" s="13" t="s">
        <v>702</v>
      </c>
      <c r="J16" s="16"/>
      <c r="K16" s="16"/>
    </row>
    <row r="17" spans="1:11" x14ac:dyDescent="0.2">
      <c r="A17">
        <v>2022</v>
      </c>
      <c r="B17" t="s">
        <v>67</v>
      </c>
      <c r="C17" t="str">
        <f t="shared" si="0"/>
        <v>Republican</v>
      </c>
      <c r="D17">
        <v>0.75624436146959284</v>
      </c>
      <c r="E17">
        <v>0.50284106280219276</v>
      </c>
      <c r="F17" s="16"/>
      <c r="G17" s="13"/>
      <c r="H17" s="13" t="s">
        <v>363</v>
      </c>
      <c r="I17" s="13" t="s">
        <v>702</v>
      </c>
      <c r="J17" s="16"/>
      <c r="K17" s="16"/>
    </row>
    <row r="18" spans="1:11" x14ac:dyDescent="0.2">
      <c r="A18">
        <v>2015</v>
      </c>
      <c r="B18" t="s">
        <v>79</v>
      </c>
      <c r="C18" t="str">
        <f t="shared" si="0"/>
        <v>Republican</v>
      </c>
      <c r="D18">
        <v>0.91995859100474442</v>
      </c>
      <c r="E18">
        <v>0.58245317788092799</v>
      </c>
      <c r="F18" s="16"/>
      <c r="G18" s="13"/>
      <c r="H18" s="13" t="s">
        <v>375</v>
      </c>
      <c r="I18" s="13" t="s">
        <v>702</v>
      </c>
      <c r="J18" s="16"/>
      <c r="K18" s="16"/>
    </row>
    <row r="19" spans="1:11" x14ac:dyDescent="0.2">
      <c r="A19">
        <v>2016</v>
      </c>
      <c r="B19" t="s">
        <v>79</v>
      </c>
      <c r="C19" t="str">
        <f t="shared" si="0"/>
        <v>Republican</v>
      </c>
      <c r="D19">
        <v>0.84882998873759952</v>
      </c>
      <c r="E19">
        <v>0.50220209465816734</v>
      </c>
      <c r="F19" s="16"/>
      <c r="G19" s="13"/>
      <c r="H19" s="13" t="s">
        <v>388</v>
      </c>
      <c r="I19" s="13" t="s">
        <v>701</v>
      </c>
      <c r="J19" s="16"/>
      <c r="K19" s="16"/>
    </row>
    <row r="20" spans="1:11" x14ac:dyDescent="0.2">
      <c r="A20">
        <v>2017</v>
      </c>
      <c r="B20" t="s">
        <v>79</v>
      </c>
      <c r="C20" t="str">
        <f t="shared" si="0"/>
        <v>Republican</v>
      </c>
      <c r="D20">
        <v>0.83892113770304999</v>
      </c>
      <c r="E20">
        <v>0.52241301328247314</v>
      </c>
      <c r="F20" s="16"/>
      <c r="G20" s="13"/>
      <c r="H20" s="13" t="s">
        <v>399</v>
      </c>
      <c r="I20" s="13" t="s">
        <v>702</v>
      </c>
      <c r="J20" s="16"/>
      <c r="K20" s="16"/>
    </row>
    <row r="21" spans="1:11" x14ac:dyDescent="0.2">
      <c r="A21">
        <v>2018</v>
      </c>
      <c r="B21" t="s">
        <v>79</v>
      </c>
      <c r="C21" t="str">
        <f t="shared" si="0"/>
        <v>Republican</v>
      </c>
      <c r="D21">
        <v>0.84256257843020332</v>
      </c>
      <c r="E21">
        <v>0.56088086328767439</v>
      </c>
      <c r="F21" s="16"/>
      <c r="G21" s="13"/>
      <c r="H21" s="13" t="s">
        <v>411</v>
      </c>
      <c r="I21" s="13" t="s">
        <v>702</v>
      </c>
      <c r="J21" s="16"/>
      <c r="K21" s="16"/>
    </row>
    <row r="22" spans="1:11" x14ac:dyDescent="0.2">
      <c r="A22">
        <v>2019</v>
      </c>
      <c r="B22" t="s">
        <v>79</v>
      </c>
      <c r="C22" t="str">
        <f t="shared" si="0"/>
        <v>Republican</v>
      </c>
      <c r="D22">
        <v>0.82607847044517946</v>
      </c>
      <c r="E22">
        <v>0.53010804800065314</v>
      </c>
      <c r="F22" s="16"/>
      <c r="G22" s="13"/>
      <c r="H22" s="13" t="s">
        <v>105</v>
      </c>
      <c r="I22" s="13" t="s">
        <v>702</v>
      </c>
      <c r="J22" s="16"/>
      <c r="K22" s="16"/>
    </row>
    <row r="23" spans="1:11" x14ac:dyDescent="0.2">
      <c r="A23">
        <v>2020</v>
      </c>
      <c r="B23" t="s">
        <v>79</v>
      </c>
      <c r="C23" t="str">
        <f t="shared" si="0"/>
        <v>Republican</v>
      </c>
      <c r="D23">
        <v>0.78848504609144032</v>
      </c>
      <c r="E23">
        <v>0.47968368074293277</v>
      </c>
      <c r="F23" s="16"/>
      <c r="G23" s="13"/>
      <c r="H23" s="13" t="s">
        <v>420</v>
      </c>
      <c r="I23" s="13" t="s">
        <v>702</v>
      </c>
      <c r="J23" s="16"/>
      <c r="K23" s="16"/>
    </row>
    <row r="24" spans="1:11" x14ac:dyDescent="0.2">
      <c r="A24">
        <v>2021</v>
      </c>
      <c r="B24" t="s">
        <v>79</v>
      </c>
      <c r="C24" t="str">
        <f t="shared" si="0"/>
        <v>Republican</v>
      </c>
      <c r="D24">
        <v>0.9639667741109752</v>
      </c>
      <c r="E24">
        <v>0.62776341414897874</v>
      </c>
      <c r="F24" s="16"/>
      <c r="G24" s="13"/>
      <c r="H24" s="13" t="s">
        <v>122</v>
      </c>
      <c r="I24" s="13" t="s">
        <v>702</v>
      </c>
      <c r="J24" s="16"/>
      <c r="K24" s="16"/>
    </row>
    <row r="25" spans="1:11" x14ac:dyDescent="0.2">
      <c r="A25">
        <v>2022</v>
      </c>
      <c r="B25" t="s">
        <v>79</v>
      </c>
      <c r="C25" t="str">
        <f t="shared" si="0"/>
        <v>Republican</v>
      </c>
      <c r="D25">
        <v>0.8288769900992824</v>
      </c>
      <c r="E25">
        <v>0.58595474425682659</v>
      </c>
      <c r="F25" s="16"/>
      <c r="G25" s="13"/>
      <c r="H25" s="13" t="s">
        <v>430</v>
      </c>
      <c r="I25" s="13" t="s">
        <v>701</v>
      </c>
      <c r="J25" s="16"/>
      <c r="K25" s="16"/>
    </row>
    <row r="26" spans="1:11" x14ac:dyDescent="0.2">
      <c r="A26">
        <v>2015</v>
      </c>
      <c r="B26" t="s">
        <v>92</v>
      </c>
      <c r="C26" t="str">
        <f t="shared" si="0"/>
        <v>Republican</v>
      </c>
      <c r="D26">
        <v>0.81439370544289724</v>
      </c>
      <c r="E26">
        <v>0.513636987117296</v>
      </c>
      <c r="F26" s="16"/>
      <c r="G26" s="13"/>
      <c r="H26" s="13" t="s">
        <v>440</v>
      </c>
      <c r="I26" s="13" t="s">
        <v>701</v>
      </c>
      <c r="J26" s="16"/>
      <c r="K26" s="16"/>
    </row>
    <row r="27" spans="1:11" x14ac:dyDescent="0.2">
      <c r="A27">
        <v>2016</v>
      </c>
      <c r="B27" t="s">
        <v>92</v>
      </c>
      <c r="C27" t="str">
        <f t="shared" si="0"/>
        <v>Republican</v>
      </c>
      <c r="D27">
        <v>0.76061416888420186</v>
      </c>
      <c r="E27">
        <v>0.44713092591454506</v>
      </c>
      <c r="F27" s="16"/>
      <c r="G27" s="13"/>
      <c r="H27" s="13" t="s">
        <v>450</v>
      </c>
      <c r="I27" s="13" t="s">
        <v>701</v>
      </c>
      <c r="J27" s="16"/>
      <c r="K27" s="16"/>
    </row>
    <row r="28" spans="1:11" x14ac:dyDescent="0.2">
      <c r="A28">
        <v>2017</v>
      </c>
      <c r="B28" t="s">
        <v>92</v>
      </c>
      <c r="C28" t="str">
        <f t="shared" si="0"/>
        <v>Republican</v>
      </c>
      <c r="D28">
        <v>0.79332728986454237</v>
      </c>
      <c r="E28">
        <v>0.49553972762213544</v>
      </c>
      <c r="F28" s="16"/>
      <c r="G28" s="13"/>
      <c r="H28" s="13" t="s">
        <v>460</v>
      </c>
      <c r="I28" s="13" t="s">
        <v>701</v>
      </c>
      <c r="J28" s="16"/>
      <c r="K28" s="16"/>
    </row>
    <row r="29" spans="1:11" x14ac:dyDescent="0.2">
      <c r="A29">
        <v>2018</v>
      </c>
      <c r="B29" t="s">
        <v>92</v>
      </c>
      <c r="C29" t="str">
        <f t="shared" si="0"/>
        <v>Republican</v>
      </c>
      <c r="D29">
        <v>0.80272991356709489</v>
      </c>
      <c r="E29">
        <v>0.51478045003691075</v>
      </c>
      <c r="F29" s="16"/>
      <c r="G29" s="13"/>
      <c r="H29" s="13" t="s">
        <v>473</v>
      </c>
      <c r="I29" s="13" t="s">
        <v>701</v>
      </c>
      <c r="J29" s="16"/>
      <c r="K29" s="16"/>
    </row>
    <row r="30" spans="1:11" x14ac:dyDescent="0.2">
      <c r="A30">
        <v>2019</v>
      </c>
      <c r="B30" t="s">
        <v>92</v>
      </c>
      <c r="C30" t="str">
        <f t="shared" si="0"/>
        <v>Republican</v>
      </c>
      <c r="D30">
        <v>0.78559824342688744</v>
      </c>
      <c r="E30">
        <v>0.47730474066697764</v>
      </c>
      <c r="F30" s="16"/>
      <c r="G30" s="13"/>
      <c r="H30" s="13" t="s">
        <v>484</v>
      </c>
      <c r="I30" s="13" t="s">
        <v>701</v>
      </c>
      <c r="J30" s="16"/>
      <c r="K30" s="16"/>
    </row>
    <row r="31" spans="1:11" x14ac:dyDescent="0.2">
      <c r="A31">
        <v>2020</v>
      </c>
      <c r="B31" t="s">
        <v>92</v>
      </c>
      <c r="C31" t="str">
        <f t="shared" si="0"/>
        <v>Republican</v>
      </c>
      <c r="D31">
        <v>0.77013991074595178</v>
      </c>
      <c r="E31">
        <v>0.44673686698699144</v>
      </c>
      <c r="F31" s="16"/>
      <c r="G31" s="13"/>
      <c r="H31" s="13" t="s">
        <v>176</v>
      </c>
      <c r="I31" s="13" t="s">
        <v>702</v>
      </c>
      <c r="J31" s="16"/>
      <c r="K31" s="16"/>
    </row>
    <row r="32" spans="1:11" x14ac:dyDescent="0.2">
      <c r="A32">
        <v>2021</v>
      </c>
      <c r="B32" t="s">
        <v>92</v>
      </c>
      <c r="C32" t="str">
        <f t="shared" si="0"/>
        <v>Republican</v>
      </c>
      <c r="D32">
        <v>0.92031487844408599</v>
      </c>
      <c r="E32">
        <v>0.56326000442993573</v>
      </c>
      <c r="F32" s="16"/>
      <c r="G32" s="13"/>
      <c r="H32" s="13" t="s">
        <v>494</v>
      </c>
      <c r="I32" s="13" t="s">
        <v>702</v>
      </c>
      <c r="J32" s="16"/>
      <c r="K32" s="16"/>
    </row>
    <row r="33" spans="1:11" x14ac:dyDescent="0.2">
      <c r="A33">
        <v>2022</v>
      </c>
      <c r="B33" t="s">
        <v>92</v>
      </c>
      <c r="C33" t="str">
        <f t="shared" si="0"/>
        <v>Republican</v>
      </c>
      <c r="D33">
        <v>0.72848372026099595</v>
      </c>
      <c r="E33">
        <v>0.48606310812576498</v>
      </c>
      <c r="F33" s="16"/>
      <c r="G33" s="13"/>
      <c r="H33" s="13" t="s">
        <v>507</v>
      </c>
      <c r="I33" s="13" t="s">
        <v>702</v>
      </c>
      <c r="J33" s="16"/>
      <c r="K33" s="16"/>
    </row>
    <row r="34" spans="1:11" x14ac:dyDescent="0.2">
      <c r="A34">
        <v>2015</v>
      </c>
      <c r="B34" t="s">
        <v>105</v>
      </c>
      <c r="C34" t="str">
        <f t="shared" si="0"/>
        <v>Democrat</v>
      </c>
      <c r="D34">
        <v>0.5685177916260542</v>
      </c>
      <c r="E34">
        <v>0.3709579739036003</v>
      </c>
      <c r="F34" s="16"/>
      <c r="G34" s="13"/>
      <c r="H34" s="13" t="s">
        <v>515</v>
      </c>
      <c r="I34" s="13" t="s">
        <v>702</v>
      </c>
      <c r="J34" s="16"/>
      <c r="K34" s="16"/>
    </row>
    <row r="35" spans="1:11" x14ac:dyDescent="0.2">
      <c r="A35">
        <v>2016</v>
      </c>
      <c r="B35" t="s">
        <v>105</v>
      </c>
      <c r="C35" t="str">
        <f t="shared" si="0"/>
        <v>Democrat</v>
      </c>
      <c r="D35">
        <v>0.52731653276955603</v>
      </c>
      <c r="E35">
        <v>0.32669874328944903</v>
      </c>
      <c r="F35" s="16"/>
      <c r="G35" s="13"/>
      <c r="H35" s="13" t="s">
        <v>528</v>
      </c>
      <c r="I35" s="13" t="s">
        <v>701</v>
      </c>
      <c r="J35" s="16"/>
      <c r="K35" s="16"/>
    </row>
    <row r="36" spans="1:11" x14ac:dyDescent="0.2">
      <c r="A36">
        <v>2017</v>
      </c>
      <c r="B36" t="s">
        <v>105</v>
      </c>
      <c r="C36" t="str">
        <f t="shared" si="0"/>
        <v>Democrat</v>
      </c>
      <c r="D36">
        <v>0.54251177434831277</v>
      </c>
      <c r="E36">
        <v>0.3575726189997403</v>
      </c>
      <c r="F36" s="16"/>
      <c r="G36" s="13"/>
      <c r="H36" s="13" t="s">
        <v>546</v>
      </c>
      <c r="I36" s="13" t="s">
        <v>701</v>
      </c>
      <c r="J36" s="16"/>
      <c r="K36" s="16"/>
    </row>
    <row r="37" spans="1:11" x14ac:dyDescent="0.2">
      <c r="A37">
        <v>2018</v>
      </c>
      <c r="B37" t="s">
        <v>105</v>
      </c>
      <c r="C37" t="str">
        <f t="shared" si="0"/>
        <v>Democrat</v>
      </c>
      <c r="D37">
        <v>0.54838220673104399</v>
      </c>
      <c r="E37">
        <v>0.37438716205271905</v>
      </c>
      <c r="F37" s="16"/>
      <c r="G37" s="13"/>
      <c r="H37" s="13" t="s">
        <v>536</v>
      </c>
      <c r="I37" s="13" t="s">
        <v>701</v>
      </c>
      <c r="J37" s="16"/>
      <c r="K37" s="16"/>
    </row>
    <row r="38" spans="1:11" x14ac:dyDescent="0.2">
      <c r="A38">
        <v>2019</v>
      </c>
      <c r="B38" t="s">
        <v>105</v>
      </c>
      <c r="C38" t="str">
        <f t="shared" si="0"/>
        <v>Democrat</v>
      </c>
      <c r="D38">
        <v>0.53947836569195085</v>
      </c>
      <c r="E38">
        <v>0.35131531827110057</v>
      </c>
      <c r="F38" s="16"/>
      <c r="G38" s="13"/>
      <c r="H38" s="13" t="s">
        <v>559</v>
      </c>
      <c r="I38" s="13" t="s">
        <v>702</v>
      </c>
      <c r="J38" s="16"/>
      <c r="K38" s="16"/>
    </row>
    <row r="39" spans="1:11" x14ac:dyDescent="0.2">
      <c r="A39">
        <v>2020</v>
      </c>
      <c r="B39" t="s">
        <v>105</v>
      </c>
      <c r="C39" t="str">
        <f t="shared" si="0"/>
        <v>Democrat</v>
      </c>
      <c r="D39">
        <v>0.50668091115678193</v>
      </c>
      <c r="E39">
        <v>0.31095015340011128</v>
      </c>
      <c r="F39" s="16"/>
      <c r="G39" s="13"/>
      <c r="H39" s="13" t="s">
        <v>580</v>
      </c>
      <c r="I39" s="13" t="s">
        <v>702</v>
      </c>
      <c r="J39" s="16"/>
      <c r="K39" s="16"/>
    </row>
    <row r="40" spans="1:11" x14ac:dyDescent="0.2">
      <c r="A40">
        <v>2021</v>
      </c>
      <c r="B40" t="s">
        <v>105</v>
      </c>
      <c r="C40" t="str">
        <f t="shared" si="0"/>
        <v>Democrat</v>
      </c>
      <c r="D40">
        <v>0.62025460322769466</v>
      </c>
      <c r="E40">
        <v>0.40346850943535989</v>
      </c>
      <c r="F40" s="16"/>
      <c r="G40" s="13"/>
      <c r="H40" s="13" t="s">
        <v>599</v>
      </c>
      <c r="I40" s="13" t="s">
        <v>701</v>
      </c>
      <c r="J40" s="16"/>
      <c r="K40" s="16"/>
    </row>
    <row r="41" spans="1:11" x14ac:dyDescent="0.2">
      <c r="A41">
        <v>2022</v>
      </c>
      <c r="B41" t="s">
        <v>105</v>
      </c>
      <c r="C41" t="str">
        <f t="shared" si="0"/>
        <v>Democrat</v>
      </c>
      <c r="D41">
        <v>0.57749517732116917</v>
      </c>
      <c r="E41">
        <v>0.40827121795819094</v>
      </c>
      <c r="F41" s="16"/>
      <c r="G41" s="13"/>
      <c r="H41" s="13" t="s">
        <v>608</v>
      </c>
      <c r="I41" s="13" t="s">
        <v>701</v>
      </c>
      <c r="J41" s="16"/>
      <c r="K41" s="16"/>
    </row>
    <row r="42" spans="1:11" x14ac:dyDescent="0.2">
      <c r="A42">
        <v>2015</v>
      </c>
      <c r="B42" t="s">
        <v>122</v>
      </c>
      <c r="C42" t="str">
        <f t="shared" si="0"/>
        <v>Democrat</v>
      </c>
      <c r="D42">
        <v>0.76772415072348832</v>
      </c>
      <c r="E42">
        <v>0.47133705764228112</v>
      </c>
      <c r="F42" s="16"/>
      <c r="G42" s="13"/>
      <c r="H42" s="13" t="s">
        <v>67</v>
      </c>
      <c r="I42" s="13" t="s">
        <v>701</v>
      </c>
      <c r="J42" s="16"/>
      <c r="K42" s="16"/>
    </row>
    <row r="43" spans="1:11" x14ac:dyDescent="0.2">
      <c r="A43">
        <v>2016</v>
      </c>
      <c r="B43" t="s">
        <v>122</v>
      </c>
      <c r="C43" t="str">
        <f t="shared" si="0"/>
        <v>Democrat</v>
      </c>
      <c r="D43">
        <v>0.44884148942839303</v>
      </c>
      <c r="E43">
        <v>0.23789947192008387</v>
      </c>
      <c r="F43" s="16"/>
      <c r="G43" s="13"/>
      <c r="H43" s="13" t="s">
        <v>622</v>
      </c>
      <c r="I43" s="13" t="s">
        <v>701</v>
      </c>
      <c r="J43" s="16"/>
      <c r="K43" s="16"/>
    </row>
    <row r="44" spans="1:11" x14ac:dyDescent="0.2">
      <c r="A44">
        <v>2017</v>
      </c>
      <c r="B44" t="s">
        <v>122</v>
      </c>
      <c r="C44" t="str">
        <f t="shared" si="0"/>
        <v>Democrat</v>
      </c>
      <c r="D44">
        <v>0.51572390852729788</v>
      </c>
      <c r="E44">
        <v>0.40096537308803032</v>
      </c>
      <c r="F44" s="16"/>
      <c r="G44" s="13"/>
      <c r="H44" s="13" t="s">
        <v>636</v>
      </c>
      <c r="I44" s="13" t="s">
        <v>701</v>
      </c>
      <c r="J44" s="16"/>
      <c r="K44" s="16"/>
    </row>
    <row r="45" spans="1:11" x14ac:dyDescent="0.2">
      <c r="A45">
        <v>2018</v>
      </c>
      <c r="B45" t="s">
        <v>122</v>
      </c>
      <c r="C45" t="str">
        <f t="shared" si="0"/>
        <v>Democrat</v>
      </c>
      <c r="D45">
        <v>0.7807167211365923</v>
      </c>
      <c r="E45">
        <v>0.50580388426199396</v>
      </c>
      <c r="F45" s="16"/>
      <c r="G45" s="13"/>
      <c r="H45" s="13" t="s">
        <v>650</v>
      </c>
      <c r="I45" s="13" t="s">
        <v>701</v>
      </c>
      <c r="J45" s="16"/>
      <c r="K45" s="16"/>
    </row>
    <row r="46" spans="1:11" x14ac:dyDescent="0.2">
      <c r="A46">
        <v>2019</v>
      </c>
      <c r="B46" t="s">
        <v>122</v>
      </c>
      <c r="C46" t="str">
        <f t="shared" si="0"/>
        <v>Democrat</v>
      </c>
      <c r="D46">
        <v>0.78208532579247569</v>
      </c>
      <c r="E46">
        <v>0.48077807913605081</v>
      </c>
      <c r="F46" s="16"/>
      <c r="G46" s="13"/>
      <c r="H46" s="13" t="s">
        <v>662</v>
      </c>
      <c r="I46" s="13" t="s">
        <v>702</v>
      </c>
      <c r="J46" s="16"/>
      <c r="K46" s="16"/>
    </row>
    <row r="47" spans="1:11" x14ac:dyDescent="0.2">
      <c r="A47">
        <v>2020</v>
      </c>
      <c r="B47" t="s">
        <v>122</v>
      </c>
      <c r="C47" t="str">
        <f t="shared" si="0"/>
        <v>Democrat</v>
      </c>
      <c r="D47">
        <v>0.75481690750346875</v>
      </c>
      <c r="E47">
        <v>0.43588279606384184</v>
      </c>
      <c r="F47" s="16"/>
      <c r="G47" s="13"/>
      <c r="H47" s="13" t="s">
        <v>673</v>
      </c>
      <c r="I47" s="13" t="s">
        <v>701</v>
      </c>
      <c r="J47" s="16"/>
      <c r="K47" s="16"/>
    </row>
    <row r="48" spans="1:11" x14ac:dyDescent="0.2">
      <c r="A48">
        <v>2021</v>
      </c>
      <c r="B48" t="s">
        <v>122</v>
      </c>
      <c r="C48" t="str">
        <f t="shared" si="0"/>
        <v>Democrat</v>
      </c>
      <c r="D48">
        <v>0.86632379760117706</v>
      </c>
      <c r="E48">
        <v>0.51815926786413635</v>
      </c>
      <c r="F48" s="16"/>
      <c r="G48" s="13"/>
      <c r="H48" s="13" t="s">
        <v>679</v>
      </c>
      <c r="I48" s="13" t="s">
        <v>702</v>
      </c>
      <c r="J48" s="16"/>
      <c r="K48" s="16"/>
    </row>
    <row r="49" spans="1:11" x14ac:dyDescent="0.2">
      <c r="A49">
        <v>2022</v>
      </c>
      <c r="B49" t="s">
        <v>122</v>
      </c>
      <c r="C49" t="str">
        <f t="shared" si="0"/>
        <v>Democrat</v>
      </c>
      <c r="D49">
        <v>0.76170946661859673</v>
      </c>
      <c r="E49">
        <v>0.51771157183074967</v>
      </c>
      <c r="F49" s="16"/>
      <c r="G49" s="13"/>
      <c r="H49" s="13" t="s">
        <v>693</v>
      </c>
      <c r="I49" s="13" t="s">
        <v>701</v>
      </c>
      <c r="J49" s="16"/>
      <c r="K49" s="16"/>
    </row>
    <row r="50" spans="1:11" x14ac:dyDescent="0.2">
      <c r="A50">
        <v>2015</v>
      </c>
      <c r="B50" t="s">
        <v>105</v>
      </c>
      <c r="C50" t="str">
        <f t="shared" si="0"/>
        <v>Democrat</v>
      </c>
      <c r="D50">
        <v>0.69703978967665181</v>
      </c>
      <c r="E50">
        <v>0.44802796478374768</v>
      </c>
      <c r="F50" s="16"/>
      <c r="G50" s="13"/>
      <c r="H50" s="13"/>
      <c r="I50" s="13"/>
      <c r="J50" s="16"/>
      <c r="K50" s="16"/>
    </row>
    <row r="51" spans="1:11" x14ac:dyDescent="0.2">
      <c r="A51">
        <v>2016</v>
      </c>
      <c r="B51" t="s">
        <v>105</v>
      </c>
      <c r="C51" t="str">
        <f t="shared" si="0"/>
        <v>Democrat</v>
      </c>
      <c r="D51">
        <v>0.63482934322033902</v>
      </c>
      <c r="E51">
        <v>0.38968447916102544</v>
      </c>
      <c r="F51" s="16"/>
      <c r="G51" s="13"/>
      <c r="H51" s="13"/>
      <c r="I51" s="13"/>
      <c r="J51" s="16"/>
      <c r="K51" s="16"/>
    </row>
    <row r="52" spans="1:11" x14ac:dyDescent="0.2">
      <c r="A52">
        <v>2017</v>
      </c>
      <c r="B52" t="s">
        <v>105</v>
      </c>
      <c r="C52" t="str">
        <f t="shared" si="0"/>
        <v>Democrat</v>
      </c>
      <c r="D52">
        <v>0.67205952898458077</v>
      </c>
      <c r="E52">
        <v>0.43709804417094006</v>
      </c>
      <c r="F52" s="16"/>
      <c r="G52" s="13"/>
      <c r="H52" s="13"/>
      <c r="I52" s="13"/>
      <c r="J52" s="16"/>
      <c r="K52" s="16"/>
    </row>
    <row r="53" spans="1:11" x14ac:dyDescent="0.2">
      <c r="A53">
        <v>2018</v>
      </c>
      <c r="B53" t="s">
        <v>105</v>
      </c>
      <c r="C53" t="str">
        <f t="shared" si="0"/>
        <v>Democrat</v>
      </c>
      <c r="D53">
        <v>0.67907873862947243</v>
      </c>
      <c r="E53">
        <v>0.46145577101555385</v>
      </c>
      <c r="F53" s="16"/>
      <c r="G53" s="13"/>
      <c r="H53" s="13"/>
      <c r="I53" s="13"/>
      <c r="J53" s="16"/>
      <c r="K53" s="16"/>
    </row>
    <row r="54" spans="1:11" x14ac:dyDescent="0.2">
      <c r="A54">
        <v>2019</v>
      </c>
      <c r="B54" t="s">
        <v>105</v>
      </c>
      <c r="C54" t="str">
        <f t="shared" si="0"/>
        <v>Democrat</v>
      </c>
      <c r="D54">
        <v>0.66279081985344945</v>
      </c>
      <c r="E54">
        <v>0.42942666458549511</v>
      </c>
      <c r="F54" s="16"/>
      <c r="G54" s="13"/>
      <c r="H54" s="13"/>
      <c r="I54" s="13"/>
      <c r="J54" s="16"/>
      <c r="K54" s="16"/>
    </row>
    <row r="55" spans="1:11" x14ac:dyDescent="0.2">
      <c r="A55">
        <v>2020</v>
      </c>
      <c r="B55" t="s">
        <v>105</v>
      </c>
      <c r="C55" t="str">
        <f t="shared" si="0"/>
        <v>Democrat</v>
      </c>
      <c r="D55">
        <v>0.62476325861126303</v>
      </c>
      <c r="E55">
        <v>0.38272712053533897</v>
      </c>
      <c r="F55" s="16"/>
      <c r="G55" s="13"/>
      <c r="H55" s="13"/>
      <c r="I55" s="13"/>
      <c r="J55" s="16"/>
      <c r="K55" s="16"/>
    </row>
    <row r="56" spans="1:11" x14ac:dyDescent="0.2">
      <c r="A56">
        <v>2021</v>
      </c>
      <c r="B56" t="s">
        <v>105</v>
      </c>
      <c r="C56" t="str">
        <f t="shared" si="0"/>
        <v>Democrat</v>
      </c>
      <c r="D56">
        <v>0.77544261554350635</v>
      </c>
      <c r="E56">
        <v>0.50201508775348513</v>
      </c>
      <c r="F56" s="16"/>
      <c r="G56" s="13"/>
      <c r="H56" s="13"/>
      <c r="I56" s="13"/>
      <c r="J56" s="16"/>
      <c r="K56" s="16"/>
    </row>
    <row r="57" spans="1:11" x14ac:dyDescent="0.2">
      <c r="A57">
        <v>2022</v>
      </c>
      <c r="B57" t="s">
        <v>105</v>
      </c>
      <c r="C57" t="str">
        <f t="shared" si="0"/>
        <v>Democrat</v>
      </c>
      <c r="D57">
        <v>0.71045827522324678</v>
      </c>
      <c r="E57">
        <v>0.51038240291408787</v>
      </c>
      <c r="F57" s="16"/>
      <c r="G57" s="13"/>
      <c r="H57" s="13"/>
      <c r="I57" s="13"/>
      <c r="J57" s="16"/>
      <c r="K57" s="16"/>
    </row>
    <row r="58" spans="1:11" x14ac:dyDescent="0.2">
      <c r="A58">
        <v>2015</v>
      </c>
      <c r="B58" t="s">
        <v>176</v>
      </c>
      <c r="C58" t="str">
        <f t="shared" si="0"/>
        <v>Democrat</v>
      </c>
      <c r="D58">
        <v>0.28710510525016619</v>
      </c>
      <c r="E58">
        <v>0.17480087693270149</v>
      </c>
      <c r="F58" s="16"/>
      <c r="G58" s="13"/>
      <c r="H58" s="13"/>
      <c r="I58" s="13"/>
      <c r="J58" s="16"/>
      <c r="K58" s="16"/>
    </row>
    <row r="59" spans="1:11" x14ac:dyDescent="0.2">
      <c r="A59">
        <v>2016</v>
      </c>
      <c r="B59" t="s">
        <v>176</v>
      </c>
      <c r="C59" t="str">
        <f t="shared" si="0"/>
        <v>Democrat</v>
      </c>
      <c r="D59">
        <v>0.22327846869242138</v>
      </c>
      <c r="E59">
        <v>0.12205524899624812</v>
      </c>
      <c r="F59" s="16"/>
      <c r="G59" s="13"/>
      <c r="H59" s="13"/>
      <c r="I59" s="13"/>
      <c r="J59" s="16"/>
      <c r="K59" s="16"/>
    </row>
    <row r="60" spans="1:11" x14ac:dyDescent="0.2">
      <c r="A60">
        <v>2017</v>
      </c>
      <c r="B60" t="s">
        <v>176</v>
      </c>
      <c r="C60" t="str">
        <f t="shared" si="0"/>
        <v>Democrat</v>
      </c>
      <c r="D60">
        <v>0.25412855982082649</v>
      </c>
      <c r="E60">
        <v>0.15400557276504565</v>
      </c>
      <c r="F60" s="16"/>
      <c r="G60" s="13"/>
      <c r="H60" s="13"/>
      <c r="I60" s="13"/>
      <c r="J60" s="16"/>
      <c r="K60" s="16"/>
    </row>
    <row r="61" spans="1:11" x14ac:dyDescent="0.2">
      <c r="A61">
        <v>2018</v>
      </c>
      <c r="B61" t="s">
        <v>176</v>
      </c>
      <c r="C61" t="str">
        <f t="shared" si="0"/>
        <v>Democrat</v>
      </c>
      <c r="D61">
        <v>0.26488234961971874</v>
      </c>
      <c r="E61">
        <v>0.17606963999358391</v>
      </c>
      <c r="F61" s="16"/>
      <c r="G61" s="13"/>
      <c r="H61" s="13"/>
      <c r="I61" s="13"/>
      <c r="J61" s="16"/>
      <c r="K61" s="16"/>
    </row>
    <row r="62" spans="1:11" x14ac:dyDescent="0.2">
      <c r="A62">
        <v>2019</v>
      </c>
      <c r="B62" t="s">
        <v>176</v>
      </c>
      <c r="C62" t="str">
        <f t="shared" si="0"/>
        <v>Democrat</v>
      </c>
      <c r="D62">
        <v>0.26950668797524535</v>
      </c>
      <c r="E62">
        <v>0.17111710237698632</v>
      </c>
      <c r="F62" s="16"/>
      <c r="G62" s="13"/>
      <c r="H62" s="13"/>
      <c r="I62" s="13"/>
      <c r="J62" s="16"/>
      <c r="K62" s="16"/>
    </row>
    <row r="63" spans="1:11" x14ac:dyDescent="0.2">
      <c r="A63">
        <v>2020</v>
      </c>
      <c r="B63" t="s">
        <v>176</v>
      </c>
      <c r="C63" t="str">
        <f t="shared" si="0"/>
        <v>Democrat</v>
      </c>
      <c r="D63">
        <v>0.24598401518308186</v>
      </c>
      <c r="E63">
        <v>0.14627260579424706</v>
      </c>
      <c r="F63" s="16"/>
      <c r="G63" s="13"/>
      <c r="H63" s="13"/>
      <c r="I63" s="13"/>
      <c r="J63" s="16"/>
      <c r="K63" s="16"/>
    </row>
    <row r="64" spans="1:11" x14ac:dyDescent="0.2">
      <c r="A64">
        <v>2021</v>
      </c>
      <c r="B64" t="s">
        <v>176</v>
      </c>
      <c r="C64" t="str">
        <f t="shared" si="0"/>
        <v>Democrat</v>
      </c>
      <c r="D64">
        <v>0.35520014194542066</v>
      </c>
      <c r="E64">
        <v>0.23235002943433825</v>
      </c>
      <c r="F64" s="16"/>
      <c r="G64" s="13"/>
      <c r="H64" s="13"/>
      <c r="I64" s="13"/>
      <c r="J64" s="16"/>
      <c r="K64" s="16"/>
    </row>
    <row r="65" spans="1:11" x14ac:dyDescent="0.2">
      <c r="A65">
        <v>2022</v>
      </c>
      <c r="B65" t="s">
        <v>176</v>
      </c>
      <c r="C65" t="str">
        <f t="shared" si="0"/>
        <v>Democrat</v>
      </c>
      <c r="D65">
        <v>0.32287030283297646</v>
      </c>
      <c r="E65">
        <v>0.22881308482779886</v>
      </c>
      <c r="F65" s="16"/>
      <c r="G65" s="13"/>
      <c r="H65" s="13"/>
      <c r="I65" s="13"/>
      <c r="J65" s="16"/>
      <c r="K65" s="16"/>
    </row>
    <row r="66" spans="1:11" x14ac:dyDescent="0.2">
      <c r="A66">
        <v>2015</v>
      </c>
      <c r="B66" t="s">
        <v>188</v>
      </c>
      <c r="C66" t="str">
        <f t="shared" si="0"/>
        <v>Republican</v>
      </c>
      <c r="D66">
        <v>0.67511346038545517</v>
      </c>
      <c r="E66">
        <v>0.43149600974811736</v>
      </c>
      <c r="F66" s="16"/>
      <c r="G66" s="13"/>
      <c r="H66" s="13"/>
      <c r="I66" s="13"/>
      <c r="J66" s="16"/>
      <c r="K66" s="16"/>
    </row>
    <row r="67" spans="1:11" x14ac:dyDescent="0.2">
      <c r="A67">
        <v>2016</v>
      </c>
      <c r="B67" t="s">
        <v>188</v>
      </c>
      <c r="C67" t="str">
        <f t="shared" ref="C67:C122" si="1">VLOOKUP(B67,$H$2:$I$49,2,FALSE)</f>
        <v>Republican</v>
      </c>
      <c r="D67">
        <v>0.67934637041791845</v>
      </c>
      <c r="E67">
        <v>0.42029591954471013</v>
      </c>
      <c r="F67" s="16"/>
      <c r="G67" s="13"/>
      <c r="H67" s="13"/>
      <c r="I67" s="13"/>
      <c r="J67" s="16"/>
      <c r="K67" s="16"/>
    </row>
    <row r="68" spans="1:11" x14ac:dyDescent="0.2">
      <c r="A68">
        <v>2017</v>
      </c>
      <c r="B68" t="s">
        <v>188</v>
      </c>
      <c r="C68" t="str">
        <f t="shared" si="1"/>
        <v>Republican</v>
      </c>
      <c r="D68">
        <v>0.7149507760107211</v>
      </c>
      <c r="E68">
        <v>0.4595886981169976</v>
      </c>
      <c r="F68" s="16"/>
      <c r="G68" s="13"/>
      <c r="H68" s="13"/>
      <c r="I68" s="13"/>
      <c r="J68" s="16"/>
      <c r="K68" s="16"/>
    </row>
    <row r="69" spans="1:11" x14ac:dyDescent="0.2">
      <c r="A69">
        <v>2018</v>
      </c>
      <c r="B69" t="s">
        <v>188</v>
      </c>
      <c r="C69" t="str">
        <f t="shared" si="1"/>
        <v>Republican</v>
      </c>
      <c r="D69">
        <v>0.72287816711370922</v>
      </c>
      <c r="E69">
        <v>0.4945462051490998</v>
      </c>
      <c r="F69" s="16"/>
      <c r="G69" s="13"/>
      <c r="H69" s="13"/>
      <c r="I69" s="13"/>
      <c r="J69" s="16"/>
      <c r="K69" s="16"/>
    </row>
    <row r="70" spans="1:11" x14ac:dyDescent="0.2">
      <c r="A70">
        <v>2019</v>
      </c>
      <c r="B70" t="s">
        <v>188</v>
      </c>
      <c r="C70" t="str">
        <f t="shared" si="1"/>
        <v>Republican</v>
      </c>
      <c r="D70">
        <v>0.6985277433550503</v>
      </c>
      <c r="E70">
        <v>0.4388625602265851</v>
      </c>
      <c r="F70" s="16"/>
      <c r="G70" s="13"/>
      <c r="H70" s="13"/>
      <c r="I70" s="13"/>
      <c r="J70" s="16"/>
      <c r="K70" s="16"/>
    </row>
    <row r="71" spans="1:11" x14ac:dyDescent="0.2">
      <c r="A71">
        <v>2020</v>
      </c>
      <c r="B71" t="s">
        <v>188</v>
      </c>
      <c r="C71" t="str">
        <f t="shared" si="1"/>
        <v>Republican</v>
      </c>
      <c r="D71">
        <v>0.67716783042213735</v>
      </c>
      <c r="E71">
        <v>0.41778507208736465</v>
      </c>
      <c r="F71" s="16"/>
      <c r="G71" s="13"/>
      <c r="H71" s="13"/>
      <c r="I71" s="13"/>
      <c r="J71" s="16"/>
      <c r="K71" s="16"/>
    </row>
    <row r="72" spans="1:11" x14ac:dyDescent="0.2">
      <c r="A72">
        <v>2021</v>
      </c>
      <c r="B72" t="s">
        <v>188</v>
      </c>
      <c r="C72" t="str">
        <f t="shared" si="1"/>
        <v>Republican</v>
      </c>
      <c r="D72">
        <v>0.76438744692957505</v>
      </c>
      <c r="E72">
        <v>0.48188050186728859</v>
      </c>
      <c r="F72" s="16"/>
      <c r="G72" s="13"/>
      <c r="H72" s="13"/>
      <c r="I72" s="13"/>
      <c r="J72" s="16"/>
      <c r="K72" s="16"/>
    </row>
    <row r="73" spans="1:11" x14ac:dyDescent="0.2">
      <c r="A73">
        <v>2022</v>
      </c>
      <c r="B73" t="s">
        <v>188</v>
      </c>
      <c r="C73" t="str">
        <f t="shared" si="1"/>
        <v>Republican</v>
      </c>
      <c r="D73">
        <v>0.62207772039575049</v>
      </c>
      <c r="E73">
        <v>0.44142640205911088</v>
      </c>
      <c r="F73" s="16"/>
      <c r="G73" s="13"/>
      <c r="H73" s="13"/>
      <c r="I73" s="13"/>
      <c r="J73" s="16"/>
      <c r="K73" s="16"/>
    </row>
    <row r="74" spans="1:11" x14ac:dyDescent="0.2">
      <c r="A74">
        <v>2015</v>
      </c>
      <c r="B74" t="s">
        <v>199</v>
      </c>
      <c r="C74" t="str">
        <f t="shared" si="1"/>
        <v>Republican</v>
      </c>
      <c r="D74">
        <v>0.73823769178234644</v>
      </c>
      <c r="E74">
        <v>0.46843227562961298</v>
      </c>
      <c r="F74" s="16"/>
      <c r="G74" s="13"/>
      <c r="H74" s="13"/>
      <c r="I74" s="13"/>
      <c r="J74" s="16"/>
      <c r="K74" s="16"/>
    </row>
    <row r="75" spans="1:11" x14ac:dyDescent="0.2">
      <c r="A75">
        <v>2016</v>
      </c>
      <c r="B75" t="s">
        <v>199</v>
      </c>
      <c r="C75" t="str">
        <f t="shared" si="1"/>
        <v>Republican</v>
      </c>
      <c r="D75">
        <v>0.68399006580126487</v>
      </c>
      <c r="E75">
        <v>0.41003401494868985</v>
      </c>
      <c r="F75" s="16"/>
      <c r="G75" s="13"/>
      <c r="H75" s="13"/>
      <c r="I75" s="13"/>
      <c r="J75" s="16"/>
      <c r="K75" s="16"/>
    </row>
    <row r="76" spans="1:11" x14ac:dyDescent="0.2">
      <c r="A76">
        <v>2017</v>
      </c>
      <c r="B76" t="s">
        <v>199</v>
      </c>
      <c r="C76" t="str">
        <f t="shared" si="1"/>
        <v>Republican</v>
      </c>
      <c r="D76">
        <v>0.72385370192046306</v>
      </c>
      <c r="E76">
        <v>0.45845555360295642</v>
      </c>
      <c r="F76" s="16"/>
      <c r="G76" s="13"/>
      <c r="H76" s="13"/>
      <c r="I76" s="13"/>
      <c r="J76" s="16"/>
      <c r="K76" s="16"/>
    </row>
    <row r="77" spans="1:11" x14ac:dyDescent="0.2">
      <c r="A77">
        <v>2018</v>
      </c>
      <c r="B77" t="s">
        <v>199</v>
      </c>
      <c r="C77" t="str">
        <f t="shared" si="1"/>
        <v>Republican</v>
      </c>
      <c r="D77">
        <v>0.74085359580325372</v>
      </c>
      <c r="E77">
        <v>0.48744441455242604</v>
      </c>
      <c r="F77" s="16"/>
      <c r="G77" s="13"/>
      <c r="H77" s="13"/>
      <c r="I77" s="13"/>
      <c r="J77" s="16"/>
      <c r="K77" s="16"/>
    </row>
    <row r="78" spans="1:11" x14ac:dyDescent="0.2">
      <c r="A78">
        <v>2019</v>
      </c>
      <c r="B78" t="s">
        <v>199</v>
      </c>
      <c r="C78" t="str">
        <f t="shared" si="1"/>
        <v>Republican</v>
      </c>
      <c r="D78">
        <v>0.74682608375182513</v>
      </c>
      <c r="E78">
        <v>0.46500959752706861</v>
      </c>
      <c r="F78" s="16"/>
      <c r="G78" s="13"/>
      <c r="H78" s="13"/>
      <c r="I78" s="13"/>
      <c r="J78" s="16"/>
      <c r="K78" s="16"/>
    </row>
    <row r="79" spans="1:11" x14ac:dyDescent="0.2">
      <c r="A79">
        <v>2020</v>
      </c>
      <c r="B79" t="s">
        <v>199</v>
      </c>
      <c r="C79" t="str">
        <f t="shared" si="1"/>
        <v>Republican</v>
      </c>
      <c r="D79">
        <v>0.7281170678947092</v>
      </c>
      <c r="E79">
        <v>0.45714506672259742</v>
      </c>
      <c r="F79" s="16"/>
      <c r="G79" s="13"/>
      <c r="H79" s="13"/>
      <c r="I79" s="13"/>
      <c r="J79" s="16"/>
      <c r="K79" s="16"/>
    </row>
    <row r="80" spans="1:11" x14ac:dyDescent="0.2">
      <c r="A80">
        <v>2021</v>
      </c>
      <c r="B80" t="s">
        <v>199</v>
      </c>
      <c r="C80" t="str">
        <f t="shared" si="1"/>
        <v>Republican</v>
      </c>
      <c r="D80">
        <v>0.89425734119398137</v>
      </c>
      <c r="E80">
        <v>0.58911829663587811</v>
      </c>
      <c r="F80" s="16"/>
      <c r="G80" s="13"/>
      <c r="H80" s="13"/>
      <c r="I80" s="13"/>
      <c r="J80" s="16"/>
      <c r="K80" s="16"/>
    </row>
    <row r="81" spans="1:11" x14ac:dyDescent="0.2">
      <c r="A81">
        <v>2022</v>
      </c>
      <c r="B81" t="s">
        <v>199</v>
      </c>
      <c r="C81" t="str">
        <f t="shared" si="1"/>
        <v>Republican</v>
      </c>
      <c r="D81">
        <v>0.78333781544105829</v>
      </c>
      <c r="E81">
        <v>0.55130928021649994</v>
      </c>
      <c r="F81" s="16"/>
      <c r="G81" s="13"/>
      <c r="H81" s="13"/>
      <c r="I81" s="13"/>
      <c r="J81" s="16"/>
      <c r="K81" s="16"/>
    </row>
    <row r="82" spans="1:11" x14ac:dyDescent="0.2">
      <c r="A82">
        <v>2015</v>
      </c>
      <c r="B82" t="s">
        <v>212</v>
      </c>
      <c r="C82" t="str">
        <f t="shared" si="1"/>
        <v>Democrat</v>
      </c>
      <c r="D82">
        <v>0.6835477889060485</v>
      </c>
      <c r="E82">
        <v>0.44418958987740581</v>
      </c>
      <c r="F82" s="16"/>
      <c r="G82" s="13"/>
      <c r="H82" s="13"/>
      <c r="I82" s="13"/>
      <c r="J82" s="16"/>
      <c r="K82" s="16"/>
    </row>
    <row r="83" spans="1:11" x14ac:dyDescent="0.2">
      <c r="A83">
        <v>2016</v>
      </c>
      <c r="B83" t="s">
        <v>212</v>
      </c>
      <c r="C83" t="str">
        <f t="shared" si="1"/>
        <v>Democrat</v>
      </c>
      <c r="D83">
        <v>0.67059709949603874</v>
      </c>
      <c r="E83">
        <v>0.41810660929924848</v>
      </c>
      <c r="F83" s="16"/>
      <c r="G83" s="13"/>
      <c r="H83" s="13"/>
      <c r="I83" s="13"/>
      <c r="J83" s="16"/>
      <c r="K83" s="16"/>
    </row>
    <row r="84" spans="1:11" x14ac:dyDescent="0.2">
      <c r="A84">
        <v>2017</v>
      </c>
      <c r="B84" t="s">
        <v>212</v>
      </c>
      <c r="C84" t="str">
        <f t="shared" si="1"/>
        <v>Democrat</v>
      </c>
      <c r="D84">
        <v>0.69915395486207854</v>
      </c>
      <c r="E84">
        <v>0.46354041423938802</v>
      </c>
      <c r="F84" s="16"/>
      <c r="G84" s="13"/>
      <c r="H84" s="13"/>
      <c r="I84" s="13"/>
      <c r="J84" s="16"/>
      <c r="K84" s="16"/>
    </row>
    <row r="85" spans="1:11" x14ac:dyDescent="0.2">
      <c r="A85">
        <v>2018</v>
      </c>
      <c r="B85" t="s">
        <v>212</v>
      </c>
      <c r="C85" t="str">
        <f t="shared" si="1"/>
        <v>Democrat</v>
      </c>
      <c r="D85">
        <v>0.73404083608147686</v>
      </c>
      <c r="E85">
        <v>0.48115290812479838</v>
      </c>
      <c r="F85" s="16"/>
      <c r="G85" s="13"/>
      <c r="H85" s="13"/>
      <c r="I85" s="13"/>
      <c r="J85" s="16"/>
      <c r="K85" s="16"/>
    </row>
    <row r="86" spans="1:11" x14ac:dyDescent="0.2">
      <c r="A86">
        <v>2019</v>
      </c>
      <c r="B86" t="s">
        <v>212</v>
      </c>
      <c r="C86" t="str">
        <f t="shared" si="1"/>
        <v>Democrat</v>
      </c>
      <c r="D86">
        <v>0.73239882702585257</v>
      </c>
      <c r="E86">
        <v>0.46902178330208805</v>
      </c>
      <c r="F86" s="16"/>
      <c r="G86" s="13"/>
      <c r="H86" s="13"/>
      <c r="I86" s="13"/>
      <c r="J86" s="16"/>
      <c r="K86" s="16"/>
    </row>
    <row r="87" spans="1:11" x14ac:dyDescent="0.2">
      <c r="A87">
        <v>2020</v>
      </c>
      <c r="B87" t="s">
        <v>212</v>
      </c>
      <c r="C87" t="str">
        <f t="shared" si="1"/>
        <v>Democrat</v>
      </c>
      <c r="D87">
        <v>0.69330393510430977</v>
      </c>
      <c r="E87">
        <v>0.42795183934119446</v>
      </c>
      <c r="F87" s="16"/>
      <c r="G87" s="13"/>
      <c r="H87" s="13"/>
      <c r="I87" s="13"/>
      <c r="J87" s="16"/>
      <c r="K87" s="16"/>
    </row>
    <row r="88" spans="1:11" x14ac:dyDescent="0.2">
      <c r="A88">
        <v>2021</v>
      </c>
      <c r="B88" t="s">
        <v>212</v>
      </c>
      <c r="C88" t="str">
        <f t="shared" si="1"/>
        <v>Democrat</v>
      </c>
      <c r="D88">
        <v>0.7857976045983277</v>
      </c>
      <c r="E88">
        <v>0.48983361539003401</v>
      </c>
      <c r="F88" s="16"/>
      <c r="G88" s="13"/>
      <c r="H88" s="13"/>
      <c r="I88" s="13"/>
      <c r="J88" s="16"/>
      <c r="K88" s="16"/>
    </row>
    <row r="89" spans="1:11" x14ac:dyDescent="0.2">
      <c r="A89">
        <v>2022</v>
      </c>
      <c r="B89" t="s">
        <v>212</v>
      </c>
      <c r="C89" t="str">
        <f t="shared" si="1"/>
        <v>Democrat</v>
      </c>
      <c r="D89">
        <v>0.74259788516479164</v>
      </c>
      <c r="E89">
        <v>0.5198075052979868</v>
      </c>
      <c r="F89" s="16"/>
      <c r="G89" s="13"/>
      <c r="H89" s="13"/>
      <c r="I89" s="13"/>
      <c r="J89" s="16"/>
      <c r="K89" s="16"/>
    </row>
    <row r="90" spans="1:11" x14ac:dyDescent="0.2">
      <c r="A90">
        <v>2015</v>
      </c>
      <c r="B90" t="s">
        <v>225</v>
      </c>
      <c r="C90" t="str">
        <f t="shared" si="1"/>
        <v>Republican</v>
      </c>
      <c r="D90">
        <v>0.82195489717889336</v>
      </c>
      <c r="E90">
        <v>0.51890718709130879</v>
      </c>
      <c r="F90" s="16"/>
      <c r="G90" s="13"/>
      <c r="H90" s="13"/>
      <c r="I90" s="13"/>
      <c r="J90" s="16"/>
      <c r="K90" s="16"/>
    </row>
    <row r="91" spans="1:11" x14ac:dyDescent="0.2">
      <c r="A91">
        <v>2016</v>
      </c>
      <c r="B91" t="s">
        <v>225</v>
      </c>
      <c r="C91" t="str">
        <f t="shared" si="1"/>
        <v>Republican</v>
      </c>
      <c r="D91">
        <v>0.76745189343247366</v>
      </c>
      <c r="E91">
        <v>0.45647806945717762</v>
      </c>
      <c r="F91" s="16"/>
      <c r="G91" s="13"/>
      <c r="H91" s="13"/>
      <c r="I91" s="13"/>
      <c r="J91" s="16"/>
      <c r="K91" s="16"/>
    </row>
    <row r="92" spans="1:11" x14ac:dyDescent="0.2">
      <c r="A92">
        <v>2017</v>
      </c>
      <c r="B92" t="s">
        <v>225</v>
      </c>
      <c r="C92" t="str">
        <f t="shared" si="1"/>
        <v>Republican</v>
      </c>
      <c r="D92">
        <v>0.79482008399568305</v>
      </c>
      <c r="E92">
        <v>0.48964516511254452</v>
      </c>
      <c r="F92" s="16"/>
      <c r="G92" s="13"/>
      <c r="H92" s="13"/>
      <c r="I92" s="13"/>
      <c r="J92" s="16"/>
      <c r="K92" s="16"/>
    </row>
    <row r="93" spans="1:11" x14ac:dyDescent="0.2">
      <c r="A93">
        <v>2018</v>
      </c>
      <c r="B93" t="s">
        <v>225</v>
      </c>
      <c r="C93" t="str">
        <f t="shared" si="1"/>
        <v>Republican</v>
      </c>
      <c r="D93">
        <v>0.8277951635442482</v>
      </c>
      <c r="E93">
        <v>0.54562524612572672</v>
      </c>
      <c r="F93" s="16"/>
      <c r="G93" s="13"/>
      <c r="H93" s="13"/>
      <c r="I93" s="13"/>
      <c r="J93" s="16"/>
      <c r="K93" s="16"/>
    </row>
    <row r="94" spans="1:11" x14ac:dyDescent="0.2">
      <c r="A94">
        <v>2019</v>
      </c>
      <c r="B94" t="s">
        <v>225</v>
      </c>
      <c r="C94" t="str">
        <f t="shared" si="1"/>
        <v>Republican</v>
      </c>
      <c r="D94">
        <v>0.80963959865444179</v>
      </c>
      <c r="E94">
        <v>0.50591735341286603</v>
      </c>
      <c r="F94" s="16"/>
      <c r="G94" s="13"/>
      <c r="H94" s="13"/>
      <c r="I94" s="13"/>
      <c r="J94" s="16"/>
      <c r="K94" s="16"/>
    </row>
    <row r="95" spans="1:11" x14ac:dyDescent="0.2">
      <c r="A95">
        <v>2020</v>
      </c>
      <c r="B95" t="s">
        <v>225</v>
      </c>
      <c r="C95" t="str">
        <f t="shared" si="1"/>
        <v>Republican</v>
      </c>
      <c r="D95">
        <v>0.74910727573928915</v>
      </c>
      <c r="E95">
        <v>0.44575297346735437</v>
      </c>
      <c r="F95" s="16"/>
      <c r="G95" s="13"/>
      <c r="H95" s="13"/>
      <c r="I95" s="13"/>
      <c r="J95" s="16"/>
      <c r="K95" s="16"/>
    </row>
    <row r="96" spans="1:11" x14ac:dyDescent="0.2">
      <c r="A96">
        <v>2021</v>
      </c>
      <c r="B96" t="s">
        <v>225</v>
      </c>
      <c r="C96" t="str">
        <f t="shared" si="1"/>
        <v>Republican</v>
      </c>
      <c r="D96">
        <v>0.88576256839781597</v>
      </c>
      <c r="E96">
        <v>0.54916432458611308</v>
      </c>
      <c r="F96" s="16"/>
      <c r="G96" s="13"/>
      <c r="H96" s="13"/>
      <c r="I96" s="13"/>
      <c r="J96" s="16"/>
      <c r="K96" s="16"/>
    </row>
    <row r="97" spans="1:11" x14ac:dyDescent="0.2">
      <c r="A97">
        <v>2022</v>
      </c>
      <c r="B97" t="s">
        <v>225</v>
      </c>
      <c r="C97" t="str">
        <f t="shared" si="1"/>
        <v>Republican</v>
      </c>
      <c r="D97">
        <v>0.78850658817501373</v>
      </c>
      <c r="E97">
        <v>0.53843577779804275</v>
      </c>
      <c r="F97" s="16"/>
      <c r="G97" s="13"/>
      <c r="H97" s="13"/>
      <c r="I97" s="13"/>
      <c r="J97" s="16"/>
      <c r="K97" s="16"/>
    </row>
    <row r="98" spans="1:11" x14ac:dyDescent="0.2">
      <c r="A98">
        <v>2015</v>
      </c>
      <c r="B98" t="s">
        <v>253</v>
      </c>
      <c r="C98" t="str">
        <f t="shared" si="1"/>
        <v>Democrat</v>
      </c>
      <c r="D98">
        <v>0.59500946678357658</v>
      </c>
      <c r="E98">
        <v>0.3752029638937634</v>
      </c>
      <c r="F98" s="16"/>
      <c r="G98" s="13"/>
      <c r="H98" s="13"/>
      <c r="I98" s="13"/>
      <c r="J98" s="16"/>
      <c r="K98" s="16"/>
    </row>
    <row r="99" spans="1:11" x14ac:dyDescent="0.2">
      <c r="A99">
        <v>2016</v>
      </c>
      <c r="B99" t="s">
        <v>253</v>
      </c>
      <c r="C99" t="str">
        <f t="shared" si="1"/>
        <v>Democrat</v>
      </c>
      <c r="D99">
        <v>0.52261770246525097</v>
      </c>
      <c r="E99">
        <v>0.30536802682920861</v>
      </c>
      <c r="F99" s="16"/>
      <c r="G99" s="13"/>
      <c r="H99" s="13"/>
      <c r="I99" s="13"/>
      <c r="J99" s="16"/>
      <c r="K99" s="16"/>
    </row>
    <row r="100" spans="1:11" x14ac:dyDescent="0.2">
      <c r="A100">
        <v>2017</v>
      </c>
      <c r="B100" t="s">
        <v>253</v>
      </c>
      <c r="C100" t="str">
        <f t="shared" si="1"/>
        <v>Democrat</v>
      </c>
      <c r="D100">
        <v>0.55927551599479919</v>
      </c>
      <c r="E100">
        <v>0.35635876905275066</v>
      </c>
      <c r="F100" s="16"/>
      <c r="G100" s="13"/>
      <c r="H100" s="13"/>
      <c r="I100" s="13"/>
      <c r="J100" s="16"/>
      <c r="K100" s="16"/>
    </row>
    <row r="101" spans="1:11" x14ac:dyDescent="0.2">
      <c r="A101">
        <v>2018</v>
      </c>
      <c r="B101" t="s">
        <v>253</v>
      </c>
      <c r="C101" t="str">
        <f t="shared" si="1"/>
        <v>Democrat</v>
      </c>
      <c r="D101">
        <v>0.5768666336792978</v>
      </c>
      <c r="E101">
        <v>0.37918668179061848</v>
      </c>
      <c r="F101" s="16"/>
      <c r="G101" s="13"/>
      <c r="H101" s="13"/>
      <c r="I101" s="13"/>
      <c r="J101" s="16"/>
      <c r="K101" s="16"/>
    </row>
    <row r="102" spans="1:11" x14ac:dyDescent="0.2">
      <c r="A102">
        <v>2019</v>
      </c>
      <c r="B102" t="s">
        <v>253</v>
      </c>
      <c r="C102" t="str">
        <f t="shared" si="1"/>
        <v>Democrat</v>
      </c>
      <c r="D102">
        <v>0.51997312052814226</v>
      </c>
      <c r="E102">
        <v>0.34231520190030357</v>
      </c>
      <c r="F102" s="16"/>
      <c r="G102" s="13"/>
      <c r="H102" s="13"/>
      <c r="I102" s="13"/>
      <c r="J102" s="16"/>
      <c r="K102" s="16"/>
    </row>
    <row r="103" spans="1:11" x14ac:dyDescent="0.2">
      <c r="A103">
        <v>2020</v>
      </c>
      <c r="B103" t="s">
        <v>253</v>
      </c>
      <c r="C103" t="str">
        <f t="shared" si="1"/>
        <v>Democrat</v>
      </c>
      <c r="D103">
        <v>0.49240223012281836</v>
      </c>
      <c r="E103">
        <v>0.29893537443290269</v>
      </c>
      <c r="F103" s="16"/>
      <c r="G103" s="13"/>
      <c r="H103" s="13"/>
      <c r="I103" s="13"/>
      <c r="J103" s="16"/>
      <c r="K103" s="16"/>
    </row>
    <row r="104" spans="1:11" x14ac:dyDescent="0.2">
      <c r="A104">
        <v>2021</v>
      </c>
      <c r="B104" t="s">
        <v>253</v>
      </c>
      <c r="C104" t="str">
        <f t="shared" si="1"/>
        <v>Democrat</v>
      </c>
      <c r="D104">
        <v>0.60765120296579556</v>
      </c>
      <c r="E104">
        <v>0.38991615336135382</v>
      </c>
      <c r="F104" s="16"/>
      <c r="G104" s="13"/>
      <c r="H104" s="13"/>
      <c r="I104" s="13"/>
      <c r="J104" s="16"/>
      <c r="K104" s="16"/>
    </row>
    <row r="105" spans="1:11" x14ac:dyDescent="0.2">
      <c r="A105">
        <v>2022</v>
      </c>
      <c r="B105" t="s">
        <v>253</v>
      </c>
      <c r="C105" t="str">
        <f t="shared" si="1"/>
        <v>Democrat</v>
      </c>
      <c r="D105">
        <v>0.54063145065714546</v>
      </c>
      <c r="E105">
        <v>0.37895450578331202</v>
      </c>
      <c r="F105" s="16"/>
      <c r="G105" s="13"/>
      <c r="H105" s="13"/>
      <c r="I105" s="13"/>
      <c r="J105" s="16"/>
      <c r="K105" s="16"/>
    </row>
    <row r="106" spans="1:11" x14ac:dyDescent="0.2">
      <c r="A106">
        <v>2015</v>
      </c>
      <c r="B106" t="s">
        <v>708</v>
      </c>
      <c r="C106" t="str">
        <f t="shared" si="1"/>
        <v>Democrat</v>
      </c>
      <c r="D106">
        <v>0.85638126912345691</v>
      </c>
      <c r="E106">
        <v>0.541667237740176</v>
      </c>
      <c r="F106" s="16"/>
      <c r="G106" s="13"/>
      <c r="H106" s="13"/>
      <c r="I106" s="13"/>
      <c r="J106" s="16"/>
      <c r="K106" s="16"/>
    </row>
    <row r="107" spans="1:11" x14ac:dyDescent="0.2">
      <c r="A107">
        <v>2016</v>
      </c>
      <c r="B107" t="s">
        <v>708</v>
      </c>
      <c r="C107" t="str">
        <f t="shared" si="1"/>
        <v>Democrat</v>
      </c>
      <c r="D107">
        <v>0.88266821307490095</v>
      </c>
      <c r="E107">
        <v>0.53149305667633839</v>
      </c>
      <c r="F107" s="16"/>
      <c r="G107" s="13"/>
      <c r="H107" s="13"/>
      <c r="I107" s="13"/>
      <c r="J107" s="16"/>
      <c r="K107" s="16"/>
    </row>
    <row r="108" spans="1:11" x14ac:dyDescent="0.2">
      <c r="A108">
        <v>2017</v>
      </c>
      <c r="B108" t="s">
        <v>708</v>
      </c>
      <c r="C108" t="str">
        <f t="shared" si="1"/>
        <v>Democrat</v>
      </c>
      <c r="D108">
        <v>0.9584566738584126</v>
      </c>
      <c r="E108">
        <v>0.61504475628827349</v>
      </c>
      <c r="F108" s="16"/>
      <c r="G108" s="13"/>
      <c r="H108" s="13"/>
      <c r="I108" s="13"/>
      <c r="J108" s="16"/>
      <c r="K108" s="16"/>
    </row>
    <row r="109" spans="1:11" x14ac:dyDescent="0.2">
      <c r="A109">
        <v>2018</v>
      </c>
      <c r="B109" t="s">
        <v>708</v>
      </c>
      <c r="C109" t="str">
        <f t="shared" si="1"/>
        <v>Democrat</v>
      </c>
      <c r="D109">
        <v>0.96208397752829855</v>
      </c>
      <c r="E109">
        <v>0.63394374973587864</v>
      </c>
      <c r="F109" s="16"/>
      <c r="G109" s="13"/>
      <c r="H109" s="13"/>
      <c r="I109" s="13"/>
      <c r="J109" s="16"/>
      <c r="K109" s="16"/>
    </row>
    <row r="110" spans="1:11" x14ac:dyDescent="0.2">
      <c r="A110">
        <v>2019</v>
      </c>
      <c r="B110" t="s">
        <v>708</v>
      </c>
      <c r="C110" t="str">
        <f t="shared" si="1"/>
        <v>Democrat</v>
      </c>
      <c r="D110">
        <v>0.9078660028040032</v>
      </c>
      <c r="E110">
        <v>0.53006997551349599</v>
      </c>
      <c r="F110" s="16"/>
      <c r="G110" s="13"/>
      <c r="H110" s="13"/>
      <c r="I110" s="13"/>
      <c r="J110" s="16"/>
      <c r="K110" s="16"/>
    </row>
    <row r="111" spans="1:11" x14ac:dyDescent="0.2">
      <c r="A111">
        <v>2020</v>
      </c>
      <c r="B111" t="s">
        <v>708</v>
      </c>
      <c r="C111" t="str">
        <f t="shared" si="1"/>
        <v>Democrat</v>
      </c>
      <c r="D111">
        <v>0.91312756006411688</v>
      </c>
      <c r="E111">
        <v>0.49067724823591236</v>
      </c>
      <c r="F111" s="16"/>
      <c r="G111" s="13"/>
      <c r="H111" s="13"/>
      <c r="I111" s="13"/>
      <c r="J111" s="16"/>
      <c r="K111" s="16"/>
    </row>
    <row r="112" spans="1:11" x14ac:dyDescent="0.2">
      <c r="A112">
        <v>2021</v>
      </c>
      <c r="B112" t="s">
        <v>708</v>
      </c>
      <c r="C112" t="str">
        <f t="shared" si="1"/>
        <v>Democrat</v>
      </c>
      <c r="D112">
        <v>1.0912563393559223</v>
      </c>
      <c r="E112">
        <v>0.61755491802748963</v>
      </c>
      <c r="F112" s="16"/>
      <c r="G112" s="13"/>
      <c r="H112" s="13"/>
      <c r="I112" s="13"/>
      <c r="J112" s="16"/>
      <c r="K112" s="16"/>
    </row>
    <row r="113" spans="1:11" x14ac:dyDescent="0.2">
      <c r="A113">
        <v>2022</v>
      </c>
      <c r="B113" t="s">
        <v>708</v>
      </c>
      <c r="C113" t="str">
        <f t="shared" si="1"/>
        <v>Democrat</v>
      </c>
      <c r="D113">
        <v>0.89611675842831617</v>
      </c>
      <c r="E113">
        <v>0.63877184839584455</v>
      </c>
      <c r="F113" s="16"/>
      <c r="G113" s="13"/>
      <c r="H113" s="13"/>
      <c r="I113" s="13"/>
      <c r="J113" s="16"/>
      <c r="K113" s="16"/>
    </row>
    <row r="114" spans="1:11" x14ac:dyDescent="0.2">
      <c r="A114">
        <v>2015</v>
      </c>
      <c r="B114" t="s">
        <v>274</v>
      </c>
      <c r="C114" t="str">
        <f t="shared" si="1"/>
        <v>Democrat</v>
      </c>
      <c r="D114">
        <v>0.92668903238091715</v>
      </c>
      <c r="E114">
        <v>0.63095790065365542</v>
      </c>
      <c r="F114" s="16"/>
      <c r="G114" s="13"/>
      <c r="H114" s="13"/>
      <c r="I114" s="13"/>
      <c r="J114" s="16"/>
      <c r="K114" s="16"/>
    </row>
    <row r="115" spans="1:11" x14ac:dyDescent="0.2">
      <c r="A115">
        <v>2016</v>
      </c>
      <c r="B115" t="s">
        <v>274</v>
      </c>
      <c r="C115" t="str">
        <f t="shared" si="1"/>
        <v>Democrat</v>
      </c>
      <c r="D115">
        <v>0.84111500858823829</v>
      </c>
      <c r="E115">
        <v>0.52660224594982186</v>
      </c>
      <c r="F115" s="16"/>
      <c r="G115" s="13"/>
      <c r="H115" s="13"/>
      <c r="I115" s="13"/>
      <c r="J115" s="16"/>
      <c r="K115" s="16"/>
    </row>
    <row r="116" spans="1:11" x14ac:dyDescent="0.2">
      <c r="A116">
        <v>2017</v>
      </c>
      <c r="B116" t="s">
        <v>274</v>
      </c>
      <c r="C116" t="str">
        <f t="shared" si="1"/>
        <v>Democrat</v>
      </c>
      <c r="D116">
        <v>0.85310301160229374</v>
      </c>
      <c r="E116">
        <v>0.56425935661419702</v>
      </c>
      <c r="F116" s="16"/>
      <c r="G116" s="13"/>
      <c r="H116" s="13"/>
      <c r="I116" s="13"/>
      <c r="J116" s="16"/>
      <c r="K116" s="16"/>
    </row>
    <row r="117" spans="1:11" x14ac:dyDescent="0.2">
      <c r="A117">
        <v>2018</v>
      </c>
      <c r="B117" t="s">
        <v>274</v>
      </c>
      <c r="C117" t="str">
        <f t="shared" si="1"/>
        <v>Democrat</v>
      </c>
      <c r="D117">
        <v>0.87485697552459751</v>
      </c>
      <c r="E117">
        <v>0.60643584995914701</v>
      </c>
      <c r="F117" s="16"/>
      <c r="G117" s="13"/>
      <c r="H117" s="13"/>
      <c r="I117" s="13"/>
      <c r="J117" s="16"/>
      <c r="K117" s="16"/>
    </row>
    <row r="118" spans="1:11" x14ac:dyDescent="0.2">
      <c r="A118">
        <v>2019</v>
      </c>
      <c r="B118" t="s">
        <v>274</v>
      </c>
      <c r="C118" t="str">
        <f t="shared" si="1"/>
        <v>Democrat</v>
      </c>
      <c r="D118">
        <v>0.85409580638944727</v>
      </c>
      <c r="E118">
        <v>0.5601322692250158</v>
      </c>
      <c r="F118" s="16"/>
      <c r="G118" s="13"/>
      <c r="H118" s="13"/>
      <c r="I118" s="13"/>
      <c r="J118" s="16"/>
      <c r="K118" s="16"/>
    </row>
    <row r="119" spans="1:11" x14ac:dyDescent="0.2">
      <c r="A119">
        <v>2020</v>
      </c>
      <c r="B119" t="s">
        <v>274</v>
      </c>
      <c r="C119" t="str">
        <f t="shared" si="1"/>
        <v>Democrat</v>
      </c>
      <c r="D119">
        <v>0.87272066808552329</v>
      </c>
      <c r="E119">
        <v>0.54500554333746054</v>
      </c>
      <c r="F119" s="16"/>
      <c r="G119" s="13"/>
      <c r="H119" s="13"/>
      <c r="I119" s="13"/>
      <c r="J119" s="16"/>
      <c r="K119" s="16"/>
    </row>
    <row r="120" spans="1:11" x14ac:dyDescent="0.2">
      <c r="A120">
        <v>2021</v>
      </c>
      <c r="B120" t="s">
        <v>274</v>
      </c>
      <c r="C120" t="str">
        <f t="shared" si="1"/>
        <v>Democrat</v>
      </c>
      <c r="D120">
        <v>1.1047581787402785</v>
      </c>
      <c r="E120">
        <v>0.72389876011345544</v>
      </c>
      <c r="F120" s="16"/>
      <c r="G120" s="13"/>
      <c r="H120" s="13"/>
      <c r="I120" s="13"/>
      <c r="J120" s="16"/>
      <c r="K120" s="16"/>
    </row>
    <row r="121" spans="1:11" x14ac:dyDescent="0.2">
      <c r="A121">
        <v>2022</v>
      </c>
      <c r="B121" t="s">
        <v>274</v>
      </c>
      <c r="C121" t="str">
        <f t="shared" si="1"/>
        <v>Democrat</v>
      </c>
      <c r="D121">
        <v>0.88760901935146641</v>
      </c>
      <c r="E121">
        <v>0.62811394952796817</v>
      </c>
      <c r="F121" s="16"/>
      <c r="G121" s="13"/>
      <c r="H121" s="13"/>
      <c r="I121" s="13"/>
      <c r="J121" s="16"/>
      <c r="K121" s="16"/>
    </row>
    <row r="122" spans="1:11" x14ac:dyDescent="0.2">
      <c r="A122">
        <v>2015</v>
      </c>
      <c r="B122" t="s">
        <v>706</v>
      </c>
      <c r="C122" t="str">
        <f t="shared" si="1"/>
        <v>Democrat</v>
      </c>
      <c r="D122">
        <v>0.62420250258496057</v>
      </c>
      <c r="E122">
        <v>0.40984871151369162</v>
      </c>
      <c r="F122" s="16"/>
      <c r="G122" s="13"/>
      <c r="H122" s="13"/>
      <c r="I122" s="13"/>
      <c r="J122" s="16"/>
      <c r="K122" s="16"/>
    </row>
    <row r="123" spans="1:11" x14ac:dyDescent="0.2">
      <c r="A123">
        <v>2016</v>
      </c>
      <c r="B123" t="s">
        <v>706</v>
      </c>
      <c r="C123" t="str">
        <f t="shared" ref="C123:C186" si="2">VLOOKUP(B123,$H$2:$I$49,2,FALSE)</f>
        <v>Democrat</v>
      </c>
      <c r="D123">
        <v>0.51276865090330148</v>
      </c>
      <c r="E123">
        <v>0.29490606294204763</v>
      </c>
      <c r="F123" s="16"/>
      <c r="G123" s="13"/>
      <c r="H123" s="13"/>
      <c r="I123" s="13"/>
      <c r="J123" s="16"/>
      <c r="K123" s="16"/>
    </row>
    <row r="124" spans="1:11" x14ac:dyDescent="0.2">
      <c r="A124">
        <v>2017</v>
      </c>
      <c r="B124" t="s">
        <v>706</v>
      </c>
      <c r="C124" t="str">
        <f t="shared" si="2"/>
        <v>Democrat</v>
      </c>
      <c r="D124">
        <v>0.54796070360220706</v>
      </c>
      <c r="E124">
        <v>0.3524855808095923</v>
      </c>
      <c r="F124" s="16"/>
      <c r="G124" s="13"/>
      <c r="H124" s="13"/>
      <c r="I124" s="13"/>
      <c r="J124" s="16"/>
      <c r="K124" s="16"/>
    </row>
    <row r="125" spans="1:11" x14ac:dyDescent="0.2">
      <c r="A125">
        <v>2018</v>
      </c>
      <c r="B125" t="s">
        <v>706</v>
      </c>
      <c r="C125" t="str">
        <f t="shared" si="2"/>
        <v>Democrat</v>
      </c>
      <c r="D125">
        <v>0.55480781903481524</v>
      </c>
      <c r="E125">
        <v>0.36673261335841034</v>
      </c>
      <c r="F125" s="16"/>
      <c r="G125" s="13"/>
      <c r="H125" s="13"/>
      <c r="I125" s="13"/>
      <c r="J125" s="16"/>
      <c r="K125" s="16"/>
    </row>
    <row r="126" spans="1:11" x14ac:dyDescent="0.2">
      <c r="A126">
        <v>2019</v>
      </c>
      <c r="B126" t="s">
        <v>706</v>
      </c>
      <c r="C126" t="str">
        <f t="shared" si="2"/>
        <v>Democrat</v>
      </c>
      <c r="D126">
        <v>0.54869350188913091</v>
      </c>
      <c r="E126">
        <v>0.35074405265135911</v>
      </c>
      <c r="F126" s="16"/>
      <c r="G126" s="13"/>
      <c r="H126" s="13"/>
      <c r="I126" s="13"/>
      <c r="J126" s="16"/>
      <c r="K126" s="16"/>
    </row>
    <row r="127" spans="1:11" x14ac:dyDescent="0.2">
      <c r="A127">
        <v>2020</v>
      </c>
      <c r="B127" t="s">
        <v>706</v>
      </c>
      <c r="C127" t="str">
        <f t="shared" si="2"/>
        <v>Democrat</v>
      </c>
      <c r="D127">
        <v>0.53180014349183757</v>
      </c>
      <c r="E127">
        <v>0.3130827392606042</v>
      </c>
      <c r="F127" s="16"/>
      <c r="G127" s="13"/>
      <c r="H127" s="13"/>
      <c r="I127" s="13"/>
      <c r="J127" s="16"/>
      <c r="K127" s="16"/>
    </row>
    <row r="128" spans="1:11" x14ac:dyDescent="0.2">
      <c r="A128">
        <v>2021</v>
      </c>
      <c r="B128" t="s">
        <v>706</v>
      </c>
      <c r="C128" t="str">
        <f t="shared" si="2"/>
        <v>Democrat</v>
      </c>
      <c r="D128">
        <v>0.64254037847732948</v>
      </c>
      <c r="E128">
        <v>0.40044786895185275</v>
      </c>
      <c r="F128" s="16"/>
      <c r="G128" s="13"/>
      <c r="H128" s="13"/>
      <c r="I128" s="13"/>
      <c r="J128" s="16"/>
      <c r="K128" s="16"/>
    </row>
    <row r="129" spans="1:11" x14ac:dyDescent="0.2">
      <c r="A129">
        <v>2022</v>
      </c>
      <c r="B129" t="s">
        <v>706</v>
      </c>
      <c r="C129" t="str">
        <f t="shared" si="2"/>
        <v>Democrat</v>
      </c>
      <c r="D129">
        <v>0.62760108835656114</v>
      </c>
      <c r="E129">
        <v>0.43143270379271059</v>
      </c>
      <c r="F129" s="16"/>
      <c r="G129" s="13"/>
      <c r="H129" s="13"/>
      <c r="I129" s="13"/>
      <c r="J129" s="16"/>
      <c r="K129" s="16"/>
    </row>
    <row r="130" spans="1:11" x14ac:dyDescent="0.2">
      <c r="A130">
        <v>2015</v>
      </c>
      <c r="B130" t="s">
        <v>301</v>
      </c>
      <c r="C130" t="str">
        <f t="shared" si="2"/>
        <v>Republican</v>
      </c>
      <c r="D130">
        <v>0.91378287065832986</v>
      </c>
      <c r="E130">
        <v>0.61012996093180227</v>
      </c>
      <c r="F130" s="16"/>
      <c r="G130" s="13"/>
      <c r="H130" s="13"/>
      <c r="I130" s="13"/>
      <c r="J130" s="16"/>
      <c r="K130" s="16"/>
    </row>
    <row r="131" spans="1:11" x14ac:dyDescent="0.2">
      <c r="A131">
        <v>2016</v>
      </c>
      <c r="B131" t="s">
        <v>301</v>
      </c>
      <c r="C131" t="str">
        <f t="shared" si="2"/>
        <v>Republican</v>
      </c>
      <c r="D131">
        <v>0.87259678127209706</v>
      </c>
      <c r="E131">
        <v>0.5421900106676999</v>
      </c>
      <c r="F131" s="16"/>
      <c r="G131" s="13"/>
      <c r="H131" s="13"/>
      <c r="I131" s="13"/>
      <c r="J131" s="16"/>
      <c r="K131" s="16"/>
    </row>
    <row r="132" spans="1:11" x14ac:dyDescent="0.2">
      <c r="A132">
        <v>2017</v>
      </c>
      <c r="B132" t="s">
        <v>301</v>
      </c>
      <c r="C132" t="str">
        <f t="shared" si="2"/>
        <v>Republican</v>
      </c>
      <c r="D132">
        <v>0.90681874647975746</v>
      </c>
      <c r="E132">
        <v>0.59620812752209473</v>
      </c>
      <c r="F132" s="16"/>
      <c r="G132" s="13"/>
      <c r="H132" s="13"/>
      <c r="I132" s="13"/>
      <c r="J132" s="16"/>
      <c r="K132" s="16"/>
    </row>
    <row r="133" spans="1:11" x14ac:dyDescent="0.2">
      <c r="A133">
        <v>2018</v>
      </c>
      <c r="B133" t="s">
        <v>301</v>
      </c>
      <c r="C133" t="str">
        <f t="shared" si="2"/>
        <v>Republican</v>
      </c>
      <c r="D133">
        <v>0.91689968274657896</v>
      </c>
      <c r="E133">
        <v>0.62029409836013927</v>
      </c>
      <c r="F133" s="16"/>
      <c r="G133" s="13"/>
      <c r="H133" s="13"/>
      <c r="I133" s="13"/>
      <c r="J133" s="16"/>
      <c r="K133" s="16"/>
    </row>
    <row r="134" spans="1:11" x14ac:dyDescent="0.2">
      <c r="A134">
        <v>2019</v>
      </c>
      <c r="B134" t="s">
        <v>301</v>
      </c>
      <c r="C134" t="str">
        <f t="shared" si="2"/>
        <v>Republican</v>
      </c>
      <c r="D134">
        <v>0.93789907520477467</v>
      </c>
      <c r="E134">
        <v>0.60066390050657514</v>
      </c>
      <c r="F134" s="16"/>
      <c r="G134" s="13"/>
      <c r="H134" s="13"/>
      <c r="I134" s="13"/>
      <c r="J134" s="16"/>
      <c r="K134" s="16"/>
    </row>
    <row r="135" spans="1:11" x14ac:dyDescent="0.2">
      <c r="A135">
        <v>2020</v>
      </c>
      <c r="B135" t="s">
        <v>301</v>
      </c>
      <c r="C135" t="str">
        <f t="shared" si="2"/>
        <v>Republican</v>
      </c>
      <c r="D135">
        <v>0.88221014169842005</v>
      </c>
      <c r="E135">
        <v>0.5393709407029823</v>
      </c>
      <c r="F135" s="16"/>
      <c r="G135" s="13"/>
      <c r="H135" s="13"/>
      <c r="I135" s="13"/>
      <c r="J135" s="16"/>
      <c r="K135" s="16"/>
    </row>
    <row r="136" spans="1:11" x14ac:dyDescent="0.2">
      <c r="A136">
        <v>2021</v>
      </c>
      <c r="B136" t="s">
        <v>301</v>
      </c>
      <c r="C136" t="str">
        <f t="shared" si="2"/>
        <v>Republican</v>
      </c>
      <c r="D136">
        <v>1.0036409349741036</v>
      </c>
      <c r="E136">
        <v>0.63207364245068698</v>
      </c>
      <c r="F136" s="16"/>
      <c r="G136" s="13"/>
      <c r="H136" s="13"/>
      <c r="I136" s="13"/>
      <c r="J136" s="16"/>
      <c r="K136" s="16"/>
    </row>
    <row r="137" spans="1:11" x14ac:dyDescent="0.2">
      <c r="A137">
        <v>2022</v>
      </c>
      <c r="B137" t="s">
        <v>301</v>
      </c>
      <c r="C137" t="str">
        <f t="shared" si="2"/>
        <v>Republican</v>
      </c>
      <c r="D137">
        <v>0.83086925020492097</v>
      </c>
      <c r="E137">
        <v>0.58757108665654556</v>
      </c>
      <c r="F137" s="16"/>
      <c r="G137" s="13"/>
      <c r="H137" s="13"/>
      <c r="I137" s="13"/>
      <c r="J137" s="16"/>
      <c r="K137" s="16"/>
    </row>
    <row r="138" spans="1:11" x14ac:dyDescent="0.2">
      <c r="A138">
        <v>2015</v>
      </c>
      <c r="B138" t="s">
        <v>313</v>
      </c>
      <c r="C138" t="str">
        <f t="shared" si="2"/>
        <v>Democrat</v>
      </c>
      <c r="D138">
        <v>0.41465479383116716</v>
      </c>
      <c r="E138">
        <v>0.2600474248732712</v>
      </c>
      <c r="F138" s="16"/>
      <c r="G138" s="13"/>
      <c r="H138" s="13"/>
      <c r="I138" s="13"/>
      <c r="J138" s="16"/>
      <c r="K138" s="16"/>
    </row>
    <row r="139" spans="1:11" x14ac:dyDescent="0.2">
      <c r="A139">
        <v>2016</v>
      </c>
      <c r="B139" t="s">
        <v>313</v>
      </c>
      <c r="C139" t="str">
        <f t="shared" si="2"/>
        <v>Democrat</v>
      </c>
      <c r="D139">
        <v>0.36437755889801127</v>
      </c>
      <c r="E139">
        <v>0.20996531496093979</v>
      </c>
      <c r="F139" s="16"/>
      <c r="G139" s="13"/>
      <c r="H139" s="13"/>
      <c r="I139" s="13"/>
      <c r="J139" s="16"/>
      <c r="K139" s="16"/>
    </row>
    <row r="140" spans="1:11" x14ac:dyDescent="0.2">
      <c r="A140">
        <v>2017</v>
      </c>
      <c r="B140" t="s">
        <v>313</v>
      </c>
      <c r="C140" t="str">
        <f t="shared" si="2"/>
        <v>Democrat</v>
      </c>
      <c r="D140">
        <v>0.39257510423116243</v>
      </c>
      <c r="E140">
        <v>0.25174520027598296</v>
      </c>
      <c r="F140" s="16"/>
      <c r="G140" s="13"/>
      <c r="H140" s="13"/>
      <c r="I140" s="13"/>
      <c r="J140" s="16"/>
      <c r="K140" s="16"/>
    </row>
    <row r="141" spans="1:11" x14ac:dyDescent="0.2">
      <c r="A141">
        <v>2018</v>
      </c>
      <c r="B141" t="s">
        <v>313</v>
      </c>
      <c r="C141" t="str">
        <f t="shared" si="2"/>
        <v>Democrat</v>
      </c>
      <c r="D141">
        <v>0.40002920230933936</v>
      </c>
      <c r="E141">
        <v>0.26570322039220767</v>
      </c>
      <c r="F141" s="16"/>
      <c r="G141" s="13"/>
      <c r="H141" s="13"/>
      <c r="I141" s="13"/>
      <c r="J141" s="16"/>
      <c r="K141" s="16"/>
    </row>
    <row r="142" spans="1:11" x14ac:dyDescent="0.2">
      <c r="A142">
        <v>2019</v>
      </c>
      <c r="B142" t="s">
        <v>313</v>
      </c>
      <c r="C142" t="str">
        <f t="shared" si="2"/>
        <v>Democrat</v>
      </c>
      <c r="D142">
        <v>0.39638617586665215</v>
      </c>
      <c r="E142">
        <v>0.24262707830192859</v>
      </c>
      <c r="F142" s="16"/>
      <c r="G142" s="13"/>
      <c r="H142" s="13"/>
      <c r="I142" s="13"/>
      <c r="J142" s="16"/>
      <c r="K142" s="16"/>
    </row>
    <row r="143" spans="1:11" x14ac:dyDescent="0.2">
      <c r="A143">
        <v>2020</v>
      </c>
      <c r="B143" t="s">
        <v>313</v>
      </c>
      <c r="C143" t="str">
        <f t="shared" si="2"/>
        <v>Democrat</v>
      </c>
      <c r="D143">
        <v>0.37764977373343206</v>
      </c>
      <c r="E143">
        <v>0.22395351999644778</v>
      </c>
      <c r="F143" s="16"/>
      <c r="G143" s="13"/>
      <c r="H143" s="13"/>
      <c r="I143" s="13"/>
      <c r="J143" s="16"/>
      <c r="K143" s="16"/>
    </row>
    <row r="144" spans="1:11" x14ac:dyDescent="0.2">
      <c r="A144">
        <v>2021</v>
      </c>
      <c r="B144" t="s">
        <v>313</v>
      </c>
      <c r="C144" t="str">
        <f t="shared" si="2"/>
        <v>Democrat</v>
      </c>
      <c r="D144">
        <v>0.45148917024780078</v>
      </c>
      <c r="E144">
        <v>0.2843045143449548</v>
      </c>
      <c r="F144" s="16"/>
      <c r="G144" s="13"/>
      <c r="H144" s="13"/>
      <c r="I144" s="13"/>
      <c r="J144" s="16"/>
      <c r="K144" s="16"/>
    </row>
    <row r="145" spans="1:11" x14ac:dyDescent="0.2">
      <c r="A145">
        <v>2022</v>
      </c>
      <c r="B145" t="s">
        <v>313</v>
      </c>
      <c r="C145" t="str">
        <f t="shared" si="2"/>
        <v>Democrat</v>
      </c>
      <c r="D145">
        <v>0.42838978370802833</v>
      </c>
      <c r="E145">
        <v>0.29754134236032004</v>
      </c>
      <c r="F145" s="16"/>
      <c r="G145" s="13"/>
      <c r="H145" s="13"/>
      <c r="I145" s="13"/>
      <c r="J145" s="16"/>
      <c r="K145" s="16"/>
    </row>
    <row r="146" spans="1:11" x14ac:dyDescent="0.2">
      <c r="A146">
        <v>2015</v>
      </c>
      <c r="B146" t="s">
        <v>313</v>
      </c>
      <c r="C146" t="str">
        <f t="shared" si="2"/>
        <v>Democrat</v>
      </c>
      <c r="D146">
        <v>0.51609337976019654</v>
      </c>
      <c r="E146">
        <v>0.32390541465478745</v>
      </c>
      <c r="F146" s="16"/>
      <c r="G146" s="13"/>
      <c r="H146" s="13"/>
      <c r="I146" s="13"/>
      <c r="J146" s="16"/>
      <c r="K146" s="16"/>
    </row>
    <row r="147" spans="1:11" x14ac:dyDescent="0.2">
      <c r="A147">
        <v>2016</v>
      </c>
      <c r="B147" t="s">
        <v>313</v>
      </c>
      <c r="C147" t="str">
        <f t="shared" si="2"/>
        <v>Democrat</v>
      </c>
      <c r="D147">
        <v>0.47874281936446239</v>
      </c>
      <c r="E147">
        <v>0.28134273035139451</v>
      </c>
      <c r="F147" s="16"/>
      <c r="G147" s="13"/>
      <c r="H147" s="13"/>
      <c r="I147" s="13"/>
      <c r="J147" s="16"/>
      <c r="K147" s="16"/>
    </row>
    <row r="148" spans="1:11" x14ac:dyDescent="0.2">
      <c r="A148">
        <v>2017</v>
      </c>
      <c r="B148" t="s">
        <v>313</v>
      </c>
      <c r="C148" t="str">
        <f t="shared" si="2"/>
        <v>Democrat</v>
      </c>
      <c r="D148">
        <v>0.46571299950883671</v>
      </c>
      <c r="E148">
        <v>0.29341622531944345</v>
      </c>
      <c r="F148" s="16"/>
      <c r="G148" s="13"/>
      <c r="H148" s="13"/>
      <c r="I148" s="13"/>
      <c r="J148" s="16"/>
      <c r="K148" s="16"/>
    </row>
    <row r="149" spans="1:11" x14ac:dyDescent="0.2">
      <c r="A149">
        <v>2018</v>
      </c>
      <c r="B149" t="s">
        <v>313</v>
      </c>
      <c r="C149" t="str">
        <f t="shared" si="2"/>
        <v>Democrat</v>
      </c>
      <c r="D149">
        <v>0.45237900765630429</v>
      </c>
      <c r="E149">
        <v>0.30359960114482548</v>
      </c>
      <c r="F149" s="16"/>
      <c r="G149" s="13"/>
      <c r="H149" s="13"/>
      <c r="I149" s="13"/>
      <c r="J149" s="16"/>
      <c r="K149" s="16"/>
    </row>
    <row r="150" spans="1:11" x14ac:dyDescent="0.2">
      <c r="A150">
        <v>2019</v>
      </c>
      <c r="B150" t="s">
        <v>313</v>
      </c>
      <c r="C150" t="str">
        <f t="shared" si="2"/>
        <v>Democrat</v>
      </c>
      <c r="D150">
        <v>0.43863778446461815</v>
      </c>
      <c r="E150">
        <v>0.28498667879019463</v>
      </c>
      <c r="F150" s="16"/>
      <c r="G150" s="13"/>
      <c r="H150" s="13"/>
      <c r="I150" s="13"/>
      <c r="J150" s="16"/>
      <c r="K150" s="16"/>
    </row>
    <row r="151" spans="1:11" x14ac:dyDescent="0.2">
      <c r="A151">
        <v>2020</v>
      </c>
      <c r="B151" t="s">
        <v>313</v>
      </c>
      <c r="C151" t="str">
        <f t="shared" si="2"/>
        <v>Democrat</v>
      </c>
      <c r="D151">
        <v>0.41463029703124193</v>
      </c>
      <c r="E151">
        <v>0.25260502237043159</v>
      </c>
      <c r="F151" s="16"/>
      <c r="G151" s="13"/>
      <c r="H151" s="13"/>
      <c r="I151" s="13"/>
      <c r="J151" s="16"/>
      <c r="K151" s="16"/>
    </row>
    <row r="152" spans="1:11" x14ac:dyDescent="0.2">
      <c r="A152">
        <v>2021</v>
      </c>
      <c r="B152" t="s">
        <v>313</v>
      </c>
      <c r="C152" t="str">
        <f t="shared" si="2"/>
        <v>Democrat</v>
      </c>
      <c r="D152">
        <v>0.47590132983986627</v>
      </c>
      <c r="E152">
        <v>0.3117109375906949</v>
      </c>
      <c r="F152" s="16"/>
      <c r="G152" s="13"/>
      <c r="H152" s="13"/>
      <c r="I152" s="13"/>
      <c r="J152" s="16"/>
      <c r="K152" s="16"/>
    </row>
    <row r="153" spans="1:11" x14ac:dyDescent="0.2">
      <c r="A153">
        <v>2022</v>
      </c>
      <c r="B153" t="s">
        <v>313</v>
      </c>
      <c r="C153" t="str">
        <f t="shared" si="2"/>
        <v>Democrat</v>
      </c>
      <c r="D153">
        <v>0.42355370547056959</v>
      </c>
      <c r="E153">
        <v>0.31893616510035455</v>
      </c>
      <c r="F153" s="16"/>
      <c r="G153" s="13"/>
      <c r="H153" s="13"/>
      <c r="I153" s="13"/>
      <c r="J153" s="16"/>
      <c r="K153" s="16"/>
    </row>
    <row r="154" spans="1:11" x14ac:dyDescent="0.2">
      <c r="A154">
        <v>2015</v>
      </c>
      <c r="B154" t="s">
        <v>353</v>
      </c>
      <c r="C154" t="str">
        <f t="shared" si="2"/>
        <v>Democrat</v>
      </c>
      <c r="D154">
        <v>0.85194975385684757</v>
      </c>
      <c r="E154">
        <v>0.55395250561149112</v>
      </c>
      <c r="F154" s="16"/>
      <c r="G154" s="13"/>
      <c r="H154" s="13"/>
      <c r="I154" s="13"/>
      <c r="J154" s="16"/>
      <c r="K154" s="16"/>
    </row>
    <row r="155" spans="1:11" x14ac:dyDescent="0.2">
      <c r="A155">
        <v>2016</v>
      </c>
      <c r="B155" t="s">
        <v>353</v>
      </c>
      <c r="C155" t="str">
        <f t="shared" si="2"/>
        <v>Democrat</v>
      </c>
      <c r="D155">
        <v>0.81821604194761777</v>
      </c>
      <c r="E155">
        <v>0.49924427141776773</v>
      </c>
      <c r="F155" s="16"/>
      <c r="G155" s="13"/>
      <c r="H155" s="13"/>
      <c r="I155" s="13"/>
      <c r="J155" s="16"/>
      <c r="K155" s="16"/>
    </row>
    <row r="156" spans="1:11" x14ac:dyDescent="0.2">
      <c r="A156">
        <v>2017</v>
      </c>
      <c r="B156" t="s">
        <v>353</v>
      </c>
      <c r="C156" t="str">
        <f t="shared" si="2"/>
        <v>Democrat</v>
      </c>
      <c r="D156">
        <v>0.82208338579451457</v>
      </c>
      <c r="E156">
        <v>0.52600733606308203</v>
      </c>
      <c r="F156" s="16"/>
      <c r="G156" s="13"/>
      <c r="H156" s="13"/>
      <c r="I156" s="13"/>
      <c r="J156" s="16"/>
      <c r="K156" s="16"/>
    </row>
    <row r="157" spans="1:11" x14ac:dyDescent="0.2">
      <c r="A157">
        <v>2018</v>
      </c>
      <c r="B157" t="s">
        <v>353</v>
      </c>
      <c r="C157" t="str">
        <f t="shared" si="2"/>
        <v>Democrat</v>
      </c>
      <c r="D157">
        <v>0.83623757605970561</v>
      </c>
      <c r="E157">
        <v>0.5734611933980529</v>
      </c>
      <c r="F157" s="16"/>
      <c r="G157" s="13"/>
      <c r="H157" s="13"/>
      <c r="I157" s="13"/>
      <c r="J157" s="16"/>
      <c r="K157" s="16"/>
    </row>
    <row r="158" spans="1:11" x14ac:dyDescent="0.2">
      <c r="A158">
        <v>2019</v>
      </c>
      <c r="B158" t="s">
        <v>353</v>
      </c>
      <c r="C158" t="str">
        <f t="shared" si="2"/>
        <v>Democrat</v>
      </c>
      <c r="D158">
        <v>0.85451097512071139</v>
      </c>
      <c r="E158">
        <v>0.55424511730997761</v>
      </c>
      <c r="F158" s="16"/>
      <c r="G158" s="13"/>
      <c r="H158" s="13"/>
      <c r="I158" s="13"/>
      <c r="J158" s="16"/>
      <c r="K158" s="16"/>
    </row>
    <row r="159" spans="1:11" x14ac:dyDescent="0.2">
      <c r="A159">
        <v>2020</v>
      </c>
      <c r="B159" t="s">
        <v>353</v>
      </c>
      <c r="C159" t="str">
        <f t="shared" si="2"/>
        <v>Democrat</v>
      </c>
      <c r="D159">
        <v>0.82896711146465463</v>
      </c>
      <c r="E159">
        <v>0.51115097780249596</v>
      </c>
      <c r="F159" s="16"/>
      <c r="G159" s="13"/>
      <c r="H159" s="13"/>
      <c r="I159" s="13"/>
      <c r="J159" s="16"/>
      <c r="K159" s="16"/>
    </row>
    <row r="160" spans="1:11" x14ac:dyDescent="0.2">
      <c r="A160">
        <v>2021</v>
      </c>
      <c r="B160" t="s">
        <v>353</v>
      </c>
      <c r="C160" t="str">
        <f t="shared" si="2"/>
        <v>Democrat</v>
      </c>
      <c r="D160">
        <v>1.0081144634663692</v>
      </c>
      <c r="E160">
        <v>0.65310721203283495</v>
      </c>
      <c r="F160" s="16"/>
      <c r="G160" s="13"/>
      <c r="H160" s="13"/>
      <c r="I160" s="13"/>
      <c r="J160" s="16"/>
      <c r="K160" s="16"/>
    </row>
    <row r="161" spans="1:11" x14ac:dyDescent="0.2">
      <c r="A161">
        <v>2022</v>
      </c>
      <c r="B161" t="s">
        <v>353</v>
      </c>
      <c r="C161" t="str">
        <f t="shared" si="2"/>
        <v>Democrat</v>
      </c>
      <c r="D161">
        <v>0.9140656927159978</v>
      </c>
      <c r="E161">
        <v>0.71099318215807539</v>
      </c>
      <c r="F161" s="16"/>
      <c r="G161" s="13"/>
      <c r="H161" s="13"/>
      <c r="I161" s="13"/>
      <c r="J161" s="16"/>
      <c r="K161" s="16"/>
    </row>
    <row r="162" spans="1:11" x14ac:dyDescent="0.2">
      <c r="A162">
        <v>2015</v>
      </c>
      <c r="B162" t="s">
        <v>363</v>
      </c>
      <c r="C162" t="str">
        <f t="shared" si="2"/>
        <v>Democrat</v>
      </c>
      <c r="D162">
        <v>0.64945791775282025</v>
      </c>
      <c r="E162">
        <v>0.41358062047844418</v>
      </c>
      <c r="F162" s="16"/>
      <c r="G162" s="13"/>
      <c r="H162" s="13"/>
      <c r="I162" s="13"/>
      <c r="J162" s="16"/>
      <c r="K162" s="16"/>
    </row>
    <row r="163" spans="1:11" x14ac:dyDescent="0.2">
      <c r="A163">
        <v>2016</v>
      </c>
      <c r="B163" t="s">
        <v>363</v>
      </c>
      <c r="C163" t="str">
        <f t="shared" si="2"/>
        <v>Democrat</v>
      </c>
      <c r="D163">
        <v>0.65096863986640485</v>
      </c>
      <c r="E163">
        <v>0.39176599940392987</v>
      </c>
      <c r="F163" s="16"/>
      <c r="G163" s="13"/>
      <c r="H163" s="13"/>
      <c r="I163" s="13"/>
      <c r="J163" s="16"/>
      <c r="K163" s="16"/>
    </row>
    <row r="164" spans="1:11" x14ac:dyDescent="0.2">
      <c r="A164">
        <v>2017</v>
      </c>
      <c r="B164" t="s">
        <v>363</v>
      </c>
      <c r="C164" t="str">
        <f t="shared" si="2"/>
        <v>Democrat</v>
      </c>
      <c r="D164">
        <v>0.67118814252435544</v>
      </c>
      <c r="E164">
        <v>0.41890640875991286</v>
      </c>
      <c r="F164" s="16"/>
      <c r="G164" s="13"/>
      <c r="H164" s="13"/>
      <c r="I164" s="13"/>
      <c r="J164" s="16"/>
      <c r="K164" s="16"/>
    </row>
    <row r="165" spans="1:11" x14ac:dyDescent="0.2">
      <c r="A165">
        <v>2018</v>
      </c>
      <c r="B165" t="s">
        <v>363</v>
      </c>
      <c r="C165" t="str">
        <f t="shared" si="2"/>
        <v>Democrat</v>
      </c>
      <c r="D165">
        <v>0.68875772308960237</v>
      </c>
      <c r="E165">
        <v>0.4526101327178943</v>
      </c>
      <c r="F165" s="16"/>
      <c r="G165" s="13"/>
      <c r="H165" s="13"/>
      <c r="I165" s="13"/>
      <c r="J165" s="16"/>
      <c r="K165" s="16"/>
    </row>
    <row r="166" spans="1:11" x14ac:dyDescent="0.2">
      <c r="A166">
        <v>2019</v>
      </c>
      <c r="B166" t="s">
        <v>363</v>
      </c>
      <c r="C166" t="str">
        <f t="shared" si="2"/>
        <v>Democrat</v>
      </c>
      <c r="D166">
        <v>0.6987807377437536</v>
      </c>
      <c r="E166">
        <v>0.4331145611943486</v>
      </c>
      <c r="F166" s="16"/>
      <c r="G166" s="13"/>
      <c r="H166" s="13"/>
      <c r="I166" s="13"/>
      <c r="J166" s="16"/>
      <c r="K166" s="16"/>
    </row>
    <row r="167" spans="1:11" x14ac:dyDescent="0.2">
      <c r="A167">
        <v>2020</v>
      </c>
      <c r="B167" t="s">
        <v>363</v>
      </c>
      <c r="C167" t="str">
        <f t="shared" si="2"/>
        <v>Democrat</v>
      </c>
      <c r="D167">
        <v>0.66301746896174796</v>
      </c>
      <c r="E167">
        <v>0.39509482311028338</v>
      </c>
      <c r="F167" s="16"/>
      <c r="G167" s="13"/>
      <c r="H167" s="13"/>
      <c r="I167" s="13"/>
      <c r="J167" s="16"/>
      <c r="K167" s="16"/>
    </row>
    <row r="168" spans="1:11" x14ac:dyDescent="0.2">
      <c r="A168">
        <v>2021</v>
      </c>
      <c r="B168" t="s">
        <v>363</v>
      </c>
      <c r="C168" t="str">
        <f t="shared" si="2"/>
        <v>Democrat</v>
      </c>
      <c r="D168">
        <v>0.76403944618459119</v>
      </c>
      <c r="E168">
        <v>0.4819530145974637</v>
      </c>
      <c r="F168" s="16"/>
      <c r="G168" s="13"/>
      <c r="H168" s="13"/>
      <c r="I168" s="13"/>
      <c r="J168" s="16"/>
      <c r="K168" s="16"/>
    </row>
    <row r="169" spans="1:11" x14ac:dyDescent="0.2">
      <c r="A169">
        <v>2022</v>
      </c>
      <c r="B169" t="s">
        <v>363</v>
      </c>
      <c r="C169" t="str">
        <f t="shared" si="2"/>
        <v>Democrat</v>
      </c>
      <c r="D169">
        <v>0.69751703007109367</v>
      </c>
      <c r="E169">
        <v>0.47568268473048514</v>
      </c>
      <c r="F169" s="16"/>
      <c r="G169" s="13"/>
      <c r="H169" s="13"/>
      <c r="I169" s="13"/>
      <c r="J169" s="16"/>
      <c r="K169" s="16"/>
    </row>
    <row r="170" spans="1:11" x14ac:dyDescent="0.2">
      <c r="A170">
        <v>2015</v>
      </c>
      <c r="B170" t="s">
        <v>375</v>
      </c>
      <c r="C170" t="str">
        <f t="shared" si="2"/>
        <v>Democrat</v>
      </c>
      <c r="D170">
        <v>0.42491840055650276</v>
      </c>
      <c r="E170">
        <v>0.26417196820070266</v>
      </c>
      <c r="F170" s="16"/>
      <c r="G170" s="13"/>
      <c r="H170" s="13"/>
      <c r="I170" s="13"/>
      <c r="J170" s="16"/>
      <c r="K170" s="16"/>
    </row>
    <row r="171" spans="1:11" x14ac:dyDescent="0.2">
      <c r="A171">
        <v>2016</v>
      </c>
      <c r="B171" t="s">
        <v>375</v>
      </c>
      <c r="C171" t="str">
        <f t="shared" si="2"/>
        <v>Democrat</v>
      </c>
      <c r="D171">
        <v>0.3521978102432749</v>
      </c>
      <c r="E171">
        <v>0.19969863165734261</v>
      </c>
      <c r="F171" s="16"/>
      <c r="G171" s="13"/>
      <c r="H171" s="13"/>
      <c r="I171" s="13"/>
      <c r="J171" s="16"/>
      <c r="K171" s="16"/>
    </row>
    <row r="172" spans="1:11" x14ac:dyDescent="0.2">
      <c r="A172">
        <v>2017</v>
      </c>
      <c r="B172" t="s">
        <v>375</v>
      </c>
      <c r="C172" t="str">
        <f t="shared" si="2"/>
        <v>Democrat</v>
      </c>
      <c r="D172">
        <v>0.39831732706973444</v>
      </c>
      <c r="E172">
        <v>0.24181388880246862</v>
      </c>
      <c r="F172" s="16"/>
      <c r="G172" s="13"/>
      <c r="H172" s="13"/>
      <c r="I172" s="13"/>
      <c r="J172" s="16"/>
      <c r="K172" s="16"/>
    </row>
    <row r="173" spans="1:11" x14ac:dyDescent="0.2">
      <c r="A173">
        <v>2018</v>
      </c>
      <c r="B173" t="s">
        <v>375</v>
      </c>
      <c r="C173" t="str">
        <f t="shared" si="2"/>
        <v>Democrat</v>
      </c>
      <c r="D173">
        <v>0.59277631449939039</v>
      </c>
      <c r="E173">
        <v>0.39910986259169284</v>
      </c>
      <c r="F173" s="16"/>
      <c r="G173" s="13"/>
      <c r="H173" s="13"/>
      <c r="I173" s="13"/>
      <c r="J173" s="16"/>
      <c r="K173" s="16"/>
    </row>
    <row r="174" spans="1:11" x14ac:dyDescent="0.2">
      <c r="A174">
        <v>2019</v>
      </c>
      <c r="B174" t="s">
        <v>375</v>
      </c>
      <c r="C174" t="str">
        <f t="shared" si="2"/>
        <v>Democrat</v>
      </c>
      <c r="D174">
        <v>0.58764907456832971</v>
      </c>
      <c r="E174">
        <v>0.37600602111026232</v>
      </c>
      <c r="F174" s="16"/>
      <c r="G174" s="13"/>
      <c r="H174" s="13"/>
      <c r="I174" s="13"/>
      <c r="J174" s="16"/>
      <c r="K174" s="16"/>
    </row>
    <row r="175" spans="1:11" x14ac:dyDescent="0.2">
      <c r="A175">
        <v>2020</v>
      </c>
      <c r="B175" t="s">
        <v>375</v>
      </c>
      <c r="C175" t="str">
        <f t="shared" si="2"/>
        <v>Democrat</v>
      </c>
      <c r="D175">
        <v>0.58272322536981769</v>
      </c>
      <c r="E175">
        <v>0.3583450464511771</v>
      </c>
      <c r="F175" s="16"/>
      <c r="G175" s="13"/>
      <c r="H175" s="13"/>
      <c r="I175" s="13"/>
      <c r="J175" s="16"/>
      <c r="K175" s="16"/>
    </row>
    <row r="176" spans="1:11" x14ac:dyDescent="0.2">
      <c r="A176">
        <v>2021</v>
      </c>
      <c r="B176" t="s">
        <v>375</v>
      </c>
      <c r="C176" t="str">
        <f t="shared" si="2"/>
        <v>Democrat</v>
      </c>
      <c r="D176">
        <v>0.65591176495357406</v>
      </c>
      <c r="E176">
        <v>0.41129374343731379</v>
      </c>
      <c r="F176" s="16"/>
      <c r="G176" s="13"/>
      <c r="H176" s="13"/>
      <c r="I176" s="13"/>
      <c r="J176" s="16"/>
      <c r="K176" s="16"/>
    </row>
    <row r="177" spans="1:11" x14ac:dyDescent="0.2">
      <c r="A177">
        <v>2022</v>
      </c>
      <c r="B177" t="s">
        <v>375</v>
      </c>
      <c r="C177" t="str">
        <f t="shared" si="2"/>
        <v>Democrat</v>
      </c>
      <c r="D177">
        <v>0.56406201167891612</v>
      </c>
      <c r="E177">
        <v>0.39368459443488091</v>
      </c>
      <c r="F177" s="16"/>
      <c r="G177" s="13"/>
      <c r="H177" s="13"/>
      <c r="I177" s="13"/>
      <c r="J177" s="16"/>
      <c r="K177" s="16"/>
    </row>
    <row r="178" spans="1:11" x14ac:dyDescent="0.2">
      <c r="A178">
        <v>2015</v>
      </c>
      <c r="B178" t="s">
        <v>388</v>
      </c>
      <c r="C178" t="str">
        <f t="shared" si="2"/>
        <v>Republican</v>
      </c>
      <c r="D178">
        <v>0.62465384801181623</v>
      </c>
      <c r="E178">
        <v>0.41901017744366648</v>
      </c>
      <c r="F178" s="16"/>
      <c r="G178" s="13"/>
      <c r="H178" s="13"/>
      <c r="I178" s="13"/>
      <c r="J178" s="16"/>
      <c r="K178" s="16"/>
    </row>
    <row r="179" spans="1:11" x14ac:dyDescent="0.2">
      <c r="A179">
        <v>2016</v>
      </c>
      <c r="B179" t="s">
        <v>388</v>
      </c>
      <c r="C179" t="str">
        <f t="shared" si="2"/>
        <v>Republican</v>
      </c>
      <c r="D179">
        <v>0.59904257259107063</v>
      </c>
      <c r="E179">
        <v>0.38132538380112047</v>
      </c>
      <c r="F179" s="16"/>
      <c r="G179" s="13"/>
      <c r="H179" s="13"/>
      <c r="I179" s="13"/>
      <c r="J179" s="16"/>
      <c r="K179" s="16"/>
    </row>
    <row r="180" spans="1:11" x14ac:dyDescent="0.2">
      <c r="A180">
        <v>2017</v>
      </c>
      <c r="B180" t="s">
        <v>388</v>
      </c>
      <c r="C180" t="str">
        <f t="shared" si="2"/>
        <v>Republican</v>
      </c>
      <c r="D180">
        <v>0.65554525703110045</v>
      </c>
      <c r="E180">
        <v>0.43828626455601899</v>
      </c>
      <c r="F180" s="16"/>
      <c r="G180" s="13"/>
      <c r="H180" s="13"/>
      <c r="I180" s="13"/>
      <c r="J180" s="16"/>
      <c r="K180" s="16"/>
    </row>
    <row r="181" spans="1:11" x14ac:dyDescent="0.2">
      <c r="A181">
        <v>2018</v>
      </c>
      <c r="B181" t="s">
        <v>388</v>
      </c>
      <c r="C181" t="str">
        <f t="shared" si="2"/>
        <v>Republican</v>
      </c>
      <c r="D181">
        <v>0.68165198056733534</v>
      </c>
      <c r="E181">
        <v>0.46894766952404338</v>
      </c>
      <c r="F181" s="16"/>
      <c r="G181" s="13"/>
      <c r="H181" s="13"/>
      <c r="I181" s="13"/>
      <c r="J181" s="16"/>
      <c r="K181" s="16"/>
    </row>
    <row r="182" spans="1:11" x14ac:dyDescent="0.2">
      <c r="A182">
        <v>2019</v>
      </c>
      <c r="B182" t="s">
        <v>388</v>
      </c>
      <c r="C182" t="str">
        <f t="shared" si="2"/>
        <v>Republican</v>
      </c>
      <c r="D182">
        <v>0.68567163508803575</v>
      </c>
      <c r="E182">
        <v>0.44731762027696476</v>
      </c>
      <c r="F182" s="16"/>
      <c r="G182" s="13"/>
      <c r="H182" s="13"/>
      <c r="I182" s="13"/>
      <c r="J182" s="16"/>
      <c r="K182" s="16"/>
    </row>
    <row r="183" spans="1:11" x14ac:dyDescent="0.2">
      <c r="A183">
        <v>2020</v>
      </c>
      <c r="B183" t="s">
        <v>388</v>
      </c>
      <c r="C183" t="str">
        <f t="shared" si="2"/>
        <v>Republican</v>
      </c>
      <c r="D183">
        <v>0.65605220169267575</v>
      </c>
      <c r="E183">
        <v>0.41394360230781468</v>
      </c>
      <c r="F183" s="16"/>
      <c r="G183" s="13"/>
      <c r="H183" s="13"/>
      <c r="I183" s="13"/>
      <c r="J183" s="16"/>
      <c r="K183" s="16"/>
    </row>
    <row r="184" spans="1:11" x14ac:dyDescent="0.2">
      <c r="A184">
        <v>2021</v>
      </c>
      <c r="B184" t="s">
        <v>388</v>
      </c>
      <c r="C184" t="str">
        <f t="shared" si="2"/>
        <v>Republican</v>
      </c>
      <c r="D184">
        <v>0.83850691375105357</v>
      </c>
      <c r="E184">
        <v>0.55395700989601759</v>
      </c>
      <c r="F184" s="16"/>
      <c r="G184" s="13"/>
      <c r="H184" s="13"/>
      <c r="I184" s="13"/>
      <c r="J184" s="16"/>
      <c r="K184" s="16"/>
    </row>
    <row r="185" spans="1:11" x14ac:dyDescent="0.2">
      <c r="A185">
        <v>2022</v>
      </c>
      <c r="B185" t="s">
        <v>388</v>
      </c>
      <c r="C185" t="str">
        <f t="shared" si="2"/>
        <v>Republican</v>
      </c>
      <c r="D185">
        <v>0.72401419093061847</v>
      </c>
      <c r="E185">
        <v>0.50991245577535793</v>
      </c>
      <c r="F185" s="16"/>
      <c r="G185" s="13"/>
      <c r="H185" s="13"/>
      <c r="I185" s="13"/>
      <c r="J185" s="16"/>
      <c r="K185" s="16"/>
    </row>
    <row r="186" spans="1:11" x14ac:dyDescent="0.2">
      <c r="A186">
        <v>2015</v>
      </c>
      <c r="B186" t="s">
        <v>399</v>
      </c>
      <c r="C186" t="str">
        <f t="shared" si="2"/>
        <v>Democrat</v>
      </c>
      <c r="D186">
        <v>0.81181615059660006</v>
      </c>
      <c r="E186">
        <v>0.54260171864084461</v>
      </c>
      <c r="F186" s="16"/>
      <c r="G186" s="13"/>
      <c r="H186" s="13"/>
      <c r="I186" s="13"/>
      <c r="J186" s="16"/>
      <c r="K186" s="16"/>
    </row>
    <row r="187" spans="1:11" x14ac:dyDescent="0.2">
      <c r="A187">
        <v>2016</v>
      </c>
      <c r="B187" t="s">
        <v>399</v>
      </c>
      <c r="C187" t="str">
        <f t="shared" ref="C187:C250" si="3">VLOOKUP(B187,$H$2:$I$49,2,FALSE)</f>
        <v>Democrat</v>
      </c>
      <c r="D187">
        <v>0.76207959400013237</v>
      </c>
      <c r="E187">
        <v>0.47187918759515679</v>
      </c>
      <c r="F187" s="16"/>
      <c r="G187" s="13"/>
      <c r="H187" s="13"/>
      <c r="I187" s="13"/>
      <c r="J187" s="16"/>
      <c r="K187" s="16"/>
    </row>
    <row r="188" spans="1:11" x14ac:dyDescent="0.2">
      <c r="A188">
        <v>2017</v>
      </c>
      <c r="B188" t="s">
        <v>399</v>
      </c>
      <c r="C188" t="str">
        <f t="shared" si="3"/>
        <v>Democrat</v>
      </c>
      <c r="D188">
        <v>0.80781485228611849</v>
      </c>
      <c r="E188">
        <v>0.54175373474557098</v>
      </c>
      <c r="F188" s="16"/>
      <c r="G188" s="13"/>
      <c r="H188" s="13"/>
      <c r="I188" s="13"/>
      <c r="J188" s="16"/>
      <c r="K188" s="16"/>
    </row>
    <row r="189" spans="1:11" x14ac:dyDescent="0.2">
      <c r="A189">
        <v>2018</v>
      </c>
      <c r="B189" t="s">
        <v>399</v>
      </c>
      <c r="C189" t="str">
        <f t="shared" si="3"/>
        <v>Democrat</v>
      </c>
      <c r="D189">
        <v>0.82902317323379893</v>
      </c>
      <c r="E189">
        <v>0.57354348477846206</v>
      </c>
      <c r="F189" s="16"/>
      <c r="G189" s="13"/>
      <c r="H189" s="13"/>
      <c r="I189" s="13"/>
      <c r="J189" s="16"/>
      <c r="K189" s="16"/>
    </row>
    <row r="190" spans="1:11" x14ac:dyDescent="0.2">
      <c r="A190">
        <v>2019</v>
      </c>
      <c r="B190" t="s">
        <v>399</v>
      </c>
      <c r="C190" t="str">
        <f t="shared" si="3"/>
        <v>Democrat</v>
      </c>
      <c r="D190">
        <v>0.82734450417100225</v>
      </c>
      <c r="E190">
        <v>0.55215221229044731</v>
      </c>
      <c r="F190" s="16"/>
      <c r="G190" s="13"/>
      <c r="H190" s="13"/>
      <c r="I190" s="13"/>
      <c r="J190" s="16"/>
      <c r="K190" s="16"/>
    </row>
    <row r="191" spans="1:11" x14ac:dyDescent="0.2">
      <c r="A191">
        <v>2020</v>
      </c>
      <c r="B191" t="s">
        <v>399</v>
      </c>
      <c r="C191" t="str">
        <f t="shared" si="3"/>
        <v>Democrat</v>
      </c>
      <c r="D191">
        <v>0.81026211096057577</v>
      </c>
      <c r="E191">
        <v>0.51469590120699116</v>
      </c>
      <c r="F191" s="16"/>
      <c r="G191" s="13"/>
      <c r="H191" s="13"/>
      <c r="I191" s="13"/>
      <c r="J191" s="16"/>
      <c r="K191" s="16"/>
    </row>
    <row r="192" spans="1:11" x14ac:dyDescent="0.2">
      <c r="A192">
        <v>2021</v>
      </c>
      <c r="B192" t="s">
        <v>399</v>
      </c>
      <c r="C192" t="str">
        <f t="shared" si="3"/>
        <v>Democrat</v>
      </c>
      <c r="D192">
        <v>0.90900017941294697</v>
      </c>
      <c r="E192">
        <v>0.59480525923067873</v>
      </c>
      <c r="F192" s="16"/>
      <c r="G192" s="13"/>
      <c r="H192" s="13"/>
      <c r="I192" s="13"/>
      <c r="J192" s="16"/>
      <c r="K192" s="16"/>
    </row>
    <row r="193" spans="1:11" x14ac:dyDescent="0.2">
      <c r="A193">
        <v>2022</v>
      </c>
      <c r="B193" t="s">
        <v>399</v>
      </c>
      <c r="C193" t="str">
        <f t="shared" si="3"/>
        <v>Democrat</v>
      </c>
      <c r="D193">
        <v>0.85790109783466906</v>
      </c>
      <c r="E193">
        <v>0.62257076538491285</v>
      </c>
      <c r="F193" s="16"/>
      <c r="G193" s="13"/>
      <c r="H193" s="13"/>
      <c r="I193" s="13"/>
      <c r="J193" s="16"/>
      <c r="K193" s="16"/>
    </row>
    <row r="194" spans="1:11" x14ac:dyDescent="0.2">
      <c r="A194">
        <v>2015</v>
      </c>
      <c r="B194" t="s">
        <v>411</v>
      </c>
      <c r="C194" t="str">
        <f t="shared" si="3"/>
        <v>Democrat</v>
      </c>
      <c r="D194">
        <v>0.70755881661627851</v>
      </c>
      <c r="E194">
        <v>0.44281071939242023</v>
      </c>
      <c r="F194" s="16"/>
      <c r="G194" s="13"/>
      <c r="H194" s="13"/>
      <c r="I194" s="13"/>
      <c r="J194" s="16"/>
      <c r="K194" s="16"/>
    </row>
    <row r="195" spans="1:11" x14ac:dyDescent="0.2">
      <c r="A195">
        <v>2016</v>
      </c>
      <c r="B195" t="s">
        <v>411</v>
      </c>
      <c r="C195" t="str">
        <f t="shared" si="3"/>
        <v>Democrat</v>
      </c>
      <c r="D195">
        <v>0.67949391688404492</v>
      </c>
      <c r="E195">
        <v>0.40031482639284027</v>
      </c>
      <c r="F195" s="16"/>
      <c r="G195" s="13"/>
      <c r="H195" s="13"/>
      <c r="I195" s="13"/>
      <c r="J195" s="16"/>
      <c r="K195" s="16"/>
    </row>
    <row r="196" spans="1:11" x14ac:dyDescent="0.2">
      <c r="A196">
        <v>2017</v>
      </c>
      <c r="B196" t="s">
        <v>411</v>
      </c>
      <c r="C196" t="str">
        <f t="shared" si="3"/>
        <v>Democrat</v>
      </c>
      <c r="D196">
        <v>0.71412088734021317</v>
      </c>
      <c r="E196">
        <v>0.44571863251249422</v>
      </c>
      <c r="F196" s="16"/>
      <c r="G196" s="13"/>
      <c r="H196" s="13"/>
      <c r="I196" s="13"/>
      <c r="J196" s="16"/>
      <c r="K196" s="16"/>
    </row>
    <row r="197" spans="1:11" x14ac:dyDescent="0.2">
      <c r="A197">
        <v>2018</v>
      </c>
      <c r="B197" t="s">
        <v>411</v>
      </c>
      <c r="C197" t="str">
        <f t="shared" si="3"/>
        <v>Democrat</v>
      </c>
      <c r="D197">
        <v>0.73353298596648986</v>
      </c>
      <c r="E197">
        <v>0.47246970886733375</v>
      </c>
      <c r="F197" s="16"/>
      <c r="G197" s="13"/>
      <c r="H197" s="13"/>
      <c r="I197" s="13"/>
      <c r="J197" s="16"/>
      <c r="K197" s="16"/>
    </row>
    <row r="198" spans="1:11" x14ac:dyDescent="0.2">
      <c r="A198">
        <v>2019</v>
      </c>
      <c r="B198" t="s">
        <v>411</v>
      </c>
      <c r="C198" t="str">
        <f t="shared" si="3"/>
        <v>Democrat</v>
      </c>
      <c r="D198">
        <v>0.75427698411130795</v>
      </c>
      <c r="E198">
        <v>0.46896282763196312</v>
      </c>
      <c r="F198" s="16"/>
      <c r="G198" s="13"/>
      <c r="H198" s="13"/>
      <c r="I198" s="13"/>
      <c r="J198" s="16"/>
      <c r="K198" s="16"/>
    </row>
    <row r="199" spans="1:11" x14ac:dyDescent="0.2">
      <c r="A199">
        <v>2020</v>
      </c>
      <c r="B199" t="s">
        <v>411</v>
      </c>
      <c r="C199" t="str">
        <f t="shared" si="3"/>
        <v>Democrat</v>
      </c>
      <c r="D199">
        <v>0.73842063893783783</v>
      </c>
      <c r="E199">
        <v>0.43310146676293809</v>
      </c>
      <c r="F199" s="16"/>
      <c r="G199" s="13"/>
      <c r="H199" s="13"/>
      <c r="I199" s="13"/>
      <c r="J199" s="16"/>
      <c r="K199" s="16"/>
    </row>
    <row r="200" spans="1:11" x14ac:dyDescent="0.2">
      <c r="A200">
        <v>2021</v>
      </c>
      <c r="B200" t="s">
        <v>411</v>
      </c>
      <c r="C200" t="str">
        <f t="shared" si="3"/>
        <v>Democrat</v>
      </c>
      <c r="D200">
        <v>0.85401832611304862</v>
      </c>
      <c r="E200">
        <v>0.5217836569768548</v>
      </c>
      <c r="F200" s="16"/>
      <c r="G200" s="13"/>
      <c r="H200" s="13"/>
      <c r="I200" s="13"/>
      <c r="J200" s="16"/>
      <c r="K200" s="16"/>
    </row>
    <row r="201" spans="1:11" x14ac:dyDescent="0.2">
      <c r="A201">
        <v>2022</v>
      </c>
      <c r="B201" t="s">
        <v>411</v>
      </c>
      <c r="C201" t="str">
        <f t="shared" si="3"/>
        <v>Democrat</v>
      </c>
      <c r="D201">
        <v>0.79467580599940746</v>
      </c>
      <c r="E201">
        <v>0.5575188303598505</v>
      </c>
      <c r="F201" s="16"/>
      <c r="G201" s="13"/>
      <c r="H201" s="13"/>
      <c r="I201" s="13"/>
      <c r="J201" s="16"/>
      <c r="K201" s="16"/>
    </row>
    <row r="202" spans="1:11" x14ac:dyDescent="0.2">
      <c r="A202">
        <v>2015</v>
      </c>
      <c r="B202" t="s">
        <v>420</v>
      </c>
      <c r="C202" t="str">
        <f t="shared" si="3"/>
        <v>Democrat</v>
      </c>
      <c r="D202">
        <v>0.62922929732691324</v>
      </c>
      <c r="E202">
        <v>0.40064786335888153</v>
      </c>
      <c r="F202" s="16"/>
      <c r="G202" s="13"/>
      <c r="H202" s="13"/>
      <c r="I202" s="13"/>
      <c r="J202" s="16"/>
      <c r="K202" s="16"/>
    </row>
    <row r="203" spans="1:11" x14ac:dyDescent="0.2">
      <c r="A203">
        <v>2016</v>
      </c>
      <c r="B203" t="s">
        <v>420</v>
      </c>
      <c r="C203" t="str">
        <f t="shared" si="3"/>
        <v>Democrat</v>
      </c>
      <c r="D203">
        <v>0.63013742743022438</v>
      </c>
      <c r="E203">
        <v>0.39159865209169831</v>
      </c>
      <c r="F203" s="16"/>
      <c r="G203" s="13"/>
      <c r="H203" s="13"/>
      <c r="I203" s="13"/>
      <c r="J203" s="16"/>
      <c r="K203" s="16"/>
    </row>
    <row r="204" spans="1:11" x14ac:dyDescent="0.2">
      <c r="A204">
        <v>2017</v>
      </c>
      <c r="B204" t="s">
        <v>420</v>
      </c>
      <c r="C204" t="str">
        <f t="shared" si="3"/>
        <v>Democrat</v>
      </c>
      <c r="D204">
        <v>0.63960481730825536</v>
      </c>
      <c r="E204">
        <v>0.41152691815383585</v>
      </c>
      <c r="F204" s="16"/>
      <c r="G204" s="13"/>
      <c r="H204" s="13"/>
      <c r="I204" s="13"/>
      <c r="J204" s="16"/>
      <c r="K204" s="16"/>
    </row>
    <row r="205" spans="1:11" x14ac:dyDescent="0.2">
      <c r="A205">
        <v>2018</v>
      </c>
      <c r="B205" t="s">
        <v>420</v>
      </c>
      <c r="C205" t="str">
        <f t="shared" si="3"/>
        <v>Democrat</v>
      </c>
      <c r="D205">
        <v>0.62118392810975498</v>
      </c>
      <c r="E205">
        <v>0.42189806130713281</v>
      </c>
      <c r="F205" s="16"/>
      <c r="G205" s="13"/>
      <c r="H205" s="13"/>
      <c r="I205" s="13"/>
      <c r="J205" s="16"/>
      <c r="K205" s="16"/>
    </row>
    <row r="206" spans="1:11" x14ac:dyDescent="0.2">
      <c r="A206">
        <v>2019</v>
      </c>
      <c r="B206" t="s">
        <v>420</v>
      </c>
      <c r="C206" t="str">
        <f t="shared" si="3"/>
        <v>Democrat</v>
      </c>
      <c r="D206">
        <v>0.60084035613928977</v>
      </c>
      <c r="E206">
        <v>0.3825847296458007</v>
      </c>
      <c r="F206" s="16"/>
      <c r="G206" s="13"/>
      <c r="H206" s="13"/>
      <c r="I206" s="13"/>
      <c r="J206" s="16"/>
      <c r="K206" s="16"/>
    </row>
    <row r="207" spans="1:11" x14ac:dyDescent="0.2">
      <c r="A207">
        <v>2020</v>
      </c>
      <c r="B207" t="s">
        <v>420</v>
      </c>
      <c r="C207" t="str">
        <f t="shared" si="3"/>
        <v>Democrat</v>
      </c>
      <c r="D207">
        <v>0.5949361672036978</v>
      </c>
      <c r="E207">
        <v>0.37529871645778928</v>
      </c>
      <c r="F207" s="16"/>
      <c r="G207" s="13"/>
      <c r="H207" s="13"/>
      <c r="I207" s="13"/>
      <c r="J207" s="16"/>
      <c r="K207" s="16"/>
    </row>
    <row r="208" spans="1:11" x14ac:dyDescent="0.2">
      <c r="A208">
        <v>2021</v>
      </c>
      <c r="B208" t="s">
        <v>420</v>
      </c>
      <c r="C208" t="str">
        <f t="shared" si="3"/>
        <v>Democrat</v>
      </c>
      <c r="D208">
        <v>0.72322224847821592</v>
      </c>
      <c r="E208">
        <v>0.47490211787575815</v>
      </c>
      <c r="F208" s="16"/>
      <c r="G208" s="13"/>
      <c r="H208" s="13"/>
      <c r="I208" s="13"/>
      <c r="J208" s="16"/>
      <c r="K208" s="16"/>
    </row>
    <row r="209" spans="1:11" x14ac:dyDescent="0.2">
      <c r="A209">
        <v>2022</v>
      </c>
      <c r="B209" t="s">
        <v>420</v>
      </c>
      <c r="C209" t="str">
        <f t="shared" si="3"/>
        <v>Democrat</v>
      </c>
      <c r="D209">
        <v>0.60948849037553432</v>
      </c>
      <c r="E209">
        <v>0.44294396488226789</v>
      </c>
      <c r="F209" s="16"/>
      <c r="G209" s="13"/>
      <c r="H209" s="13"/>
      <c r="I209" s="13"/>
      <c r="J209" s="16"/>
      <c r="K209" s="16"/>
    </row>
    <row r="210" spans="1:11" x14ac:dyDescent="0.2">
      <c r="A210">
        <v>2015</v>
      </c>
      <c r="B210" t="s">
        <v>430</v>
      </c>
      <c r="C210" t="str">
        <f t="shared" si="3"/>
        <v>Republican</v>
      </c>
      <c r="D210">
        <v>0.61703982877663255</v>
      </c>
      <c r="E210">
        <v>0.38520541342857251</v>
      </c>
      <c r="F210" s="16"/>
      <c r="G210" s="13"/>
      <c r="H210" s="13"/>
      <c r="I210" s="13"/>
      <c r="J210" s="16"/>
      <c r="K210" s="16"/>
    </row>
    <row r="211" spans="1:11" x14ac:dyDescent="0.2">
      <c r="A211">
        <v>2016</v>
      </c>
      <c r="B211" t="s">
        <v>430</v>
      </c>
      <c r="C211" t="str">
        <f t="shared" si="3"/>
        <v>Republican</v>
      </c>
      <c r="D211">
        <v>0.57467726719913148</v>
      </c>
      <c r="E211">
        <v>0.34440453425558359</v>
      </c>
      <c r="F211" s="16"/>
      <c r="G211" s="13"/>
      <c r="H211" s="13"/>
      <c r="I211" s="13"/>
      <c r="J211" s="16"/>
      <c r="K211" s="16"/>
    </row>
    <row r="212" spans="1:11" x14ac:dyDescent="0.2">
      <c r="A212">
        <v>2017</v>
      </c>
      <c r="B212" t="s">
        <v>430</v>
      </c>
      <c r="C212" t="str">
        <f t="shared" si="3"/>
        <v>Republican</v>
      </c>
      <c r="D212">
        <v>0.61490050233640714</v>
      </c>
      <c r="E212">
        <v>0.38956310893625973</v>
      </c>
      <c r="F212" s="16"/>
      <c r="G212" s="13"/>
      <c r="H212" s="13"/>
      <c r="I212" s="13"/>
      <c r="J212" s="16"/>
      <c r="K212" s="16"/>
    </row>
    <row r="213" spans="1:11" x14ac:dyDescent="0.2">
      <c r="A213">
        <v>2018</v>
      </c>
      <c r="B213" t="s">
        <v>430</v>
      </c>
      <c r="C213" t="str">
        <f t="shared" si="3"/>
        <v>Republican</v>
      </c>
      <c r="D213">
        <v>0.62535114241071432</v>
      </c>
      <c r="E213">
        <v>0.40973057044755401</v>
      </c>
      <c r="F213" s="16"/>
      <c r="G213" s="13"/>
      <c r="H213" s="13"/>
      <c r="I213" s="13"/>
      <c r="J213" s="16"/>
      <c r="K213" s="16"/>
    </row>
    <row r="214" spans="1:11" x14ac:dyDescent="0.2">
      <c r="A214">
        <v>2019</v>
      </c>
      <c r="B214" t="s">
        <v>430</v>
      </c>
      <c r="C214" t="str">
        <f t="shared" si="3"/>
        <v>Republican</v>
      </c>
      <c r="D214">
        <v>0.61588383481363773</v>
      </c>
      <c r="E214">
        <v>0.38060253533701072</v>
      </c>
      <c r="F214" s="16"/>
      <c r="G214" s="13"/>
      <c r="H214" s="13"/>
      <c r="I214" s="13"/>
      <c r="J214" s="16"/>
      <c r="K214" s="16"/>
    </row>
    <row r="215" spans="1:11" x14ac:dyDescent="0.2">
      <c r="A215">
        <v>2020</v>
      </c>
      <c r="B215" t="s">
        <v>430</v>
      </c>
      <c r="C215" t="str">
        <f t="shared" si="3"/>
        <v>Republican</v>
      </c>
      <c r="D215">
        <v>0.58973545503696922</v>
      </c>
      <c r="E215">
        <v>0.34734389832693285</v>
      </c>
      <c r="F215" s="16"/>
      <c r="G215" s="13"/>
      <c r="H215" s="13"/>
      <c r="I215" s="13"/>
      <c r="J215" s="16"/>
      <c r="K215" s="16"/>
    </row>
    <row r="216" spans="1:11" x14ac:dyDescent="0.2">
      <c r="A216">
        <v>2021</v>
      </c>
      <c r="B216" t="s">
        <v>430</v>
      </c>
      <c r="C216" t="str">
        <f t="shared" si="3"/>
        <v>Republican</v>
      </c>
      <c r="D216">
        <v>0.70437372344927496</v>
      </c>
      <c r="E216">
        <v>0.43186924533112309</v>
      </c>
      <c r="F216" s="16"/>
      <c r="G216" s="13"/>
      <c r="H216" s="13"/>
      <c r="I216" s="13"/>
      <c r="J216" s="16"/>
      <c r="K216" s="16"/>
    </row>
    <row r="217" spans="1:11" x14ac:dyDescent="0.2">
      <c r="A217">
        <v>2022</v>
      </c>
      <c r="B217" t="s">
        <v>430</v>
      </c>
      <c r="C217" t="str">
        <f t="shared" si="3"/>
        <v>Republican</v>
      </c>
      <c r="D217">
        <v>0.59934332726926531</v>
      </c>
      <c r="E217">
        <v>0.40286916821917523</v>
      </c>
      <c r="F217" s="16"/>
      <c r="G217" s="13"/>
      <c r="H217" s="13"/>
      <c r="I217" s="13"/>
      <c r="J217" s="16"/>
      <c r="K217" s="16"/>
    </row>
    <row r="218" spans="1:11" x14ac:dyDescent="0.2">
      <c r="A218">
        <v>2015</v>
      </c>
      <c r="B218" t="s">
        <v>440</v>
      </c>
      <c r="C218" t="str">
        <f t="shared" si="3"/>
        <v>Republican</v>
      </c>
      <c r="D218">
        <v>0.85784822941073247</v>
      </c>
      <c r="E218">
        <v>0.53862621509376463</v>
      </c>
      <c r="F218" s="16"/>
      <c r="G218" s="13"/>
      <c r="H218" s="13"/>
      <c r="I218" s="13"/>
      <c r="J218" s="16"/>
      <c r="K218" s="16"/>
    </row>
    <row r="219" spans="1:11" x14ac:dyDescent="0.2">
      <c r="A219">
        <v>2016</v>
      </c>
      <c r="B219" t="s">
        <v>440</v>
      </c>
      <c r="C219" t="str">
        <f t="shared" si="3"/>
        <v>Republican</v>
      </c>
      <c r="D219">
        <v>0.82175788932221416</v>
      </c>
      <c r="E219">
        <v>0.47743339477819613</v>
      </c>
      <c r="F219" s="16"/>
      <c r="G219" s="13"/>
      <c r="H219" s="13"/>
      <c r="I219" s="13"/>
      <c r="J219" s="16"/>
      <c r="K219" s="16"/>
    </row>
    <row r="220" spans="1:11" x14ac:dyDescent="0.2">
      <c r="A220">
        <v>2017</v>
      </c>
      <c r="B220" t="s">
        <v>440</v>
      </c>
      <c r="C220" t="str">
        <f t="shared" si="3"/>
        <v>Republican</v>
      </c>
      <c r="D220">
        <v>0.83772499750627905</v>
      </c>
      <c r="E220">
        <v>0.52268851595450061</v>
      </c>
      <c r="F220" s="16"/>
      <c r="G220" s="13"/>
      <c r="H220" s="13"/>
      <c r="I220" s="13"/>
      <c r="J220" s="16"/>
      <c r="K220" s="16"/>
    </row>
    <row r="221" spans="1:11" x14ac:dyDescent="0.2">
      <c r="A221">
        <v>2018</v>
      </c>
      <c r="B221" t="s">
        <v>440</v>
      </c>
      <c r="C221" t="str">
        <f t="shared" si="3"/>
        <v>Republican</v>
      </c>
      <c r="D221">
        <v>0.84063944410777081</v>
      </c>
      <c r="E221">
        <v>0.5434691852331186</v>
      </c>
      <c r="F221" s="16"/>
      <c r="G221" s="13"/>
      <c r="H221" s="13"/>
      <c r="I221" s="13"/>
      <c r="J221" s="16"/>
      <c r="K221" s="16"/>
    </row>
    <row r="222" spans="1:11" x14ac:dyDescent="0.2">
      <c r="A222">
        <v>2019</v>
      </c>
      <c r="B222" t="s">
        <v>440</v>
      </c>
      <c r="C222" t="str">
        <f t="shared" si="3"/>
        <v>Republican</v>
      </c>
      <c r="D222">
        <v>0.84616466615579089</v>
      </c>
      <c r="E222">
        <v>0.52485315620427753</v>
      </c>
      <c r="F222" s="16"/>
      <c r="G222" s="13"/>
      <c r="H222" s="13"/>
      <c r="I222" s="13"/>
      <c r="J222" s="16"/>
      <c r="K222" s="16"/>
    </row>
    <row r="223" spans="1:11" x14ac:dyDescent="0.2">
      <c r="A223">
        <v>2020</v>
      </c>
      <c r="B223" t="s">
        <v>440</v>
      </c>
      <c r="C223" t="str">
        <f t="shared" si="3"/>
        <v>Republican</v>
      </c>
      <c r="D223">
        <v>0.82009402707680057</v>
      </c>
      <c r="E223">
        <v>0.4830378928389118</v>
      </c>
      <c r="F223" s="16"/>
      <c r="G223" s="13"/>
      <c r="H223" s="13"/>
      <c r="I223" s="13"/>
      <c r="J223" s="16"/>
      <c r="K223" s="16"/>
    </row>
    <row r="224" spans="1:11" x14ac:dyDescent="0.2">
      <c r="A224">
        <v>2021</v>
      </c>
      <c r="B224" t="s">
        <v>440</v>
      </c>
      <c r="C224" t="str">
        <f t="shared" si="3"/>
        <v>Republican</v>
      </c>
      <c r="D224">
        <v>0.9580996033693796</v>
      </c>
      <c r="E224">
        <v>0.58863369112067088</v>
      </c>
      <c r="F224" s="16"/>
      <c r="G224" s="13"/>
      <c r="H224" s="13"/>
      <c r="I224" s="13"/>
      <c r="J224" s="16"/>
      <c r="K224" s="16"/>
    </row>
    <row r="225" spans="1:11" x14ac:dyDescent="0.2">
      <c r="A225">
        <v>2022</v>
      </c>
      <c r="B225" t="s">
        <v>440</v>
      </c>
      <c r="C225" t="str">
        <f t="shared" si="3"/>
        <v>Republican</v>
      </c>
      <c r="D225">
        <v>0.86040664731110372</v>
      </c>
      <c r="E225">
        <v>0.58220695256918265</v>
      </c>
      <c r="F225" s="16"/>
      <c r="G225" s="13"/>
      <c r="H225" s="13"/>
      <c r="I225" s="13"/>
      <c r="J225" s="16"/>
      <c r="K225" s="16"/>
    </row>
    <row r="226" spans="1:11" x14ac:dyDescent="0.2">
      <c r="A226">
        <v>2015</v>
      </c>
      <c r="B226" t="s">
        <v>450</v>
      </c>
      <c r="C226" t="str">
        <f t="shared" si="3"/>
        <v>Republican</v>
      </c>
      <c r="D226">
        <v>0.69297598005964944</v>
      </c>
      <c r="E226">
        <v>0.44874357553484351</v>
      </c>
      <c r="F226" s="16"/>
      <c r="G226" s="13"/>
      <c r="H226" s="13"/>
      <c r="I226" s="13"/>
      <c r="J226" s="16"/>
      <c r="K226" s="16"/>
    </row>
    <row r="227" spans="1:11" x14ac:dyDescent="0.2">
      <c r="A227">
        <v>2016</v>
      </c>
      <c r="B227" t="s">
        <v>450</v>
      </c>
      <c r="C227" t="str">
        <f t="shared" si="3"/>
        <v>Republican</v>
      </c>
      <c r="D227">
        <v>0.66685784019983685</v>
      </c>
      <c r="E227">
        <v>0.40542167555315395</v>
      </c>
      <c r="F227" s="16"/>
      <c r="G227" s="13"/>
      <c r="H227" s="13"/>
      <c r="I227" s="13"/>
      <c r="J227" s="16"/>
      <c r="K227" s="16"/>
    </row>
    <row r="228" spans="1:11" x14ac:dyDescent="0.2">
      <c r="A228">
        <v>2017</v>
      </c>
      <c r="B228" t="s">
        <v>450</v>
      </c>
      <c r="C228" t="str">
        <f t="shared" si="3"/>
        <v>Republican</v>
      </c>
      <c r="D228">
        <v>0.70088198320974759</v>
      </c>
      <c r="E228">
        <v>0.45129674044237295</v>
      </c>
      <c r="F228" s="16"/>
      <c r="G228" s="13"/>
      <c r="H228" s="13"/>
      <c r="I228" s="13"/>
      <c r="J228" s="16"/>
      <c r="K228" s="16"/>
    </row>
    <row r="229" spans="1:11" x14ac:dyDescent="0.2">
      <c r="A229">
        <v>2018</v>
      </c>
      <c r="B229" t="s">
        <v>450</v>
      </c>
      <c r="C229" t="str">
        <f t="shared" si="3"/>
        <v>Republican</v>
      </c>
      <c r="D229">
        <v>0.69087677539631542</v>
      </c>
      <c r="E229">
        <v>0.45571836275231548</v>
      </c>
      <c r="F229" s="16"/>
      <c r="G229" s="13"/>
      <c r="H229" s="13"/>
      <c r="I229" s="13"/>
      <c r="J229" s="16"/>
      <c r="K229" s="16"/>
    </row>
    <row r="230" spans="1:11" x14ac:dyDescent="0.2">
      <c r="A230">
        <v>2019</v>
      </c>
      <c r="B230" t="s">
        <v>450</v>
      </c>
      <c r="C230" t="str">
        <f t="shared" si="3"/>
        <v>Republican</v>
      </c>
      <c r="D230">
        <v>0.68638652717808868</v>
      </c>
      <c r="E230">
        <v>0.43789302688085663</v>
      </c>
      <c r="F230" s="16"/>
      <c r="G230" s="13"/>
      <c r="H230" s="13"/>
      <c r="I230" s="13"/>
      <c r="J230" s="16"/>
      <c r="K230" s="16"/>
    </row>
    <row r="231" spans="1:11" x14ac:dyDescent="0.2">
      <c r="A231">
        <v>2020</v>
      </c>
      <c r="B231" t="s">
        <v>450</v>
      </c>
      <c r="C231" t="str">
        <f t="shared" si="3"/>
        <v>Republican</v>
      </c>
      <c r="D231">
        <v>0.64946960543206811</v>
      </c>
      <c r="E231">
        <v>0.39393972623144274</v>
      </c>
      <c r="F231" s="16"/>
      <c r="G231" s="13"/>
      <c r="H231" s="13"/>
      <c r="I231" s="13"/>
      <c r="J231" s="16"/>
      <c r="K231" s="16"/>
    </row>
    <row r="232" spans="1:11" x14ac:dyDescent="0.2">
      <c r="A232">
        <v>2021</v>
      </c>
      <c r="B232" t="s">
        <v>450</v>
      </c>
      <c r="C232" t="str">
        <f t="shared" si="3"/>
        <v>Republican</v>
      </c>
      <c r="D232">
        <v>0.75543465422896439</v>
      </c>
      <c r="E232">
        <v>0.50430232934929986</v>
      </c>
      <c r="F232" s="16"/>
      <c r="G232" s="13"/>
      <c r="H232" s="13"/>
      <c r="I232" s="13"/>
      <c r="J232" s="16"/>
      <c r="K232" s="16"/>
    </row>
    <row r="233" spans="1:11" x14ac:dyDescent="0.2">
      <c r="A233">
        <v>2022</v>
      </c>
      <c r="B233" t="s">
        <v>450</v>
      </c>
      <c r="C233" t="str">
        <f t="shared" si="3"/>
        <v>Republican</v>
      </c>
      <c r="D233">
        <v>0.70606110195739979</v>
      </c>
      <c r="E233">
        <v>0.48830521248334263</v>
      </c>
      <c r="F233" s="16"/>
      <c r="G233" s="13"/>
      <c r="H233" s="13"/>
      <c r="I233" s="13"/>
      <c r="J233" s="16"/>
      <c r="K233" s="16"/>
    </row>
    <row r="234" spans="1:11" x14ac:dyDescent="0.2">
      <c r="A234">
        <v>2015</v>
      </c>
      <c r="B234" t="s">
        <v>460</v>
      </c>
      <c r="C234" t="str">
        <f t="shared" si="3"/>
        <v>Republican</v>
      </c>
      <c r="D234">
        <v>0.89864011807482536</v>
      </c>
      <c r="E234">
        <v>0.55256602053940607</v>
      </c>
      <c r="F234" s="16"/>
      <c r="G234" s="13"/>
      <c r="H234" s="13"/>
      <c r="I234" s="13"/>
      <c r="J234" s="16"/>
      <c r="K234" s="16"/>
    </row>
    <row r="235" spans="1:11" x14ac:dyDescent="0.2">
      <c r="A235">
        <v>2016</v>
      </c>
      <c r="B235" t="s">
        <v>460</v>
      </c>
      <c r="C235" t="str">
        <f t="shared" si="3"/>
        <v>Republican</v>
      </c>
      <c r="D235">
        <v>0.86538120071403468</v>
      </c>
      <c r="E235">
        <v>0.4983170488949149</v>
      </c>
      <c r="F235" s="16"/>
      <c r="G235" s="13"/>
      <c r="H235" s="13"/>
      <c r="I235" s="13"/>
      <c r="J235" s="16"/>
      <c r="K235" s="16"/>
    </row>
    <row r="236" spans="1:11" x14ac:dyDescent="0.2">
      <c r="A236">
        <v>2017</v>
      </c>
      <c r="B236" t="s">
        <v>460</v>
      </c>
      <c r="C236" t="str">
        <f t="shared" si="3"/>
        <v>Republican</v>
      </c>
      <c r="D236">
        <v>0.87251242164775944</v>
      </c>
      <c r="E236">
        <v>0.52060878930037391</v>
      </c>
      <c r="F236" s="16"/>
      <c r="G236" s="13"/>
      <c r="H236" s="13"/>
      <c r="I236" s="13"/>
      <c r="J236" s="16"/>
      <c r="K236" s="16"/>
    </row>
    <row r="237" spans="1:11" x14ac:dyDescent="0.2">
      <c r="A237">
        <v>2018</v>
      </c>
      <c r="B237" t="s">
        <v>460</v>
      </c>
      <c r="C237" t="str">
        <f t="shared" si="3"/>
        <v>Republican</v>
      </c>
      <c r="D237">
        <v>0.89501124811634047</v>
      </c>
      <c r="E237">
        <v>0.57087165984682453</v>
      </c>
      <c r="F237" s="16"/>
      <c r="G237" s="13"/>
      <c r="H237" s="13"/>
      <c r="I237" s="13"/>
      <c r="J237" s="16"/>
      <c r="K237" s="16"/>
    </row>
    <row r="238" spans="1:11" x14ac:dyDescent="0.2">
      <c r="A238">
        <v>2019</v>
      </c>
      <c r="B238" t="s">
        <v>460</v>
      </c>
      <c r="C238" t="str">
        <f t="shared" si="3"/>
        <v>Republican</v>
      </c>
      <c r="D238">
        <v>0.90914041758864994</v>
      </c>
      <c r="E238">
        <v>0.54699274557434663</v>
      </c>
      <c r="F238" s="16"/>
      <c r="G238" s="13"/>
      <c r="H238" s="13"/>
      <c r="I238" s="13"/>
      <c r="J238" s="16"/>
      <c r="K238" s="16"/>
    </row>
    <row r="239" spans="1:11" x14ac:dyDescent="0.2">
      <c r="A239">
        <v>2020</v>
      </c>
      <c r="B239" t="s">
        <v>460</v>
      </c>
      <c r="C239" t="str">
        <f t="shared" si="3"/>
        <v>Republican</v>
      </c>
      <c r="D239">
        <v>0.88710844833280555</v>
      </c>
      <c r="E239">
        <v>0.49711994349257027</v>
      </c>
      <c r="F239" s="16"/>
      <c r="G239" s="13"/>
      <c r="H239" s="13"/>
      <c r="I239" s="13"/>
      <c r="J239" s="16"/>
      <c r="K239" s="16"/>
    </row>
    <row r="240" spans="1:11" x14ac:dyDescent="0.2">
      <c r="A240">
        <v>2021</v>
      </c>
      <c r="B240" t="s">
        <v>460</v>
      </c>
      <c r="C240" t="str">
        <f t="shared" si="3"/>
        <v>Republican</v>
      </c>
      <c r="D240">
        <v>1.098957505003854</v>
      </c>
      <c r="E240">
        <v>0.648171432763056</v>
      </c>
      <c r="F240" s="16"/>
      <c r="G240" s="13"/>
      <c r="H240" s="13"/>
      <c r="I240" s="13"/>
      <c r="J240" s="16"/>
      <c r="K240" s="16"/>
    </row>
    <row r="241" spans="1:11" x14ac:dyDescent="0.2">
      <c r="A241">
        <v>2022</v>
      </c>
      <c r="B241" t="s">
        <v>460</v>
      </c>
      <c r="C241" t="str">
        <f t="shared" si="3"/>
        <v>Republican</v>
      </c>
      <c r="D241">
        <v>0.94547765323502664</v>
      </c>
      <c r="E241">
        <v>0.62528500568569167</v>
      </c>
      <c r="F241" s="16"/>
      <c r="G241" s="13"/>
      <c r="H241" s="13"/>
      <c r="I241" s="13"/>
      <c r="J241" s="16"/>
      <c r="K241" s="16"/>
    </row>
    <row r="242" spans="1:11" x14ac:dyDescent="0.2">
      <c r="A242">
        <v>2015</v>
      </c>
      <c r="B242" t="s">
        <v>473</v>
      </c>
      <c r="C242" t="str">
        <f t="shared" si="3"/>
        <v>Republican</v>
      </c>
      <c r="D242">
        <v>0.751261172437798</v>
      </c>
      <c r="E242">
        <v>0.45958943921346102</v>
      </c>
      <c r="F242" s="16"/>
      <c r="G242" s="13"/>
      <c r="H242" s="13"/>
      <c r="I242" s="13"/>
      <c r="J242" s="16"/>
      <c r="K242" s="16"/>
    </row>
    <row r="243" spans="1:11" x14ac:dyDescent="0.2">
      <c r="A243">
        <v>2016</v>
      </c>
      <c r="B243" t="s">
        <v>473</v>
      </c>
      <c r="C243" t="str">
        <f t="shared" si="3"/>
        <v>Republican</v>
      </c>
      <c r="D243">
        <v>0.72229951066838505</v>
      </c>
      <c r="E243">
        <v>0.41418557322872401</v>
      </c>
      <c r="F243" s="16"/>
      <c r="G243" s="13"/>
      <c r="H243" s="13"/>
      <c r="I243" s="13"/>
      <c r="J243" s="16"/>
      <c r="K243" s="16"/>
    </row>
    <row r="244" spans="1:11" x14ac:dyDescent="0.2">
      <c r="A244">
        <v>2017</v>
      </c>
      <c r="B244" t="s">
        <v>473</v>
      </c>
      <c r="C244" t="str">
        <f t="shared" si="3"/>
        <v>Republican</v>
      </c>
      <c r="D244">
        <v>0.74416536790596144</v>
      </c>
      <c r="E244">
        <v>0.44926918679306732</v>
      </c>
      <c r="F244" s="16"/>
      <c r="G244" s="13"/>
      <c r="H244" s="13"/>
      <c r="I244" s="13"/>
      <c r="J244" s="16"/>
      <c r="K244" s="16"/>
    </row>
    <row r="245" spans="1:11" x14ac:dyDescent="0.2">
      <c r="A245">
        <v>2018</v>
      </c>
      <c r="B245" t="s">
        <v>473</v>
      </c>
      <c r="C245" t="str">
        <f t="shared" si="3"/>
        <v>Republican</v>
      </c>
      <c r="D245">
        <v>0.75214197336238953</v>
      </c>
      <c r="E245">
        <v>0.48503151396092176</v>
      </c>
      <c r="F245" s="16"/>
      <c r="G245" s="13"/>
      <c r="H245" s="13"/>
      <c r="I245" s="13"/>
      <c r="J245" s="16"/>
      <c r="K245" s="16"/>
    </row>
    <row r="246" spans="1:11" x14ac:dyDescent="0.2">
      <c r="A246">
        <v>2019</v>
      </c>
      <c r="B246" t="s">
        <v>473</v>
      </c>
      <c r="C246" t="str">
        <f t="shared" si="3"/>
        <v>Republican</v>
      </c>
      <c r="D246">
        <v>0.76457333592425369</v>
      </c>
      <c r="E246">
        <v>0.46989115560990213</v>
      </c>
      <c r="F246" s="16"/>
      <c r="G246" s="13"/>
      <c r="H246" s="13"/>
      <c r="I246" s="13"/>
      <c r="J246" s="16"/>
      <c r="K246" s="16"/>
    </row>
    <row r="247" spans="1:11" x14ac:dyDescent="0.2">
      <c r="A247">
        <v>2020</v>
      </c>
      <c r="B247" t="s">
        <v>473</v>
      </c>
      <c r="C247" t="str">
        <f t="shared" si="3"/>
        <v>Republican</v>
      </c>
      <c r="D247">
        <v>0.77039986875788513</v>
      </c>
      <c r="E247">
        <v>0.44657659522895438</v>
      </c>
      <c r="F247" s="16"/>
      <c r="G247" s="13"/>
      <c r="H247" s="13"/>
      <c r="I247" s="13"/>
      <c r="J247" s="16"/>
      <c r="K247" s="16"/>
    </row>
    <row r="248" spans="1:11" x14ac:dyDescent="0.2">
      <c r="A248">
        <v>2021</v>
      </c>
      <c r="B248" t="s">
        <v>473</v>
      </c>
      <c r="C248" t="str">
        <f t="shared" si="3"/>
        <v>Republican</v>
      </c>
      <c r="D248">
        <v>0.86505480255411171</v>
      </c>
      <c r="E248">
        <v>0.52087676833956453</v>
      </c>
      <c r="F248" s="16"/>
      <c r="G248" s="13"/>
      <c r="H248" s="13"/>
      <c r="I248" s="13"/>
      <c r="J248" s="16"/>
      <c r="K248" s="16"/>
    </row>
    <row r="249" spans="1:11" x14ac:dyDescent="0.2">
      <c r="A249">
        <v>2022</v>
      </c>
      <c r="B249" t="s">
        <v>473</v>
      </c>
      <c r="C249" t="str">
        <f t="shared" si="3"/>
        <v>Republican</v>
      </c>
      <c r="D249">
        <v>0.7512033391714632</v>
      </c>
      <c r="E249">
        <v>0.50451199903140742</v>
      </c>
      <c r="F249" s="16"/>
      <c r="G249" s="13"/>
      <c r="H249" s="13"/>
      <c r="I249" s="13"/>
      <c r="J249" s="16"/>
      <c r="K249" s="16"/>
    </row>
    <row r="250" spans="1:11" x14ac:dyDescent="0.2">
      <c r="A250">
        <v>2015</v>
      </c>
      <c r="B250" t="s">
        <v>484</v>
      </c>
      <c r="C250" t="str">
        <f t="shared" si="3"/>
        <v>Republican</v>
      </c>
      <c r="D250">
        <v>0.65466214262482703</v>
      </c>
      <c r="E250">
        <v>0.42809727945204668</v>
      </c>
      <c r="F250" s="16"/>
      <c r="G250" s="13"/>
      <c r="H250" s="13"/>
      <c r="I250" s="13"/>
      <c r="J250" s="16"/>
      <c r="K250" s="16"/>
    </row>
    <row r="251" spans="1:11" x14ac:dyDescent="0.2">
      <c r="A251">
        <v>2016</v>
      </c>
      <c r="B251" t="s">
        <v>484</v>
      </c>
      <c r="C251" t="str">
        <f t="shared" ref="C251:C313" si="4">VLOOKUP(B251,$H$2:$I$49,2,FALSE)</f>
        <v>Republican</v>
      </c>
      <c r="D251">
        <v>0.58299629239942274</v>
      </c>
      <c r="E251">
        <v>0.35083488750698799</v>
      </c>
      <c r="F251" s="16"/>
      <c r="G251" s="13"/>
      <c r="H251" s="13"/>
      <c r="I251" s="13"/>
      <c r="J251" s="16"/>
      <c r="K251" s="16"/>
    </row>
    <row r="252" spans="1:11" x14ac:dyDescent="0.2">
      <c r="A252">
        <v>2017</v>
      </c>
      <c r="B252" t="s">
        <v>484</v>
      </c>
      <c r="C252" t="str">
        <f t="shared" si="4"/>
        <v>Republican</v>
      </c>
      <c r="D252">
        <v>0.62663224309236398</v>
      </c>
      <c r="E252">
        <v>0.41397861849722278</v>
      </c>
      <c r="F252" s="16"/>
      <c r="G252" s="13"/>
      <c r="H252" s="13"/>
      <c r="I252" s="13"/>
      <c r="J252" s="16"/>
      <c r="K252" s="16"/>
    </row>
    <row r="253" spans="1:11" x14ac:dyDescent="0.2">
      <c r="A253">
        <v>2018</v>
      </c>
      <c r="B253" t="s">
        <v>484</v>
      </c>
      <c r="C253" t="str">
        <f t="shared" si="4"/>
        <v>Republican</v>
      </c>
      <c r="D253">
        <v>0.64729141055469319</v>
      </c>
      <c r="E253">
        <v>0.44184696319547762</v>
      </c>
      <c r="F253" s="16"/>
      <c r="G253" s="13"/>
      <c r="H253" s="13"/>
      <c r="I253" s="13"/>
      <c r="J253" s="16"/>
      <c r="K253" s="16"/>
    </row>
    <row r="254" spans="1:11" x14ac:dyDescent="0.2">
      <c r="A254">
        <v>2019</v>
      </c>
      <c r="B254" t="s">
        <v>484</v>
      </c>
      <c r="C254" t="str">
        <f t="shared" si="4"/>
        <v>Republican</v>
      </c>
      <c r="D254">
        <v>0.65587848232642298</v>
      </c>
      <c r="E254">
        <v>0.41762025128251223</v>
      </c>
      <c r="F254" s="16"/>
      <c r="G254" s="13"/>
      <c r="H254" s="13"/>
      <c r="I254" s="13"/>
      <c r="J254" s="16"/>
      <c r="K254" s="16"/>
    </row>
    <row r="255" spans="1:11" x14ac:dyDescent="0.2">
      <c r="A255">
        <v>2020</v>
      </c>
      <c r="B255" t="s">
        <v>484</v>
      </c>
      <c r="C255" t="str">
        <f t="shared" si="4"/>
        <v>Republican</v>
      </c>
      <c r="D255">
        <v>0.58717237502271113</v>
      </c>
      <c r="E255">
        <v>0.367539810572652</v>
      </c>
      <c r="F255" s="16"/>
      <c r="G255" s="13"/>
      <c r="H255" s="13"/>
      <c r="I255" s="13"/>
      <c r="J255" s="16"/>
      <c r="K255" s="16"/>
    </row>
    <row r="256" spans="1:11" x14ac:dyDescent="0.2">
      <c r="A256">
        <v>2021</v>
      </c>
      <c r="B256" t="s">
        <v>484</v>
      </c>
      <c r="C256" t="str">
        <f t="shared" si="4"/>
        <v>Republican</v>
      </c>
      <c r="D256">
        <v>0.72223770945207499</v>
      </c>
      <c r="E256">
        <v>0.47973022872494642</v>
      </c>
      <c r="F256" s="16"/>
      <c r="G256" s="13"/>
      <c r="H256" s="13"/>
      <c r="I256" s="13"/>
      <c r="J256" s="16"/>
      <c r="K256" s="16"/>
    </row>
    <row r="257" spans="1:11" x14ac:dyDescent="0.2">
      <c r="A257">
        <v>2022</v>
      </c>
      <c r="B257" t="s">
        <v>484</v>
      </c>
      <c r="C257" t="str">
        <f t="shared" si="4"/>
        <v>Republican</v>
      </c>
      <c r="D257">
        <v>0.6511821468689083</v>
      </c>
      <c r="E257">
        <v>0.46865209723768658</v>
      </c>
      <c r="F257" s="16"/>
      <c r="G257" s="13"/>
      <c r="H257" s="13"/>
      <c r="I257" s="13"/>
      <c r="J257" s="16"/>
      <c r="K257" s="16"/>
    </row>
    <row r="258" spans="1:11" x14ac:dyDescent="0.2">
      <c r="A258">
        <v>2015</v>
      </c>
      <c r="B258" t="s">
        <v>494</v>
      </c>
      <c r="C258" t="str">
        <f t="shared" si="4"/>
        <v>Democrat</v>
      </c>
      <c r="D258">
        <v>0.76990096648597772</v>
      </c>
      <c r="E258">
        <v>0.48769172703765284</v>
      </c>
      <c r="F258" s="16"/>
      <c r="G258" s="13"/>
      <c r="H258" s="13"/>
      <c r="I258" s="13"/>
      <c r="J258" s="16"/>
      <c r="K258" s="16"/>
    </row>
    <row r="259" spans="1:11" x14ac:dyDescent="0.2">
      <c r="A259">
        <v>2016</v>
      </c>
      <c r="B259" t="s">
        <v>494</v>
      </c>
      <c r="C259" t="str">
        <f t="shared" si="4"/>
        <v>Democrat</v>
      </c>
      <c r="D259">
        <v>0.69181582203457126</v>
      </c>
      <c r="E259">
        <v>0.40796805928808089</v>
      </c>
      <c r="F259" s="16"/>
      <c r="G259" s="13"/>
      <c r="H259" s="13"/>
      <c r="I259" s="13"/>
      <c r="J259" s="16"/>
      <c r="K259" s="16"/>
    </row>
    <row r="260" spans="1:11" x14ac:dyDescent="0.2">
      <c r="A260">
        <v>2017</v>
      </c>
      <c r="B260" t="s">
        <v>494</v>
      </c>
      <c r="C260" t="str">
        <f t="shared" si="4"/>
        <v>Democrat</v>
      </c>
      <c r="D260">
        <v>0.73743330411787478</v>
      </c>
      <c r="E260">
        <v>0.47376823210915314</v>
      </c>
      <c r="F260" s="16"/>
      <c r="G260" s="13"/>
      <c r="H260" s="13"/>
      <c r="I260" s="13"/>
      <c r="J260" s="16"/>
      <c r="K260" s="16"/>
    </row>
    <row r="261" spans="1:11" x14ac:dyDescent="0.2">
      <c r="A261">
        <v>2018</v>
      </c>
      <c r="B261" t="s">
        <v>494</v>
      </c>
      <c r="C261" t="str">
        <f t="shared" si="4"/>
        <v>Democrat</v>
      </c>
      <c r="D261">
        <v>0.71134727570343403</v>
      </c>
      <c r="E261">
        <v>0.46332482675148057</v>
      </c>
      <c r="F261" s="16"/>
      <c r="G261" s="13"/>
      <c r="H261" s="13"/>
      <c r="I261" s="13"/>
      <c r="J261" s="16"/>
      <c r="K261" s="16"/>
    </row>
    <row r="262" spans="1:11" x14ac:dyDescent="0.2">
      <c r="A262">
        <v>2019</v>
      </c>
      <c r="B262" t="s">
        <v>494</v>
      </c>
      <c r="C262" t="str">
        <f t="shared" si="4"/>
        <v>Democrat</v>
      </c>
      <c r="D262">
        <v>0.70523384545084444</v>
      </c>
      <c r="E262">
        <v>0.45731568470973577</v>
      </c>
      <c r="F262" s="16"/>
      <c r="G262" s="13"/>
      <c r="H262" s="13"/>
      <c r="I262" s="13"/>
      <c r="J262" s="16"/>
      <c r="K262" s="16"/>
    </row>
    <row r="263" spans="1:11" x14ac:dyDescent="0.2">
      <c r="A263">
        <v>2020</v>
      </c>
      <c r="B263" t="s">
        <v>494</v>
      </c>
      <c r="C263" t="str">
        <f t="shared" si="4"/>
        <v>Democrat</v>
      </c>
      <c r="D263">
        <v>0.66357545794299155</v>
      </c>
      <c r="E263">
        <v>0.40155251588169749</v>
      </c>
      <c r="F263" s="16"/>
      <c r="G263" s="13"/>
      <c r="H263" s="13"/>
      <c r="I263" s="13"/>
      <c r="J263" s="16"/>
      <c r="K263" s="16"/>
    </row>
    <row r="264" spans="1:11" x14ac:dyDescent="0.2">
      <c r="A264">
        <v>2021</v>
      </c>
      <c r="B264" t="s">
        <v>494</v>
      </c>
      <c r="C264" t="str">
        <f t="shared" si="4"/>
        <v>Democrat</v>
      </c>
      <c r="D264">
        <v>0.77246646391277995</v>
      </c>
      <c r="E264">
        <v>0.49121329651560969</v>
      </c>
      <c r="F264" s="16"/>
      <c r="G264" s="13"/>
      <c r="H264" s="13"/>
      <c r="I264" s="13"/>
      <c r="J264" s="16"/>
      <c r="K264" s="16"/>
    </row>
    <row r="265" spans="1:11" x14ac:dyDescent="0.2">
      <c r="A265">
        <v>2022</v>
      </c>
      <c r="B265" t="s">
        <v>494</v>
      </c>
      <c r="C265" t="str">
        <f t="shared" si="4"/>
        <v>Democrat</v>
      </c>
      <c r="D265">
        <v>0.69353517967931566</v>
      </c>
      <c r="E265">
        <v>0.47669566414191977</v>
      </c>
      <c r="F265" s="16"/>
      <c r="G265" s="13"/>
      <c r="H265" s="13"/>
      <c r="I265" s="13"/>
      <c r="J265" s="16"/>
      <c r="K265" s="16"/>
    </row>
    <row r="266" spans="1:11" x14ac:dyDescent="0.2">
      <c r="A266">
        <v>2015</v>
      </c>
      <c r="B266" t="s">
        <v>507</v>
      </c>
      <c r="C266" t="str">
        <f t="shared" si="4"/>
        <v>Democrat</v>
      </c>
      <c r="D266">
        <v>1.1045665256421027</v>
      </c>
      <c r="E266">
        <v>0.70478574362948876</v>
      </c>
      <c r="F266" s="16"/>
      <c r="G266" s="13"/>
      <c r="H266" s="13"/>
      <c r="I266" s="13"/>
      <c r="J266" s="16"/>
      <c r="K266" s="16"/>
    </row>
    <row r="267" spans="1:11" x14ac:dyDescent="0.2">
      <c r="A267">
        <v>2016</v>
      </c>
      <c r="B267" t="s">
        <v>507</v>
      </c>
      <c r="C267" t="str">
        <f t="shared" si="4"/>
        <v>Democrat</v>
      </c>
      <c r="D267">
        <v>0.9901356623874128</v>
      </c>
      <c r="E267">
        <v>0.58488859194267029</v>
      </c>
      <c r="F267" s="16"/>
      <c r="G267" s="13"/>
      <c r="H267" s="13"/>
      <c r="I267" s="13"/>
      <c r="J267" s="16"/>
      <c r="K267" s="16"/>
    </row>
    <row r="268" spans="1:11" x14ac:dyDescent="0.2">
      <c r="A268">
        <v>2017</v>
      </c>
      <c r="B268" t="s">
        <v>507</v>
      </c>
      <c r="C268" t="str">
        <f t="shared" si="4"/>
        <v>Democrat</v>
      </c>
      <c r="D268">
        <v>1.0066263666921078</v>
      </c>
      <c r="E268">
        <v>0.6242453181900266</v>
      </c>
      <c r="F268" s="16"/>
      <c r="G268" s="13"/>
      <c r="H268" s="13"/>
      <c r="I268" s="13"/>
      <c r="J268" s="16"/>
      <c r="K268" s="16"/>
    </row>
    <row r="269" spans="1:11" x14ac:dyDescent="0.2">
      <c r="A269">
        <v>2018</v>
      </c>
      <c r="B269" t="s">
        <v>507</v>
      </c>
      <c r="C269" t="str">
        <f t="shared" si="4"/>
        <v>Democrat</v>
      </c>
      <c r="D269">
        <v>1.0153103551116345</v>
      </c>
      <c r="E269">
        <v>0.68580392350580766</v>
      </c>
      <c r="F269" s="16"/>
      <c r="G269" s="13"/>
      <c r="H269" s="13"/>
      <c r="I269" s="13"/>
      <c r="J269" s="16"/>
      <c r="K269" s="16"/>
    </row>
    <row r="270" spans="1:11" x14ac:dyDescent="0.2">
      <c r="A270">
        <v>2019</v>
      </c>
      <c r="B270" t="s">
        <v>507</v>
      </c>
      <c r="C270" t="str">
        <f t="shared" si="4"/>
        <v>Democrat</v>
      </c>
      <c r="D270">
        <v>1.0216718251533203</v>
      </c>
      <c r="E270">
        <v>0.6547179736150297</v>
      </c>
      <c r="F270" s="16"/>
      <c r="G270" s="13"/>
      <c r="H270" s="13"/>
      <c r="I270" s="13"/>
      <c r="J270" s="16"/>
      <c r="K270" s="16"/>
    </row>
    <row r="271" spans="1:11" x14ac:dyDescent="0.2">
      <c r="A271">
        <v>2020</v>
      </c>
      <c r="B271" t="s">
        <v>507</v>
      </c>
      <c r="C271" t="str">
        <f t="shared" si="4"/>
        <v>Democrat</v>
      </c>
      <c r="D271">
        <v>0.97757863714462256</v>
      </c>
      <c r="E271">
        <v>0.60269538384112831</v>
      </c>
      <c r="F271" s="16"/>
      <c r="G271" s="13"/>
      <c r="H271" s="13"/>
      <c r="I271" s="13"/>
      <c r="J271" s="16"/>
      <c r="K271" s="16"/>
    </row>
    <row r="272" spans="1:11" x14ac:dyDescent="0.2">
      <c r="A272">
        <v>2021</v>
      </c>
      <c r="B272" t="s">
        <v>507</v>
      </c>
      <c r="C272" t="str">
        <f t="shared" si="4"/>
        <v>Democrat</v>
      </c>
      <c r="D272">
        <v>1.1324653683858776</v>
      </c>
      <c r="E272">
        <v>0.73444979466153582</v>
      </c>
      <c r="F272" s="16"/>
      <c r="G272" s="13"/>
      <c r="H272" s="13"/>
      <c r="I272" s="13"/>
      <c r="J272" s="16"/>
      <c r="K272" s="16"/>
    </row>
    <row r="273" spans="1:11" x14ac:dyDescent="0.2">
      <c r="A273">
        <v>2022</v>
      </c>
      <c r="B273" t="s">
        <v>507</v>
      </c>
      <c r="C273" t="str">
        <f t="shared" si="4"/>
        <v>Democrat</v>
      </c>
      <c r="D273">
        <v>0.98566744690237129</v>
      </c>
      <c r="E273">
        <v>0.69964759282932176</v>
      </c>
      <c r="F273" s="16"/>
      <c r="G273" s="13"/>
      <c r="H273" s="13"/>
      <c r="I273" s="13"/>
      <c r="J273" s="16"/>
      <c r="K273" s="16"/>
    </row>
    <row r="274" spans="1:11" x14ac:dyDescent="0.2">
      <c r="A274">
        <v>2015</v>
      </c>
      <c r="B274" t="s">
        <v>515</v>
      </c>
      <c r="C274" t="str">
        <f t="shared" si="4"/>
        <v>Democrat</v>
      </c>
      <c r="D274">
        <v>0.94635203854503014</v>
      </c>
      <c r="E274">
        <v>0.64338432082305241</v>
      </c>
      <c r="F274" s="16"/>
      <c r="G274" s="13"/>
      <c r="H274" s="13"/>
      <c r="I274" s="13"/>
      <c r="J274" s="16"/>
      <c r="K274" s="16"/>
    </row>
    <row r="275" spans="1:11" x14ac:dyDescent="0.2">
      <c r="A275">
        <v>2016</v>
      </c>
      <c r="B275" t="s">
        <v>515</v>
      </c>
      <c r="C275" t="str">
        <f t="shared" si="4"/>
        <v>Democrat</v>
      </c>
      <c r="D275">
        <v>0.87315690719918848</v>
      </c>
      <c r="E275">
        <v>0.55243213346642606</v>
      </c>
      <c r="F275" s="16"/>
      <c r="G275" s="13"/>
      <c r="H275" s="13"/>
      <c r="I275" s="13"/>
      <c r="J275" s="16"/>
      <c r="K275" s="16"/>
    </row>
    <row r="276" spans="1:11" x14ac:dyDescent="0.2">
      <c r="A276">
        <v>2017</v>
      </c>
      <c r="B276" t="s">
        <v>515</v>
      </c>
      <c r="C276" t="str">
        <f t="shared" si="4"/>
        <v>Democrat</v>
      </c>
      <c r="D276">
        <v>0.89510244070784806</v>
      </c>
      <c r="E276">
        <v>0.60062985525040369</v>
      </c>
      <c r="F276" s="16"/>
      <c r="G276" s="13"/>
      <c r="H276" s="13"/>
      <c r="I276" s="13"/>
      <c r="J276" s="16"/>
      <c r="K276" s="16"/>
    </row>
    <row r="277" spans="1:11" x14ac:dyDescent="0.2">
      <c r="A277">
        <v>2018</v>
      </c>
      <c r="B277" t="s">
        <v>515</v>
      </c>
      <c r="C277" t="str">
        <f t="shared" si="4"/>
        <v>Democrat</v>
      </c>
      <c r="D277">
        <v>0.87614153015122509</v>
      </c>
      <c r="E277">
        <v>0.60865868685757762</v>
      </c>
      <c r="F277" s="16"/>
      <c r="G277" s="13"/>
      <c r="H277" s="13"/>
      <c r="I277" s="13"/>
      <c r="J277" s="16"/>
      <c r="K277" s="16"/>
    </row>
    <row r="278" spans="1:11" x14ac:dyDescent="0.2">
      <c r="A278">
        <v>2019</v>
      </c>
      <c r="B278" t="s">
        <v>515</v>
      </c>
      <c r="C278" t="str">
        <f t="shared" si="4"/>
        <v>Democrat</v>
      </c>
      <c r="D278">
        <v>0.87558617223435953</v>
      </c>
      <c r="E278">
        <v>0.58140274851729168</v>
      </c>
      <c r="F278" s="16"/>
      <c r="G278" s="13"/>
      <c r="H278" s="13"/>
      <c r="I278" s="13"/>
      <c r="J278" s="16"/>
      <c r="K278" s="16"/>
    </row>
    <row r="279" spans="1:11" x14ac:dyDescent="0.2">
      <c r="A279">
        <v>2020</v>
      </c>
      <c r="B279" t="s">
        <v>515</v>
      </c>
      <c r="C279" t="str">
        <f t="shared" si="4"/>
        <v>Democrat</v>
      </c>
      <c r="D279">
        <v>0.85977907876178139</v>
      </c>
      <c r="E279">
        <v>0.54909898501569643</v>
      </c>
      <c r="F279" s="16"/>
      <c r="G279" s="13"/>
      <c r="H279" s="13"/>
      <c r="I279" s="13"/>
      <c r="J279" s="16"/>
      <c r="K279" s="16"/>
    </row>
    <row r="280" spans="1:11" x14ac:dyDescent="0.2">
      <c r="A280">
        <v>2021</v>
      </c>
      <c r="B280" t="s">
        <v>515</v>
      </c>
      <c r="C280" t="str">
        <f t="shared" si="4"/>
        <v>Democrat</v>
      </c>
      <c r="D280">
        <v>0.94858444867994285</v>
      </c>
      <c r="E280">
        <v>0.61624034624380575</v>
      </c>
      <c r="F280" s="16"/>
      <c r="G280" s="13"/>
      <c r="H280" s="13"/>
      <c r="I280" s="13"/>
      <c r="J280" s="16"/>
      <c r="K280" s="16"/>
    </row>
    <row r="281" spans="1:11" x14ac:dyDescent="0.2">
      <c r="A281">
        <v>2022</v>
      </c>
      <c r="B281" t="s">
        <v>515</v>
      </c>
      <c r="C281" t="str">
        <f t="shared" si="4"/>
        <v>Democrat</v>
      </c>
      <c r="D281">
        <v>0.84138204148191731</v>
      </c>
      <c r="E281">
        <v>0.61471243712021217</v>
      </c>
      <c r="F281" s="16"/>
      <c r="G281" s="13"/>
      <c r="H281" s="13"/>
      <c r="I281" s="13"/>
      <c r="J281" s="16"/>
      <c r="K281" s="16"/>
    </row>
    <row r="282" spans="1:11" x14ac:dyDescent="0.2">
      <c r="A282">
        <v>2015</v>
      </c>
      <c r="B282" t="s">
        <v>528</v>
      </c>
      <c r="C282" t="str">
        <f t="shared" si="4"/>
        <v>Republican</v>
      </c>
      <c r="D282">
        <v>0.62088679934963908</v>
      </c>
      <c r="E282">
        <v>0.38717457670532573</v>
      </c>
      <c r="F282" s="16"/>
      <c r="G282" s="13"/>
      <c r="H282" s="13"/>
      <c r="I282" s="13"/>
      <c r="J282" s="16"/>
      <c r="K282" s="16"/>
    </row>
    <row r="283" spans="1:11" x14ac:dyDescent="0.2">
      <c r="A283">
        <v>2016</v>
      </c>
      <c r="B283" t="s">
        <v>528</v>
      </c>
      <c r="C283" t="str">
        <f t="shared" si="4"/>
        <v>Republican</v>
      </c>
      <c r="D283">
        <v>0.59183667215134361</v>
      </c>
      <c r="E283">
        <v>0.35300902639343235</v>
      </c>
      <c r="F283" s="16"/>
      <c r="G283" s="13"/>
      <c r="H283" s="13"/>
      <c r="I283" s="13"/>
      <c r="J283" s="16"/>
      <c r="K283" s="16"/>
    </row>
    <row r="284" spans="1:11" x14ac:dyDescent="0.2">
      <c r="A284">
        <v>2017</v>
      </c>
      <c r="B284" t="s">
        <v>528</v>
      </c>
      <c r="C284" t="str">
        <f t="shared" si="4"/>
        <v>Republican</v>
      </c>
      <c r="D284">
        <v>0.63215861095436898</v>
      </c>
      <c r="E284">
        <v>0.39882953571168855</v>
      </c>
      <c r="F284" s="16"/>
      <c r="G284" s="13"/>
      <c r="H284" s="13"/>
      <c r="I284" s="13"/>
      <c r="J284" s="16"/>
      <c r="K284" s="16"/>
    </row>
    <row r="285" spans="1:11" x14ac:dyDescent="0.2">
      <c r="A285">
        <v>2018</v>
      </c>
      <c r="B285" t="s">
        <v>528</v>
      </c>
      <c r="C285" t="str">
        <f t="shared" si="4"/>
        <v>Republican</v>
      </c>
      <c r="D285">
        <v>0.65501415162099796</v>
      </c>
      <c r="E285">
        <v>0.42642037184417592</v>
      </c>
      <c r="F285" s="16"/>
      <c r="G285" s="13"/>
      <c r="H285" s="13"/>
      <c r="I285" s="13"/>
      <c r="J285" s="16"/>
      <c r="K285" s="16"/>
    </row>
    <row r="286" spans="1:11" x14ac:dyDescent="0.2">
      <c r="A286">
        <v>2019</v>
      </c>
      <c r="B286" t="s">
        <v>528</v>
      </c>
      <c r="C286" t="str">
        <f t="shared" si="4"/>
        <v>Republican</v>
      </c>
      <c r="D286">
        <v>0.65511976689677831</v>
      </c>
      <c r="E286">
        <v>0.4042922048277291</v>
      </c>
      <c r="F286" s="16"/>
      <c r="G286" s="13"/>
      <c r="H286" s="13"/>
      <c r="I286" s="13"/>
      <c r="J286" s="16"/>
      <c r="K286" s="16"/>
    </row>
    <row r="287" spans="1:11" x14ac:dyDescent="0.2">
      <c r="A287">
        <v>2020</v>
      </c>
      <c r="B287" t="s">
        <v>528</v>
      </c>
      <c r="C287" t="str">
        <f t="shared" si="4"/>
        <v>Republican</v>
      </c>
      <c r="D287">
        <v>0.63394144417795018</v>
      </c>
      <c r="E287">
        <v>0.37197663102248746</v>
      </c>
      <c r="F287" s="16"/>
      <c r="G287" s="13"/>
      <c r="H287" s="13"/>
      <c r="I287" s="13"/>
      <c r="J287" s="16"/>
      <c r="K287" s="16"/>
    </row>
    <row r="288" spans="1:11" x14ac:dyDescent="0.2">
      <c r="A288">
        <v>2021</v>
      </c>
      <c r="B288" t="s">
        <v>528</v>
      </c>
      <c r="C288" t="str">
        <f t="shared" si="4"/>
        <v>Republican</v>
      </c>
      <c r="D288">
        <v>0.75700174813079157</v>
      </c>
      <c r="E288">
        <v>0.48191091312548312</v>
      </c>
      <c r="F288" s="16"/>
      <c r="G288" s="13"/>
      <c r="H288" s="13"/>
      <c r="I288" s="13"/>
      <c r="J288" s="16"/>
      <c r="K288" s="16"/>
    </row>
    <row r="289" spans="1:11" x14ac:dyDescent="0.2">
      <c r="A289">
        <v>2022</v>
      </c>
      <c r="B289" t="s">
        <v>528</v>
      </c>
      <c r="C289" t="str">
        <f t="shared" si="4"/>
        <v>Republican</v>
      </c>
      <c r="D289">
        <v>0.67498621085439581</v>
      </c>
      <c r="E289">
        <v>0.46469176419331409</v>
      </c>
      <c r="F289" s="16"/>
      <c r="G289" s="13"/>
      <c r="H289" s="13"/>
      <c r="I289" s="13"/>
      <c r="J289" s="16"/>
      <c r="K289" s="16"/>
    </row>
    <row r="290" spans="1:11" x14ac:dyDescent="0.2">
      <c r="A290">
        <v>2015</v>
      </c>
      <c r="B290" t="s">
        <v>536</v>
      </c>
      <c r="C290" t="str">
        <f t="shared" si="4"/>
        <v>Republican</v>
      </c>
      <c r="D290">
        <v>0.72087894101558958</v>
      </c>
      <c r="E290">
        <v>0.47297386515090201</v>
      </c>
      <c r="F290" s="16"/>
      <c r="G290" s="13"/>
      <c r="H290" s="13"/>
      <c r="I290" s="13"/>
      <c r="J290" s="16"/>
      <c r="K290" s="16"/>
    </row>
    <row r="291" spans="1:11" x14ac:dyDescent="0.2">
      <c r="A291">
        <v>2016</v>
      </c>
      <c r="B291" t="s">
        <v>536</v>
      </c>
      <c r="C291" t="str">
        <f t="shared" si="4"/>
        <v>Republican</v>
      </c>
      <c r="D291">
        <v>0.6677828238084913</v>
      </c>
      <c r="E291">
        <v>0.41229475081128403</v>
      </c>
      <c r="F291" s="16"/>
      <c r="G291" s="13"/>
      <c r="H291" s="13"/>
      <c r="I291" s="13"/>
      <c r="J291" s="16"/>
      <c r="K291" s="16"/>
    </row>
    <row r="292" spans="1:11" x14ac:dyDescent="0.2">
      <c r="A292">
        <v>2017</v>
      </c>
      <c r="B292" t="s">
        <v>536</v>
      </c>
      <c r="C292" t="str">
        <f t="shared" si="4"/>
        <v>Republican</v>
      </c>
      <c r="D292">
        <v>0.75287533794032113</v>
      </c>
      <c r="E292">
        <v>0.49398079404898315</v>
      </c>
      <c r="F292" s="16"/>
      <c r="G292" s="13"/>
      <c r="H292" s="13"/>
      <c r="I292" s="13"/>
      <c r="J292" s="16"/>
      <c r="K292" s="16"/>
    </row>
    <row r="293" spans="1:11" x14ac:dyDescent="0.2">
      <c r="A293">
        <v>2018</v>
      </c>
      <c r="B293" t="s">
        <v>536</v>
      </c>
      <c r="C293" t="str">
        <f t="shared" si="4"/>
        <v>Republican</v>
      </c>
      <c r="D293">
        <v>0.77309768361916986</v>
      </c>
      <c r="E293">
        <v>0.53732738173679473</v>
      </c>
      <c r="F293" s="16"/>
      <c r="G293" s="13"/>
      <c r="H293" s="13"/>
      <c r="I293" s="13"/>
      <c r="J293" s="16"/>
      <c r="K293" s="16"/>
    </row>
    <row r="294" spans="1:11" x14ac:dyDescent="0.2">
      <c r="A294">
        <v>2019</v>
      </c>
      <c r="B294" t="s">
        <v>536</v>
      </c>
      <c r="C294" t="str">
        <f t="shared" si="4"/>
        <v>Republican</v>
      </c>
      <c r="D294">
        <v>0.77397602582411718</v>
      </c>
      <c r="E294">
        <v>0.51072394068689553</v>
      </c>
      <c r="F294" s="16"/>
      <c r="G294" s="13"/>
      <c r="H294" s="13"/>
      <c r="I294" s="13"/>
      <c r="J294" s="16"/>
      <c r="K294" s="16"/>
    </row>
    <row r="295" spans="1:11" x14ac:dyDescent="0.2">
      <c r="A295">
        <v>2020</v>
      </c>
      <c r="B295" t="s">
        <v>536</v>
      </c>
      <c r="C295" t="str">
        <f t="shared" si="4"/>
        <v>Republican</v>
      </c>
      <c r="D295">
        <v>0.75477976146656289</v>
      </c>
      <c r="E295">
        <v>0.48052530399301324</v>
      </c>
      <c r="F295" s="16"/>
      <c r="G295" s="13"/>
      <c r="H295" s="13"/>
      <c r="I295" s="13"/>
      <c r="J295" s="16"/>
      <c r="K295" s="16"/>
    </row>
    <row r="296" spans="1:11" x14ac:dyDescent="0.2">
      <c r="A296">
        <v>2021</v>
      </c>
      <c r="B296" t="s">
        <v>536</v>
      </c>
      <c r="C296" t="str">
        <f t="shared" si="4"/>
        <v>Republican</v>
      </c>
      <c r="D296">
        <v>0.87775382807264302</v>
      </c>
      <c r="E296">
        <v>0.57778485847419059</v>
      </c>
      <c r="F296" s="16"/>
      <c r="G296" s="13"/>
      <c r="H296" s="13"/>
      <c r="I296" s="13"/>
      <c r="J296" s="16"/>
      <c r="K296" s="16"/>
    </row>
    <row r="297" spans="1:11" x14ac:dyDescent="0.2">
      <c r="A297">
        <v>2022</v>
      </c>
      <c r="B297" t="s">
        <v>536</v>
      </c>
      <c r="C297" t="str">
        <f t="shared" si="4"/>
        <v>Republican</v>
      </c>
      <c r="D297">
        <v>0.7888161445009978</v>
      </c>
      <c r="E297">
        <v>0.56957056026618702</v>
      </c>
      <c r="F297" s="16"/>
      <c r="G297" s="13"/>
      <c r="H297" s="13"/>
      <c r="I297" s="13"/>
      <c r="J297" s="16"/>
      <c r="K297" s="16"/>
    </row>
    <row r="298" spans="1:11" x14ac:dyDescent="0.2">
      <c r="A298">
        <v>2015</v>
      </c>
      <c r="B298" t="s">
        <v>546</v>
      </c>
      <c r="C298" t="str">
        <f t="shared" si="4"/>
        <v>Republican</v>
      </c>
      <c r="D298">
        <v>0.70310025113663599</v>
      </c>
      <c r="E298">
        <v>0.44706246250129766</v>
      </c>
      <c r="F298" s="16"/>
      <c r="G298" s="13"/>
      <c r="H298" s="13"/>
      <c r="I298" s="13"/>
      <c r="J298" s="16"/>
      <c r="K298" s="16"/>
    </row>
    <row r="299" spans="1:11" x14ac:dyDescent="0.2">
      <c r="A299">
        <v>2016</v>
      </c>
      <c r="B299" t="s">
        <v>546</v>
      </c>
      <c r="C299" t="str">
        <f t="shared" si="4"/>
        <v>Republican</v>
      </c>
      <c r="D299">
        <v>0.62244631744687706</v>
      </c>
      <c r="E299">
        <v>0.37051424910661263</v>
      </c>
      <c r="F299" s="16"/>
      <c r="G299" s="13"/>
      <c r="H299" s="13"/>
      <c r="I299" s="13"/>
      <c r="J299" s="16"/>
      <c r="K299" s="16"/>
    </row>
    <row r="300" spans="1:11" x14ac:dyDescent="0.2">
      <c r="A300">
        <v>2017</v>
      </c>
      <c r="B300" t="s">
        <v>546</v>
      </c>
      <c r="C300" t="str">
        <f t="shared" si="4"/>
        <v>Republican</v>
      </c>
      <c r="D300">
        <v>0.69316572598202186</v>
      </c>
      <c r="E300">
        <v>0.4520209883079504</v>
      </c>
      <c r="F300" s="16"/>
      <c r="G300" s="13"/>
      <c r="H300" s="13"/>
      <c r="I300" s="13"/>
      <c r="J300" s="16"/>
      <c r="K300" s="16"/>
    </row>
    <row r="301" spans="1:11" x14ac:dyDescent="0.2">
      <c r="A301">
        <v>2018</v>
      </c>
      <c r="B301" t="s">
        <v>546</v>
      </c>
      <c r="C301" t="str">
        <f t="shared" si="4"/>
        <v>Republican</v>
      </c>
      <c r="D301">
        <v>0.7273732797704282</v>
      </c>
      <c r="E301">
        <v>0.48972353192565565</v>
      </c>
      <c r="F301" s="16"/>
      <c r="G301" s="13"/>
      <c r="H301" s="13"/>
      <c r="I301" s="13"/>
      <c r="J301" s="16"/>
      <c r="K301" s="16"/>
    </row>
    <row r="302" spans="1:11" x14ac:dyDescent="0.2">
      <c r="A302">
        <v>2019</v>
      </c>
      <c r="B302" t="s">
        <v>546</v>
      </c>
      <c r="C302" t="str">
        <f t="shared" si="4"/>
        <v>Republican</v>
      </c>
      <c r="D302">
        <v>0.71559993772214048</v>
      </c>
      <c r="E302">
        <v>0.45519481532675221</v>
      </c>
      <c r="F302" s="16"/>
      <c r="G302" s="13"/>
      <c r="H302" s="13"/>
      <c r="I302" s="13"/>
      <c r="J302" s="16"/>
      <c r="K302" s="16"/>
    </row>
    <row r="303" spans="1:11" x14ac:dyDescent="0.2">
      <c r="A303">
        <v>2020</v>
      </c>
      <c r="B303" t="s">
        <v>546</v>
      </c>
      <c r="C303" t="str">
        <f t="shared" si="4"/>
        <v>Republican</v>
      </c>
      <c r="D303">
        <v>0.63470103726596039</v>
      </c>
      <c r="E303">
        <v>0.37801422739469115</v>
      </c>
      <c r="F303" s="16"/>
      <c r="G303" s="13"/>
      <c r="H303" s="13"/>
      <c r="I303" s="13"/>
      <c r="J303" s="16"/>
      <c r="K303" s="16"/>
    </row>
    <row r="304" spans="1:11" x14ac:dyDescent="0.2">
      <c r="A304">
        <v>2021</v>
      </c>
      <c r="B304" t="s">
        <v>546</v>
      </c>
      <c r="C304" t="str">
        <f t="shared" si="4"/>
        <v>Republican</v>
      </c>
      <c r="D304">
        <v>0.8079938162068403</v>
      </c>
      <c r="E304">
        <v>0.52406980077200205</v>
      </c>
      <c r="F304" s="16"/>
      <c r="G304" s="13"/>
      <c r="H304" s="13"/>
      <c r="I304" s="13"/>
      <c r="J304" s="16"/>
      <c r="K304" s="16"/>
    </row>
    <row r="305" spans="1:11" x14ac:dyDescent="0.2">
      <c r="A305">
        <v>2022</v>
      </c>
      <c r="B305" t="s">
        <v>546</v>
      </c>
      <c r="C305" t="str">
        <f t="shared" si="4"/>
        <v>Republican</v>
      </c>
      <c r="D305">
        <v>0.70050694402186342</v>
      </c>
      <c r="E305">
        <v>0.4915134318703937</v>
      </c>
      <c r="F305" s="16"/>
      <c r="G305" s="13"/>
      <c r="H305" s="13"/>
      <c r="I305" s="13"/>
      <c r="J305" s="16"/>
      <c r="K305" s="16"/>
    </row>
    <row r="306" spans="1:11" x14ac:dyDescent="0.2">
      <c r="A306">
        <v>2015</v>
      </c>
      <c r="B306" t="s">
        <v>559</v>
      </c>
      <c r="C306" t="str">
        <f t="shared" si="4"/>
        <v>Democrat</v>
      </c>
      <c r="D306">
        <v>0.91875055720574939</v>
      </c>
      <c r="E306">
        <v>0.59472735500213758</v>
      </c>
      <c r="F306" s="16"/>
      <c r="G306" s="13"/>
      <c r="H306" s="13"/>
      <c r="I306" s="13"/>
      <c r="J306" s="16"/>
      <c r="K306" s="16"/>
    </row>
    <row r="307" spans="1:11" x14ac:dyDescent="0.2">
      <c r="A307">
        <v>2016</v>
      </c>
      <c r="B307" t="s">
        <v>559</v>
      </c>
      <c r="C307" t="str">
        <f t="shared" si="4"/>
        <v>Democrat</v>
      </c>
      <c r="D307">
        <v>0.80527379420554546</v>
      </c>
      <c r="E307">
        <v>0.48250879453445245</v>
      </c>
      <c r="F307" s="16"/>
      <c r="G307" s="13"/>
      <c r="H307" s="13"/>
      <c r="I307" s="13"/>
      <c r="J307" s="16"/>
      <c r="K307" s="16"/>
    </row>
    <row r="308" spans="1:11" x14ac:dyDescent="0.2">
      <c r="A308">
        <v>2017</v>
      </c>
      <c r="B308" t="s">
        <v>559</v>
      </c>
      <c r="C308" t="str">
        <f t="shared" si="4"/>
        <v>Democrat</v>
      </c>
      <c r="D308">
        <v>0.83118706301806977</v>
      </c>
      <c r="E308">
        <v>0.5371385682275458</v>
      </c>
      <c r="F308" s="16"/>
      <c r="G308" s="13"/>
      <c r="H308" s="13"/>
      <c r="I308" s="13"/>
      <c r="J308" s="16"/>
      <c r="K308" s="16"/>
    </row>
    <row r="309" spans="1:11" x14ac:dyDescent="0.2">
      <c r="A309">
        <v>2018</v>
      </c>
      <c r="B309" t="s">
        <v>559</v>
      </c>
      <c r="C309" t="str">
        <f t="shared" si="4"/>
        <v>Democrat</v>
      </c>
      <c r="D309">
        <v>0.82067590715006966</v>
      </c>
      <c r="E309">
        <v>0.54550943334688351</v>
      </c>
      <c r="F309" s="16"/>
      <c r="G309" s="13"/>
      <c r="H309" s="13"/>
      <c r="I309" s="13"/>
      <c r="J309" s="16"/>
      <c r="K309" s="16"/>
    </row>
    <row r="310" spans="1:11" x14ac:dyDescent="0.2">
      <c r="A310">
        <v>2019</v>
      </c>
      <c r="B310" t="s">
        <v>559</v>
      </c>
      <c r="C310" t="str">
        <f t="shared" si="4"/>
        <v>Democrat</v>
      </c>
      <c r="D310">
        <v>0.80231699679547253</v>
      </c>
      <c r="E310">
        <v>0.5171152593952042</v>
      </c>
      <c r="F310" s="16"/>
      <c r="G310" s="13"/>
      <c r="H310" s="13"/>
      <c r="I310" s="13"/>
      <c r="J310" s="16"/>
      <c r="K310" s="16"/>
    </row>
    <row r="311" spans="1:11" x14ac:dyDescent="0.2">
      <c r="A311">
        <v>2020</v>
      </c>
      <c r="B311" t="s">
        <v>559</v>
      </c>
      <c r="C311" t="str">
        <f t="shared" si="4"/>
        <v>Democrat</v>
      </c>
      <c r="D311">
        <v>0.75790163818035183</v>
      </c>
      <c r="E311">
        <v>0.46689169579915613</v>
      </c>
      <c r="F311" s="16"/>
      <c r="G311" s="13"/>
      <c r="H311" s="13"/>
      <c r="I311" s="13"/>
      <c r="J311" s="16"/>
      <c r="K311" s="16"/>
    </row>
    <row r="312" spans="1:11" x14ac:dyDescent="0.2">
      <c r="A312">
        <v>2021</v>
      </c>
      <c r="B312" t="s">
        <v>559</v>
      </c>
      <c r="C312" t="str">
        <f t="shared" si="4"/>
        <v>Democrat</v>
      </c>
      <c r="D312">
        <v>0.87573444045450677</v>
      </c>
      <c r="E312">
        <v>0.56232519271529557</v>
      </c>
      <c r="F312" s="16"/>
      <c r="G312" s="13"/>
      <c r="H312" s="13"/>
      <c r="I312" s="13"/>
      <c r="J312" s="16"/>
      <c r="K312" s="16"/>
    </row>
    <row r="313" spans="1:11" x14ac:dyDescent="0.2">
      <c r="A313">
        <v>2022</v>
      </c>
      <c r="B313" t="s">
        <v>559</v>
      </c>
      <c r="C313" t="str">
        <f t="shared" si="4"/>
        <v>Democrat</v>
      </c>
      <c r="D313">
        <v>0.84546071117139809</v>
      </c>
      <c r="E313">
        <v>0.60035901294962779</v>
      </c>
      <c r="F313" s="16"/>
      <c r="G313" s="13"/>
      <c r="H313" s="13"/>
      <c r="I313" s="13"/>
      <c r="J313" s="16"/>
      <c r="K313" s="16"/>
    </row>
    <row r="314" spans="1:11" x14ac:dyDescent="0.2">
      <c r="A314">
        <v>2015</v>
      </c>
      <c r="B314" t="s">
        <v>580</v>
      </c>
      <c r="C314" t="str">
        <f t="shared" ref="C314:C362" si="5">VLOOKUP(B314,$H$2:$I$49,2,FALSE)</f>
        <v>Democrat</v>
      </c>
      <c r="D314">
        <v>0.57554876935360932</v>
      </c>
      <c r="E314">
        <v>0.38679290956983176</v>
      </c>
      <c r="F314" s="16"/>
      <c r="G314" s="13"/>
      <c r="H314" s="13"/>
      <c r="I314" s="13"/>
      <c r="J314" s="16"/>
      <c r="K314" s="16"/>
    </row>
    <row r="315" spans="1:11" x14ac:dyDescent="0.2">
      <c r="A315">
        <v>2016</v>
      </c>
      <c r="B315" t="s">
        <v>580</v>
      </c>
      <c r="C315" t="str">
        <f t="shared" si="5"/>
        <v>Democrat</v>
      </c>
      <c r="D315">
        <v>0.54057566147082214</v>
      </c>
      <c r="E315">
        <v>0.34234837951427227</v>
      </c>
      <c r="F315" s="16"/>
      <c r="G315" s="13"/>
      <c r="H315" s="13"/>
      <c r="I315" s="13"/>
      <c r="J315" s="16"/>
      <c r="K315" s="16"/>
    </row>
    <row r="316" spans="1:11" x14ac:dyDescent="0.2">
      <c r="A316">
        <v>2017</v>
      </c>
      <c r="B316" t="s">
        <v>580</v>
      </c>
      <c r="C316" t="str">
        <f t="shared" si="5"/>
        <v>Democrat</v>
      </c>
      <c r="D316">
        <v>0.54011788664395088</v>
      </c>
      <c r="E316">
        <v>0.35510506490134119</v>
      </c>
      <c r="F316" s="16"/>
      <c r="G316" s="13"/>
      <c r="H316" s="13"/>
      <c r="I316" s="13"/>
      <c r="J316" s="16"/>
      <c r="K316" s="16"/>
    </row>
    <row r="317" spans="1:11" x14ac:dyDescent="0.2">
      <c r="A317">
        <v>2018</v>
      </c>
      <c r="B317" t="s">
        <v>580</v>
      </c>
      <c r="C317" t="str">
        <f t="shared" si="5"/>
        <v>Democrat</v>
      </c>
      <c r="D317">
        <v>0.54342072041350753</v>
      </c>
      <c r="E317">
        <v>0.3766973579705713</v>
      </c>
      <c r="F317" s="16"/>
      <c r="G317" s="13"/>
      <c r="H317" s="13"/>
      <c r="I317" s="13"/>
      <c r="J317" s="16"/>
      <c r="K317" s="16"/>
    </row>
    <row r="318" spans="1:11" x14ac:dyDescent="0.2">
      <c r="A318">
        <v>2019</v>
      </c>
      <c r="B318" t="s">
        <v>580</v>
      </c>
      <c r="C318" t="str">
        <f t="shared" si="5"/>
        <v>Democrat</v>
      </c>
      <c r="D318">
        <v>0.54551764491724575</v>
      </c>
      <c r="E318">
        <v>0.36924349585942806</v>
      </c>
      <c r="F318" s="16"/>
      <c r="G318" s="13"/>
      <c r="H318" s="13"/>
      <c r="I318" s="13"/>
      <c r="J318" s="16"/>
      <c r="K318" s="16"/>
    </row>
    <row r="319" spans="1:11" x14ac:dyDescent="0.2">
      <c r="A319">
        <v>2020</v>
      </c>
      <c r="B319" t="s">
        <v>580</v>
      </c>
      <c r="C319" t="str">
        <f t="shared" si="5"/>
        <v>Democrat</v>
      </c>
      <c r="D319">
        <v>0.54316332182879545</v>
      </c>
      <c r="E319">
        <v>0.34977958053482994</v>
      </c>
      <c r="F319" s="16"/>
      <c r="G319" s="13"/>
      <c r="H319" s="13"/>
      <c r="I319" s="13"/>
      <c r="J319" s="16"/>
      <c r="K319" s="16"/>
    </row>
    <row r="320" spans="1:11" x14ac:dyDescent="0.2">
      <c r="A320">
        <v>2021</v>
      </c>
      <c r="B320" t="s">
        <v>580</v>
      </c>
      <c r="C320" t="str">
        <f t="shared" si="5"/>
        <v>Democrat</v>
      </c>
      <c r="D320">
        <v>0.66499849111179443</v>
      </c>
      <c r="E320">
        <v>0.44833540207541089</v>
      </c>
      <c r="F320" s="16"/>
      <c r="G320" s="13"/>
      <c r="H320" s="13"/>
      <c r="I320" s="13"/>
      <c r="J320" s="16"/>
      <c r="K320" s="16"/>
    </row>
    <row r="321" spans="1:11" x14ac:dyDescent="0.2">
      <c r="A321">
        <v>2022</v>
      </c>
      <c r="B321" t="s">
        <v>580</v>
      </c>
      <c r="C321" t="str">
        <f t="shared" si="5"/>
        <v>Democrat</v>
      </c>
      <c r="D321">
        <v>0.62064754518254428</v>
      </c>
      <c r="E321">
        <v>0.46931326311109584</v>
      </c>
      <c r="F321" s="16"/>
      <c r="G321" s="13"/>
      <c r="H321" s="13"/>
      <c r="I321" s="13"/>
      <c r="J321" s="16"/>
      <c r="K321" s="16"/>
    </row>
    <row r="322" spans="1:11" x14ac:dyDescent="0.2">
      <c r="A322">
        <v>2015</v>
      </c>
      <c r="B322" t="s">
        <v>599</v>
      </c>
      <c r="C322" t="str">
        <f t="shared" si="5"/>
        <v>Republican</v>
      </c>
      <c r="D322">
        <v>1.0409690861515049</v>
      </c>
      <c r="E322">
        <v>0.64292813568439178</v>
      </c>
      <c r="F322" s="16"/>
      <c r="G322" s="13"/>
      <c r="H322" s="13"/>
      <c r="I322" s="13"/>
      <c r="J322" s="16"/>
      <c r="K322" s="16"/>
    </row>
    <row r="323" spans="1:11" x14ac:dyDescent="0.2">
      <c r="A323">
        <v>2016</v>
      </c>
      <c r="B323" t="s">
        <v>599</v>
      </c>
      <c r="C323" t="str">
        <f t="shared" si="5"/>
        <v>Republican</v>
      </c>
      <c r="D323">
        <v>0.96887087314901543</v>
      </c>
      <c r="E323">
        <v>0.56694823697609908</v>
      </c>
      <c r="F323" s="16"/>
      <c r="G323" s="13"/>
      <c r="H323" s="13"/>
      <c r="I323" s="13"/>
      <c r="J323" s="16"/>
      <c r="K323" s="16"/>
    </row>
    <row r="324" spans="1:11" x14ac:dyDescent="0.2">
      <c r="A324">
        <v>2017</v>
      </c>
      <c r="B324" t="s">
        <v>599</v>
      </c>
      <c r="C324" t="str">
        <f t="shared" si="5"/>
        <v>Republican</v>
      </c>
      <c r="D324">
        <v>1.0007799766290639</v>
      </c>
      <c r="E324">
        <v>0.62167638646967105</v>
      </c>
      <c r="F324" s="16"/>
      <c r="G324" s="13"/>
      <c r="H324" s="13"/>
      <c r="I324" s="13"/>
      <c r="J324" s="16"/>
      <c r="K324" s="16"/>
    </row>
    <row r="325" spans="1:11" x14ac:dyDescent="0.2">
      <c r="A325">
        <v>2018</v>
      </c>
      <c r="B325" t="s">
        <v>599</v>
      </c>
      <c r="C325" t="str">
        <f t="shared" si="5"/>
        <v>Republican</v>
      </c>
      <c r="D325">
        <v>1.0001906258667366</v>
      </c>
      <c r="E325">
        <v>0.67672693828169461</v>
      </c>
      <c r="F325" s="16"/>
      <c r="G325" s="13"/>
      <c r="H325" s="13"/>
      <c r="I325" s="13"/>
      <c r="J325" s="16"/>
      <c r="K325" s="16"/>
    </row>
    <row r="326" spans="1:11" x14ac:dyDescent="0.2">
      <c r="A326">
        <v>2019</v>
      </c>
      <c r="B326" t="s">
        <v>599</v>
      </c>
      <c r="C326" t="str">
        <f t="shared" si="5"/>
        <v>Republican</v>
      </c>
      <c r="D326">
        <v>1.0008503312656944</v>
      </c>
      <c r="E326">
        <v>0.64675122633625537</v>
      </c>
      <c r="F326" s="16"/>
      <c r="G326" s="13"/>
      <c r="H326" s="13"/>
      <c r="I326" s="13"/>
      <c r="J326" s="16"/>
      <c r="K326" s="16"/>
    </row>
    <row r="327" spans="1:11" x14ac:dyDescent="0.2">
      <c r="A327">
        <v>2020</v>
      </c>
      <c r="B327" t="s">
        <v>599</v>
      </c>
      <c r="C327" t="str">
        <f t="shared" si="5"/>
        <v>Republican</v>
      </c>
      <c r="D327">
        <v>1.000353290634219</v>
      </c>
      <c r="E327">
        <v>0.60867059297031678</v>
      </c>
      <c r="F327" s="16"/>
      <c r="G327" s="13"/>
      <c r="H327" s="13"/>
      <c r="I327" s="13"/>
      <c r="J327" s="16"/>
      <c r="K327" s="16"/>
    </row>
    <row r="328" spans="1:11" x14ac:dyDescent="0.2">
      <c r="A328">
        <v>2021</v>
      </c>
      <c r="B328" t="s">
        <v>599</v>
      </c>
      <c r="C328" t="str">
        <f t="shared" si="5"/>
        <v>Republican</v>
      </c>
      <c r="D328">
        <v>1.0552292344716028</v>
      </c>
      <c r="E328">
        <v>0.66633702287813767</v>
      </c>
      <c r="F328" s="16"/>
      <c r="G328" s="13"/>
      <c r="H328" s="13"/>
      <c r="I328" s="13"/>
      <c r="J328" s="16"/>
      <c r="K328" s="16"/>
    </row>
    <row r="329" spans="1:11" x14ac:dyDescent="0.2">
      <c r="A329">
        <v>2022</v>
      </c>
      <c r="B329" t="s">
        <v>599</v>
      </c>
      <c r="C329" t="str">
        <f t="shared" si="5"/>
        <v>Republican</v>
      </c>
      <c r="D329">
        <v>1.0006694945864871</v>
      </c>
      <c r="E329">
        <v>0.71028149457459888</v>
      </c>
      <c r="F329" s="16"/>
      <c r="G329" s="13"/>
      <c r="H329" s="13"/>
      <c r="I329" s="13"/>
      <c r="J329" s="16"/>
      <c r="K329" s="16"/>
    </row>
    <row r="330" spans="1:11" x14ac:dyDescent="0.2">
      <c r="A330">
        <v>2015</v>
      </c>
      <c r="B330" t="s">
        <v>67</v>
      </c>
      <c r="C330" t="str">
        <f t="shared" si="5"/>
        <v>Republican</v>
      </c>
      <c r="D330">
        <v>0.78431121372222845</v>
      </c>
      <c r="E330">
        <v>0.48381618570762414</v>
      </c>
      <c r="F330" s="16"/>
      <c r="G330" s="13"/>
      <c r="H330" s="13"/>
      <c r="I330" s="13"/>
      <c r="J330" s="16"/>
      <c r="K330" s="16"/>
    </row>
    <row r="331" spans="1:11" x14ac:dyDescent="0.2">
      <c r="A331">
        <v>2016</v>
      </c>
      <c r="B331" t="s">
        <v>67</v>
      </c>
      <c r="C331" t="str">
        <f t="shared" si="5"/>
        <v>Republican</v>
      </c>
      <c r="D331">
        <v>0.78003993081375333</v>
      </c>
      <c r="E331">
        <v>0.45965670015016408</v>
      </c>
      <c r="F331" s="16"/>
      <c r="G331" s="13"/>
      <c r="H331" s="13"/>
      <c r="I331" s="13"/>
      <c r="J331" s="16"/>
      <c r="K331" s="16"/>
    </row>
    <row r="332" spans="1:11" x14ac:dyDescent="0.2">
      <c r="A332">
        <v>2017</v>
      </c>
      <c r="B332" t="s">
        <v>67</v>
      </c>
      <c r="C332" t="str">
        <f t="shared" si="5"/>
        <v>Republican</v>
      </c>
      <c r="D332">
        <v>0.82170608459676109</v>
      </c>
      <c r="E332">
        <v>0.50040012177226023</v>
      </c>
      <c r="F332" s="16"/>
      <c r="G332" s="13"/>
      <c r="H332" s="13"/>
      <c r="I332" s="13"/>
      <c r="J332" s="16"/>
      <c r="K332" s="16"/>
    </row>
    <row r="333" spans="1:11" x14ac:dyDescent="0.2">
      <c r="A333">
        <v>2018</v>
      </c>
      <c r="B333" t="s">
        <v>67</v>
      </c>
      <c r="C333" t="str">
        <f t="shared" si="5"/>
        <v>Republican</v>
      </c>
      <c r="D333">
        <v>0.7374071942456889</v>
      </c>
      <c r="E333">
        <v>0.45506696992393819</v>
      </c>
      <c r="F333" s="16"/>
      <c r="G333" s="13"/>
      <c r="H333" s="13"/>
      <c r="I333" s="13"/>
      <c r="J333" s="16"/>
      <c r="K333" s="16"/>
    </row>
    <row r="334" spans="1:11" x14ac:dyDescent="0.2">
      <c r="A334">
        <v>2019</v>
      </c>
      <c r="B334" t="s">
        <v>67</v>
      </c>
      <c r="C334" t="str">
        <f t="shared" si="5"/>
        <v>Republican</v>
      </c>
      <c r="D334">
        <v>0.75241570798812596</v>
      </c>
      <c r="E334">
        <v>0.45006952171122011</v>
      </c>
      <c r="F334" s="16"/>
      <c r="G334" s="13"/>
      <c r="H334" s="13"/>
      <c r="I334" s="13"/>
      <c r="J334" s="16"/>
      <c r="K334" s="16"/>
    </row>
    <row r="335" spans="1:11" x14ac:dyDescent="0.2">
      <c r="A335">
        <v>2020</v>
      </c>
      <c r="B335" t="s">
        <v>67</v>
      </c>
      <c r="C335" t="str">
        <f t="shared" si="5"/>
        <v>Republican</v>
      </c>
      <c r="D335">
        <v>0.75541429640080204</v>
      </c>
      <c r="E335">
        <v>0.43851707221294661</v>
      </c>
      <c r="F335" s="16"/>
      <c r="G335" s="13"/>
      <c r="H335" s="13"/>
      <c r="I335" s="13"/>
      <c r="J335" s="16"/>
      <c r="K335" s="16"/>
    </row>
    <row r="336" spans="1:11" x14ac:dyDescent="0.2">
      <c r="A336">
        <v>2021</v>
      </c>
      <c r="B336" t="s">
        <v>67</v>
      </c>
      <c r="C336" t="str">
        <f t="shared" si="5"/>
        <v>Republican</v>
      </c>
      <c r="D336">
        <v>0.8879479304279887</v>
      </c>
      <c r="E336">
        <v>0.53832970547180081</v>
      </c>
      <c r="F336" s="16"/>
      <c r="G336" s="13"/>
      <c r="H336" s="13"/>
      <c r="I336" s="13"/>
      <c r="J336" s="16"/>
      <c r="K336" s="16"/>
    </row>
    <row r="337" spans="1:11" x14ac:dyDescent="0.2">
      <c r="A337">
        <v>2022</v>
      </c>
      <c r="B337" t="s">
        <v>67</v>
      </c>
      <c r="C337" t="str">
        <f t="shared" si="5"/>
        <v>Republican</v>
      </c>
      <c r="D337">
        <v>0.75624436146959284</v>
      </c>
      <c r="E337">
        <v>0.50284106280219276</v>
      </c>
      <c r="F337" s="16"/>
      <c r="G337" s="13"/>
      <c r="H337" s="13"/>
      <c r="I337" s="13"/>
      <c r="J337" s="16"/>
      <c r="K337" s="16"/>
    </row>
    <row r="338" spans="1:11" x14ac:dyDescent="0.2">
      <c r="A338">
        <v>2015</v>
      </c>
      <c r="B338" t="s">
        <v>622</v>
      </c>
      <c r="C338" t="str">
        <f t="shared" si="5"/>
        <v>Republican</v>
      </c>
      <c r="D338">
        <v>0.89897731149713422</v>
      </c>
      <c r="E338">
        <v>0.60922064523974684</v>
      </c>
      <c r="F338" s="16"/>
      <c r="G338" s="13"/>
      <c r="H338" s="13"/>
      <c r="I338" s="13"/>
      <c r="J338" s="16"/>
      <c r="K338" s="16"/>
    </row>
    <row r="339" spans="1:11" x14ac:dyDescent="0.2">
      <c r="A339">
        <v>2016</v>
      </c>
      <c r="B339" t="s">
        <v>622</v>
      </c>
      <c r="C339" t="str">
        <f t="shared" si="5"/>
        <v>Republican</v>
      </c>
      <c r="D339">
        <v>0.93221881112128935</v>
      </c>
      <c r="E339">
        <v>0.64534101509576081</v>
      </c>
      <c r="F339" s="16"/>
      <c r="G339" s="13"/>
      <c r="H339" s="13"/>
      <c r="I339" s="13"/>
      <c r="J339" s="16"/>
      <c r="K339" s="16"/>
    </row>
    <row r="340" spans="1:11" x14ac:dyDescent="0.2">
      <c r="A340">
        <v>2017</v>
      </c>
      <c r="B340" t="s">
        <v>622</v>
      </c>
      <c r="C340" t="str">
        <f t="shared" si="5"/>
        <v>Republican</v>
      </c>
      <c r="D340">
        <v>0.98866338567058731</v>
      </c>
      <c r="E340">
        <v>0.69287549464706311</v>
      </c>
      <c r="F340" s="16"/>
      <c r="G340" s="13"/>
      <c r="H340" s="13"/>
      <c r="I340" s="13"/>
      <c r="J340" s="16"/>
      <c r="K340" s="16"/>
    </row>
    <row r="341" spans="1:11" x14ac:dyDescent="0.2">
      <c r="A341">
        <v>2018</v>
      </c>
      <c r="B341" t="s">
        <v>622</v>
      </c>
      <c r="C341" t="str">
        <f t="shared" si="5"/>
        <v>Republican</v>
      </c>
      <c r="D341">
        <v>0.91310029758358391</v>
      </c>
      <c r="E341">
        <v>0.66551060288116382</v>
      </c>
      <c r="F341" s="16"/>
      <c r="G341" s="13"/>
      <c r="H341" s="13"/>
      <c r="I341" s="13"/>
      <c r="J341" s="16"/>
      <c r="K341" s="16"/>
    </row>
    <row r="342" spans="1:11" x14ac:dyDescent="0.2">
      <c r="A342">
        <v>2019</v>
      </c>
      <c r="B342" t="s">
        <v>622</v>
      </c>
      <c r="C342" t="str">
        <f t="shared" si="5"/>
        <v>Republican</v>
      </c>
      <c r="D342">
        <v>0.99384384514424329</v>
      </c>
      <c r="E342">
        <v>0.69541321037878989</v>
      </c>
      <c r="F342" s="16"/>
      <c r="G342" s="13"/>
      <c r="H342" s="13"/>
      <c r="I342" s="13"/>
      <c r="J342" s="16"/>
      <c r="K342" s="16"/>
    </row>
    <row r="343" spans="1:11" x14ac:dyDescent="0.2">
      <c r="A343">
        <v>2020</v>
      </c>
      <c r="B343" t="s">
        <v>622</v>
      </c>
      <c r="C343" t="str">
        <f t="shared" si="5"/>
        <v>Republican</v>
      </c>
      <c r="D343">
        <v>1.049461377083186</v>
      </c>
      <c r="E343">
        <v>0.71105023304590509</v>
      </c>
      <c r="F343" s="16"/>
      <c r="G343" s="13"/>
      <c r="H343" s="13"/>
      <c r="I343" s="13"/>
      <c r="J343" s="16"/>
      <c r="K343" s="16"/>
    </row>
    <row r="344" spans="1:11" x14ac:dyDescent="0.2">
      <c r="A344">
        <v>2021</v>
      </c>
      <c r="B344" t="s">
        <v>622</v>
      </c>
      <c r="C344" t="str">
        <f t="shared" si="5"/>
        <v>Republican</v>
      </c>
      <c r="D344">
        <v>1.1516865824622162</v>
      </c>
      <c r="E344">
        <v>0.80538273645035496</v>
      </c>
      <c r="F344" s="16"/>
      <c r="G344" s="13"/>
      <c r="H344" s="13"/>
      <c r="I344" s="13"/>
      <c r="J344" s="16"/>
      <c r="K344" s="16"/>
    </row>
    <row r="345" spans="1:11" x14ac:dyDescent="0.2">
      <c r="A345">
        <v>2022</v>
      </c>
      <c r="B345" t="s">
        <v>622</v>
      </c>
      <c r="C345" t="str">
        <f t="shared" si="5"/>
        <v>Republican</v>
      </c>
      <c r="D345">
        <v>0.98189384124216483</v>
      </c>
      <c r="E345">
        <v>0.78120122702634298</v>
      </c>
      <c r="F345" s="16"/>
      <c r="G345" s="13"/>
      <c r="H345" s="13"/>
      <c r="I345" s="13"/>
      <c r="J345" s="16"/>
      <c r="K345" s="16"/>
    </row>
    <row r="346" spans="1:11" x14ac:dyDescent="0.2">
      <c r="A346">
        <v>2015</v>
      </c>
      <c r="B346" t="s">
        <v>622</v>
      </c>
      <c r="C346" t="str">
        <f t="shared" si="5"/>
        <v>Republican</v>
      </c>
      <c r="D346">
        <v>1.0015535807184954</v>
      </c>
      <c r="E346">
        <v>0.4740146425538414</v>
      </c>
      <c r="F346" s="16"/>
      <c r="G346" s="13"/>
      <c r="H346" s="13"/>
      <c r="I346" s="13"/>
      <c r="J346" s="16"/>
      <c r="K346" s="16"/>
    </row>
    <row r="347" spans="1:11" x14ac:dyDescent="0.2">
      <c r="A347">
        <v>2016</v>
      </c>
      <c r="B347" t="s">
        <v>622</v>
      </c>
      <c r="C347" t="str">
        <f t="shared" si="5"/>
        <v>Republican</v>
      </c>
      <c r="D347">
        <v>0.95116217990807617</v>
      </c>
      <c r="E347">
        <v>0.4705298630689107</v>
      </c>
      <c r="F347" s="16"/>
      <c r="G347" s="13"/>
      <c r="H347" s="13"/>
      <c r="I347" s="13"/>
      <c r="J347" s="16"/>
      <c r="K347" s="16"/>
    </row>
    <row r="348" spans="1:11" x14ac:dyDescent="0.2">
      <c r="A348">
        <v>2017</v>
      </c>
      <c r="B348" t="s">
        <v>622</v>
      </c>
      <c r="C348" t="str">
        <f t="shared" si="5"/>
        <v>Republican</v>
      </c>
      <c r="D348">
        <v>0.97391690209593684</v>
      </c>
      <c r="E348">
        <v>0.40293286626168889</v>
      </c>
      <c r="F348" s="16"/>
      <c r="G348" s="13"/>
      <c r="H348" s="13"/>
      <c r="I348" s="13"/>
      <c r="J348" s="16"/>
      <c r="K348" s="16"/>
    </row>
    <row r="349" spans="1:11" x14ac:dyDescent="0.2">
      <c r="A349">
        <v>2018</v>
      </c>
      <c r="B349" t="s">
        <v>622</v>
      </c>
      <c r="C349" t="str">
        <f t="shared" si="5"/>
        <v>Republican</v>
      </c>
      <c r="D349">
        <v>0.90838166178568902</v>
      </c>
      <c r="E349">
        <v>0.4292960429264564</v>
      </c>
      <c r="F349" s="16"/>
      <c r="G349" s="13"/>
      <c r="H349" s="13"/>
      <c r="I349" s="13"/>
      <c r="J349" s="16"/>
      <c r="K349" s="16"/>
    </row>
    <row r="350" spans="1:11" x14ac:dyDescent="0.2">
      <c r="A350">
        <v>2019</v>
      </c>
      <c r="B350" t="s">
        <v>622</v>
      </c>
      <c r="C350" t="str">
        <f t="shared" si="5"/>
        <v>Republican</v>
      </c>
      <c r="D350">
        <v>0.96452937669735705</v>
      </c>
      <c r="E350">
        <v>0.46499701309689917</v>
      </c>
      <c r="F350" s="16"/>
      <c r="G350" s="13"/>
      <c r="H350" s="13"/>
      <c r="I350" s="13"/>
      <c r="J350" s="16"/>
      <c r="K350" s="16"/>
    </row>
    <row r="351" spans="1:11" x14ac:dyDescent="0.2">
      <c r="A351">
        <v>2020</v>
      </c>
      <c r="B351" t="s">
        <v>622</v>
      </c>
      <c r="C351" t="str">
        <f t="shared" si="5"/>
        <v>Republican</v>
      </c>
      <c r="D351">
        <v>0.98301624338149507</v>
      </c>
      <c r="E351">
        <v>0.43279690139429011</v>
      </c>
      <c r="F351" s="16"/>
      <c r="G351" s="13"/>
      <c r="H351" s="13"/>
      <c r="I351" s="13"/>
      <c r="J351" s="16"/>
      <c r="K351" s="16"/>
    </row>
    <row r="352" spans="1:11" x14ac:dyDescent="0.2">
      <c r="A352">
        <v>2021</v>
      </c>
      <c r="B352" t="s">
        <v>622</v>
      </c>
      <c r="C352" t="str">
        <f t="shared" si="5"/>
        <v>Republican</v>
      </c>
      <c r="D352">
        <v>1.0380716276241484</v>
      </c>
      <c r="E352">
        <v>0.4760237437580942</v>
      </c>
      <c r="F352" s="16"/>
      <c r="G352" s="13"/>
      <c r="H352" s="13"/>
      <c r="I352" s="13"/>
      <c r="J352" s="16"/>
      <c r="K352" s="16"/>
    </row>
    <row r="353" spans="1:11" x14ac:dyDescent="0.2">
      <c r="A353">
        <v>2022</v>
      </c>
      <c r="B353" t="s">
        <v>622</v>
      </c>
      <c r="C353" t="str">
        <f t="shared" si="5"/>
        <v>Republican</v>
      </c>
      <c r="D353">
        <v>0.92289515797821864</v>
      </c>
      <c r="E353">
        <v>0.54026795864460131</v>
      </c>
      <c r="F353" s="16"/>
      <c r="G353" s="13"/>
      <c r="H353" s="13"/>
      <c r="I353" s="13"/>
      <c r="J353" s="16"/>
      <c r="K353" s="16"/>
    </row>
    <row r="354" spans="1:11" x14ac:dyDescent="0.2">
      <c r="A354">
        <v>2015</v>
      </c>
      <c r="B354" t="s">
        <v>636</v>
      </c>
      <c r="C354" t="str">
        <f t="shared" si="5"/>
        <v>Republican</v>
      </c>
      <c r="D354">
        <v>0.58216088338714933</v>
      </c>
      <c r="E354">
        <v>0.36753763968676534</v>
      </c>
      <c r="F354" s="16"/>
      <c r="G354" s="13"/>
      <c r="H354" s="13"/>
      <c r="I354" s="13"/>
      <c r="J354" s="16"/>
      <c r="K354" s="16"/>
    </row>
    <row r="355" spans="1:11" x14ac:dyDescent="0.2">
      <c r="A355">
        <v>2016</v>
      </c>
      <c r="B355" t="s">
        <v>636</v>
      </c>
      <c r="C355" t="str">
        <f t="shared" si="5"/>
        <v>Republican</v>
      </c>
      <c r="D355">
        <v>0.55312833676230355</v>
      </c>
      <c r="E355">
        <v>0.33396591638333417</v>
      </c>
      <c r="F355" s="16"/>
      <c r="G355" s="13"/>
      <c r="H355" s="13"/>
      <c r="I355" s="13"/>
      <c r="J355" s="16"/>
      <c r="K355" s="16"/>
    </row>
    <row r="356" spans="1:11" x14ac:dyDescent="0.2">
      <c r="A356">
        <v>2017</v>
      </c>
      <c r="B356" t="s">
        <v>636</v>
      </c>
      <c r="C356" t="str">
        <f t="shared" si="5"/>
        <v>Republican</v>
      </c>
      <c r="D356">
        <v>0.53976375373685059</v>
      </c>
      <c r="E356">
        <v>0.34676132412661054</v>
      </c>
      <c r="F356" s="16"/>
      <c r="G356" s="13"/>
      <c r="H356" s="13"/>
      <c r="I356" s="13"/>
      <c r="J356" s="16"/>
      <c r="K356" s="16"/>
    </row>
    <row r="357" spans="1:11" x14ac:dyDescent="0.2">
      <c r="A357">
        <v>2018</v>
      </c>
      <c r="B357" t="s">
        <v>636</v>
      </c>
      <c r="C357" t="str">
        <f t="shared" si="5"/>
        <v>Republican</v>
      </c>
      <c r="D357">
        <v>0.54810955652246218</v>
      </c>
      <c r="E357">
        <v>0.38339846601210797</v>
      </c>
      <c r="F357" s="16"/>
      <c r="G357" s="13"/>
      <c r="H357" s="13"/>
      <c r="I357" s="13"/>
      <c r="J357" s="16"/>
      <c r="K357" s="16"/>
    </row>
    <row r="358" spans="1:11" x14ac:dyDescent="0.2">
      <c r="A358">
        <v>2019</v>
      </c>
      <c r="B358" t="s">
        <v>636</v>
      </c>
      <c r="C358" t="str">
        <f t="shared" si="5"/>
        <v>Republican</v>
      </c>
      <c r="D358">
        <v>0.54961786239005772</v>
      </c>
      <c r="E358">
        <v>0.35629463888699903</v>
      </c>
      <c r="F358" s="16"/>
      <c r="G358" s="13"/>
      <c r="H358" s="13"/>
      <c r="I358" s="13"/>
      <c r="J358" s="16"/>
      <c r="K358" s="16"/>
    </row>
    <row r="359" spans="1:11" x14ac:dyDescent="0.2">
      <c r="A359">
        <v>2020</v>
      </c>
      <c r="B359" t="s">
        <v>636</v>
      </c>
      <c r="C359" t="str">
        <f t="shared" si="5"/>
        <v>Republican</v>
      </c>
      <c r="D359">
        <v>0.50004637912293748</v>
      </c>
      <c r="E359">
        <v>0.29704728603322927</v>
      </c>
      <c r="F359" s="16"/>
      <c r="G359" s="13"/>
      <c r="H359" s="13"/>
      <c r="I359" s="13"/>
      <c r="J359" s="16"/>
      <c r="K359" s="16"/>
    </row>
    <row r="360" spans="1:11" x14ac:dyDescent="0.2">
      <c r="A360">
        <v>2021</v>
      </c>
      <c r="B360" t="s">
        <v>636</v>
      </c>
      <c r="C360" t="str">
        <f t="shared" si="5"/>
        <v>Republican</v>
      </c>
      <c r="D360">
        <v>0.58830172671474978</v>
      </c>
      <c r="E360">
        <v>0.37415322378168364</v>
      </c>
      <c r="F360" s="16"/>
      <c r="G360" s="13"/>
      <c r="H360" s="13"/>
      <c r="I360" s="13"/>
      <c r="J360" s="16"/>
      <c r="K360" s="16"/>
    </row>
    <row r="361" spans="1:11" x14ac:dyDescent="0.2">
      <c r="A361">
        <v>2022</v>
      </c>
      <c r="B361" t="s">
        <v>636</v>
      </c>
      <c r="C361" t="str">
        <f t="shared" si="5"/>
        <v>Republican</v>
      </c>
      <c r="D361">
        <v>0.54813222767159675</v>
      </c>
      <c r="E361">
        <v>0.38292534112697596</v>
      </c>
      <c r="F361" s="16"/>
      <c r="G361" s="13"/>
      <c r="H361" s="13"/>
      <c r="I361" s="13"/>
      <c r="J361" s="16"/>
      <c r="K361" s="16"/>
    </row>
    <row r="362" spans="1:11" x14ac:dyDescent="0.2">
      <c r="A362">
        <v>2015</v>
      </c>
      <c r="B362" t="s">
        <v>650</v>
      </c>
      <c r="C362" t="str">
        <f t="shared" si="5"/>
        <v>Republican</v>
      </c>
      <c r="D362">
        <v>0.70681979319933075</v>
      </c>
      <c r="E362">
        <v>0.46081765182336681</v>
      </c>
      <c r="F362" s="16"/>
      <c r="G362" s="13"/>
      <c r="H362" s="13"/>
      <c r="I362" s="13"/>
      <c r="J362" s="16"/>
      <c r="K362" s="16"/>
    </row>
    <row r="363" spans="1:11" x14ac:dyDescent="0.2">
      <c r="A363">
        <v>2016</v>
      </c>
      <c r="B363" t="s">
        <v>650</v>
      </c>
      <c r="C363" t="str">
        <f t="shared" ref="C363:C417" si="6">VLOOKUP(B363,$H$2:$I$49,2,FALSE)</f>
        <v>Republican</v>
      </c>
      <c r="D363">
        <v>0.682811742414829</v>
      </c>
      <c r="E363">
        <v>0.4142495309398333</v>
      </c>
      <c r="F363" s="16"/>
      <c r="G363" s="13"/>
      <c r="H363" s="13"/>
      <c r="I363" s="13"/>
      <c r="J363" s="16"/>
      <c r="K363" s="16"/>
    </row>
    <row r="364" spans="1:11" x14ac:dyDescent="0.2">
      <c r="A364">
        <v>2017</v>
      </c>
      <c r="B364" t="s">
        <v>650</v>
      </c>
      <c r="C364" t="str">
        <f t="shared" si="6"/>
        <v>Republican</v>
      </c>
      <c r="D364">
        <v>0.72922398669059874</v>
      </c>
      <c r="E364">
        <v>0.47184770919179669</v>
      </c>
      <c r="F364" s="16"/>
      <c r="G364" s="13"/>
      <c r="H364" s="13"/>
      <c r="I364" s="13"/>
      <c r="J364" s="16"/>
      <c r="K364" s="16"/>
    </row>
    <row r="365" spans="1:11" x14ac:dyDescent="0.2">
      <c r="A365">
        <v>2018</v>
      </c>
      <c r="B365" t="s">
        <v>650</v>
      </c>
      <c r="C365" t="str">
        <f t="shared" si="6"/>
        <v>Republican</v>
      </c>
      <c r="D365">
        <v>0.74806974916534663</v>
      </c>
      <c r="E365">
        <v>0.4984550363776204</v>
      </c>
      <c r="F365" s="16"/>
      <c r="G365" s="13"/>
      <c r="H365" s="13"/>
      <c r="I365" s="13"/>
      <c r="J365" s="16"/>
      <c r="K365" s="16"/>
    </row>
    <row r="366" spans="1:11" x14ac:dyDescent="0.2">
      <c r="A366">
        <v>2019</v>
      </c>
      <c r="B366" t="s">
        <v>650</v>
      </c>
      <c r="C366" t="str">
        <f t="shared" si="6"/>
        <v>Republican</v>
      </c>
      <c r="D366">
        <v>0.73510780377933904</v>
      </c>
      <c r="E366">
        <v>0.46319752874109971</v>
      </c>
      <c r="F366" s="16"/>
      <c r="G366" s="13"/>
      <c r="H366" s="13"/>
      <c r="I366" s="13"/>
      <c r="J366" s="16"/>
      <c r="K366" s="16"/>
    </row>
    <row r="367" spans="1:11" x14ac:dyDescent="0.2">
      <c r="A367">
        <v>2020</v>
      </c>
      <c r="B367" t="s">
        <v>650</v>
      </c>
      <c r="C367" t="str">
        <f t="shared" si="6"/>
        <v>Republican</v>
      </c>
      <c r="D367">
        <v>0.71466477052648381</v>
      </c>
      <c r="E367">
        <v>0.43097102462803266</v>
      </c>
      <c r="F367" s="16"/>
      <c r="G367" s="13"/>
      <c r="H367" s="13"/>
      <c r="I367" s="13"/>
      <c r="J367" s="16"/>
      <c r="K367" s="16"/>
    </row>
    <row r="368" spans="1:11" x14ac:dyDescent="0.2">
      <c r="A368">
        <v>2021</v>
      </c>
      <c r="B368" t="s">
        <v>650</v>
      </c>
      <c r="C368" t="str">
        <f t="shared" si="6"/>
        <v>Republican</v>
      </c>
      <c r="D368">
        <v>0.85456918202628906</v>
      </c>
      <c r="E368">
        <v>0.54286199470589425</v>
      </c>
      <c r="F368" s="16"/>
      <c r="G368" s="13"/>
      <c r="H368" s="13"/>
      <c r="I368" s="13"/>
      <c r="J368" s="16"/>
      <c r="K368" s="16"/>
    </row>
    <row r="369" spans="1:11" x14ac:dyDescent="0.2">
      <c r="A369">
        <v>2022</v>
      </c>
      <c r="B369" t="s">
        <v>650</v>
      </c>
      <c r="C369" t="str">
        <f t="shared" si="6"/>
        <v>Republican</v>
      </c>
      <c r="D369">
        <v>0.82605165586869145</v>
      </c>
      <c r="E369">
        <v>0.57501770206466718</v>
      </c>
      <c r="F369" s="16"/>
      <c r="G369" s="13"/>
      <c r="H369" s="13"/>
      <c r="I369" s="13"/>
      <c r="J369" s="16"/>
      <c r="K369" s="16"/>
    </row>
    <row r="370" spans="1:11" x14ac:dyDescent="0.2">
      <c r="A370">
        <v>2015</v>
      </c>
      <c r="B370" t="s">
        <v>673</v>
      </c>
      <c r="C370" t="str">
        <f t="shared" si="6"/>
        <v>Republican</v>
      </c>
      <c r="D370">
        <v>0.66253867617345152</v>
      </c>
      <c r="E370">
        <v>0.45023848386803789</v>
      </c>
      <c r="F370" s="16"/>
      <c r="G370" s="13"/>
      <c r="H370" s="13"/>
      <c r="I370" s="13"/>
      <c r="J370" s="16"/>
      <c r="K370" s="16"/>
    </row>
    <row r="371" spans="1:11" x14ac:dyDescent="0.2">
      <c r="A371">
        <v>2016</v>
      </c>
      <c r="B371" t="s">
        <v>673</v>
      </c>
      <c r="C371" t="str">
        <f t="shared" si="6"/>
        <v>Republican</v>
      </c>
      <c r="D371">
        <v>0.6142059065302371</v>
      </c>
      <c r="E371">
        <v>0.39223209959484173</v>
      </c>
      <c r="F371" s="16"/>
      <c r="G371" s="13"/>
      <c r="H371" s="13"/>
      <c r="I371" s="13"/>
      <c r="J371" s="16"/>
      <c r="K371" s="16"/>
    </row>
    <row r="372" spans="1:11" x14ac:dyDescent="0.2">
      <c r="A372">
        <v>2017</v>
      </c>
      <c r="B372" t="s">
        <v>673</v>
      </c>
      <c r="C372" t="str">
        <f t="shared" si="6"/>
        <v>Republican</v>
      </c>
      <c r="D372">
        <v>0.67847068810808386</v>
      </c>
      <c r="E372">
        <v>0.45696019569496965</v>
      </c>
      <c r="F372" s="16"/>
      <c r="G372" s="13"/>
      <c r="H372" s="13"/>
      <c r="I372" s="13"/>
      <c r="J372" s="16"/>
      <c r="K372" s="16"/>
    </row>
    <row r="373" spans="1:11" x14ac:dyDescent="0.2">
      <c r="A373">
        <v>2018</v>
      </c>
      <c r="B373" t="s">
        <v>673</v>
      </c>
      <c r="C373" t="str">
        <f t="shared" si="6"/>
        <v>Republican</v>
      </c>
      <c r="D373">
        <v>0.71204504417927883</v>
      </c>
      <c r="E373">
        <v>0.49872909966238876</v>
      </c>
      <c r="F373" s="16"/>
      <c r="G373" s="13"/>
      <c r="H373" s="13"/>
      <c r="I373" s="13"/>
      <c r="J373" s="16"/>
      <c r="K373" s="16"/>
    </row>
    <row r="374" spans="1:11" x14ac:dyDescent="0.2">
      <c r="A374">
        <v>2019</v>
      </c>
      <c r="B374" t="s">
        <v>673</v>
      </c>
      <c r="C374" t="str">
        <f t="shared" si="6"/>
        <v>Republican</v>
      </c>
      <c r="D374">
        <v>0.7263936339366428</v>
      </c>
      <c r="E374">
        <v>0.48248976363324481</v>
      </c>
      <c r="F374" s="16"/>
      <c r="G374" s="13"/>
      <c r="H374" s="13"/>
      <c r="I374" s="13"/>
      <c r="J374" s="16"/>
      <c r="K374" s="16"/>
    </row>
    <row r="375" spans="1:11" x14ac:dyDescent="0.2">
      <c r="A375">
        <v>2020</v>
      </c>
      <c r="B375" t="s">
        <v>673</v>
      </c>
      <c r="C375" t="str">
        <f t="shared" si="6"/>
        <v>Republican</v>
      </c>
      <c r="D375">
        <v>0.70891435174327888</v>
      </c>
      <c r="E375">
        <v>0.44549457846387724</v>
      </c>
      <c r="F375" s="16"/>
      <c r="G375" s="13"/>
      <c r="H375" s="13"/>
      <c r="I375" s="13"/>
      <c r="J375" s="16"/>
      <c r="K375" s="16"/>
    </row>
    <row r="376" spans="1:11" x14ac:dyDescent="0.2">
      <c r="A376">
        <v>2021</v>
      </c>
      <c r="B376" t="s">
        <v>673</v>
      </c>
      <c r="C376" t="str">
        <f t="shared" si="6"/>
        <v>Republican</v>
      </c>
      <c r="D376">
        <v>0.86384055643853408</v>
      </c>
      <c r="E376">
        <v>0.57035980057400759</v>
      </c>
      <c r="F376" s="16"/>
      <c r="G376" s="13"/>
      <c r="H376" s="13"/>
      <c r="I376" s="13"/>
      <c r="J376" s="16"/>
      <c r="K376" s="16"/>
    </row>
    <row r="377" spans="1:11" x14ac:dyDescent="0.2">
      <c r="A377">
        <v>2022</v>
      </c>
      <c r="B377" t="s">
        <v>673</v>
      </c>
      <c r="C377" t="str">
        <f t="shared" si="6"/>
        <v>Republican</v>
      </c>
      <c r="D377">
        <v>0.7777706640843095</v>
      </c>
      <c r="E377">
        <v>0.55607325178411449</v>
      </c>
      <c r="F377" s="16"/>
      <c r="G377" s="13"/>
      <c r="H377" s="13"/>
      <c r="I377" s="13"/>
      <c r="J377" s="16"/>
      <c r="K377" s="16"/>
    </row>
    <row r="378" spans="1:11" x14ac:dyDescent="0.2">
      <c r="A378">
        <v>2015</v>
      </c>
      <c r="B378" t="s">
        <v>679</v>
      </c>
      <c r="C378" t="str">
        <f t="shared" si="6"/>
        <v>Democrat</v>
      </c>
      <c r="D378">
        <v>0.98197042706233351</v>
      </c>
      <c r="E378">
        <v>0.67365221589513868</v>
      </c>
      <c r="F378" s="16"/>
      <c r="G378" s="13"/>
      <c r="H378" s="13"/>
      <c r="I378" s="13"/>
      <c r="J378" s="16"/>
      <c r="K378" s="16"/>
    </row>
    <row r="379" spans="1:11" x14ac:dyDescent="0.2">
      <c r="A379">
        <v>2016</v>
      </c>
      <c r="B379" t="s">
        <v>679</v>
      </c>
      <c r="C379" t="str">
        <f t="shared" si="6"/>
        <v>Democrat</v>
      </c>
      <c r="D379">
        <v>0.99117599510943288</v>
      </c>
      <c r="E379">
        <v>0.68851887898198272</v>
      </c>
      <c r="F379" s="16"/>
      <c r="G379" s="13"/>
      <c r="H379" s="13"/>
      <c r="I379" s="13"/>
      <c r="J379" s="16"/>
      <c r="K379" s="16"/>
    </row>
    <row r="380" spans="1:11" x14ac:dyDescent="0.2">
      <c r="A380">
        <v>2017</v>
      </c>
      <c r="B380" t="s">
        <v>679</v>
      </c>
      <c r="C380" t="str">
        <f t="shared" si="6"/>
        <v>Democrat</v>
      </c>
      <c r="D380">
        <v>1.0292741697748042</v>
      </c>
      <c r="E380">
        <v>0.7167220172609392</v>
      </c>
      <c r="F380" s="16"/>
      <c r="G380" s="13"/>
      <c r="H380" s="13"/>
      <c r="I380" s="13"/>
      <c r="J380" s="16"/>
      <c r="K380" s="16"/>
    </row>
    <row r="381" spans="1:11" x14ac:dyDescent="0.2">
      <c r="A381">
        <v>2018</v>
      </c>
      <c r="B381" t="s">
        <v>679</v>
      </c>
      <c r="C381" t="str">
        <f t="shared" si="6"/>
        <v>Democrat</v>
      </c>
      <c r="D381">
        <v>0.96452757271563427</v>
      </c>
      <c r="E381">
        <v>0.69399909979636554</v>
      </c>
      <c r="F381" s="16"/>
      <c r="G381" s="13"/>
      <c r="H381" s="13"/>
      <c r="I381" s="13"/>
      <c r="J381" s="16"/>
      <c r="K381" s="16"/>
    </row>
    <row r="382" spans="1:11" x14ac:dyDescent="0.2">
      <c r="A382">
        <v>2019</v>
      </c>
      <c r="B382" t="s">
        <v>679</v>
      </c>
      <c r="C382" t="str">
        <f t="shared" si="6"/>
        <v>Democrat</v>
      </c>
      <c r="D382">
        <v>1.0296183553890343</v>
      </c>
      <c r="E382">
        <v>0.70508669595210938</v>
      </c>
      <c r="F382" s="16"/>
      <c r="G382" s="13"/>
      <c r="H382" s="13"/>
      <c r="I382" s="13"/>
      <c r="J382" s="16"/>
      <c r="K382" s="16"/>
    </row>
    <row r="383" spans="1:11" x14ac:dyDescent="0.2">
      <c r="A383">
        <v>2020</v>
      </c>
      <c r="B383" t="s">
        <v>679</v>
      </c>
      <c r="C383" t="str">
        <f t="shared" si="6"/>
        <v>Democrat</v>
      </c>
      <c r="D383">
        <v>1.0525852970731104</v>
      </c>
      <c r="E383">
        <v>0.70558302676250717</v>
      </c>
      <c r="F383" s="16"/>
      <c r="G383" s="13"/>
      <c r="H383" s="13"/>
      <c r="I383" s="13"/>
      <c r="J383" s="16"/>
      <c r="K383" s="16"/>
    </row>
    <row r="384" spans="1:11" x14ac:dyDescent="0.2">
      <c r="A384">
        <v>2021</v>
      </c>
      <c r="B384" t="s">
        <v>679</v>
      </c>
      <c r="C384" t="str">
        <f t="shared" si="6"/>
        <v>Democrat</v>
      </c>
      <c r="D384">
        <v>1.0602470335419976</v>
      </c>
      <c r="E384">
        <v>0.73255045189613599</v>
      </c>
      <c r="F384" s="16"/>
      <c r="G384" s="13"/>
      <c r="H384" s="13"/>
      <c r="I384" s="13"/>
      <c r="J384" s="16"/>
      <c r="K384" s="16"/>
    </row>
    <row r="385" spans="1:11" x14ac:dyDescent="0.2">
      <c r="A385">
        <v>2022</v>
      </c>
      <c r="B385" t="s">
        <v>679</v>
      </c>
      <c r="C385" t="str">
        <f t="shared" si="6"/>
        <v>Democrat</v>
      </c>
      <c r="D385">
        <v>0.95716118994807786</v>
      </c>
      <c r="E385">
        <v>0.76455577356613957</v>
      </c>
      <c r="F385" s="16"/>
      <c r="G385" s="13"/>
      <c r="H385" s="13"/>
      <c r="I385" s="13"/>
      <c r="J385" s="16"/>
      <c r="K385" s="16"/>
    </row>
    <row r="386" spans="1:11" x14ac:dyDescent="0.2">
      <c r="A386">
        <v>2015</v>
      </c>
      <c r="B386" t="s">
        <v>693</v>
      </c>
      <c r="C386" t="str">
        <f t="shared" si="6"/>
        <v>Republican</v>
      </c>
      <c r="D386">
        <v>0.73400599999824723</v>
      </c>
      <c r="E386">
        <v>0.47089575982397042</v>
      </c>
      <c r="F386" s="16"/>
      <c r="G386" s="13"/>
      <c r="H386" s="13"/>
      <c r="I386" s="13"/>
      <c r="J386" s="16"/>
      <c r="K386" s="16"/>
    </row>
    <row r="387" spans="1:11" x14ac:dyDescent="0.2">
      <c r="A387">
        <v>2016</v>
      </c>
      <c r="B387" t="s">
        <v>693</v>
      </c>
      <c r="C387" t="str">
        <f t="shared" si="6"/>
        <v>Republican</v>
      </c>
      <c r="D387">
        <v>0.73422398074759199</v>
      </c>
      <c r="E387">
        <v>0.47717175426952535</v>
      </c>
      <c r="F387" s="16"/>
      <c r="G387" s="13"/>
      <c r="H387" s="13"/>
      <c r="I387" s="13"/>
      <c r="J387" s="16"/>
      <c r="K387" s="16"/>
    </row>
    <row r="388" spans="1:11" x14ac:dyDescent="0.2">
      <c r="A388">
        <v>2017</v>
      </c>
      <c r="B388" t="s">
        <v>693</v>
      </c>
      <c r="C388" t="str">
        <f t="shared" si="6"/>
        <v>Republican</v>
      </c>
      <c r="D388">
        <v>0.76350150920322934</v>
      </c>
      <c r="E388">
        <v>0.48440979974029624</v>
      </c>
      <c r="F388" s="16"/>
      <c r="G388" s="13"/>
      <c r="H388" s="13"/>
      <c r="I388" s="13"/>
      <c r="J388" s="16"/>
      <c r="K388" s="16"/>
    </row>
    <row r="389" spans="1:11" x14ac:dyDescent="0.2">
      <c r="A389">
        <v>2018</v>
      </c>
      <c r="B389" t="s">
        <v>693</v>
      </c>
      <c r="C389" t="str">
        <f t="shared" si="6"/>
        <v>Republican</v>
      </c>
      <c r="D389">
        <v>0.691668002307258</v>
      </c>
      <c r="E389">
        <v>0.47298419743355824</v>
      </c>
      <c r="F389" s="16"/>
      <c r="G389" s="13"/>
      <c r="H389" s="13"/>
      <c r="I389" s="13"/>
      <c r="J389" s="16"/>
      <c r="K389" s="16"/>
    </row>
    <row r="390" spans="1:11" x14ac:dyDescent="0.2">
      <c r="A390">
        <v>2019</v>
      </c>
      <c r="B390" t="s">
        <v>693</v>
      </c>
      <c r="C390" t="str">
        <f t="shared" si="6"/>
        <v>Republican</v>
      </c>
      <c r="D390">
        <v>0.76826285922221671</v>
      </c>
      <c r="E390">
        <v>0.50198455172913814</v>
      </c>
      <c r="F390" s="16"/>
      <c r="G390" s="13"/>
      <c r="H390" s="13"/>
      <c r="I390" s="13"/>
      <c r="J390" s="16"/>
      <c r="K390" s="16"/>
    </row>
    <row r="391" spans="1:11" x14ac:dyDescent="0.2">
      <c r="A391">
        <v>2020</v>
      </c>
      <c r="B391" t="s">
        <v>693</v>
      </c>
      <c r="C391" t="str">
        <f t="shared" si="6"/>
        <v>Republican</v>
      </c>
      <c r="D391">
        <v>0.79237267450297355</v>
      </c>
      <c r="E391">
        <v>0.50165282898066377</v>
      </c>
      <c r="F391" s="16"/>
      <c r="G391" s="13"/>
      <c r="H391" s="13"/>
      <c r="I391" s="13"/>
      <c r="J391" s="16"/>
      <c r="K391" s="16"/>
    </row>
    <row r="392" spans="1:11" x14ac:dyDescent="0.2">
      <c r="A392">
        <v>2021</v>
      </c>
      <c r="B392" t="s">
        <v>693</v>
      </c>
      <c r="C392" t="str">
        <f t="shared" si="6"/>
        <v>Republican</v>
      </c>
      <c r="D392">
        <v>0.86030430099606137</v>
      </c>
      <c r="E392">
        <v>0.55336599041184475</v>
      </c>
      <c r="F392" s="16"/>
      <c r="G392" s="13"/>
      <c r="H392" s="13"/>
      <c r="I392" s="13"/>
      <c r="J392" s="16"/>
      <c r="K392" s="16"/>
    </row>
    <row r="393" spans="1:11" x14ac:dyDescent="0.2">
      <c r="A393">
        <v>2022</v>
      </c>
      <c r="B393" t="s">
        <v>693</v>
      </c>
      <c r="C393" t="str">
        <f t="shared" si="6"/>
        <v>Republican</v>
      </c>
      <c r="D393">
        <v>0.75467145686865678</v>
      </c>
      <c r="E393">
        <v>0.56319920144410174</v>
      </c>
      <c r="F393" s="16"/>
      <c r="G393" s="13"/>
      <c r="H393" s="13"/>
      <c r="I393" s="13"/>
      <c r="J393" s="16"/>
      <c r="K393" s="16"/>
    </row>
    <row r="394" spans="1:11" x14ac:dyDescent="0.2">
      <c r="A394">
        <v>2015</v>
      </c>
      <c r="B394" t="s">
        <v>662</v>
      </c>
      <c r="C394" t="str">
        <f t="shared" si="6"/>
        <v>Democrat</v>
      </c>
      <c r="D394">
        <v>0.80389903240027172</v>
      </c>
      <c r="E394">
        <v>0.47430615079388416</v>
      </c>
      <c r="F394" s="16"/>
      <c r="G394" s="13"/>
      <c r="H394" s="13"/>
      <c r="I394" s="13"/>
      <c r="J394" s="16"/>
      <c r="K394" s="16"/>
    </row>
    <row r="395" spans="1:11" x14ac:dyDescent="0.2">
      <c r="A395">
        <v>2016</v>
      </c>
      <c r="B395" t="s">
        <v>662</v>
      </c>
      <c r="C395" t="str">
        <f t="shared" si="6"/>
        <v>Democrat</v>
      </c>
      <c r="D395">
        <v>0.77389006313039066</v>
      </c>
      <c r="E395">
        <v>0.42742379815094195</v>
      </c>
    </row>
    <row r="396" spans="1:11" x14ac:dyDescent="0.2">
      <c r="A396">
        <v>2017</v>
      </c>
      <c r="B396" t="s">
        <v>662</v>
      </c>
      <c r="C396" t="str">
        <f t="shared" si="6"/>
        <v>Democrat</v>
      </c>
      <c r="D396">
        <v>0.82247698217289156</v>
      </c>
      <c r="E396">
        <v>0.51453284680017874</v>
      </c>
    </row>
    <row r="397" spans="1:11" x14ac:dyDescent="0.2">
      <c r="A397">
        <v>2018</v>
      </c>
      <c r="B397" t="s">
        <v>662</v>
      </c>
      <c r="C397" t="str">
        <f t="shared" si="6"/>
        <v>Democrat</v>
      </c>
      <c r="D397">
        <v>0.85436647477023675</v>
      </c>
      <c r="E397">
        <v>0.54278119150152249</v>
      </c>
    </row>
    <row r="398" spans="1:11" x14ac:dyDescent="0.2">
      <c r="A398">
        <v>2019</v>
      </c>
      <c r="B398" t="s">
        <v>662</v>
      </c>
      <c r="C398" t="str">
        <f t="shared" si="6"/>
        <v>Democrat</v>
      </c>
      <c r="D398">
        <v>0.87637543377312033</v>
      </c>
      <c r="E398">
        <v>0.58772331908533437</v>
      </c>
    </row>
    <row r="399" spans="1:11" x14ac:dyDescent="0.2">
      <c r="A399">
        <v>2020</v>
      </c>
      <c r="B399" t="s">
        <v>662</v>
      </c>
      <c r="C399" t="str">
        <f t="shared" si="6"/>
        <v>Democrat</v>
      </c>
      <c r="D399">
        <v>0.8524680045162043</v>
      </c>
      <c r="E399">
        <v>0.47306684008638239</v>
      </c>
    </row>
    <row r="400" spans="1:11" x14ac:dyDescent="0.2">
      <c r="A400">
        <v>2021</v>
      </c>
      <c r="B400" t="s">
        <v>662</v>
      </c>
      <c r="C400" t="str">
        <f t="shared" si="6"/>
        <v>Democrat</v>
      </c>
      <c r="D400">
        <v>1.0744365913274556</v>
      </c>
      <c r="E400">
        <v>0.63360736981179522</v>
      </c>
    </row>
    <row r="401" spans="1:5" x14ac:dyDescent="0.2">
      <c r="A401">
        <v>2022</v>
      </c>
      <c r="B401" t="s">
        <v>662</v>
      </c>
      <c r="C401" t="str">
        <f t="shared" si="6"/>
        <v>Democrat</v>
      </c>
      <c r="D401">
        <v>0.94618934279189815</v>
      </c>
      <c r="E401">
        <v>0.62297648128691341</v>
      </c>
    </row>
    <row r="402" spans="1:5" x14ac:dyDescent="0.2">
      <c r="A402">
        <v>2015</v>
      </c>
      <c r="B402" t="s">
        <v>337</v>
      </c>
      <c r="C402" t="str">
        <f t="shared" si="6"/>
        <v>Democrat</v>
      </c>
      <c r="D402">
        <v>0.3879113974730693</v>
      </c>
      <c r="E402">
        <v>0.26592613783512675</v>
      </c>
    </row>
    <row r="403" spans="1:5" x14ac:dyDescent="0.2">
      <c r="A403">
        <v>2016</v>
      </c>
      <c r="B403" t="s">
        <v>337</v>
      </c>
      <c r="C403" t="str">
        <f t="shared" si="6"/>
        <v>Democrat</v>
      </c>
      <c r="D403">
        <v>0.38151475207294056</v>
      </c>
      <c r="E403">
        <v>0.24397024236811313</v>
      </c>
    </row>
    <row r="404" spans="1:5" x14ac:dyDescent="0.2">
      <c r="A404">
        <v>2017</v>
      </c>
      <c r="B404" t="s">
        <v>337</v>
      </c>
      <c r="C404" t="str">
        <f t="shared" si="6"/>
        <v>Democrat</v>
      </c>
      <c r="D404">
        <v>0.40176142106611817</v>
      </c>
      <c r="E404">
        <v>0.27346542889357855</v>
      </c>
    </row>
    <row r="405" spans="1:5" x14ac:dyDescent="0.2">
      <c r="A405">
        <v>2018</v>
      </c>
      <c r="B405" t="s">
        <v>337</v>
      </c>
      <c r="C405" t="str">
        <f t="shared" si="6"/>
        <v>Democrat</v>
      </c>
      <c r="D405">
        <v>0.4548542118059194</v>
      </c>
      <c r="E405">
        <v>0.32514527927903225</v>
      </c>
    </row>
    <row r="406" spans="1:5" x14ac:dyDescent="0.2">
      <c r="A406">
        <v>2019</v>
      </c>
      <c r="B406" t="s">
        <v>337</v>
      </c>
      <c r="C406" t="str">
        <f t="shared" si="6"/>
        <v>Democrat</v>
      </c>
      <c r="D406">
        <v>0.48519538193944994</v>
      </c>
      <c r="E406">
        <v>0.32706075176428012</v>
      </c>
    </row>
    <row r="407" spans="1:5" x14ac:dyDescent="0.2">
      <c r="A407">
        <v>2020</v>
      </c>
      <c r="B407" t="s">
        <v>337</v>
      </c>
      <c r="C407" t="str">
        <f t="shared" si="6"/>
        <v>Democrat</v>
      </c>
      <c r="D407">
        <v>0.49020636458307509</v>
      </c>
      <c r="E407">
        <v>0.3054428369040626</v>
      </c>
    </row>
    <row r="408" spans="1:5" x14ac:dyDescent="0.2">
      <c r="A408">
        <v>2021</v>
      </c>
      <c r="B408" t="s">
        <v>337</v>
      </c>
      <c r="C408" t="str">
        <f t="shared" si="6"/>
        <v>Democrat</v>
      </c>
      <c r="D408">
        <v>0.59765335568581279</v>
      </c>
      <c r="E408">
        <v>0.390217138645439</v>
      </c>
    </row>
    <row r="409" spans="1:5" x14ac:dyDescent="0.2">
      <c r="A409">
        <v>2022</v>
      </c>
      <c r="B409" t="s">
        <v>337</v>
      </c>
      <c r="C409" t="str">
        <f t="shared" si="6"/>
        <v>Democrat</v>
      </c>
      <c r="D409">
        <v>0.56764188603884391</v>
      </c>
      <c r="E409">
        <v>0.43022106972522001</v>
      </c>
    </row>
    <row r="410" spans="1:5" x14ac:dyDescent="0.2">
      <c r="A410">
        <v>2015</v>
      </c>
      <c r="B410" t="s">
        <v>608</v>
      </c>
      <c r="C410" t="str">
        <f t="shared" si="6"/>
        <v>Republican</v>
      </c>
      <c r="D410">
        <v>0.96441864511818742</v>
      </c>
      <c r="E410">
        <v>0.6152827301032614</v>
      </c>
    </row>
    <row r="411" spans="1:5" x14ac:dyDescent="0.2">
      <c r="A411">
        <v>2016</v>
      </c>
      <c r="B411" t="s">
        <v>608</v>
      </c>
      <c r="C411" t="str">
        <f t="shared" si="6"/>
        <v>Republican</v>
      </c>
      <c r="D411">
        <v>0.959808966261811</v>
      </c>
      <c r="E411">
        <v>0.57244772688779477</v>
      </c>
    </row>
    <row r="412" spans="1:5" x14ac:dyDescent="0.2">
      <c r="A412">
        <v>2017</v>
      </c>
      <c r="B412" t="s">
        <v>608</v>
      </c>
      <c r="C412" t="str">
        <f t="shared" si="6"/>
        <v>Republican</v>
      </c>
      <c r="D412">
        <v>1.0136811818082139</v>
      </c>
      <c r="E412">
        <v>0.6398500068874684</v>
      </c>
    </row>
    <row r="413" spans="1:5" x14ac:dyDescent="0.2">
      <c r="A413">
        <v>2018</v>
      </c>
      <c r="B413" t="s">
        <v>608</v>
      </c>
      <c r="C413" t="str">
        <f t="shared" si="6"/>
        <v>Republican</v>
      </c>
      <c r="D413">
        <v>1.0199942838137781</v>
      </c>
      <c r="E413">
        <v>0.67077740671653763</v>
      </c>
    </row>
    <row r="414" spans="1:5" x14ac:dyDescent="0.2">
      <c r="A414">
        <v>2019</v>
      </c>
      <c r="B414" t="s">
        <v>608</v>
      </c>
      <c r="C414" t="str">
        <f t="shared" si="6"/>
        <v>Republican</v>
      </c>
      <c r="D414">
        <v>1.0257423280967071</v>
      </c>
      <c r="E414">
        <v>0.64190927582416946</v>
      </c>
    </row>
    <row r="415" spans="1:5" x14ac:dyDescent="0.2">
      <c r="A415">
        <v>2020</v>
      </c>
      <c r="B415" t="s">
        <v>608</v>
      </c>
      <c r="C415" t="str">
        <f t="shared" si="6"/>
        <v>Republican</v>
      </c>
      <c r="D415">
        <v>1.030984383386883</v>
      </c>
      <c r="E415">
        <v>0.60796448143572923</v>
      </c>
    </row>
    <row r="416" spans="1:5" x14ac:dyDescent="0.2">
      <c r="A416">
        <v>2021</v>
      </c>
      <c r="B416" t="s">
        <v>608</v>
      </c>
      <c r="C416" t="str">
        <f t="shared" si="6"/>
        <v>Republican</v>
      </c>
      <c r="D416">
        <v>1.223034349261497</v>
      </c>
      <c r="E416">
        <v>0.76463954744620566</v>
      </c>
    </row>
    <row r="417" spans="1:5" x14ac:dyDescent="0.2">
      <c r="A417">
        <v>2022</v>
      </c>
      <c r="B417" t="s">
        <v>608</v>
      </c>
      <c r="C417" t="str">
        <f t="shared" si="6"/>
        <v>Republican</v>
      </c>
      <c r="D417">
        <v>1.0542217020921423</v>
      </c>
      <c r="E417">
        <v>0.70459526907540171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71106-3FB9-E94E-9500-1D7E9D2E1013}">
  <sheetPr>
    <tabColor rgb="FFFFFF00"/>
  </sheetPr>
  <dimension ref="A1:Z217"/>
  <sheetViews>
    <sheetView zoomScaleNormal="100" workbookViewId="0">
      <selection activeCell="S14" sqref="S14"/>
    </sheetView>
  </sheetViews>
  <sheetFormatPr baseColWidth="10" defaultRowHeight="16" x14ac:dyDescent="0.2"/>
  <cols>
    <col min="1" max="1" width="15.1640625" bestFit="1" customWidth="1"/>
    <col min="2" max="2" width="13.5" bestFit="1" customWidth="1"/>
    <col min="3" max="3" width="18.33203125" bestFit="1" customWidth="1"/>
  </cols>
  <sheetData>
    <row r="1" spans="1:24" x14ac:dyDescent="0.2">
      <c r="A1" s="8" t="s">
        <v>165</v>
      </c>
      <c r="B1" s="8" t="s">
        <v>166</v>
      </c>
      <c r="C1" s="8" t="s">
        <v>167</v>
      </c>
      <c r="D1" s="8"/>
      <c r="E1" s="8">
        <v>100</v>
      </c>
      <c r="F1" s="8"/>
      <c r="G1" s="8"/>
      <c r="H1" s="8"/>
      <c r="I1" s="8"/>
      <c r="J1" s="8"/>
      <c r="K1" s="8"/>
      <c r="L1" s="8"/>
      <c r="M1" s="8"/>
      <c r="N1" s="8"/>
      <c r="O1" s="8"/>
      <c r="P1" s="8"/>
      <c r="Q1" s="8"/>
      <c r="R1" s="8"/>
      <c r="S1" s="8"/>
      <c r="T1" s="8"/>
      <c r="U1" s="8"/>
      <c r="V1" s="8"/>
      <c r="W1" s="8"/>
      <c r="X1" s="8"/>
    </row>
    <row r="2" spans="1:24" x14ac:dyDescent="0.2">
      <c r="A2" s="8">
        <v>2015</v>
      </c>
      <c r="B2" s="8">
        <f>AVERAGEIF('GASB 67 Data'!$B$2:$B$49,'State Figures'!$A2,'GASB 67 Data'!$CF$2:$CF$49)</f>
        <v>0.48158855418009455</v>
      </c>
      <c r="C2" s="8">
        <f>AVERAGEIF('GASB 67 Data'!$B$2:$B$49,'State Figures'!$A2,'GASB 67 Data'!$CE$2:$CE$49)</f>
        <v>0.7658522791519039</v>
      </c>
      <c r="D2" s="8"/>
      <c r="E2" s="9">
        <f>B2*$E$1</f>
        <v>48.158855418009452</v>
      </c>
      <c r="F2" s="9">
        <f>C2*$E$1</f>
        <v>76.585227915190387</v>
      </c>
      <c r="G2" s="8"/>
      <c r="H2" s="8"/>
      <c r="I2" s="8"/>
      <c r="J2" s="8"/>
      <c r="K2" s="8"/>
      <c r="L2" s="8"/>
      <c r="M2" s="8"/>
      <c r="N2" s="8"/>
      <c r="O2" s="8"/>
      <c r="P2" s="8"/>
      <c r="Q2" s="8"/>
      <c r="R2" s="8"/>
      <c r="S2" s="8"/>
      <c r="T2" s="8"/>
      <c r="U2" s="8"/>
      <c r="V2" s="8"/>
      <c r="W2" s="8"/>
      <c r="X2" s="8"/>
    </row>
    <row r="3" spans="1:24" x14ac:dyDescent="0.2">
      <c r="A3" s="8">
        <v>2016</v>
      </c>
      <c r="B3" s="8">
        <f>AVERAGEIF('GASB 67 Data'!$B$2:$B$49,'State Figures'!A3,'GASB 67 Data'!$CF$2:$CF$49)</f>
        <v>0.39730490239941679</v>
      </c>
      <c r="C3" s="8">
        <f>AVERAGEIF('GASB 67 Data'!$B$2:$B$49,'State Figures'!$A3,'GASB 67 Data'!$CE$2:$CE$49)</f>
        <v>0.67767936572564713</v>
      </c>
      <c r="D3" s="8"/>
      <c r="E3" s="9">
        <f t="shared" ref="E3:F9" si="0">B3*$E$1</f>
        <v>39.73049023994168</v>
      </c>
      <c r="F3" s="9">
        <f t="shared" si="0"/>
        <v>67.767936572564707</v>
      </c>
      <c r="G3" s="8"/>
      <c r="H3" s="8"/>
      <c r="I3" s="8"/>
      <c r="J3" s="8"/>
      <c r="K3" s="8"/>
      <c r="L3" s="8"/>
      <c r="M3" s="8"/>
      <c r="N3" s="8"/>
      <c r="O3" s="8"/>
      <c r="P3" s="8"/>
      <c r="Q3" s="8"/>
      <c r="R3" s="8"/>
      <c r="S3" s="8"/>
      <c r="T3" s="8"/>
      <c r="U3" s="8"/>
      <c r="V3" s="8"/>
      <c r="W3" s="8"/>
      <c r="X3" s="8"/>
    </row>
    <row r="4" spans="1:24" x14ac:dyDescent="0.2">
      <c r="A4" s="8">
        <v>2017</v>
      </c>
      <c r="B4" s="8">
        <f>AVERAGEIF('GASB 67 Data'!$B$2:$B$49,'State Figures'!A4,'GASB 67 Data'!$CF$2:$CF$49)</f>
        <v>0.44954989394931694</v>
      </c>
      <c r="C4" s="8">
        <f>AVERAGEIF('GASB 67 Data'!$B$2:$B$49,'State Figures'!$A4,'GASB 67 Data'!$CE$2:$CE$49)</f>
        <v>0.70112380129298513</v>
      </c>
      <c r="D4" s="8"/>
      <c r="E4" s="9">
        <f t="shared" si="0"/>
        <v>44.954989394931694</v>
      </c>
      <c r="F4" s="9">
        <f t="shared" si="0"/>
        <v>70.112380129298515</v>
      </c>
      <c r="G4" s="8"/>
      <c r="H4" s="8"/>
      <c r="I4" s="8"/>
      <c r="J4" s="8"/>
      <c r="K4" s="8"/>
      <c r="L4" s="8"/>
      <c r="M4" s="8"/>
      <c r="N4" s="8"/>
      <c r="O4" s="8"/>
      <c r="P4" s="8"/>
      <c r="Q4" s="8"/>
      <c r="R4" s="8"/>
      <c r="S4" s="8"/>
      <c r="T4" s="8"/>
      <c r="U4" s="8"/>
      <c r="V4" s="8"/>
      <c r="W4" s="8"/>
      <c r="X4" s="8"/>
    </row>
    <row r="5" spans="1:24" x14ac:dyDescent="0.2">
      <c r="A5" s="8">
        <v>2018</v>
      </c>
      <c r="B5" s="8">
        <f>AVERAGEIF('GASB 67 Data'!$B$2:$B$49,'State Figures'!A5,'GASB 67 Data'!$CF$2:$CF$49)</f>
        <v>0.47960483345661725</v>
      </c>
      <c r="C5" s="8">
        <f>AVERAGEIF('GASB 67 Data'!$B$2:$B$49,'State Figures'!$A5,'GASB 67 Data'!$CE$2:$CE$49)</f>
        <v>0.73694435909681022</v>
      </c>
      <c r="D5" s="8"/>
      <c r="E5" s="9">
        <f t="shared" si="0"/>
        <v>47.960483345661729</v>
      </c>
      <c r="F5" s="9">
        <f t="shared" si="0"/>
        <v>73.694435909681019</v>
      </c>
      <c r="G5" s="8"/>
      <c r="H5" s="8"/>
      <c r="I5" s="8"/>
      <c r="J5" s="8"/>
      <c r="K5" s="8"/>
      <c r="L5" s="8"/>
      <c r="M5" s="8"/>
      <c r="N5" s="8"/>
      <c r="O5" s="8"/>
      <c r="P5" s="8"/>
      <c r="Q5" s="8"/>
      <c r="R5" s="8"/>
      <c r="S5" s="8"/>
      <c r="T5" s="8"/>
      <c r="U5" s="8"/>
      <c r="V5" s="8"/>
      <c r="W5" s="8"/>
      <c r="X5" s="8"/>
    </row>
    <row r="6" spans="1:24" x14ac:dyDescent="0.2">
      <c r="A6" s="8">
        <v>2019</v>
      </c>
      <c r="B6" s="8">
        <f>AVERAGEIF('GASB 67 Data'!$B$2:$B$49,'State Figures'!A6,'GASB 67 Data'!$CF$2:$CF$49)</f>
        <v>0.45711207055157521</v>
      </c>
      <c r="C6" s="8">
        <f>AVERAGEIF('GASB 67 Data'!$B$2:$B$49,'State Figures'!$A6,'GASB 67 Data'!$CE$2:$CE$49)</f>
        <v>0.73521463973825474</v>
      </c>
      <c r="D6" s="8"/>
      <c r="E6" s="9">
        <f t="shared" si="0"/>
        <v>45.711207055157523</v>
      </c>
      <c r="F6" s="9">
        <f t="shared" si="0"/>
        <v>73.521463973825476</v>
      </c>
      <c r="G6" s="8"/>
      <c r="H6" s="8"/>
      <c r="I6" s="8"/>
      <c r="J6" s="8"/>
      <c r="K6" s="8"/>
      <c r="L6" s="8"/>
      <c r="M6" s="8"/>
      <c r="N6" s="8"/>
      <c r="O6" s="8"/>
      <c r="P6" s="8"/>
      <c r="Q6" s="8"/>
      <c r="R6" s="8"/>
      <c r="S6" s="8"/>
      <c r="T6" s="8"/>
      <c r="U6" s="8"/>
      <c r="V6" s="8"/>
      <c r="W6" s="8"/>
      <c r="X6" s="8"/>
    </row>
    <row r="7" spans="1:24" x14ac:dyDescent="0.2">
      <c r="A7" s="8">
        <v>2020</v>
      </c>
      <c r="B7" s="8">
        <f>AVERAGEIF('GASB 67 Data'!$B$2:$B$49,'State Figures'!A7,'GASB 67 Data'!$CF$2:$CF$49)</f>
        <v>0.41967209668158095</v>
      </c>
      <c r="C7" s="8">
        <f>AVERAGEIF('GASB 67 Data'!$B$2:$B$49,'State Figures'!$A7,'GASB 67 Data'!$CE$2:$CE$49)</f>
        <v>0.71562286828866917</v>
      </c>
      <c r="D7" s="8"/>
      <c r="E7" s="9">
        <f t="shared" si="0"/>
        <v>41.967209668158098</v>
      </c>
      <c r="F7" s="9">
        <f t="shared" si="0"/>
        <v>71.562286828866917</v>
      </c>
      <c r="G7" s="8"/>
      <c r="H7" s="8"/>
      <c r="I7" s="8"/>
      <c r="J7" s="8"/>
      <c r="K7" s="8"/>
      <c r="L7" s="8"/>
      <c r="M7" s="8"/>
      <c r="N7" s="8"/>
      <c r="O7" s="8"/>
      <c r="P7" s="8"/>
      <c r="Q7" s="8"/>
      <c r="R7" s="8"/>
      <c r="S7" s="8"/>
      <c r="T7" s="8"/>
      <c r="U7" s="8"/>
      <c r="V7" s="8"/>
      <c r="W7" s="8"/>
      <c r="X7" s="8"/>
    </row>
    <row r="8" spans="1:24" x14ac:dyDescent="0.2">
      <c r="A8" s="8">
        <v>2021</v>
      </c>
      <c r="B8" s="8">
        <f>AVERAGEIF('GASB 67 Data'!$B$2:$B$49,'State Figures'!A8,'GASB 67 Data'!$CF$2:$CF$49)</f>
        <v>0.53225215871115095</v>
      </c>
      <c r="C8" s="8">
        <f>AVERAGEIF('GASB 67 Data'!$B$2:$B$49,'State Figures'!$A8,'GASB 67 Data'!$CE$2:$CE$49)</f>
        <v>0.8551508378036532</v>
      </c>
      <c r="D8" s="8"/>
      <c r="E8" s="9">
        <f t="shared" si="0"/>
        <v>53.225215871115097</v>
      </c>
      <c r="F8" s="9">
        <f t="shared" si="0"/>
        <v>85.515083780365316</v>
      </c>
      <c r="G8" s="8"/>
      <c r="H8" s="8"/>
      <c r="I8" s="8"/>
      <c r="J8" s="8"/>
      <c r="K8" s="8"/>
      <c r="L8" s="8"/>
      <c r="M8" s="8"/>
      <c r="N8" s="8"/>
      <c r="O8" s="8"/>
      <c r="P8" s="8"/>
      <c r="Q8" s="8"/>
      <c r="R8" s="8"/>
      <c r="S8" s="8"/>
      <c r="T8" s="8"/>
      <c r="U8" s="8"/>
      <c r="V8" s="8"/>
      <c r="W8" s="8"/>
      <c r="X8" s="8"/>
    </row>
    <row r="9" spans="1:24" x14ac:dyDescent="0.2">
      <c r="A9" s="8">
        <v>2022</v>
      </c>
      <c r="B9" s="8">
        <f>AVERAGEIF('GASB 67 Data'!$B$2:$B$49,'State Figures'!A9,'GASB 67 Data'!$CF$2:$CF$49)</f>
        <v>0.50915975907291433</v>
      </c>
      <c r="C9" s="8">
        <f>AVERAGEIF('GASB 67 Data'!$B$2:$B$49,'State Figures'!$A9,'GASB 67 Data'!$CE$2:$CE$49)</f>
        <v>0.74412949361865188</v>
      </c>
      <c r="D9" s="8"/>
      <c r="E9" s="9">
        <f t="shared" si="0"/>
        <v>50.915975907291433</v>
      </c>
      <c r="F9" s="9">
        <f t="shared" si="0"/>
        <v>74.412949361865188</v>
      </c>
      <c r="G9" s="8"/>
      <c r="H9" s="8"/>
      <c r="I9" s="8"/>
      <c r="J9" s="8"/>
      <c r="K9" s="8"/>
      <c r="L9" s="8"/>
      <c r="M9" s="8"/>
      <c r="N9" s="8"/>
      <c r="O9" s="8"/>
      <c r="P9" s="8"/>
      <c r="Q9" s="8"/>
      <c r="R9" s="8"/>
      <c r="S9" s="8"/>
      <c r="T9" s="8"/>
      <c r="U9" s="8"/>
      <c r="V9" s="8"/>
      <c r="W9" s="8"/>
      <c r="X9" s="8"/>
    </row>
    <row r="10" spans="1:24" x14ac:dyDescent="0.2">
      <c r="A10" s="8"/>
      <c r="B10" s="8"/>
      <c r="C10" s="8"/>
      <c r="D10" s="8"/>
      <c r="E10" s="8"/>
      <c r="F10" s="8"/>
      <c r="G10" s="8"/>
      <c r="H10" s="8"/>
      <c r="I10" s="8"/>
      <c r="J10" s="8"/>
      <c r="K10" s="8"/>
      <c r="L10" s="8"/>
      <c r="M10" s="8"/>
      <c r="N10" s="8"/>
      <c r="O10" s="8"/>
      <c r="P10" s="8"/>
      <c r="Q10" s="8"/>
      <c r="R10" s="8"/>
      <c r="S10" s="8"/>
      <c r="T10" s="8"/>
      <c r="U10" s="8"/>
      <c r="V10" s="8"/>
      <c r="W10" s="8"/>
      <c r="X10" s="8"/>
    </row>
    <row r="11" spans="1:24" x14ac:dyDescent="0.2">
      <c r="A11" s="8"/>
      <c r="B11" s="8"/>
      <c r="C11" s="8"/>
      <c r="D11" s="8"/>
      <c r="E11" s="8"/>
      <c r="F11" s="8"/>
      <c r="G11" s="8"/>
      <c r="H11" s="8"/>
      <c r="I11" s="8"/>
      <c r="J11" s="8"/>
      <c r="K11" s="8"/>
      <c r="L11" s="8"/>
      <c r="M11" s="8"/>
      <c r="N11" s="8"/>
      <c r="O11" s="8"/>
      <c r="P11" s="8"/>
      <c r="Q11" s="8"/>
      <c r="R11" s="8"/>
      <c r="S11" s="8"/>
      <c r="T11" s="8"/>
      <c r="U11" s="8"/>
      <c r="V11" s="8"/>
      <c r="W11" s="8"/>
      <c r="X11" s="8"/>
    </row>
    <row r="12" spans="1:24" x14ac:dyDescent="0.2">
      <c r="A12" s="8"/>
      <c r="B12" s="8"/>
      <c r="C12" s="8"/>
      <c r="D12" s="8"/>
      <c r="E12" s="8"/>
      <c r="F12" s="8"/>
      <c r="G12" s="8"/>
      <c r="H12" s="8"/>
      <c r="I12" s="8"/>
      <c r="J12" s="8"/>
      <c r="K12" s="8"/>
      <c r="L12" s="8"/>
      <c r="M12" s="8"/>
      <c r="N12" s="8"/>
      <c r="O12" s="8"/>
      <c r="P12" s="8"/>
      <c r="Q12" s="8"/>
      <c r="R12" s="8"/>
      <c r="S12" s="8"/>
      <c r="T12" s="8"/>
      <c r="U12" s="8"/>
      <c r="V12" s="8"/>
      <c r="W12" s="8"/>
      <c r="X12" s="8"/>
    </row>
    <row r="13" spans="1:24" x14ac:dyDescent="0.2">
      <c r="A13" s="8"/>
      <c r="B13" s="8"/>
      <c r="C13" s="8"/>
      <c r="D13" s="8"/>
      <c r="E13" s="8"/>
      <c r="F13" s="8"/>
      <c r="G13" s="8"/>
      <c r="H13" s="8"/>
      <c r="I13" s="8"/>
      <c r="J13" s="8"/>
      <c r="K13" s="8"/>
      <c r="L13" s="8"/>
      <c r="M13" s="8"/>
      <c r="N13" s="8"/>
      <c r="O13" s="8"/>
      <c r="P13" s="8"/>
      <c r="Q13" s="8"/>
      <c r="R13" s="8"/>
      <c r="S13" s="8"/>
      <c r="T13" s="8"/>
      <c r="U13" s="8"/>
      <c r="V13" s="8"/>
      <c r="W13" s="8"/>
      <c r="X13" s="8"/>
    </row>
    <row r="14" spans="1:24" x14ac:dyDescent="0.2">
      <c r="A14" s="8" t="s">
        <v>168</v>
      </c>
      <c r="B14" s="8" t="s">
        <v>105</v>
      </c>
      <c r="C14" s="8" t="s">
        <v>49</v>
      </c>
      <c r="D14" s="8" t="s">
        <v>92</v>
      </c>
      <c r="E14" s="8" t="s">
        <v>79</v>
      </c>
      <c r="F14" s="8" t="s">
        <v>67</v>
      </c>
      <c r="G14" s="8" t="s">
        <v>122</v>
      </c>
      <c r="H14" s="8"/>
      <c r="I14" s="8" t="s">
        <v>168</v>
      </c>
      <c r="J14" s="8" t="s">
        <v>105</v>
      </c>
      <c r="K14" s="8" t="s">
        <v>49</v>
      </c>
      <c r="L14" s="8" t="s">
        <v>92</v>
      </c>
      <c r="M14" s="8" t="s">
        <v>79</v>
      </c>
      <c r="N14" s="8" t="s">
        <v>67</v>
      </c>
      <c r="O14" s="8" t="s">
        <v>122</v>
      </c>
      <c r="P14" s="8"/>
      <c r="Q14" s="8"/>
      <c r="R14" s="8"/>
      <c r="S14" s="8"/>
      <c r="T14" s="8"/>
      <c r="U14" s="8"/>
      <c r="V14" s="8"/>
      <c r="W14" s="8"/>
      <c r="X14" s="8"/>
    </row>
    <row r="15" spans="1:24" x14ac:dyDescent="0.2">
      <c r="A15" s="8">
        <v>2015</v>
      </c>
      <c r="B15" s="8">
        <v>0.5685177916260542</v>
      </c>
      <c r="C15" s="8">
        <v>0.74020822239201067</v>
      </c>
      <c r="D15" s="8">
        <v>0.81439370544289724</v>
      </c>
      <c r="E15" s="8">
        <v>0.91995859100474442</v>
      </c>
      <c r="F15" s="8">
        <v>0.78431121372222845</v>
      </c>
      <c r="G15" s="8">
        <v>0.76772415072348832</v>
      </c>
      <c r="H15" s="8"/>
      <c r="I15" s="8">
        <v>2015</v>
      </c>
      <c r="J15" s="8">
        <v>0.3709579739036003</v>
      </c>
      <c r="K15" s="8">
        <v>0.46732994282883789</v>
      </c>
      <c r="L15" s="8">
        <v>0.513636987117296</v>
      </c>
      <c r="M15" s="8">
        <v>0.58245317788092799</v>
      </c>
      <c r="N15" s="8">
        <v>0.48381618570762414</v>
      </c>
      <c r="O15" s="8">
        <v>0.47133705764228112</v>
      </c>
      <c r="P15" s="8"/>
      <c r="Q15" s="8"/>
      <c r="R15" s="8"/>
      <c r="S15" s="8"/>
      <c r="T15" s="8"/>
      <c r="U15" s="8"/>
      <c r="V15" s="8"/>
      <c r="W15" s="8"/>
      <c r="X15" s="8"/>
    </row>
    <row r="16" spans="1:24" x14ac:dyDescent="0.2">
      <c r="A16" s="8">
        <v>2016</v>
      </c>
      <c r="B16" s="8">
        <v>0.52731653276955603</v>
      </c>
      <c r="C16" s="8">
        <v>0.70043408372037896</v>
      </c>
      <c r="D16" s="8">
        <v>0.76061416888420186</v>
      </c>
      <c r="E16" s="8">
        <v>0.84882998873759952</v>
      </c>
      <c r="F16" s="8">
        <v>0.78003993081375333</v>
      </c>
      <c r="G16" s="8">
        <v>0.44884148942839303</v>
      </c>
      <c r="H16" s="8"/>
      <c r="I16" s="8">
        <v>2016</v>
      </c>
      <c r="J16" s="8">
        <v>0.32669874328944903</v>
      </c>
      <c r="K16" s="8">
        <v>0.41024147846409131</v>
      </c>
      <c r="L16" s="8">
        <v>0.44713092591454506</v>
      </c>
      <c r="M16" s="8">
        <v>0.50220209465816734</v>
      </c>
      <c r="N16" s="8">
        <v>0.45965670015016408</v>
      </c>
      <c r="O16" s="8">
        <v>0.23789947192008387</v>
      </c>
      <c r="P16" s="8"/>
      <c r="Q16" s="8"/>
      <c r="R16" s="8"/>
      <c r="S16" s="8"/>
      <c r="T16" s="8"/>
      <c r="U16" s="8"/>
      <c r="V16" s="8"/>
      <c r="W16" s="8"/>
      <c r="X16" s="8"/>
    </row>
    <row r="17" spans="1:24" x14ac:dyDescent="0.2">
      <c r="A17" s="8">
        <v>2017</v>
      </c>
      <c r="B17" s="8">
        <v>0.54251177434831277</v>
      </c>
      <c r="C17" s="8">
        <v>0.69455261271794666</v>
      </c>
      <c r="D17" s="8">
        <v>0.79332728986454237</v>
      </c>
      <c r="E17" s="8">
        <v>0.83892113770304999</v>
      </c>
      <c r="F17" s="8">
        <v>0.82170608459676109</v>
      </c>
      <c r="G17" s="8">
        <v>0.51572390852729788</v>
      </c>
      <c r="H17" s="8"/>
      <c r="I17" s="8">
        <v>2017</v>
      </c>
      <c r="J17" s="8">
        <v>0.3575726189997403</v>
      </c>
      <c r="K17" s="8">
        <v>0.42040850893126208</v>
      </c>
      <c r="L17" s="8">
        <v>0.49553972762213544</v>
      </c>
      <c r="M17" s="8">
        <v>0.52241301328247314</v>
      </c>
      <c r="N17" s="8">
        <v>0.50040012177226023</v>
      </c>
      <c r="O17" s="8">
        <v>0.40096537308803032</v>
      </c>
      <c r="P17" s="8"/>
      <c r="Q17" s="8"/>
      <c r="R17" s="8"/>
      <c r="S17" s="8"/>
      <c r="T17" s="8"/>
      <c r="U17" s="8"/>
      <c r="V17" s="8"/>
      <c r="W17" s="8"/>
      <c r="X17" s="8"/>
    </row>
    <row r="18" spans="1:24" x14ac:dyDescent="0.2">
      <c r="A18" s="8">
        <v>2018</v>
      </c>
      <c r="B18" s="8">
        <v>0.54838220673104399</v>
      </c>
      <c r="C18" s="8">
        <v>0.70986754047023759</v>
      </c>
      <c r="D18" s="8">
        <v>0.80272991356709489</v>
      </c>
      <c r="E18" s="8">
        <v>0.84256257843020332</v>
      </c>
      <c r="F18" s="8">
        <v>0.7374071942456889</v>
      </c>
      <c r="G18" s="8">
        <v>0.7807167211365923</v>
      </c>
      <c r="H18" s="8"/>
      <c r="I18" s="8">
        <v>2018</v>
      </c>
      <c r="J18" s="8">
        <v>0.37438716205271905</v>
      </c>
      <c r="K18" s="8">
        <v>0.46670967117646739</v>
      </c>
      <c r="L18" s="8">
        <v>0.51478045003691075</v>
      </c>
      <c r="M18" s="8">
        <v>0.56088086328767439</v>
      </c>
      <c r="N18" s="8">
        <v>0.45506696992393819</v>
      </c>
      <c r="O18" s="8">
        <v>0.50580388426199396</v>
      </c>
      <c r="P18" s="8"/>
      <c r="Q18" s="8"/>
      <c r="R18" s="8"/>
      <c r="S18" s="8"/>
      <c r="T18" s="8"/>
      <c r="U18" s="8"/>
      <c r="V18" s="8"/>
      <c r="W18" s="8"/>
      <c r="X18" s="8"/>
    </row>
    <row r="19" spans="1:24" x14ac:dyDescent="0.2">
      <c r="A19" s="8">
        <v>2019</v>
      </c>
      <c r="B19" s="8">
        <v>0.53947836569195085</v>
      </c>
      <c r="C19" s="8">
        <v>0.72563172508490847</v>
      </c>
      <c r="D19" s="8">
        <v>0.78559824342688744</v>
      </c>
      <c r="E19" s="8">
        <v>0.82607847044517946</v>
      </c>
      <c r="F19" s="8">
        <v>0.75241570798812596</v>
      </c>
      <c r="G19" s="8">
        <v>0.78208532579247569</v>
      </c>
      <c r="H19" s="8"/>
      <c r="I19" s="8">
        <v>2019</v>
      </c>
      <c r="J19" s="8">
        <v>0.35131531827110057</v>
      </c>
      <c r="K19" s="8">
        <v>0.45309671552344882</v>
      </c>
      <c r="L19" s="8">
        <v>0.47730474066697764</v>
      </c>
      <c r="M19" s="8">
        <v>0.53010804800065314</v>
      </c>
      <c r="N19" s="8">
        <v>0.45006952171122011</v>
      </c>
      <c r="O19" s="8">
        <v>0.48077807913605081</v>
      </c>
      <c r="P19" s="8"/>
      <c r="Q19" s="8"/>
      <c r="R19" s="8"/>
      <c r="S19" s="8"/>
      <c r="T19" s="8"/>
      <c r="U19" s="8"/>
      <c r="V19" s="8"/>
      <c r="W19" s="8"/>
      <c r="X19" s="8"/>
    </row>
    <row r="20" spans="1:24" x14ac:dyDescent="0.2">
      <c r="A20" s="8">
        <v>2020</v>
      </c>
      <c r="B20" s="8">
        <v>0.50668091115678193</v>
      </c>
      <c r="C20" s="8">
        <v>0.71820013783357028</v>
      </c>
      <c r="D20" s="8">
        <v>0.77013991074595178</v>
      </c>
      <c r="E20" s="8">
        <v>0.78848504609144032</v>
      </c>
      <c r="F20" s="8">
        <v>0.75541429640080204</v>
      </c>
      <c r="G20" s="8">
        <v>0.75481690750346875</v>
      </c>
      <c r="H20" s="8"/>
      <c r="I20" s="8">
        <v>2020</v>
      </c>
      <c r="J20" s="8">
        <v>0.31095015340011128</v>
      </c>
      <c r="K20" s="8">
        <v>0.40626201068266155</v>
      </c>
      <c r="L20" s="8">
        <v>0.44673686698699144</v>
      </c>
      <c r="M20" s="8">
        <v>0.47968368074293277</v>
      </c>
      <c r="N20" s="8">
        <v>0.43851707221294661</v>
      </c>
      <c r="O20" s="8">
        <v>0.43588279606384184</v>
      </c>
      <c r="P20" s="8"/>
      <c r="Q20" s="8"/>
      <c r="R20" s="8"/>
      <c r="S20" s="8"/>
      <c r="T20" s="8"/>
      <c r="U20" s="8"/>
      <c r="V20" s="8"/>
      <c r="W20" s="8"/>
      <c r="X20" s="8"/>
    </row>
    <row r="21" spans="1:24" x14ac:dyDescent="0.2">
      <c r="A21" s="8">
        <v>2021</v>
      </c>
      <c r="B21" s="8">
        <v>0.62025460322769466</v>
      </c>
      <c r="C21" s="8">
        <v>0.87209704300999713</v>
      </c>
      <c r="D21" s="8">
        <v>0.92031487844408599</v>
      </c>
      <c r="E21" s="8">
        <v>0.9639667741109752</v>
      </c>
      <c r="F21" s="8">
        <v>0.8879479304279887</v>
      </c>
      <c r="G21" s="8">
        <v>0.86632379760117706</v>
      </c>
      <c r="H21" s="8"/>
      <c r="I21" s="8">
        <v>2021</v>
      </c>
      <c r="J21" s="8">
        <v>0.40346850943535989</v>
      </c>
      <c r="K21" s="8">
        <v>0.54253205091669376</v>
      </c>
      <c r="L21" s="8">
        <v>0.56326000442993573</v>
      </c>
      <c r="M21" s="8">
        <v>0.62776341414897874</v>
      </c>
      <c r="N21" s="8">
        <v>0.53832970547180081</v>
      </c>
      <c r="O21" s="8">
        <v>0.51815926786413635</v>
      </c>
      <c r="P21" s="8"/>
      <c r="Q21" s="8"/>
      <c r="R21" s="8"/>
      <c r="S21" s="8"/>
      <c r="T21" s="8"/>
      <c r="U21" s="8"/>
      <c r="V21" s="8"/>
      <c r="W21" s="8"/>
      <c r="X21" s="8"/>
    </row>
    <row r="22" spans="1:24" x14ac:dyDescent="0.2">
      <c r="A22" s="8">
        <v>2022</v>
      </c>
      <c r="B22" s="8">
        <v>0.57749517732116917</v>
      </c>
      <c r="C22" s="8">
        <v>0.81196724594227454</v>
      </c>
      <c r="D22" s="8">
        <v>0.72848372026099595</v>
      </c>
      <c r="E22" s="8">
        <v>0.8288769900992824</v>
      </c>
      <c r="F22" s="8">
        <v>0.75624436146959284</v>
      </c>
      <c r="G22" s="8">
        <v>0.76170946661859673</v>
      </c>
      <c r="H22" s="8"/>
      <c r="I22" s="8">
        <v>2022</v>
      </c>
      <c r="J22" s="8">
        <v>0.40827121795819094</v>
      </c>
      <c r="K22" s="8">
        <v>0.55411684946376094</v>
      </c>
      <c r="L22" s="8">
        <v>0.48606310812576498</v>
      </c>
      <c r="M22" s="8">
        <v>0.58595474425682659</v>
      </c>
      <c r="N22" s="8">
        <v>0.50284106280219276</v>
      </c>
      <c r="O22" s="8">
        <v>0.51771157183074967</v>
      </c>
      <c r="P22" s="8"/>
      <c r="Q22" s="8"/>
      <c r="R22" s="8"/>
      <c r="S22" s="8"/>
      <c r="T22" s="8"/>
      <c r="U22" s="8"/>
      <c r="V22" s="8"/>
      <c r="W22" s="8"/>
      <c r="X22" s="8"/>
    </row>
    <row r="23" spans="1:24" x14ac:dyDescent="0.2">
      <c r="A23" s="8"/>
      <c r="B23" s="8"/>
      <c r="C23" s="8"/>
      <c r="D23" s="8"/>
      <c r="E23" s="8"/>
      <c r="F23" s="8"/>
      <c r="G23" s="8"/>
      <c r="H23" s="8"/>
      <c r="I23" s="8"/>
      <c r="J23" s="8"/>
      <c r="K23" s="8"/>
      <c r="L23" s="8"/>
      <c r="M23" s="8"/>
      <c r="N23" s="8"/>
      <c r="O23" s="8"/>
      <c r="P23" s="8"/>
      <c r="Q23" s="8"/>
      <c r="R23" s="8"/>
      <c r="S23" s="8"/>
      <c r="T23" s="8"/>
      <c r="U23" s="8"/>
      <c r="V23" s="8"/>
      <c r="W23" s="8"/>
      <c r="X23" s="8"/>
    </row>
    <row r="24" spans="1:24" x14ac:dyDescent="0.2">
      <c r="A24" s="8">
        <v>2015</v>
      </c>
      <c r="B24" s="8">
        <f>B15*$E$1</f>
        <v>56.851779162605418</v>
      </c>
      <c r="C24" s="8">
        <f t="shared" ref="C24:G24" si="1">C15*$E$1</f>
        <v>74.020822239201067</v>
      </c>
      <c r="D24" s="8">
        <f t="shared" si="1"/>
        <v>81.43937054428973</v>
      </c>
      <c r="E24" s="8">
        <f t="shared" si="1"/>
        <v>91.995859100474448</v>
      </c>
      <c r="F24" s="8">
        <f t="shared" si="1"/>
        <v>78.431121372222847</v>
      </c>
      <c r="G24" s="8">
        <f t="shared" si="1"/>
        <v>76.772415072348835</v>
      </c>
      <c r="H24" s="8"/>
      <c r="I24" s="8">
        <v>2015</v>
      </c>
      <c r="J24" s="8">
        <f>J15*$E$1</f>
        <v>37.095797390360033</v>
      </c>
      <c r="K24" s="8">
        <f t="shared" ref="K24:O24" si="2">K15*$E$1</f>
        <v>46.732994282883787</v>
      </c>
      <c r="L24" s="8">
        <f t="shared" si="2"/>
        <v>51.363698711729597</v>
      </c>
      <c r="M24" s="8">
        <f t="shared" si="2"/>
        <v>58.245317788092798</v>
      </c>
      <c r="N24" s="8">
        <f t="shared" si="2"/>
        <v>48.381618570762413</v>
      </c>
      <c r="O24" s="8">
        <f t="shared" si="2"/>
        <v>47.133705764228111</v>
      </c>
      <c r="P24" s="8"/>
      <c r="Q24" s="8"/>
      <c r="R24" s="8"/>
      <c r="S24" s="8"/>
      <c r="T24" s="8"/>
      <c r="U24" s="8"/>
      <c r="V24" s="8"/>
      <c r="W24" s="8"/>
      <c r="X24" s="8"/>
    </row>
    <row r="25" spans="1:24" x14ac:dyDescent="0.2">
      <c r="A25" s="8">
        <v>2016</v>
      </c>
      <c r="B25" s="8">
        <f t="shared" ref="B25:G31" si="3">B16*$E$1</f>
        <v>52.731653276955605</v>
      </c>
      <c r="C25" s="8">
        <f t="shared" si="3"/>
        <v>70.043408372037902</v>
      </c>
      <c r="D25" s="8">
        <f t="shared" si="3"/>
        <v>76.061416888420183</v>
      </c>
      <c r="E25" s="8">
        <f t="shared" si="3"/>
        <v>84.882998873759945</v>
      </c>
      <c r="F25" s="8">
        <f t="shared" si="3"/>
        <v>78.003993081375327</v>
      </c>
      <c r="G25" s="8">
        <f t="shared" si="3"/>
        <v>44.884148942839303</v>
      </c>
      <c r="H25" s="8"/>
      <c r="I25" s="8">
        <v>2016</v>
      </c>
      <c r="J25" s="8">
        <f t="shared" ref="J25:O25" si="4">J16*$E$1</f>
        <v>32.6698743289449</v>
      </c>
      <c r="K25" s="8">
        <f t="shared" si="4"/>
        <v>41.024147846409129</v>
      </c>
      <c r="L25" s="8">
        <f t="shared" si="4"/>
        <v>44.713092591454505</v>
      </c>
      <c r="M25" s="8">
        <f t="shared" si="4"/>
        <v>50.220209465816737</v>
      </c>
      <c r="N25" s="8">
        <f t="shared" si="4"/>
        <v>45.965670015016407</v>
      </c>
      <c r="O25" s="8">
        <f t="shared" si="4"/>
        <v>23.789947192008388</v>
      </c>
      <c r="P25" s="8"/>
      <c r="Q25" s="8"/>
      <c r="R25" s="8"/>
      <c r="S25" s="8"/>
      <c r="T25" s="8"/>
      <c r="U25" s="8"/>
      <c r="V25" s="8"/>
      <c r="W25" s="8"/>
      <c r="X25" s="8"/>
    </row>
    <row r="26" spans="1:24" x14ac:dyDescent="0.2">
      <c r="A26" s="8">
        <v>2017</v>
      </c>
      <c r="B26" s="8">
        <f t="shared" si="3"/>
        <v>54.251177434831277</v>
      </c>
      <c r="C26" s="8">
        <f t="shared" si="3"/>
        <v>69.455261271794669</v>
      </c>
      <c r="D26" s="8">
        <f t="shared" si="3"/>
        <v>79.332728986454242</v>
      </c>
      <c r="E26" s="8">
        <f t="shared" si="3"/>
        <v>83.892113770305002</v>
      </c>
      <c r="F26" s="8">
        <f t="shared" si="3"/>
        <v>82.170608459676103</v>
      </c>
      <c r="G26" s="8">
        <f t="shared" si="3"/>
        <v>51.572390852729789</v>
      </c>
      <c r="H26" s="8"/>
      <c r="I26" s="8">
        <v>2017</v>
      </c>
      <c r="J26" s="8">
        <f t="shared" ref="J26:O26" si="5">J17*$E$1</f>
        <v>35.757261899974033</v>
      </c>
      <c r="K26" s="8">
        <f t="shared" si="5"/>
        <v>42.040850893126205</v>
      </c>
      <c r="L26" s="8">
        <f t="shared" si="5"/>
        <v>49.553972762213547</v>
      </c>
      <c r="M26" s="8">
        <f t="shared" si="5"/>
        <v>52.241301328247317</v>
      </c>
      <c r="N26" s="8">
        <f t="shared" si="5"/>
        <v>50.040012177226025</v>
      </c>
      <c r="O26" s="8">
        <f t="shared" si="5"/>
        <v>40.096537308803029</v>
      </c>
      <c r="P26" s="8"/>
      <c r="Q26" s="8"/>
      <c r="R26" s="8"/>
      <c r="S26" s="8"/>
      <c r="T26" s="8"/>
      <c r="U26" s="8"/>
      <c r="V26" s="8"/>
      <c r="W26" s="8"/>
      <c r="X26" s="8"/>
    </row>
    <row r="27" spans="1:24" x14ac:dyDescent="0.2">
      <c r="A27" s="8">
        <v>2018</v>
      </c>
      <c r="B27" s="8">
        <f t="shared" si="3"/>
        <v>54.838220673104402</v>
      </c>
      <c r="C27" s="8">
        <f t="shared" si="3"/>
        <v>70.986754047023766</v>
      </c>
      <c r="D27" s="8">
        <f t="shared" si="3"/>
        <v>80.272991356709483</v>
      </c>
      <c r="E27" s="8">
        <f t="shared" si="3"/>
        <v>84.256257843020336</v>
      </c>
      <c r="F27" s="8">
        <f t="shared" si="3"/>
        <v>73.740719424568894</v>
      </c>
      <c r="G27" s="8">
        <f t="shared" si="3"/>
        <v>78.071672113659233</v>
      </c>
      <c r="H27" s="8"/>
      <c r="I27" s="8">
        <v>2018</v>
      </c>
      <c r="J27" s="8">
        <f t="shared" ref="J27:O27" si="6">J18*$E$1</f>
        <v>37.438716205271902</v>
      </c>
      <c r="K27" s="8">
        <f t="shared" si="6"/>
        <v>46.67096711764674</v>
      </c>
      <c r="L27" s="8">
        <f t="shared" si="6"/>
        <v>51.478045003691072</v>
      </c>
      <c r="M27" s="8">
        <f t="shared" si="6"/>
        <v>56.088086328767439</v>
      </c>
      <c r="N27" s="8">
        <f t="shared" si="6"/>
        <v>45.50669699239382</v>
      </c>
      <c r="O27" s="8">
        <f t="shared" si="6"/>
        <v>50.580388426199399</v>
      </c>
      <c r="P27" s="8"/>
      <c r="Q27" s="8"/>
      <c r="R27" s="8"/>
      <c r="S27" s="8"/>
      <c r="T27" s="8"/>
      <c r="U27" s="8"/>
      <c r="V27" s="8"/>
      <c r="W27" s="8"/>
      <c r="X27" s="8"/>
    </row>
    <row r="28" spans="1:24" x14ac:dyDescent="0.2">
      <c r="A28" s="8">
        <v>2019</v>
      </c>
      <c r="B28" s="8">
        <f t="shared" si="3"/>
        <v>53.947836569195083</v>
      </c>
      <c r="C28" s="8">
        <f t="shared" si="3"/>
        <v>72.563172508490851</v>
      </c>
      <c r="D28" s="8">
        <f t="shared" si="3"/>
        <v>78.559824342688742</v>
      </c>
      <c r="E28" s="8">
        <f t="shared" si="3"/>
        <v>82.607847044517939</v>
      </c>
      <c r="F28" s="8">
        <f t="shared" si="3"/>
        <v>75.241570798812603</v>
      </c>
      <c r="G28" s="8">
        <f t="shared" si="3"/>
        <v>78.208532579247574</v>
      </c>
      <c r="H28" s="8"/>
      <c r="I28" s="8">
        <v>2019</v>
      </c>
      <c r="J28" s="8">
        <f t="shared" ref="J28:O28" si="7">J19*$E$1</f>
        <v>35.131531827110059</v>
      </c>
      <c r="K28" s="8">
        <f t="shared" si="7"/>
        <v>45.309671552344881</v>
      </c>
      <c r="L28" s="8">
        <f t="shared" si="7"/>
        <v>47.730474066697766</v>
      </c>
      <c r="M28" s="8">
        <f t="shared" si="7"/>
        <v>53.010804800065316</v>
      </c>
      <c r="N28" s="8">
        <f t="shared" si="7"/>
        <v>45.006952171122009</v>
      </c>
      <c r="O28" s="8">
        <f t="shared" si="7"/>
        <v>48.077807913605078</v>
      </c>
      <c r="P28" s="8"/>
      <c r="Q28" s="8"/>
      <c r="R28" s="8"/>
      <c r="S28" s="8"/>
      <c r="T28" s="8"/>
      <c r="U28" s="8"/>
      <c r="V28" s="8"/>
      <c r="W28" s="8"/>
      <c r="X28" s="8"/>
    </row>
    <row r="29" spans="1:24" x14ac:dyDescent="0.2">
      <c r="A29" s="8">
        <v>2020</v>
      </c>
      <c r="B29" s="8">
        <f t="shared" si="3"/>
        <v>50.668091115678195</v>
      </c>
      <c r="C29" s="8">
        <f t="shared" si="3"/>
        <v>71.820013783357027</v>
      </c>
      <c r="D29" s="8">
        <f t="shared" si="3"/>
        <v>77.013991074595182</v>
      </c>
      <c r="E29" s="8">
        <f t="shared" si="3"/>
        <v>78.84850460914403</v>
      </c>
      <c r="F29" s="8">
        <f t="shared" si="3"/>
        <v>75.54142964008021</v>
      </c>
      <c r="G29" s="8">
        <f t="shared" si="3"/>
        <v>75.481690750346871</v>
      </c>
      <c r="H29" s="8"/>
      <c r="I29" s="8">
        <v>2020</v>
      </c>
      <c r="J29" s="8">
        <f t="shared" ref="J29:O29" si="8">J20*$E$1</f>
        <v>31.095015340011127</v>
      </c>
      <c r="K29" s="8">
        <f t="shared" si="8"/>
        <v>40.626201068266155</v>
      </c>
      <c r="L29" s="8">
        <f t="shared" si="8"/>
        <v>44.673686698699143</v>
      </c>
      <c r="M29" s="8">
        <f t="shared" si="8"/>
        <v>47.968368074293281</v>
      </c>
      <c r="N29" s="8">
        <f t="shared" si="8"/>
        <v>43.85170722129466</v>
      </c>
      <c r="O29" s="8">
        <f t="shared" si="8"/>
        <v>43.588279606384184</v>
      </c>
      <c r="P29" s="8"/>
      <c r="Q29" s="8"/>
      <c r="R29" s="8"/>
      <c r="S29" s="8"/>
      <c r="T29" s="8"/>
      <c r="U29" s="8"/>
      <c r="V29" s="8"/>
      <c r="W29" s="8"/>
      <c r="X29" s="8"/>
    </row>
    <row r="30" spans="1:24" x14ac:dyDescent="0.2">
      <c r="A30" s="8">
        <v>2021</v>
      </c>
      <c r="B30" s="8">
        <f t="shared" si="3"/>
        <v>62.025460322769469</v>
      </c>
      <c r="C30" s="8">
        <f t="shared" si="3"/>
        <v>87.209704300999718</v>
      </c>
      <c r="D30" s="8">
        <f t="shared" si="3"/>
        <v>92.031487844408602</v>
      </c>
      <c r="E30" s="8">
        <f t="shared" si="3"/>
        <v>96.396677411097514</v>
      </c>
      <c r="F30" s="8">
        <f t="shared" si="3"/>
        <v>88.794793042798872</v>
      </c>
      <c r="G30" s="8">
        <f t="shared" si="3"/>
        <v>86.632379760117701</v>
      </c>
      <c r="H30" s="8"/>
      <c r="I30" s="8">
        <v>2021</v>
      </c>
      <c r="J30" s="8">
        <f t="shared" ref="J30:O30" si="9">J21*$E$1</f>
        <v>40.346850943535991</v>
      </c>
      <c r="K30" s="8">
        <f t="shared" si="9"/>
        <v>54.253205091669379</v>
      </c>
      <c r="L30" s="8">
        <f t="shared" si="9"/>
        <v>56.326000442993575</v>
      </c>
      <c r="M30" s="8">
        <f t="shared" si="9"/>
        <v>62.776341414897871</v>
      </c>
      <c r="N30" s="8">
        <f t="shared" si="9"/>
        <v>53.832970547180082</v>
      </c>
      <c r="O30" s="8">
        <f t="shared" si="9"/>
        <v>51.815926786413634</v>
      </c>
      <c r="P30" s="8"/>
      <c r="Q30" s="8"/>
      <c r="R30" s="8"/>
      <c r="S30" s="8"/>
      <c r="T30" s="8"/>
      <c r="U30" s="8"/>
      <c r="V30" s="8"/>
      <c r="W30" s="8"/>
      <c r="X30" s="8"/>
    </row>
    <row r="31" spans="1:24" x14ac:dyDescent="0.2">
      <c r="A31" s="8">
        <v>2022</v>
      </c>
      <c r="B31" s="8">
        <f t="shared" si="3"/>
        <v>57.749517732116914</v>
      </c>
      <c r="C31" s="8">
        <f t="shared" si="3"/>
        <v>81.196724594227447</v>
      </c>
      <c r="D31" s="8">
        <f t="shared" si="3"/>
        <v>72.848372026099597</v>
      </c>
      <c r="E31" s="8">
        <f t="shared" si="3"/>
        <v>82.887699009928241</v>
      </c>
      <c r="F31" s="8">
        <f t="shared" si="3"/>
        <v>75.624436146959283</v>
      </c>
      <c r="G31" s="8">
        <f t="shared" si="3"/>
        <v>76.170946661859674</v>
      </c>
      <c r="H31" s="8"/>
      <c r="I31" s="8">
        <v>2022</v>
      </c>
      <c r="J31" s="8">
        <f t="shared" ref="J31:O31" si="10">J22*$E$1</f>
        <v>40.827121795819096</v>
      </c>
      <c r="K31" s="8">
        <f t="shared" si="10"/>
        <v>55.411684946376091</v>
      </c>
      <c r="L31" s="8">
        <f t="shared" si="10"/>
        <v>48.606310812576496</v>
      </c>
      <c r="M31" s="8">
        <f t="shared" si="10"/>
        <v>58.59547442568266</v>
      </c>
      <c r="N31" s="8">
        <f t="shared" si="10"/>
        <v>50.284106280219277</v>
      </c>
      <c r="O31" s="8">
        <f t="shared" si="10"/>
        <v>51.771157183074969</v>
      </c>
      <c r="P31" s="8"/>
      <c r="Q31" s="8"/>
      <c r="R31" s="8"/>
      <c r="S31" s="8"/>
      <c r="T31" s="8"/>
      <c r="U31" s="8"/>
      <c r="V31" s="8"/>
      <c r="W31" s="8"/>
      <c r="X31" s="8"/>
    </row>
    <row r="32" spans="1:24" x14ac:dyDescent="0.2">
      <c r="A32" s="8"/>
      <c r="B32" s="8"/>
      <c r="C32" s="8"/>
      <c r="D32" s="8"/>
      <c r="E32" s="8"/>
      <c r="F32" s="8"/>
      <c r="G32" s="8"/>
      <c r="H32" s="8"/>
      <c r="I32" s="8"/>
      <c r="J32" s="8"/>
      <c r="K32" s="8"/>
      <c r="L32" s="8"/>
      <c r="M32" s="8"/>
      <c r="N32" s="8"/>
      <c r="O32" s="8"/>
      <c r="P32" s="8"/>
      <c r="Q32" s="8"/>
      <c r="R32" s="8"/>
      <c r="S32" s="8"/>
      <c r="T32" s="8"/>
      <c r="U32" s="8"/>
      <c r="V32" s="8"/>
      <c r="W32" s="8"/>
      <c r="X32" s="8"/>
    </row>
    <row r="33" spans="1:24" x14ac:dyDescent="0.2">
      <c r="A33" s="8"/>
      <c r="B33" s="8"/>
      <c r="C33" s="8"/>
      <c r="D33" s="8"/>
      <c r="E33" s="8"/>
      <c r="F33" s="8"/>
      <c r="G33" s="8"/>
      <c r="H33" s="8"/>
      <c r="I33" s="8"/>
      <c r="J33" s="8"/>
      <c r="K33" s="8"/>
      <c r="L33" s="8"/>
      <c r="M33" s="8"/>
      <c r="N33" s="8"/>
      <c r="O33" s="8"/>
      <c r="P33" s="8"/>
      <c r="Q33" s="8"/>
      <c r="R33" s="8"/>
      <c r="S33" s="8"/>
      <c r="T33" s="8"/>
      <c r="U33" s="8"/>
      <c r="V33" s="8"/>
      <c r="W33" s="8"/>
      <c r="X33" s="8"/>
    </row>
    <row r="34" spans="1:24" x14ac:dyDescent="0.2">
      <c r="A34" s="8"/>
      <c r="B34" s="8"/>
      <c r="C34" s="8"/>
      <c r="D34" s="8"/>
      <c r="E34" s="8"/>
      <c r="F34" s="8"/>
      <c r="G34" s="8"/>
      <c r="H34" s="8"/>
      <c r="I34" s="8"/>
      <c r="J34" s="8"/>
      <c r="K34" s="8"/>
      <c r="L34" s="8"/>
      <c r="M34" s="8"/>
      <c r="N34" s="8"/>
      <c r="O34" s="8"/>
      <c r="P34" s="8"/>
      <c r="Q34" s="8"/>
      <c r="R34" s="8"/>
      <c r="S34" s="8"/>
      <c r="T34" s="8"/>
      <c r="U34" s="8"/>
      <c r="V34" s="8"/>
      <c r="W34" s="8"/>
      <c r="X34" s="8"/>
    </row>
    <row r="35" spans="1:24" x14ac:dyDescent="0.2">
      <c r="A35" s="8"/>
      <c r="B35" s="8"/>
      <c r="C35" s="8"/>
      <c r="D35" s="8"/>
      <c r="E35" s="8"/>
      <c r="F35" s="8"/>
      <c r="G35" s="8"/>
      <c r="H35" s="8"/>
      <c r="I35" s="8"/>
      <c r="J35" s="8"/>
      <c r="K35" s="8"/>
      <c r="L35" s="8"/>
      <c r="M35" s="8"/>
      <c r="N35" s="8"/>
      <c r="O35" s="8"/>
      <c r="P35" s="8"/>
      <c r="Q35" s="8"/>
      <c r="R35" s="8"/>
      <c r="S35" s="8"/>
      <c r="T35" s="8"/>
      <c r="U35" s="8"/>
      <c r="V35" s="8"/>
      <c r="W35" s="8"/>
      <c r="X35" s="8"/>
    </row>
    <row r="36" spans="1:24" x14ac:dyDescent="0.2">
      <c r="A36" s="8"/>
      <c r="B36" s="8"/>
      <c r="C36" s="8"/>
      <c r="D36" s="8"/>
      <c r="E36" s="8"/>
      <c r="F36" s="8"/>
      <c r="G36" s="8"/>
      <c r="H36" s="8"/>
      <c r="I36" s="8"/>
      <c r="J36" s="8"/>
      <c r="K36" s="8"/>
      <c r="L36" s="8"/>
      <c r="M36" s="8"/>
      <c r="N36" s="8"/>
      <c r="O36" s="8"/>
      <c r="P36" s="8"/>
      <c r="Q36" s="8"/>
      <c r="R36" s="8"/>
      <c r="S36" s="8"/>
      <c r="T36" s="8"/>
      <c r="U36" s="8"/>
      <c r="V36" s="8"/>
      <c r="W36" s="8"/>
      <c r="X36" s="8"/>
    </row>
    <row r="37" spans="1:24" x14ac:dyDescent="0.2">
      <c r="A37" s="8"/>
      <c r="B37" s="8"/>
      <c r="C37" s="8"/>
      <c r="D37" s="8"/>
      <c r="E37" s="8"/>
      <c r="F37" s="8"/>
      <c r="G37" s="8"/>
      <c r="H37" s="8"/>
      <c r="I37" s="8"/>
      <c r="J37" s="8"/>
      <c r="K37" s="8"/>
      <c r="L37" s="8"/>
      <c r="M37" s="8"/>
      <c r="N37" s="8"/>
      <c r="O37" s="8"/>
      <c r="P37" s="8"/>
      <c r="Q37" s="8"/>
      <c r="R37" s="8"/>
      <c r="S37" s="8"/>
      <c r="T37" s="8"/>
      <c r="U37" s="8"/>
      <c r="V37" s="8"/>
      <c r="W37" s="8"/>
      <c r="X37" s="8"/>
    </row>
    <row r="38" spans="1:24" x14ac:dyDescent="0.2">
      <c r="A38" s="8"/>
      <c r="B38" s="8"/>
      <c r="C38" s="8"/>
      <c r="D38" s="8"/>
      <c r="E38" s="8"/>
      <c r="F38" s="8"/>
      <c r="G38" s="8"/>
      <c r="H38" s="8"/>
      <c r="I38" s="8"/>
      <c r="J38" s="8"/>
      <c r="K38" s="8"/>
      <c r="L38" s="8"/>
      <c r="M38" s="8"/>
      <c r="N38" s="8"/>
      <c r="O38" s="8"/>
      <c r="P38" s="8"/>
      <c r="Q38" s="8"/>
      <c r="R38" s="8"/>
      <c r="S38" s="8"/>
      <c r="T38" s="8"/>
      <c r="U38" s="8"/>
      <c r="V38" s="8"/>
      <c r="W38" s="8"/>
      <c r="X38" s="8"/>
    </row>
    <row r="39" spans="1:24" x14ac:dyDescent="0.2">
      <c r="A39" s="8"/>
      <c r="B39" s="8"/>
      <c r="C39" s="8"/>
      <c r="D39" s="8"/>
      <c r="E39" s="8"/>
      <c r="F39" s="8"/>
      <c r="G39" s="8"/>
      <c r="H39" s="8"/>
      <c r="I39" s="8"/>
      <c r="J39" s="8"/>
      <c r="K39" s="8"/>
      <c r="L39" s="8"/>
      <c r="M39" s="8"/>
      <c r="N39" s="8"/>
      <c r="O39" s="8"/>
      <c r="P39" s="8"/>
      <c r="Q39" s="8"/>
      <c r="R39" s="8"/>
      <c r="S39" s="8"/>
      <c r="T39" s="8"/>
      <c r="U39" s="8"/>
      <c r="V39" s="8"/>
      <c r="W39" s="8"/>
      <c r="X39" s="8"/>
    </row>
    <row r="40" spans="1:24" x14ac:dyDescent="0.2">
      <c r="A40" s="8"/>
      <c r="B40" s="8"/>
      <c r="C40" s="8"/>
      <c r="D40" s="8"/>
      <c r="E40" s="8"/>
      <c r="F40" s="8"/>
      <c r="G40" s="8"/>
      <c r="H40" s="8"/>
      <c r="I40" s="8"/>
      <c r="J40" s="8"/>
      <c r="K40" s="8"/>
      <c r="L40" s="8"/>
      <c r="M40" s="8"/>
      <c r="N40" s="8"/>
      <c r="O40" s="8"/>
      <c r="P40" s="8"/>
      <c r="Q40" s="8"/>
      <c r="R40" s="8"/>
      <c r="S40" s="8"/>
      <c r="T40" s="8"/>
      <c r="U40" s="8"/>
      <c r="V40" s="8"/>
      <c r="W40" s="8"/>
      <c r="X40" s="8"/>
    </row>
    <row r="41" spans="1:24" x14ac:dyDescent="0.2">
      <c r="A41" s="8"/>
      <c r="B41" s="8"/>
      <c r="C41" s="8"/>
      <c r="D41" s="8"/>
      <c r="E41" s="8"/>
      <c r="F41" s="8"/>
      <c r="G41" s="8"/>
      <c r="H41" s="8"/>
      <c r="I41" s="8"/>
      <c r="J41" s="8"/>
      <c r="K41" s="8"/>
      <c r="L41" s="8"/>
      <c r="M41" s="8"/>
      <c r="N41" s="8"/>
      <c r="O41" s="8"/>
      <c r="P41" s="8"/>
      <c r="Q41" s="8"/>
      <c r="R41" s="8"/>
      <c r="S41" s="8"/>
      <c r="T41" s="8"/>
      <c r="U41" s="8"/>
      <c r="V41" s="8"/>
      <c r="W41" s="8"/>
      <c r="X41" s="8"/>
    </row>
    <row r="42" spans="1:24" x14ac:dyDescent="0.2">
      <c r="A42" s="8"/>
      <c r="B42" s="8"/>
      <c r="C42" s="8"/>
      <c r="D42" s="8"/>
      <c r="E42" s="8"/>
      <c r="F42" s="8"/>
      <c r="G42" s="8"/>
      <c r="H42" s="8"/>
      <c r="I42" s="8"/>
      <c r="J42" s="8"/>
      <c r="K42" s="8"/>
      <c r="L42" s="8"/>
      <c r="M42" s="8"/>
      <c r="N42" s="8"/>
      <c r="O42" s="8"/>
      <c r="P42" s="8"/>
      <c r="Q42" s="8"/>
      <c r="R42" s="8"/>
      <c r="S42" s="8"/>
      <c r="T42" s="8"/>
      <c r="U42" s="8"/>
      <c r="V42" s="8"/>
      <c r="W42" s="8"/>
      <c r="X42" s="8"/>
    </row>
    <row r="43" spans="1:24" x14ac:dyDescent="0.2">
      <c r="A43" s="8"/>
      <c r="B43" s="8"/>
      <c r="C43" s="8"/>
      <c r="D43" s="8"/>
      <c r="E43" s="8"/>
      <c r="F43" s="8"/>
      <c r="G43" s="8"/>
      <c r="H43" s="8"/>
      <c r="I43" s="8"/>
      <c r="J43" s="8"/>
      <c r="K43" s="8"/>
      <c r="L43" s="8"/>
      <c r="M43" s="8"/>
      <c r="N43" s="8"/>
      <c r="O43" s="8"/>
      <c r="P43" s="8"/>
      <c r="Q43" s="8"/>
      <c r="R43" s="8"/>
      <c r="S43" s="8"/>
      <c r="T43" s="8"/>
      <c r="U43" s="8"/>
      <c r="V43" s="8"/>
      <c r="W43" s="8"/>
      <c r="X43" s="8"/>
    </row>
    <row r="44" spans="1:24" x14ac:dyDescent="0.2">
      <c r="A44" s="8"/>
      <c r="B44" s="8"/>
      <c r="C44" s="8"/>
      <c r="D44" s="8"/>
      <c r="E44" s="8"/>
      <c r="F44" s="8"/>
      <c r="G44" s="8"/>
      <c r="H44" s="8"/>
      <c r="I44" s="8"/>
      <c r="J44" s="8"/>
      <c r="K44" s="8"/>
      <c r="L44" s="8"/>
      <c r="M44" s="8"/>
      <c r="N44" s="8"/>
      <c r="O44" s="8"/>
      <c r="P44" s="8"/>
      <c r="Q44" s="8"/>
      <c r="R44" s="8"/>
      <c r="S44" s="8"/>
      <c r="T44" s="8"/>
      <c r="U44" s="8"/>
      <c r="V44" s="8"/>
      <c r="W44" s="8"/>
      <c r="X44" s="8"/>
    </row>
    <row r="45" spans="1:24" x14ac:dyDescent="0.2">
      <c r="A45" s="8"/>
      <c r="B45" s="8"/>
      <c r="C45" s="8"/>
      <c r="D45" s="8"/>
      <c r="E45" s="8"/>
      <c r="F45" s="8"/>
      <c r="G45" s="8"/>
      <c r="H45" s="8"/>
      <c r="I45" s="8"/>
      <c r="J45" s="8"/>
      <c r="K45" s="8"/>
      <c r="L45" s="8"/>
      <c r="M45" s="8"/>
      <c r="N45" s="8"/>
      <c r="O45" s="8"/>
      <c r="P45" s="8"/>
      <c r="Q45" s="8"/>
      <c r="R45" s="8"/>
      <c r="S45" s="8"/>
      <c r="T45" s="8"/>
      <c r="U45" s="8"/>
      <c r="V45" s="8"/>
      <c r="W45" s="8"/>
      <c r="X45" s="8"/>
    </row>
    <row r="46" spans="1:24" x14ac:dyDescent="0.2">
      <c r="A46" s="8"/>
      <c r="B46" s="8"/>
      <c r="C46" s="8"/>
      <c r="D46" s="8"/>
      <c r="E46" s="8"/>
      <c r="F46" s="8"/>
      <c r="G46" s="8"/>
      <c r="H46" s="8"/>
      <c r="I46" s="8"/>
      <c r="J46" s="8"/>
      <c r="K46" s="8"/>
      <c r="L46" s="8"/>
      <c r="M46" s="8"/>
      <c r="N46" s="8"/>
      <c r="O46" s="8"/>
      <c r="P46" s="8"/>
      <c r="Q46" s="8"/>
      <c r="R46" s="8"/>
      <c r="S46" s="8"/>
      <c r="T46" s="8"/>
      <c r="U46" s="8"/>
      <c r="V46" s="8"/>
      <c r="W46" s="8"/>
      <c r="X46" s="8"/>
    </row>
    <row r="47" spans="1:24" x14ac:dyDescent="0.2">
      <c r="A47" s="8"/>
      <c r="B47" s="8"/>
      <c r="C47" s="8"/>
      <c r="D47" s="8"/>
      <c r="E47" s="8"/>
      <c r="F47" s="8"/>
      <c r="G47" s="8"/>
      <c r="H47" s="8"/>
      <c r="I47" s="8"/>
      <c r="J47" s="8"/>
      <c r="K47" s="8"/>
      <c r="L47" s="8"/>
      <c r="M47" s="8"/>
      <c r="N47" s="8"/>
      <c r="O47" s="8"/>
      <c r="P47" s="8"/>
      <c r="Q47" s="8"/>
      <c r="R47" s="8"/>
      <c r="S47" s="8"/>
      <c r="T47" s="8"/>
      <c r="U47" s="8"/>
      <c r="V47" s="8"/>
      <c r="W47" s="8"/>
      <c r="X47" s="8"/>
    </row>
    <row r="48" spans="1:24" x14ac:dyDescent="0.2">
      <c r="A48" s="8"/>
      <c r="B48" s="8"/>
      <c r="C48" s="8"/>
      <c r="D48" s="8"/>
      <c r="E48" s="8"/>
      <c r="F48" s="8"/>
      <c r="G48" s="8"/>
      <c r="H48" s="8"/>
      <c r="I48" s="8"/>
      <c r="J48" s="8"/>
      <c r="K48" s="8"/>
      <c r="L48" s="8"/>
      <c r="M48" s="8"/>
      <c r="N48" s="8"/>
      <c r="O48" s="8"/>
      <c r="P48" s="8"/>
      <c r="Q48" s="8"/>
      <c r="R48" s="8"/>
      <c r="S48" s="8"/>
      <c r="T48" s="8"/>
      <c r="U48" s="8"/>
      <c r="V48" s="8"/>
      <c r="W48" s="8"/>
      <c r="X48" s="8"/>
    </row>
    <row r="49" spans="1:24" x14ac:dyDescent="0.2">
      <c r="A49" s="8"/>
      <c r="B49" s="8"/>
      <c r="C49" s="8"/>
      <c r="D49" s="8"/>
      <c r="E49" s="8"/>
      <c r="F49" s="8"/>
      <c r="G49" s="8"/>
      <c r="H49" s="8"/>
      <c r="I49" s="8"/>
      <c r="J49" s="8"/>
      <c r="K49" s="8"/>
      <c r="L49" s="8"/>
      <c r="M49" s="8"/>
      <c r="N49" s="8"/>
      <c r="O49" s="8"/>
      <c r="P49" s="8"/>
      <c r="Q49" s="8"/>
      <c r="R49" s="8"/>
      <c r="S49" s="8"/>
      <c r="T49" s="8"/>
      <c r="U49" s="8"/>
      <c r="V49" s="8"/>
      <c r="W49" s="8"/>
      <c r="X49" s="8"/>
    </row>
    <row r="50" spans="1:24" x14ac:dyDescent="0.2">
      <c r="A50" s="8"/>
      <c r="B50" s="8"/>
      <c r="C50" s="8"/>
      <c r="D50" s="8"/>
      <c r="E50" s="8"/>
      <c r="F50" s="8"/>
      <c r="G50" s="8"/>
      <c r="H50" s="8"/>
      <c r="I50" s="8"/>
      <c r="J50" s="8"/>
      <c r="K50" s="8"/>
      <c r="L50" s="8"/>
      <c r="M50" s="8"/>
      <c r="N50" s="8"/>
      <c r="O50" s="8"/>
      <c r="P50" s="8"/>
      <c r="Q50" s="8"/>
      <c r="R50" s="8"/>
      <c r="S50" s="8"/>
      <c r="T50" s="8"/>
      <c r="U50" s="8"/>
      <c r="V50" s="8"/>
      <c r="W50" s="8"/>
      <c r="X50" s="8"/>
    </row>
    <row r="51" spans="1:24" x14ac:dyDescent="0.2">
      <c r="A51" s="8"/>
      <c r="B51" s="8"/>
      <c r="C51" s="8"/>
      <c r="D51" s="8"/>
      <c r="E51" s="8"/>
      <c r="F51" s="8"/>
      <c r="G51" s="8"/>
      <c r="H51" s="8"/>
      <c r="I51" s="8"/>
      <c r="J51" s="8"/>
      <c r="K51" s="8"/>
      <c r="L51" s="8"/>
      <c r="M51" s="8"/>
      <c r="N51" s="8"/>
      <c r="O51" s="8"/>
      <c r="P51" s="8"/>
      <c r="Q51" s="8"/>
      <c r="R51" s="8"/>
      <c r="S51" s="8"/>
      <c r="T51" s="8"/>
      <c r="U51" s="8"/>
      <c r="V51" s="8"/>
      <c r="W51" s="8"/>
      <c r="X51" s="8"/>
    </row>
    <row r="52" spans="1:24" x14ac:dyDescent="0.2">
      <c r="A52" s="8"/>
      <c r="B52" s="8"/>
      <c r="C52" s="8"/>
      <c r="D52" s="8"/>
      <c r="E52" s="8"/>
      <c r="F52" s="8"/>
      <c r="G52" s="8"/>
      <c r="H52" s="8"/>
      <c r="I52" s="8"/>
      <c r="J52" s="8"/>
      <c r="K52" s="8"/>
      <c r="L52" s="8"/>
      <c r="M52" s="8"/>
      <c r="N52" s="8"/>
      <c r="O52" s="8"/>
      <c r="P52" s="8"/>
      <c r="Q52" s="8"/>
      <c r="R52" s="8"/>
      <c r="S52" s="8"/>
      <c r="T52" s="8"/>
      <c r="U52" s="8"/>
      <c r="V52" s="8"/>
      <c r="W52" s="8"/>
      <c r="X52" s="8"/>
    </row>
    <row r="53" spans="1:24" x14ac:dyDescent="0.2">
      <c r="A53" s="8"/>
      <c r="B53" s="8"/>
      <c r="C53" s="8"/>
      <c r="D53" s="8"/>
      <c r="E53" s="8"/>
      <c r="F53" s="8"/>
      <c r="G53" s="8"/>
      <c r="H53" s="8"/>
      <c r="I53" s="8"/>
      <c r="J53" s="8"/>
      <c r="K53" s="8"/>
      <c r="L53" s="8"/>
      <c r="M53" s="8"/>
      <c r="N53" s="8"/>
      <c r="O53" s="8"/>
      <c r="P53" s="8"/>
      <c r="Q53" s="8"/>
      <c r="R53" s="8"/>
      <c r="S53" s="8"/>
      <c r="T53" s="8"/>
      <c r="U53" s="8"/>
      <c r="V53" s="8"/>
      <c r="W53" s="8"/>
      <c r="X53" s="8"/>
    </row>
    <row r="54" spans="1:24" x14ac:dyDescent="0.2">
      <c r="A54" s="8"/>
      <c r="B54" s="8"/>
      <c r="C54" s="8"/>
      <c r="D54" s="8"/>
      <c r="E54" s="8"/>
      <c r="F54" s="8"/>
      <c r="G54" s="8"/>
      <c r="H54" s="8"/>
      <c r="I54" s="8"/>
      <c r="J54" s="8"/>
      <c r="K54" s="8"/>
      <c r="L54" s="8"/>
      <c r="M54" s="8"/>
      <c r="N54" s="8"/>
      <c r="O54" s="8"/>
      <c r="P54" s="8"/>
      <c r="Q54" s="8"/>
      <c r="R54" s="8"/>
      <c r="S54" s="8"/>
      <c r="T54" s="8"/>
      <c r="U54" s="8"/>
      <c r="V54" s="8"/>
      <c r="W54" s="8"/>
      <c r="X54" s="8"/>
    </row>
    <row r="55" spans="1:24" x14ac:dyDescent="0.2">
      <c r="A55" s="8"/>
      <c r="B55" s="8"/>
      <c r="C55" s="8"/>
      <c r="D55" s="8"/>
      <c r="E55" s="8"/>
      <c r="F55" s="8"/>
      <c r="G55" s="8"/>
      <c r="H55" s="8"/>
      <c r="I55" s="8"/>
      <c r="J55" s="8"/>
      <c r="K55" s="8"/>
      <c r="L55" s="8"/>
      <c r="M55" s="8"/>
      <c r="N55" s="8"/>
      <c r="O55" s="8"/>
      <c r="P55" s="8"/>
      <c r="Q55" s="8"/>
      <c r="R55" s="8"/>
      <c r="S55" s="8"/>
      <c r="T55" s="8"/>
      <c r="U55" s="8"/>
      <c r="V55" s="8"/>
      <c r="W55" s="8"/>
      <c r="X55" s="8"/>
    </row>
    <row r="56" spans="1:24" x14ac:dyDescent="0.2">
      <c r="A56" s="8"/>
      <c r="B56" s="8"/>
      <c r="C56" s="8"/>
      <c r="D56" s="8"/>
      <c r="E56" s="8"/>
      <c r="F56" s="8"/>
      <c r="G56" s="8"/>
      <c r="H56" s="8"/>
      <c r="I56" s="8"/>
      <c r="J56" s="8"/>
      <c r="K56" s="8"/>
      <c r="L56" s="8"/>
      <c r="M56" s="8"/>
      <c r="N56" s="8"/>
      <c r="O56" s="8"/>
      <c r="P56" s="8"/>
      <c r="Q56" s="8"/>
      <c r="R56" s="8"/>
      <c r="S56" s="8"/>
      <c r="T56" s="8"/>
      <c r="U56" s="8"/>
      <c r="V56" s="8"/>
      <c r="W56" s="8"/>
      <c r="X56" s="8"/>
    </row>
    <row r="57" spans="1:24" x14ac:dyDescent="0.2">
      <c r="A57" s="8"/>
      <c r="B57" s="8"/>
      <c r="C57" s="8"/>
      <c r="D57" s="8"/>
      <c r="E57" s="8"/>
      <c r="F57" s="8"/>
      <c r="G57" s="8"/>
      <c r="H57" s="8"/>
      <c r="I57" s="8"/>
      <c r="J57" s="8"/>
      <c r="K57" s="8"/>
      <c r="L57" s="8"/>
      <c r="M57" s="8"/>
      <c r="N57" s="8"/>
      <c r="O57" s="8"/>
      <c r="P57" s="8"/>
      <c r="Q57" s="8"/>
      <c r="R57" s="8"/>
      <c r="S57" s="8"/>
      <c r="T57" s="8"/>
      <c r="U57" s="8"/>
      <c r="V57" s="8"/>
      <c r="W57" s="8"/>
      <c r="X57" s="8"/>
    </row>
    <row r="58" spans="1:24" x14ac:dyDescent="0.2">
      <c r="A58" s="8"/>
      <c r="B58" s="8"/>
      <c r="C58" s="8"/>
      <c r="D58" s="8"/>
      <c r="E58" s="8"/>
      <c r="F58" s="8"/>
      <c r="G58" s="8"/>
      <c r="H58" s="8"/>
      <c r="I58" s="8"/>
      <c r="J58" s="8"/>
      <c r="K58" s="8"/>
      <c r="L58" s="8"/>
      <c r="M58" s="8"/>
      <c r="N58" s="8"/>
      <c r="O58" s="8"/>
      <c r="P58" s="8"/>
      <c r="Q58" s="8"/>
      <c r="R58" s="8"/>
      <c r="S58" s="8"/>
      <c r="T58" s="8"/>
      <c r="U58" s="8"/>
      <c r="V58" s="8"/>
      <c r="W58" s="8"/>
      <c r="X58" s="8"/>
    </row>
    <row r="59" spans="1:24" x14ac:dyDescent="0.2">
      <c r="A59" s="8"/>
      <c r="B59" s="8"/>
      <c r="C59" s="8"/>
      <c r="D59" s="8"/>
      <c r="E59" s="8"/>
      <c r="F59" s="8"/>
      <c r="G59" s="8"/>
      <c r="H59" s="8"/>
      <c r="I59" s="8"/>
      <c r="J59" s="8"/>
      <c r="K59" s="8"/>
      <c r="L59" s="8"/>
      <c r="M59" s="8"/>
      <c r="N59" s="8"/>
      <c r="O59" s="8"/>
      <c r="P59" s="8"/>
      <c r="Q59" s="8"/>
      <c r="R59" s="8"/>
      <c r="S59" s="8"/>
      <c r="T59" s="8"/>
      <c r="U59" s="8"/>
      <c r="V59" s="8"/>
      <c r="W59" s="8"/>
      <c r="X59" s="8"/>
    </row>
    <row r="60" spans="1:24" x14ac:dyDescent="0.2">
      <c r="A60" s="8"/>
      <c r="B60" s="8"/>
      <c r="C60" s="8"/>
      <c r="D60" s="8"/>
      <c r="E60" s="8"/>
      <c r="F60" s="8"/>
      <c r="G60" s="8"/>
      <c r="H60" s="8"/>
      <c r="I60" s="8"/>
      <c r="J60" s="8"/>
      <c r="K60" s="8"/>
      <c r="L60" s="8"/>
      <c r="M60" s="8"/>
      <c r="N60" s="8"/>
      <c r="O60" s="8"/>
      <c r="P60" s="8"/>
      <c r="Q60" s="8"/>
      <c r="R60" s="8"/>
      <c r="S60" s="8"/>
      <c r="T60" s="8"/>
      <c r="U60" s="8"/>
      <c r="V60" s="8"/>
      <c r="W60" s="8"/>
      <c r="X60" s="8"/>
    </row>
    <row r="61" spans="1:24" x14ac:dyDescent="0.2">
      <c r="A61" s="8"/>
      <c r="B61" s="8"/>
      <c r="C61" s="8"/>
      <c r="D61" s="8"/>
      <c r="E61" s="8"/>
      <c r="F61" s="8"/>
      <c r="G61" s="8"/>
      <c r="H61" s="8"/>
      <c r="I61" s="8"/>
      <c r="J61" s="8"/>
      <c r="K61" s="8"/>
      <c r="L61" s="8"/>
      <c r="M61" s="8"/>
      <c r="N61" s="8"/>
      <c r="O61" s="8"/>
      <c r="P61" s="8"/>
      <c r="Q61" s="8"/>
      <c r="R61" s="8"/>
      <c r="S61" s="8"/>
      <c r="T61" s="8"/>
      <c r="U61" s="8"/>
      <c r="V61" s="8"/>
      <c r="W61" s="8"/>
      <c r="X61" s="8"/>
    </row>
    <row r="62" spans="1:24" x14ac:dyDescent="0.2">
      <c r="A62" s="8"/>
      <c r="B62" s="8"/>
      <c r="C62" s="8"/>
      <c r="D62" s="8"/>
      <c r="E62" s="8"/>
      <c r="F62" s="8"/>
      <c r="G62" s="8"/>
      <c r="H62" s="8"/>
      <c r="I62" s="8"/>
      <c r="J62" s="8"/>
      <c r="K62" s="8"/>
      <c r="L62" s="8"/>
      <c r="M62" s="8"/>
      <c r="N62" s="8"/>
      <c r="O62" s="8"/>
      <c r="P62" s="8"/>
      <c r="Q62" s="8"/>
      <c r="R62" s="8"/>
      <c r="S62" s="8"/>
      <c r="T62" s="8"/>
      <c r="U62" s="8"/>
      <c r="V62" s="8"/>
      <c r="W62" s="8"/>
      <c r="X62" s="8"/>
    </row>
    <row r="63" spans="1:24" x14ac:dyDescent="0.2">
      <c r="A63" s="8"/>
      <c r="B63" s="8"/>
      <c r="C63" s="8"/>
      <c r="D63" s="8"/>
      <c r="E63" s="8"/>
      <c r="F63" s="8"/>
      <c r="G63" s="8"/>
      <c r="H63" s="8"/>
      <c r="I63" s="8"/>
      <c r="J63" s="8"/>
      <c r="K63" s="8"/>
      <c r="L63" s="8"/>
      <c r="M63" s="8"/>
      <c r="N63" s="8"/>
      <c r="O63" s="8"/>
      <c r="P63" s="8"/>
      <c r="Q63" s="8"/>
      <c r="R63" s="8"/>
      <c r="S63" s="8"/>
      <c r="T63" s="8"/>
      <c r="U63" s="8"/>
      <c r="V63" s="8"/>
      <c r="W63" s="8"/>
      <c r="X63" s="8"/>
    </row>
    <row r="64" spans="1:24" x14ac:dyDescent="0.2">
      <c r="A64" s="8"/>
      <c r="B64" s="8"/>
      <c r="C64" s="8"/>
      <c r="D64" s="8"/>
      <c r="E64" s="8"/>
      <c r="F64" s="8"/>
      <c r="G64" s="8"/>
      <c r="H64" s="8"/>
      <c r="I64" s="8"/>
      <c r="J64" s="8"/>
      <c r="K64" s="8"/>
      <c r="L64" s="8"/>
      <c r="M64" s="8"/>
      <c r="N64" s="8"/>
      <c r="O64" s="8"/>
      <c r="P64" s="8"/>
      <c r="Q64" s="8"/>
      <c r="R64" s="8"/>
      <c r="S64" s="8"/>
      <c r="T64" s="8"/>
      <c r="U64" s="8"/>
      <c r="V64" s="8"/>
      <c r="W64" s="8"/>
      <c r="X64" s="8"/>
    </row>
    <row r="65" spans="1:26" x14ac:dyDescent="0.2">
      <c r="A65" s="8"/>
      <c r="B65" s="8"/>
      <c r="C65" s="8"/>
      <c r="D65" s="8"/>
      <c r="E65" s="8"/>
      <c r="F65" s="8"/>
      <c r="G65" s="8"/>
      <c r="H65" s="8"/>
      <c r="I65" s="8"/>
      <c r="J65" s="8"/>
      <c r="K65" s="8"/>
      <c r="L65" s="8"/>
      <c r="M65" s="8"/>
      <c r="N65" s="8"/>
      <c r="O65" s="8"/>
      <c r="P65" s="8"/>
      <c r="Q65" s="8"/>
      <c r="R65" s="8"/>
      <c r="S65" s="8"/>
      <c r="T65" s="8"/>
      <c r="U65" s="8"/>
      <c r="V65" s="8"/>
      <c r="W65" s="8"/>
      <c r="X65" s="8"/>
    </row>
    <row r="66" spans="1:26" x14ac:dyDescent="0.2">
      <c r="A66" s="8"/>
      <c r="B66" s="8"/>
      <c r="C66" s="8"/>
      <c r="D66" s="8"/>
      <c r="E66" s="8"/>
      <c r="F66" s="8"/>
      <c r="G66" s="8"/>
      <c r="H66" s="8"/>
      <c r="I66" s="8"/>
      <c r="J66" s="8"/>
      <c r="K66" s="8"/>
      <c r="L66" s="8"/>
      <c r="M66" s="8"/>
      <c r="N66" s="8"/>
      <c r="O66" s="8"/>
      <c r="P66" s="8"/>
      <c r="Q66" s="8"/>
      <c r="R66" s="8"/>
      <c r="S66" s="8"/>
      <c r="T66" s="8"/>
      <c r="U66" s="8"/>
      <c r="V66" s="8"/>
      <c r="W66" s="8"/>
      <c r="X66" s="8"/>
    </row>
    <row r="67" spans="1:26" x14ac:dyDescent="0.2">
      <c r="A67" s="8"/>
      <c r="B67" s="8"/>
      <c r="C67" s="8"/>
      <c r="D67" s="8"/>
      <c r="E67" s="8"/>
      <c r="F67" s="8"/>
      <c r="G67" s="8"/>
      <c r="H67" s="8"/>
      <c r="I67" s="8"/>
      <c r="J67" s="8"/>
      <c r="K67" s="8"/>
      <c r="L67" s="8"/>
      <c r="M67" s="8"/>
      <c r="N67" s="8"/>
      <c r="O67" s="8"/>
      <c r="P67" s="8"/>
      <c r="Q67" s="8"/>
      <c r="R67" s="8"/>
      <c r="S67" s="8"/>
      <c r="T67" s="8"/>
      <c r="U67" s="8"/>
      <c r="V67" s="8"/>
      <c r="W67" s="8"/>
      <c r="X67" s="8"/>
    </row>
    <row r="68" spans="1:26" x14ac:dyDescent="0.2">
      <c r="A68" s="8"/>
      <c r="B68" s="8"/>
      <c r="C68" s="8"/>
      <c r="D68" s="8"/>
      <c r="E68" s="8"/>
      <c r="F68" s="8"/>
      <c r="G68" s="8"/>
      <c r="H68" s="8"/>
      <c r="I68" s="8"/>
      <c r="J68" s="8"/>
      <c r="K68" s="8"/>
      <c r="L68" s="8"/>
      <c r="M68" s="8"/>
      <c r="N68" s="8"/>
      <c r="O68" s="8"/>
      <c r="P68" s="8"/>
      <c r="Q68" s="8"/>
      <c r="R68" s="8"/>
      <c r="S68" s="8"/>
      <c r="T68" s="8"/>
      <c r="U68" s="8"/>
      <c r="V68" s="8"/>
      <c r="W68" s="8"/>
      <c r="X68" s="8"/>
    </row>
    <row r="69" spans="1:26" x14ac:dyDescent="0.2">
      <c r="A69" s="8"/>
      <c r="B69" s="8"/>
      <c r="C69" s="8"/>
      <c r="D69" s="8"/>
      <c r="E69" s="8"/>
      <c r="F69" s="8"/>
      <c r="G69" s="8"/>
      <c r="H69" s="8"/>
      <c r="I69" s="8"/>
      <c r="J69" s="8"/>
      <c r="K69" s="8"/>
      <c r="L69" s="8"/>
      <c r="M69" s="8"/>
      <c r="N69" s="8"/>
      <c r="O69" s="8"/>
      <c r="P69" s="8"/>
      <c r="Q69" s="8"/>
      <c r="R69" s="8"/>
      <c r="S69" s="8"/>
      <c r="T69" s="8"/>
      <c r="U69" s="8"/>
      <c r="V69" s="8"/>
      <c r="W69" s="8"/>
      <c r="X69" s="8"/>
    </row>
    <row r="70" spans="1:26"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x14ac:dyDescent="0.2">
      <c r="A102" s="8"/>
      <c r="B102" s="8"/>
      <c r="C102" s="8"/>
      <c r="D102" s="8"/>
      <c r="E102" s="8"/>
      <c r="F102" s="8"/>
      <c r="G102" s="8"/>
      <c r="H102" s="8"/>
      <c r="I102" s="8"/>
      <c r="J102" s="8"/>
      <c r="K102" s="8"/>
      <c r="L102" s="8"/>
      <c r="M102" s="8"/>
      <c r="N102" s="8"/>
      <c r="O102" s="8"/>
      <c r="P102" s="8"/>
      <c r="Q102" s="8"/>
      <c r="R102" s="8" t="s">
        <v>169</v>
      </c>
      <c r="S102" s="8"/>
      <c r="T102" s="8"/>
      <c r="U102" s="8"/>
      <c r="V102" s="8"/>
      <c r="W102" s="8"/>
      <c r="X102" s="8"/>
      <c r="Y102" s="8"/>
      <c r="Z102" s="8"/>
    </row>
    <row r="103" spans="1:26" x14ac:dyDescent="0.2">
      <c r="A103" s="8"/>
      <c r="B103" s="8"/>
      <c r="C103" s="8"/>
      <c r="D103" s="8"/>
      <c r="E103" s="8"/>
      <c r="F103" s="8"/>
      <c r="G103" s="8"/>
      <c r="H103" s="8"/>
      <c r="I103" s="8"/>
      <c r="J103" s="8"/>
      <c r="K103" s="8"/>
      <c r="L103" s="8"/>
      <c r="M103" s="8"/>
      <c r="N103" s="8"/>
      <c r="O103" s="8"/>
      <c r="P103" s="8"/>
      <c r="Q103" s="8"/>
      <c r="R103" s="8">
        <v>506.71690000000001</v>
      </c>
      <c r="S103" s="8"/>
      <c r="T103" s="8"/>
      <c r="U103" s="8"/>
      <c r="V103" s="8"/>
      <c r="W103" s="8"/>
      <c r="X103" s="8"/>
      <c r="Y103" s="8"/>
      <c r="Z103" s="8"/>
    </row>
    <row r="104" spans="1:26" x14ac:dyDescent="0.2">
      <c r="A104" s="8"/>
      <c r="B104" s="8"/>
      <c r="C104" s="8"/>
      <c r="D104" s="8"/>
      <c r="E104" s="8"/>
      <c r="F104" s="8"/>
      <c r="G104" s="8"/>
      <c r="H104" s="8"/>
      <c r="I104" s="8"/>
      <c r="J104" s="8"/>
      <c r="K104" s="8"/>
      <c r="L104" s="8"/>
      <c r="M104" s="8"/>
      <c r="N104" s="8"/>
      <c r="O104" s="8"/>
      <c r="P104" s="8"/>
      <c r="Q104" s="8"/>
      <c r="R104" s="8">
        <v>552.49879999999996</v>
      </c>
      <c r="S104" s="8"/>
      <c r="T104" s="8"/>
      <c r="U104" s="8"/>
      <c r="V104" s="8"/>
      <c r="W104" s="8"/>
      <c r="X104" s="8"/>
      <c r="Y104" s="8"/>
      <c r="Z104" s="8"/>
    </row>
    <row r="105" spans="1:26" x14ac:dyDescent="0.2">
      <c r="A105" s="8"/>
      <c r="B105" s="8"/>
      <c r="C105" s="8"/>
      <c r="D105" s="8"/>
      <c r="E105" s="8"/>
      <c r="F105" s="8"/>
      <c r="G105" s="8"/>
      <c r="H105" s="8"/>
      <c r="I105" s="8"/>
      <c r="J105" s="8"/>
      <c r="K105" s="8"/>
      <c r="L105" s="8"/>
      <c r="M105" s="8"/>
      <c r="N105" s="8"/>
      <c r="O105" s="8"/>
      <c r="P105" s="8"/>
      <c r="Q105" s="8"/>
      <c r="R105" s="8">
        <v>600.42430000000002</v>
      </c>
      <c r="S105" s="8"/>
      <c r="T105" s="8"/>
      <c r="U105" s="8"/>
      <c r="V105" s="8"/>
      <c r="W105" s="8"/>
      <c r="X105" s="8"/>
      <c r="Y105" s="8"/>
      <c r="Z105" s="8"/>
    </row>
    <row r="106" spans="1:26" x14ac:dyDescent="0.2">
      <c r="A106" s="8"/>
      <c r="B106" s="8"/>
      <c r="C106" s="8"/>
      <c r="D106" s="8"/>
      <c r="E106" s="8"/>
      <c r="F106" s="8"/>
      <c r="G106" s="8"/>
      <c r="H106" s="8"/>
      <c r="I106" s="8"/>
      <c r="J106" s="8"/>
      <c r="K106" s="8"/>
      <c r="L106" s="8"/>
      <c r="M106" s="8"/>
      <c r="N106" s="8"/>
      <c r="O106" s="8"/>
      <c r="P106" s="8"/>
      <c r="Q106" s="8"/>
      <c r="R106" s="8">
        <v>689.33100000000002</v>
      </c>
      <c r="S106" s="8"/>
      <c r="T106" s="8"/>
      <c r="U106" s="8"/>
      <c r="V106" s="8"/>
      <c r="W106" s="8"/>
      <c r="X106" s="8"/>
      <c r="Y106" s="8"/>
      <c r="Z106" s="8"/>
    </row>
    <row r="107" spans="1:26" x14ac:dyDescent="0.2">
      <c r="A107" s="8"/>
      <c r="B107" s="8"/>
      <c r="C107" s="8"/>
      <c r="D107" s="8"/>
      <c r="E107" s="8"/>
      <c r="F107" s="8"/>
      <c r="G107" s="8"/>
      <c r="H107" s="8"/>
      <c r="I107" s="8"/>
      <c r="J107" s="8"/>
      <c r="K107" s="8"/>
      <c r="L107" s="8"/>
      <c r="M107" s="8"/>
      <c r="N107" s="8"/>
      <c r="O107" s="8"/>
      <c r="P107" s="8"/>
      <c r="Q107" s="8"/>
      <c r="R107" s="8">
        <v>801.70259999999996</v>
      </c>
      <c r="S107" s="8"/>
      <c r="T107" s="8"/>
      <c r="U107" s="8"/>
      <c r="V107" s="8"/>
      <c r="W107" s="8"/>
      <c r="X107" s="8"/>
      <c r="Y107" s="8"/>
      <c r="Z107" s="8"/>
    </row>
    <row r="108" spans="1:26" x14ac:dyDescent="0.2">
      <c r="A108" s="8"/>
      <c r="B108" s="8"/>
      <c r="C108" s="8"/>
      <c r="D108" s="8"/>
      <c r="E108" s="8"/>
      <c r="F108" s="8"/>
      <c r="G108" s="8"/>
      <c r="H108" s="8"/>
      <c r="I108" s="8"/>
      <c r="J108" s="8"/>
      <c r="K108" s="8"/>
      <c r="L108" s="8"/>
      <c r="M108" s="8"/>
      <c r="N108" s="8"/>
      <c r="O108" s="8"/>
      <c r="P108" s="8"/>
      <c r="Q108" s="8"/>
      <c r="R108" s="8">
        <v>889.21759999999995</v>
      </c>
      <c r="S108" s="8"/>
      <c r="T108" s="8"/>
      <c r="U108" s="8"/>
      <c r="V108" s="8"/>
      <c r="W108" s="8"/>
      <c r="X108" s="8"/>
      <c r="Y108" s="8"/>
      <c r="Z108" s="8"/>
    </row>
    <row r="109" spans="1:26" x14ac:dyDescent="0.2">
      <c r="A109" s="8"/>
      <c r="B109" s="8"/>
      <c r="C109" s="8"/>
      <c r="D109" s="8"/>
      <c r="E109" s="8"/>
      <c r="F109" s="8"/>
      <c r="G109" s="8"/>
      <c r="H109" s="8"/>
      <c r="I109" s="8"/>
      <c r="J109" s="8"/>
      <c r="K109" s="8"/>
      <c r="L109" s="8"/>
      <c r="M109" s="8"/>
      <c r="N109" s="8"/>
      <c r="O109" s="8"/>
      <c r="P109" s="8"/>
      <c r="Q109" s="8"/>
      <c r="R109" s="8">
        <v>956.32749999999999</v>
      </c>
      <c r="S109" s="8"/>
      <c r="T109" s="8"/>
      <c r="U109" s="8"/>
      <c r="V109" s="8"/>
      <c r="W109" s="8"/>
      <c r="X109" s="8"/>
      <c r="Y109" s="8"/>
      <c r="Z109" s="8"/>
    </row>
    <row r="110" spans="1:26" x14ac:dyDescent="0.2">
      <c r="A110" s="8"/>
      <c r="B110" s="8"/>
      <c r="C110" s="8"/>
      <c r="D110" s="8"/>
      <c r="E110" s="8"/>
      <c r="F110" s="8"/>
      <c r="G110" s="8"/>
      <c r="H110" s="8"/>
      <c r="I110" s="8"/>
      <c r="J110" s="8"/>
      <c r="K110" s="8"/>
      <c r="L110" s="8"/>
      <c r="M110" s="8"/>
      <c r="N110" s="8"/>
      <c r="O110" s="8"/>
      <c r="P110" s="8"/>
      <c r="Q110" s="8"/>
      <c r="R110" s="8">
        <v>1110.7719999999999</v>
      </c>
      <c r="S110" s="8"/>
      <c r="T110" s="8"/>
      <c r="U110" s="8"/>
      <c r="V110" s="8"/>
      <c r="W110" s="8"/>
      <c r="X110" s="8"/>
      <c r="Y110" s="8"/>
      <c r="Z110" s="8"/>
    </row>
    <row r="111" spans="1:26"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37F2D-F890-D047-BFEE-B1469300C21B}">
  <sheetPr>
    <tabColor rgb="FFFFFF00"/>
  </sheetPr>
  <dimension ref="A1:N314"/>
  <sheetViews>
    <sheetView topLeftCell="A279" workbookViewId="0">
      <selection activeCell="G45" sqref="G45"/>
    </sheetView>
  </sheetViews>
  <sheetFormatPr baseColWidth="10" defaultRowHeight="16" x14ac:dyDescent="0.2"/>
  <sheetData>
    <row r="1" spans="2:14" x14ac:dyDescent="0.2">
      <c r="B1">
        <v>2014</v>
      </c>
    </row>
    <row r="2" spans="2:14" x14ac:dyDescent="0.2">
      <c r="E2" t="s">
        <v>130</v>
      </c>
      <c r="H2" t="s">
        <v>131</v>
      </c>
      <c r="J2" t="s">
        <v>132</v>
      </c>
      <c r="K2" t="s">
        <v>133</v>
      </c>
      <c r="N2" t="s">
        <v>134</v>
      </c>
    </row>
    <row r="5" spans="2:14" x14ac:dyDescent="0.2">
      <c r="C5">
        <v>1</v>
      </c>
      <c r="D5" s="4">
        <v>0.111</v>
      </c>
      <c r="E5">
        <v>0.111</v>
      </c>
      <c r="H5">
        <v>0.158</v>
      </c>
      <c r="J5">
        <v>0.45400000000000001</v>
      </c>
      <c r="K5">
        <v>0.14000000000000001</v>
      </c>
      <c r="N5">
        <v>0.124</v>
      </c>
    </row>
    <row r="6" spans="2:14" x14ac:dyDescent="0.2">
      <c r="C6">
        <v>2</v>
      </c>
      <c r="D6" s="4">
        <v>0.38700000000000001</v>
      </c>
      <c r="E6">
        <v>0.38700000000000001</v>
      </c>
      <c r="H6">
        <v>0.42299999999999999</v>
      </c>
      <c r="J6">
        <v>0.63500000000000001</v>
      </c>
      <c r="K6">
        <v>0.53900000000000003</v>
      </c>
      <c r="N6">
        <v>0.58199999999999996</v>
      </c>
    </row>
    <row r="7" spans="2:14" x14ac:dyDescent="0.2">
      <c r="C7">
        <v>3</v>
      </c>
      <c r="D7" s="4">
        <v>0.92400000000000004</v>
      </c>
      <c r="E7">
        <v>0.92400000000000004</v>
      </c>
      <c r="H7">
        <v>0.873</v>
      </c>
      <c r="J7">
        <v>1.012</v>
      </c>
      <c r="K7">
        <v>0.98299999999999998</v>
      </c>
      <c r="N7">
        <v>1.0549999999999999</v>
      </c>
    </row>
    <row r="8" spans="2:14" x14ac:dyDescent="0.2">
      <c r="C8">
        <v>4</v>
      </c>
      <c r="D8" s="4">
        <v>1.3680000000000001</v>
      </c>
      <c r="E8">
        <v>1.3680000000000001</v>
      </c>
      <c r="H8">
        <v>1.3069999999999999</v>
      </c>
      <c r="J8">
        <v>1.355</v>
      </c>
      <c r="K8">
        <v>1.401</v>
      </c>
      <c r="N8">
        <v>1.514</v>
      </c>
    </row>
    <row r="9" spans="2:14" x14ac:dyDescent="0.2">
      <c r="C9">
        <v>5</v>
      </c>
      <c r="D9" s="4">
        <v>1.7410000000000001</v>
      </c>
      <c r="E9">
        <v>1.7410000000000001</v>
      </c>
      <c r="H9">
        <v>1.6779999999999999</v>
      </c>
      <c r="J9">
        <v>1.67</v>
      </c>
      <c r="K9">
        <v>1.825</v>
      </c>
      <c r="N9">
        <v>1.6930000000000001</v>
      </c>
    </row>
    <row r="10" spans="2:14" x14ac:dyDescent="0.2">
      <c r="C10">
        <v>6</v>
      </c>
      <c r="D10" s="4">
        <v>2.0859999999999999</v>
      </c>
      <c r="E10">
        <v>2.0859999999999999</v>
      </c>
      <c r="H10">
        <v>1.978</v>
      </c>
      <c r="J10">
        <v>1.883</v>
      </c>
      <c r="K10">
        <v>2.0960000000000001</v>
      </c>
      <c r="N10">
        <v>1.9179999999999999</v>
      </c>
    </row>
    <row r="11" spans="2:14" x14ac:dyDescent="0.2">
      <c r="C11">
        <v>7</v>
      </c>
      <c r="D11" s="4">
        <v>2.3780000000000001</v>
      </c>
      <c r="E11">
        <v>2.3780000000000001</v>
      </c>
      <c r="H11">
        <v>2.2170000000000001</v>
      </c>
      <c r="J11">
        <v>2.052</v>
      </c>
      <c r="K11">
        <v>2.2930000000000001</v>
      </c>
      <c r="N11">
        <v>2.0649999999999999</v>
      </c>
    </row>
    <row r="12" spans="2:14" x14ac:dyDescent="0.2">
      <c r="C12">
        <v>8</v>
      </c>
      <c r="D12" s="4">
        <v>2.605</v>
      </c>
      <c r="E12">
        <v>2.605</v>
      </c>
      <c r="H12">
        <v>2.4239999999999999</v>
      </c>
      <c r="J12">
        <v>2.1819999999999999</v>
      </c>
      <c r="K12">
        <v>2.4470000000000001</v>
      </c>
      <c r="N12">
        <v>2.157</v>
      </c>
    </row>
    <row r="13" spans="2:14" x14ac:dyDescent="0.2">
      <c r="C13">
        <v>9</v>
      </c>
      <c r="D13" s="4">
        <v>2.7759999999999998</v>
      </c>
      <c r="E13">
        <v>2.7759999999999998</v>
      </c>
      <c r="H13">
        <v>2.597</v>
      </c>
      <c r="J13">
        <v>2.306</v>
      </c>
      <c r="K13">
        <v>2.5779999999999998</v>
      </c>
      <c r="N13">
        <v>2.2599999999999998</v>
      </c>
    </row>
    <row r="14" spans="2:14" x14ac:dyDescent="0.2">
      <c r="C14">
        <v>10</v>
      </c>
      <c r="D14" s="4">
        <v>2.9079999999999999</v>
      </c>
      <c r="E14">
        <v>2.9079999999999999</v>
      </c>
      <c r="H14">
        <v>2.7109999999999999</v>
      </c>
      <c r="J14">
        <v>2.41</v>
      </c>
      <c r="K14">
        <v>2.6720000000000002</v>
      </c>
      <c r="N14">
        <v>2.3580000000000001</v>
      </c>
    </row>
    <row r="15" spans="2:14" x14ac:dyDescent="0.2">
      <c r="C15" s="4">
        <v>11</v>
      </c>
      <c r="D15" s="4">
        <v>3.0125999999999999</v>
      </c>
      <c r="E15" s="3">
        <v>3.0125999999999999</v>
      </c>
      <c r="F15" s="3"/>
      <c r="G15" s="3"/>
      <c r="H15" s="3">
        <v>2.8148</v>
      </c>
      <c r="I15" s="3"/>
      <c r="J15" s="3">
        <v>2.4838</v>
      </c>
      <c r="K15" s="3">
        <v>2.7547999999999999</v>
      </c>
      <c r="M15" s="3"/>
      <c r="N15" s="3">
        <v>2.4132000000000002</v>
      </c>
    </row>
    <row r="16" spans="2:14" x14ac:dyDescent="0.2">
      <c r="C16" s="4">
        <v>12</v>
      </c>
      <c r="D16" s="4">
        <v>3.1172</v>
      </c>
      <c r="E16" s="3">
        <v>3.1172</v>
      </c>
      <c r="F16" s="3"/>
      <c r="G16" s="3"/>
      <c r="H16" s="3">
        <v>2.9186000000000001</v>
      </c>
      <c r="I16" s="3"/>
      <c r="J16" s="3">
        <v>2.5575999999999999</v>
      </c>
      <c r="K16" s="3">
        <v>2.8375999999999997</v>
      </c>
      <c r="M16" s="3"/>
      <c r="N16" s="3">
        <v>2.4684000000000004</v>
      </c>
    </row>
    <row r="17" spans="3:14" x14ac:dyDescent="0.2">
      <c r="C17" s="4">
        <v>13</v>
      </c>
      <c r="D17" s="4">
        <v>3.2218</v>
      </c>
      <c r="E17" s="3">
        <v>3.2218</v>
      </c>
      <c r="F17" s="3"/>
      <c r="G17" s="3"/>
      <c r="H17" s="3">
        <v>3.0224000000000002</v>
      </c>
      <c r="I17" s="3"/>
      <c r="J17" s="3">
        <v>2.6313999999999997</v>
      </c>
      <c r="K17" s="3">
        <v>2.9203999999999994</v>
      </c>
      <c r="M17" s="3"/>
      <c r="N17" s="3">
        <v>2.5236000000000005</v>
      </c>
    </row>
    <row r="18" spans="3:14" x14ac:dyDescent="0.2">
      <c r="C18" s="4">
        <v>14</v>
      </c>
      <c r="D18" s="4">
        <v>3.3264</v>
      </c>
      <c r="E18" s="3">
        <v>3.3264</v>
      </c>
      <c r="F18" s="3"/>
      <c r="G18" s="3"/>
      <c r="H18" s="3">
        <v>3.1262000000000003</v>
      </c>
      <c r="I18" s="3"/>
      <c r="J18" s="3">
        <v>2.7051999999999996</v>
      </c>
      <c r="K18" s="3">
        <v>3.0031999999999992</v>
      </c>
      <c r="M18" s="3"/>
      <c r="N18" s="3">
        <v>2.5788000000000006</v>
      </c>
    </row>
    <row r="19" spans="3:14" x14ac:dyDescent="0.2">
      <c r="C19">
        <v>15</v>
      </c>
      <c r="D19" s="4">
        <v>3.431</v>
      </c>
      <c r="E19">
        <v>3.431</v>
      </c>
      <c r="H19">
        <v>3.23</v>
      </c>
      <c r="J19">
        <v>2.7789999999999999</v>
      </c>
      <c r="K19">
        <v>3.0859999999999999</v>
      </c>
      <c r="N19">
        <v>2.6339999999999999</v>
      </c>
    </row>
    <row r="20" spans="3:14" x14ac:dyDescent="0.2">
      <c r="C20" s="4">
        <v>16</v>
      </c>
      <c r="D20" s="4">
        <v>3.4738000000000002</v>
      </c>
      <c r="E20" s="3">
        <v>3.4738000000000002</v>
      </c>
      <c r="F20" s="3"/>
      <c r="G20" s="3"/>
      <c r="H20" s="3">
        <v>3.2713999999999999</v>
      </c>
      <c r="I20" s="3"/>
      <c r="J20" s="3">
        <v>2.8148</v>
      </c>
      <c r="K20" s="3">
        <v>3.1160000000000001</v>
      </c>
      <c r="M20" s="3"/>
      <c r="N20" s="3">
        <v>2.6549999999999998</v>
      </c>
    </row>
    <row r="21" spans="3:14" x14ac:dyDescent="0.2">
      <c r="C21" s="4">
        <v>17</v>
      </c>
      <c r="D21" s="4">
        <v>3.5166000000000004</v>
      </c>
      <c r="E21" s="3">
        <v>3.5166000000000004</v>
      </c>
      <c r="F21" s="3"/>
      <c r="G21" s="3"/>
      <c r="H21" s="3">
        <v>3.3127999999999997</v>
      </c>
      <c r="I21" s="3"/>
      <c r="J21" s="3">
        <v>2.8506</v>
      </c>
      <c r="K21" s="3">
        <v>3.1460000000000004</v>
      </c>
      <c r="M21" s="3"/>
      <c r="N21" s="3">
        <v>2.6759999999999997</v>
      </c>
    </row>
    <row r="22" spans="3:14" x14ac:dyDescent="0.2">
      <c r="C22" s="4">
        <v>18</v>
      </c>
      <c r="D22" s="4">
        <v>3.5594000000000006</v>
      </c>
      <c r="E22" s="3">
        <v>3.5594000000000006</v>
      </c>
      <c r="F22" s="3"/>
      <c r="G22" s="3"/>
      <c r="H22" s="3">
        <v>3.3541999999999996</v>
      </c>
      <c r="I22" s="3"/>
      <c r="J22" s="3">
        <v>2.8864000000000001</v>
      </c>
      <c r="K22" s="3">
        <v>3.1760000000000006</v>
      </c>
      <c r="M22" s="3"/>
      <c r="N22" s="3">
        <v>2.6969999999999996</v>
      </c>
    </row>
    <row r="23" spans="3:14" x14ac:dyDescent="0.2">
      <c r="C23" s="4">
        <v>19</v>
      </c>
      <c r="D23" s="4">
        <v>3.6022000000000007</v>
      </c>
      <c r="E23" s="3">
        <v>3.6022000000000007</v>
      </c>
      <c r="F23" s="3"/>
      <c r="G23" s="3"/>
      <c r="H23" s="3">
        <v>3.3955999999999995</v>
      </c>
      <c r="I23" s="3"/>
      <c r="J23" s="3">
        <v>2.9222000000000001</v>
      </c>
      <c r="K23" s="3">
        <v>3.2060000000000008</v>
      </c>
      <c r="M23" s="3"/>
      <c r="N23" s="3">
        <v>2.7179999999999995</v>
      </c>
    </row>
    <row r="24" spans="3:14" x14ac:dyDescent="0.2">
      <c r="C24">
        <v>20</v>
      </c>
      <c r="D24" s="4">
        <v>3.645</v>
      </c>
      <c r="E24">
        <v>3.645</v>
      </c>
      <c r="H24">
        <v>3.4369999999999998</v>
      </c>
      <c r="J24">
        <v>2.9580000000000002</v>
      </c>
      <c r="K24">
        <v>3.2360000000000002</v>
      </c>
      <c r="N24">
        <v>2.7389999999999999</v>
      </c>
    </row>
    <row r="25" spans="3:14" x14ac:dyDescent="0.2">
      <c r="C25">
        <v>21</v>
      </c>
      <c r="D25" s="4">
        <v>3.6602000000000001</v>
      </c>
      <c r="E25" s="3">
        <v>3.6602000000000001</v>
      </c>
      <c r="H25" s="3">
        <v>3.4499999999999997</v>
      </c>
      <c r="J25" s="3">
        <v>2.9748000000000001</v>
      </c>
      <c r="K25" s="3">
        <v>3.2499000000000002</v>
      </c>
      <c r="N25" s="3">
        <v>2.7542999999999997</v>
      </c>
    </row>
    <row r="26" spans="3:14" x14ac:dyDescent="0.2">
      <c r="C26">
        <v>22</v>
      </c>
      <c r="D26" s="4">
        <v>3.6754000000000002</v>
      </c>
      <c r="E26" s="3">
        <v>3.6754000000000002</v>
      </c>
      <c r="H26" s="3">
        <v>3.4629999999999996</v>
      </c>
      <c r="J26" s="3">
        <v>2.9916</v>
      </c>
      <c r="K26" s="3">
        <v>3.2638000000000003</v>
      </c>
      <c r="N26" s="3">
        <v>2.7695999999999996</v>
      </c>
    </row>
    <row r="27" spans="3:14" x14ac:dyDescent="0.2">
      <c r="C27">
        <v>23</v>
      </c>
      <c r="D27" s="4">
        <v>3.6906000000000003</v>
      </c>
      <c r="E27" s="3">
        <v>3.6906000000000003</v>
      </c>
      <c r="H27" s="3">
        <v>3.4759999999999995</v>
      </c>
      <c r="J27" s="3">
        <v>3.0084</v>
      </c>
      <c r="K27" s="3">
        <v>3.2777000000000003</v>
      </c>
      <c r="N27" s="3">
        <v>2.7848999999999995</v>
      </c>
    </row>
    <row r="28" spans="3:14" x14ac:dyDescent="0.2">
      <c r="C28">
        <v>24</v>
      </c>
      <c r="D28" s="4">
        <v>3.7058000000000004</v>
      </c>
      <c r="E28" s="3">
        <v>3.7058000000000004</v>
      </c>
      <c r="H28" s="3">
        <v>3.4889999999999994</v>
      </c>
      <c r="J28" s="3">
        <v>3.0251999999999999</v>
      </c>
      <c r="K28" s="3">
        <v>3.2916000000000003</v>
      </c>
      <c r="N28" s="3">
        <v>2.8001999999999994</v>
      </c>
    </row>
    <row r="29" spans="3:14" x14ac:dyDescent="0.2">
      <c r="C29">
        <v>25</v>
      </c>
      <c r="D29" s="4">
        <v>3.7210000000000005</v>
      </c>
      <c r="E29" s="3">
        <v>3.7210000000000005</v>
      </c>
      <c r="H29" s="3">
        <v>3.5019999999999993</v>
      </c>
      <c r="J29" s="3">
        <v>3.0419999999999998</v>
      </c>
      <c r="K29" s="3">
        <v>3.3055000000000003</v>
      </c>
      <c r="N29" s="3">
        <v>2.8154999999999992</v>
      </c>
    </row>
    <row r="30" spans="3:14" x14ac:dyDescent="0.2">
      <c r="C30">
        <v>26</v>
      </c>
      <c r="D30" s="4">
        <v>3.7362000000000006</v>
      </c>
      <c r="E30" s="3">
        <v>3.7362000000000006</v>
      </c>
      <c r="H30" s="3">
        <v>3.5149999999999992</v>
      </c>
      <c r="J30" s="3">
        <v>3.0587999999999997</v>
      </c>
      <c r="K30" s="3">
        <v>3.3194000000000004</v>
      </c>
      <c r="N30" s="3">
        <v>2.8307999999999991</v>
      </c>
    </row>
    <row r="31" spans="3:14" x14ac:dyDescent="0.2">
      <c r="C31">
        <v>27</v>
      </c>
      <c r="D31" s="4">
        <v>3.7514000000000007</v>
      </c>
      <c r="E31" s="3">
        <v>3.7514000000000007</v>
      </c>
      <c r="H31" s="3">
        <v>3.5279999999999991</v>
      </c>
      <c r="J31" s="3">
        <v>3.0755999999999997</v>
      </c>
      <c r="K31" s="3">
        <v>3.3333000000000004</v>
      </c>
      <c r="N31" s="3">
        <v>2.846099999999999</v>
      </c>
    </row>
    <row r="32" spans="3:14" x14ac:dyDescent="0.2">
      <c r="C32">
        <v>28</v>
      </c>
      <c r="D32" s="4">
        <v>3.7666000000000008</v>
      </c>
      <c r="E32" s="3">
        <v>3.7666000000000008</v>
      </c>
      <c r="H32" s="3">
        <v>3.540999999999999</v>
      </c>
      <c r="J32" s="3">
        <v>3.0923999999999996</v>
      </c>
      <c r="K32" s="3">
        <v>3.3472000000000004</v>
      </c>
      <c r="N32" s="3">
        <v>2.8613999999999988</v>
      </c>
    </row>
    <row r="33" spans="1:14" x14ac:dyDescent="0.2">
      <c r="C33">
        <v>29</v>
      </c>
      <c r="D33" s="4">
        <v>3.7818000000000009</v>
      </c>
      <c r="E33" s="3">
        <v>3.7818000000000009</v>
      </c>
      <c r="H33" s="3">
        <v>3.5539999999999989</v>
      </c>
      <c r="J33" s="3">
        <v>3.1091999999999995</v>
      </c>
      <c r="K33" s="3">
        <v>3.3611000000000004</v>
      </c>
      <c r="N33" s="3">
        <v>2.8766999999999987</v>
      </c>
    </row>
    <row r="34" spans="1:14" x14ac:dyDescent="0.2">
      <c r="C34">
        <v>30</v>
      </c>
      <c r="D34" s="4">
        <v>3.7970000000000002</v>
      </c>
      <c r="E34">
        <v>3.7970000000000002</v>
      </c>
      <c r="H34">
        <v>3.5670000000000002</v>
      </c>
      <c r="J34">
        <v>3.1259999999999999</v>
      </c>
      <c r="K34">
        <v>3.375</v>
      </c>
      <c r="N34">
        <v>2.8919999999999999</v>
      </c>
    </row>
    <row r="36" spans="1:14" x14ac:dyDescent="0.2">
      <c r="A36" s="1"/>
      <c r="B36">
        <v>2015</v>
      </c>
    </row>
    <row r="37" spans="1:14" x14ac:dyDescent="0.2">
      <c r="A37" s="1"/>
      <c r="E37" t="s">
        <v>130</v>
      </c>
      <c r="H37" t="s">
        <v>131</v>
      </c>
      <c r="J37" t="s">
        <v>132</v>
      </c>
      <c r="K37" t="s">
        <v>133</v>
      </c>
      <c r="N37" t="s">
        <v>134</v>
      </c>
    </row>
    <row r="38" spans="1:14" x14ac:dyDescent="0.2">
      <c r="A38" s="1"/>
    </row>
    <row r="39" spans="1:14" x14ac:dyDescent="0.2">
      <c r="A39" s="1"/>
    </row>
    <row r="40" spans="1:14" x14ac:dyDescent="0.2">
      <c r="A40" s="1"/>
      <c r="C40">
        <v>1</v>
      </c>
      <c r="D40" s="2">
        <v>0.16200000000000001</v>
      </c>
      <c r="E40">
        <v>0.24</v>
      </c>
      <c r="F40">
        <v>0.19400000000000001</v>
      </c>
      <c r="H40">
        <v>0.25900000000000001</v>
      </c>
      <c r="J40">
        <v>0.45400000000000001</v>
      </c>
      <c r="K40">
        <v>0.25700000000000001</v>
      </c>
      <c r="N40">
        <v>0.82299999999999995</v>
      </c>
    </row>
    <row r="41" spans="1:14" x14ac:dyDescent="0.2">
      <c r="A41" s="1"/>
      <c r="C41">
        <v>2</v>
      </c>
      <c r="D41" s="2">
        <v>0.52</v>
      </c>
      <c r="E41">
        <v>0.54</v>
      </c>
      <c r="F41">
        <v>0.56999999999999995</v>
      </c>
      <c r="H41">
        <v>0.57999999999999996</v>
      </c>
      <c r="J41">
        <v>0.63500000000000001</v>
      </c>
      <c r="K41">
        <v>0.499</v>
      </c>
      <c r="N41">
        <v>1.0620000000000001</v>
      </c>
    </row>
    <row r="42" spans="1:14" x14ac:dyDescent="0.2">
      <c r="A42" s="1"/>
      <c r="C42">
        <v>3</v>
      </c>
      <c r="D42" s="2">
        <v>0.96799999999999997</v>
      </c>
      <c r="E42">
        <v>0.89900000000000002</v>
      </c>
      <c r="F42">
        <v>0.872</v>
      </c>
      <c r="H42">
        <v>1.0149999999999999</v>
      </c>
      <c r="J42">
        <v>1.012</v>
      </c>
      <c r="K42">
        <v>0.83299999999999996</v>
      </c>
      <c r="N42">
        <v>1.325</v>
      </c>
    </row>
    <row r="43" spans="1:14" x14ac:dyDescent="0.2">
      <c r="A43" s="1"/>
      <c r="C43">
        <v>4</v>
      </c>
      <c r="D43" s="2">
        <v>1.302</v>
      </c>
      <c r="E43">
        <v>1.133</v>
      </c>
      <c r="F43">
        <v>1.165</v>
      </c>
      <c r="H43">
        <v>1.3859999999999999</v>
      </c>
      <c r="J43">
        <v>1.355</v>
      </c>
      <c r="K43">
        <v>1.137</v>
      </c>
      <c r="N43">
        <v>1.6439999999999999</v>
      </c>
    </row>
    <row r="44" spans="1:14" x14ac:dyDescent="0.2">
      <c r="A44" s="1"/>
      <c r="C44">
        <v>5</v>
      </c>
      <c r="D44" s="2">
        <v>1.554</v>
      </c>
      <c r="E44">
        <v>1.421</v>
      </c>
      <c r="F44">
        <v>1.476</v>
      </c>
      <c r="H44">
        <v>1.7749999999999999</v>
      </c>
      <c r="J44">
        <v>1.67</v>
      </c>
      <c r="K44">
        <v>1.4319999999999999</v>
      </c>
      <c r="N44">
        <v>1.827</v>
      </c>
    </row>
    <row r="45" spans="1:14" x14ac:dyDescent="0.2">
      <c r="A45" s="1"/>
      <c r="C45">
        <v>6</v>
      </c>
      <c r="D45" s="2">
        <v>1.7370000000000001</v>
      </c>
      <c r="E45">
        <v>1.6319999999999999</v>
      </c>
      <c r="F45">
        <v>1.7010000000000001</v>
      </c>
      <c r="H45">
        <v>2.02</v>
      </c>
      <c r="J45">
        <v>1.883</v>
      </c>
      <c r="K45">
        <v>1.6459999999999999</v>
      </c>
      <c r="N45">
        <v>2.081</v>
      </c>
    </row>
    <row r="46" spans="1:14" x14ac:dyDescent="0.2">
      <c r="A46" s="1"/>
      <c r="C46">
        <v>7</v>
      </c>
      <c r="D46" s="2">
        <v>1.895</v>
      </c>
      <c r="E46">
        <v>1.806</v>
      </c>
      <c r="F46">
        <v>1.891</v>
      </c>
      <c r="H46">
        <v>2.1920000000000002</v>
      </c>
      <c r="J46">
        <v>2.052</v>
      </c>
      <c r="K46">
        <v>1.8240000000000001</v>
      </c>
      <c r="N46">
        <v>2.2210000000000001</v>
      </c>
    </row>
    <row r="47" spans="1:14" x14ac:dyDescent="0.2">
      <c r="A47" s="1"/>
      <c r="C47">
        <v>8</v>
      </c>
      <c r="D47" s="2">
        <v>1.95</v>
      </c>
      <c r="E47">
        <v>1.879</v>
      </c>
      <c r="F47">
        <v>1.9750000000000001</v>
      </c>
      <c r="H47">
        <v>2.3290000000000002</v>
      </c>
      <c r="J47">
        <v>2.1819999999999999</v>
      </c>
      <c r="K47">
        <v>1.9610000000000001</v>
      </c>
      <c r="N47">
        <v>2.3199999999999998</v>
      </c>
    </row>
    <row r="48" spans="1:14" x14ac:dyDescent="0.2">
      <c r="A48" s="1"/>
      <c r="C48">
        <v>9</v>
      </c>
      <c r="D48" s="2">
        <v>2.08</v>
      </c>
      <c r="E48">
        <v>2.0190000000000001</v>
      </c>
      <c r="F48">
        <v>21050</v>
      </c>
      <c r="H48">
        <v>2.4550000000000001</v>
      </c>
      <c r="J48">
        <v>2.306</v>
      </c>
      <c r="K48">
        <v>2.09</v>
      </c>
      <c r="N48">
        <v>2.407</v>
      </c>
    </row>
    <row r="49" spans="1:14" x14ac:dyDescent="0.2">
      <c r="A49" s="1"/>
      <c r="C49">
        <v>10</v>
      </c>
      <c r="D49" s="2">
        <v>2.165</v>
      </c>
      <c r="E49">
        <v>2.0699999999999998</v>
      </c>
      <c r="F49">
        <v>2.1930000000000001</v>
      </c>
      <c r="H49">
        <v>2.5470000000000002</v>
      </c>
      <c r="J49">
        <v>2.41</v>
      </c>
      <c r="K49">
        <v>2.2109999999999999</v>
      </c>
      <c r="N49">
        <v>2.4830000000000001</v>
      </c>
    </row>
    <row r="50" spans="1:14" x14ac:dyDescent="0.2">
      <c r="A50" s="1"/>
      <c r="C50">
        <v>11</v>
      </c>
      <c r="D50" s="3">
        <v>2.2265999999999999</v>
      </c>
      <c r="E50" s="3">
        <v>2.1406000000000001</v>
      </c>
      <c r="F50" s="3">
        <v>2.2696000000000001</v>
      </c>
      <c r="G50" s="3"/>
      <c r="H50" s="3">
        <v>2.6257999999999999</v>
      </c>
      <c r="I50" s="3"/>
      <c r="J50" s="3">
        <v>2.4838</v>
      </c>
      <c r="K50" s="3">
        <v>2.2824</v>
      </c>
      <c r="L50" s="3"/>
      <c r="M50" s="3"/>
      <c r="N50" s="3">
        <v>2.5495999999999999</v>
      </c>
    </row>
    <row r="51" spans="1:14" x14ac:dyDescent="0.2">
      <c r="A51" s="1"/>
      <c r="C51">
        <v>12</v>
      </c>
      <c r="D51" s="3">
        <v>2.2881999999999998</v>
      </c>
      <c r="E51" s="3">
        <v>2.2112000000000003</v>
      </c>
      <c r="F51" s="3">
        <v>2.3462000000000001</v>
      </c>
      <c r="G51" s="3"/>
      <c r="H51" s="3">
        <v>2.7045999999999997</v>
      </c>
      <c r="I51" s="3"/>
      <c r="J51" s="3">
        <v>2.5575999999999999</v>
      </c>
      <c r="K51" s="3">
        <v>2.3538000000000001</v>
      </c>
      <c r="M51" s="3"/>
      <c r="N51" s="3">
        <v>2.6161999999999996</v>
      </c>
    </row>
    <row r="52" spans="1:14" x14ac:dyDescent="0.2">
      <c r="A52" s="1"/>
      <c r="C52">
        <v>13</v>
      </c>
      <c r="D52" s="3">
        <v>2.3497999999999997</v>
      </c>
      <c r="E52" s="3">
        <v>2.2818000000000005</v>
      </c>
      <c r="F52" s="3">
        <v>2.4228000000000001</v>
      </c>
      <c r="G52" s="3"/>
      <c r="H52" s="3">
        <v>2.7833999999999994</v>
      </c>
      <c r="I52" s="3"/>
      <c r="J52" s="3">
        <v>2.6313999999999997</v>
      </c>
      <c r="K52" s="3">
        <v>2.4252000000000002</v>
      </c>
      <c r="M52" s="3"/>
      <c r="N52" s="3">
        <v>2.6827999999999994</v>
      </c>
    </row>
    <row r="53" spans="1:14" x14ac:dyDescent="0.2">
      <c r="A53" s="1"/>
      <c r="C53">
        <v>14</v>
      </c>
      <c r="D53" s="3">
        <v>2.4113999999999995</v>
      </c>
      <c r="E53" s="3">
        <v>2.3524000000000007</v>
      </c>
      <c r="F53" s="3">
        <v>2.4994000000000001</v>
      </c>
      <c r="G53" s="3"/>
      <c r="H53" s="3">
        <v>2.8621999999999992</v>
      </c>
      <c r="I53" s="3"/>
      <c r="J53" s="3">
        <v>2.7051999999999996</v>
      </c>
      <c r="K53" s="3">
        <v>2.4966000000000004</v>
      </c>
      <c r="M53" s="3"/>
      <c r="N53" s="3">
        <v>2.7493999999999992</v>
      </c>
    </row>
    <row r="54" spans="1:14" x14ac:dyDescent="0.2">
      <c r="A54" s="1"/>
      <c r="C54">
        <v>15</v>
      </c>
      <c r="D54" s="2">
        <v>2.4729999999999999</v>
      </c>
      <c r="E54">
        <v>2.423</v>
      </c>
      <c r="F54">
        <v>2.5760000000000001</v>
      </c>
      <c r="H54">
        <v>2.9409999999999998</v>
      </c>
      <c r="J54">
        <v>2.7789999999999999</v>
      </c>
      <c r="K54">
        <v>2.5680000000000001</v>
      </c>
      <c r="N54">
        <v>2.8159999999999998</v>
      </c>
    </row>
    <row r="55" spans="1:14" x14ac:dyDescent="0.2">
      <c r="A55" s="1"/>
      <c r="C55">
        <v>16</v>
      </c>
      <c r="D55" s="3">
        <v>2.5057999999999998</v>
      </c>
      <c r="E55" s="3">
        <v>2.4498000000000002</v>
      </c>
      <c r="F55" s="3">
        <v>2.6150000000000002</v>
      </c>
      <c r="G55" s="3"/>
      <c r="H55" s="3">
        <v>2.988</v>
      </c>
      <c r="I55" s="3"/>
      <c r="J55" s="3">
        <v>2.8148</v>
      </c>
      <c r="K55" s="3">
        <v>2.6181999999999999</v>
      </c>
      <c r="L55" s="3"/>
      <c r="M55" s="3"/>
      <c r="N55" s="3">
        <v>2.8592</v>
      </c>
    </row>
    <row r="56" spans="1:14" x14ac:dyDescent="0.2">
      <c r="A56" s="1"/>
      <c r="C56">
        <v>17</v>
      </c>
      <c r="D56" s="3">
        <v>2.5385999999999997</v>
      </c>
      <c r="E56" s="3">
        <v>2.4766000000000004</v>
      </c>
      <c r="F56" s="3">
        <v>2.6540000000000004</v>
      </c>
      <c r="G56" s="3"/>
      <c r="H56" s="3">
        <v>3.0350000000000001</v>
      </c>
      <c r="I56" s="3"/>
      <c r="J56" s="3">
        <v>2.8506</v>
      </c>
      <c r="K56" s="3">
        <v>2.6683999999999997</v>
      </c>
      <c r="M56" s="3"/>
      <c r="N56" s="3">
        <v>2.9024000000000001</v>
      </c>
    </row>
    <row r="57" spans="1:14" x14ac:dyDescent="0.2">
      <c r="A57" s="1"/>
      <c r="C57">
        <v>18</v>
      </c>
      <c r="D57" s="3">
        <v>2.5713999999999997</v>
      </c>
      <c r="E57" s="3">
        <v>2.5034000000000005</v>
      </c>
      <c r="F57" s="3">
        <v>2.6930000000000005</v>
      </c>
      <c r="G57" s="3"/>
      <c r="H57" s="3">
        <v>3.0820000000000003</v>
      </c>
      <c r="I57" s="3"/>
      <c r="J57" s="3">
        <v>2.8864000000000001</v>
      </c>
      <c r="K57" s="3">
        <v>2.7185999999999995</v>
      </c>
      <c r="M57" s="3"/>
      <c r="N57" s="3">
        <v>2.9456000000000002</v>
      </c>
    </row>
    <row r="58" spans="1:14" x14ac:dyDescent="0.2">
      <c r="A58" s="1"/>
      <c r="C58">
        <v>19</v>
      </c>
      <c r="D58" s="3">
        <v>2.6041999999999996</v>
      </c>
      <c r="E58" s="3">
        <v>2.5302000000000007</v>
      </c>
      <c r="F58" s="3">
        <v>2.7320000000000007</v>
      </c>
      <c r="G58" s="3"/>
      <c r="H58" s="3">
        <v>3.1290000000000004</v>
      </c>
      <c r="I58" s="3"/>
      <c r="J58" s="3">
        <v>2.9222000000000001</v>
      </c>
      <c r="K58" s="3">
        <v>2.7687999999999993</v>
      </c>
      <c r="M58" s="3"/>
      <c r="N58" s="3">
        <v>2.9888000000000003</v>
      </c>
    </row>
    <row r="59" spans="1:14" x14ac:dyDescent="0.2">
      <c r="A59" s="1"/>
      <c r="C59">
        <v>20</v>
      </c>
      <c r="D59" s="2">
        <v>2.637</v>
      </c>
      <c r="E59">
        <v>2.5569999999999999</v>
      </c>
      <c r="F59">
        <v>2.7709999999999999</v>
      </c>
      <c r="H59">
        <v>3.1760000000000002</v>
      </c>
      <c r="J59">
        <v>2.9580000000000002</v>
      </c>
      <c r="K59">
        <v>2.819</v>
      </c>
      <c r="N59">
        <v>3.032</v>
      </c>
    </row>
    <row r="60" spans="1:14" x14ac:dyDescent="0.2">
      <c r="A60" s="1"/>
      <c r="C60">
        <v>21</v>
      </c>
      <c r="D60" s="3">
        <v>2.6442999999999999</v>
      </c>
      <c r="E60" s="3">
        <v>2.5644</v>
      </c>
      <c r="F60" s="3">
        <v>2.7793000000000001</v>
      </c>
      <c r="G60" s="3"/>
      <c r="H60" s="3">
        <v>3.1853000000000002</v>
      </c>
      <c r="I60" s="3"/>
      <c r="J60" s="3">
        <v>2.9748000000000001</v>
      </c>
      <c r="K60" s="3">
        <v>2.8411</v>
      </c>
      <c r="L60" s="3"/>
      <c r="M60" s="3"/>
      <c r="N60" s="3">
        <v>3.0442999999999998</v>
      </c>
    </row>
    <row r="61" spans="1:14" x14ac:dyDescent="0.2">
      <c r="A61" s="1"/>
      <c r="C61">
        <v>22</v>
      </c>
      <c r="D61" s="3">
        <v>2.6515999999999997</v>
      </c>
      <c r="E61" s="3">
        <v>2.5718000000000001</v>
      </c>
      <c r="F61" s="3">
        <v>2.7876000000000003</v>
      </c>
      <c r="H61" s="3">
        <v>3.1946000000000003</v>
      </c>
      <c r="J61" s="3">
        <v>2.9916</v>
      </c>
      <c r="K61" s="3">
        <v>2.8632</v>
      </c>
      <c r="N61" s="3">
        <v>3.0565999999999995</v>
      </c>
    </row>
    <row r="62" spans="1:14" x14ac:dyDescent="0.2">
      <c r="A62" s="1"/>
      <c r="C62">
        <v>23</v>
      </c>
      <c r="D62" s="3">
        <v>2.6588999999999996</v>
      </c>
      <c r="E62" s="3">
        <v>2.5792000000000002</v>
      </c>
      <c r="F62" s="3">
        <v>2.7959000000000005</v>
      </c>
      <c r="H62" s="3">
        <v>3.2039000000000004</v>
      </c>
      <c r="J62" s="3">
        <v>3.0084</v>
      </c>
      <c r="K62" s="3">
        <v>2.8853</v>
      </c>
      <c r="N62" s="3">
        <v>3.0688999999999993</v>
      </c>
    </row>
    <row r="63" spans="1:14" x14ac:dyDescent="0.2">
      <c r="A63" s="1"/>
      <c r="C63">
        <v>24</v>
      </c>
      <c r="D63" s="3">
        <v>2.6661999999999995</v>
      </c>
      <c r="E63" s="3">
        <v>2.5866000000000002</v>
      </c>
      <c r="F63" s="3">
        <v>2.8042000000000007</v>
      </c>
      <c r="H63" s="3">
        <v>3.2132000000000005</v>
      </c>
      <c r="J63" s="3">
        <v>3.0251999999999999</v>
      </c>
      <c r="K63" s="3">
        <v>2.9074</v>
      </c>
      <c r="N63" s="3">
        <v>3.0811999999999991</v>
      </c>
    </row>
    <row r="64" spans="1:14" x14ac:dyDescent="0.2">
      <c r="A64" s="1"/>
      <c r="C64">
        <v>25</v>
      </c>
      <c r="D64" s="3">
        <v>2.6734999999999993</v>
      </c>
      <c r="E64" s="3">
        <v>2.5940000000000003</v>
      </c>
      <c r="F64" s="3">
        <v>2.8125000000000009</v>
      </c>
      <c r="H64" s="3">
        <v>3.2225000000000006</v>
      </c>
      <c r="J64" s="3">
        <v>3.0419999999999998</v>
      </c>
      <c r="K64" s="3">
        <v>2.9295</v>
      </c>
      <c r="N64" s="3">
        <v>3.0934999999999988</v>
      </c>
    </row>
    <row r="65" spans="1:14" x14ac:dyDescent="0.2">
      <c r="A65" s="1"/>
      <c r="C65">
        <v>26</v>
      </c>
      <c r="D65" s="3">
        <v>2.6807999999999992</v>
      </c>
      <c r="E65" s="3">
        <v>2.6014000000000004</v>
      </c>
      <c r="F65" s="3">
        <v>2.8208000000000011</v>
      </c>
      <c r="H65" s="3">
        <v>3.2318000000000007</v>
      </c>
      <c r="J65" s="3">
        <v>3.0587999999999997</v>
      </c>
      <c r="K65" s="3">
        <v>2.9516</v>
      </c>
      <c r="N65" s="3">
        <v>3.1057999999999986</v>
      </c>
    </row>
    <row r="66" spans="1:14" x14ac:dyDescent="0.2">
      <c r="A66" s="1"/>
      <c r="C66">
        <v>27</v>
      </c>
      <c r="D66" s="3">
        <v>2.688099999999999</v>
      </c>
      <c r="E66" s="3">
        <v>2.6088000000000005</v>
      </c>
      <c r="F66" s="3">
        <v>2.8291000000000013</v>
      </c>
      <c r="H66" s="3">
        <v>3.2411000000000008</v>
      </c>
      <c r="J66" s="3">
        <v>3.0755999999999997</v>
      </c>
      <c r="K66" s="3">
        <v>2.9737</v>
      </c>
      <c r="N66" s="3">
        <v>3.1180999999999983</v>
      </c>
    </row>
    <row r="67" spans="1:14" x14ac:dyDescent="0.2">
      <c r="A67" s="1"/>
      <c r="C67">
        <v>28</v>
      </c>
      <c r="D67" s="3">
        <v>2.6953999999999989</v>
      </c>
      <c r="E67" s="3">
        <v>2.6162000000000005</v>
      </c>
      <c r="F67" s="3">
        <v>2.8374000000000015</v>
      </c>
      <c r="H67" s="3">
        <v>3.2504000000000008</v>
      </c>
      <c r="J67" s="3">
        <v>3.0923999999999996</v>
      </c>
      <c r="K67" s="3">
        <v>2.9958</v>
      </c>
      <c r="N67" s="3">
        <v>3.1303999999999981</v>
      </c>
    </row>
    <row r="68" spans="1:14" x14ac:dyDescent="0.2">
      <c r="A68" s="1"/>
      <c r="C68">
        <v>29</v>
      </c>
      <c r="D68" s="3">
        <v>2.7026999999999988</v>
      </c>
      <c r="E68" s="3">
        <v>2.6236000000000006</v>
      </c>
      <c r="F68" s="3">
        <v>2.8457000000000017</v>
      </c>
      <c r="H68" s="3">
        <v>3.2597000000000009</v>
      </c>
      <c r="J68" s="3">
        <v>3.1091999999999995</v>
      </c>
      <c r="K68" s="3">
        <v>3.0179</v>
      </c>
      <c r="N68" s="3">
        <v>3.1426999999999978</v>
      </c>
    </row>
    <row r="69" spans="1:14" x14ac:dyDescent="0.2">
      <c r="A69" s="1"/>
      <c r="C69">
        <v>30</v>
      </c>
      <c r="D69" s="2">
        <v>2.71</v>
      </c>
      <c r="E69">
        <v>2.6309999999999998</v>
      </c>
      <c r="F69">
        <v>2.8540000000000001</v>
      </c>
      <c r="H69">
        <v>3.2690000000000001</v>
      </c>
      <c r="J69">
        <v>3.1259999999999999</v>
      </c>
      <c r="K69">
        <v>3.04</v>
      </c>
      <c r="N69">
        <v>3.1549999999999998</v>
      </c>
    </row>
    <row r="70" spans="1:14" x14ac:dyDescent="0.2">
      <c r="A70" s="1"/>
    </row>
    <row r="71" spans="1:14" x14ac:dyDescent="0.2">
      <c r="A71" s="1"/>
      <c r="B71">
        <v>2016</v>
      </c>
    </row>
    <row r="72" spans="1:14" x14ac:dyDescent="0.2">
      <c r="A72" s="1"/>
      <c r="E72" t="s">
        <v>130</v>
      </c>
      <c r="H72" t="s">
        <v>131</v>
      </c>
      <c r="J72" t="s">
        <v>132</v>
      </c>
      <c r="K72" t="s">
        <v>133</v>
      </c>
      <c r="N72" t="s">
        <v>134</v>
      </c>
    </row>
    <row r="73" spans="1:14" x14ac:dyDescent="0.2">
      <c r="A73" s="1"/>
    </row>
    <row r="74" spans="1:14" x14ac:dyDescent="0.2">
      <c r="A74" s="1"/>
    </row>
    <row r="75" spans="1:14" x14ac:dyDescent="0.2">
      <c r="A75" s="1"/>
      <c r="C75">
        <v>1</v>
      </c>
      <c r="D75">
        <v>0.7</v>
      </c>
      <c r="E75">
        <v>0.625</v>
      </c>
      <c r="F75">
        <v>0.54600000000000004</v>
      </c>
      <c r="H75">
        <v>0.54100000000000004</v>
      </c>
      <c r="J75">
        <v>0.65300000000000002</v>
      </c>
      <c r="K75">
        <v>0.74199999999999999</v>
      </c>
      <c r="N75">
        <v>0.91500000000000004</v>
      </c>
    </row>
    <row r="76" spans="1:14" x14ac:dyDescent="0.2">
      <c r="A76" s="1"/>
      <c r="C76">
        <v>2</v>
      </c>
      <c r="D76">
        <v>0.85199999999999998</v>
      </c>
      <c r="E76">
        <v>0.72799999999999998</v>
      </c>
      <c r="F76">
        <v>0.80600000000000005</v>
      </c>
      <c r="H76">
        <v>0.58299999999999996</v>
      </c>
      <c r="J76">
        <v>0.82</v>
      </c>
      <c r="K76">
        <v>0.77500000000000002</v>
      </c>
      <c r="N76">
        <v>1.1879999999999999</v>
      </c>
    </row>
    <row r="77" spans="1:14" x14ac:dyDescent="0.2">
      <c r="A77" s="1"/>
      <c r="C77">
        <v>3</v>
      </c>
      <c r="D77">
        <v>0.95699999999999996</v>
      </c>
      <c r="E77">
        <v>0.86</v>
      </c>
      <c r="F77">
        <v>0.98399999999999999</v>
      </c>
      <c r="H77">
        <v>0.78300000000000003</v>
      </c>
      <c r="J77">
        <v>0.98699999999999999</v>
      </c>
      <c r="K77">
        <v>0.999</v>
      </c>
      <c r="N77">
        <v>1.5009999999999999</v>
      </c>
    </row>
    <row r="78" spans="1:14" x14ac:dyDescent="0.2">
      <c r="A78" s="1"/>
      <c r="C78">
        <v>4</v>
      </c>
      <c r="D78">
        <v>1.228</v>
      </c>
      <c r="E78">
        <v>1.097</v>
      </c>
      <c r="F78">
        <v>1.23</v>
      </c>
      <c r="H78">
        <v>0.92500000000000004</v>
      </c>
      <c r="J78">
        <v>1.121</v>
      </c>
      <c r="K78">
        <v>1.1020000000000001</v>
      </c>
      <c r="N78">
        <v>1.778</v>
      </c>
    </row>
    <row r="79" spans="1:14" x14ac:dyDescent="0.2">
      <c r="A79" s="1"/>
      <c r="C79">
        <v>5</v>
      </c>
      <c r="D79">
        <v>1.407</v>
      </c>
      <c r="E79">
        <v>1.3420000000000001</v>
      </c>
      <c r="F79">
        <v>1.3859999999999999</v>
      </c>
      <c r="H79">
        <v>1.0920000000000001</v>
      </c>
      <c r="J79">
        <v>1.3068</v>
      </c>
      <c r="K79">
        <v>1.262</v>
      </c>
      <c r="N79">
        <v>2.0409999999999999</v>
      </c>
    </row>
    <row r="80" spans="1:14" x14ac:dyDescent="0.2">
      <c r="A80" s="1"/>
      <c r="C80">
        <v>6</v>
      </c>
      <c r="D80">
        <v>1.556</v>
      </c>
      <c r="E80">
        <v>1.512</v>
      </c>
      <c r="F80">
        <v>1.5720000000000001</v>
      </c>
      <c r="H80">
        <v>1.2390000000000001</v>
      </c>
      <c r="J80">
        <v>1.401</v>
      </c>
      <c r="K80">
        <v>1.3979999999999999</v>
      </c>
      <c r="N80">
        <v>2.2170000000000001</v>
      </c>
    </row>
    <row r="81" spans="1:14" x14ac:dyDescent="0.2">
      <c r="A81" s="1"/>
      <c r="C81">
        <v>7</v>
      </c>
      <c r="D81">
        <v>1.6739999999999999</v>
      </c>
      <c r="E81">
        <v>1.65</v>
      </c>
      <c r="F81">
        <v>1.726</v>
      </c>
      <c r="H81">
        <v>1.3640000000000001</v>
      </c>
      <c r="J81">
        <v>1.516</v>
      </c>
      <c r="K81">
        <v>1.514</v>
      </c>
      <c r="N81">
        <v>2.35</v>
      </c>
    </row>
    <row r="82" spans="1:14" x14ac:dyDescent="0.2">
      <c r="A82" s="1"/>
      <c r="C82">
        <v>8</v>
      </c>
      <c r="D82">
        <v>1.7549999999999999</v>
      </c>
      <c r="E82">
        <v>1.75</v>
      </c>
      <c r="F82">
        <v>1.8169999999999999</v>
      </c>
      <c r="H82">
        <v>1.458</v>
      </c>
      <c r="J82">
        <v>1.5880000000000001</v>
      </c>
      <c r="K82">
        <v>1.591</v>
      </c>
      <c r="N82">
        <v>2.4710000000000001</v>
      </c>
    </row>
    <row r="83" spans="1:14" x14ac:dyDescent="0.2">
      <c r="A83" s="1"/>
      <c r="C83">
        <v>9</v>
      </c>
      <c r="D83">
        <v>1.913</v>
      </c>
      <c r="E83">
        <v>1875</v>
      </c>
      <c r="F83">
        <v>1.923</v>
      </c>
      <c r="H83">
        <v>1.57</v>
      </c>
      <c r="J83">
        <v>1.65</v>
      </c>
      <c r="K83">
        <v>1.7</v>
      </c>
      <c r="N83">
        <v>2.5920000000000001</v>
      </c>
    </row>
    <row r="84" spans="1:14" x14ac:dyDescent="0.2">
      <c r="A84" s="1"/>
      <c r="C84">
        <v>10</v>
      </c>
      <c r="D84">
        <v>1.98</v>
      </c>
      <c r="E84">
        <v>1.9630000000000001</v>
      </c>
      <c r="F84">
        <v>2.008</v>
      </c>
      <c r="H84">
        <v>1.635</v>
      </c>
      <c r="J84">
        <v>1.7190000000000001</v>
      </c>
      <c r="K84">
        <v>1.7729999999999999</v>
      </c>
      <c r="N84">
        <v>2.6779999999999999</v>
      </c>
    </row>
    <row r="85" spans="1:14" x14ac:dyDescent="0.2">
      <c r="A85" s="1"/>
      <c r="C85">
        <v>11</v>
      </c>
      <c r="D85" s="4">
        <v>2.0499999999999998</v>
      </c>
      <c r="E85" s="4">
        <v>2.0234000000000001</v>
      </c>
      <c r="F85" s="4">
        <v>2.0754000000000001</v>
      </c>
      <c r="H85" s="4">
        <v>1.6948000000000001</v>
      </c>
      <c r="J85" s="4">
        <v>1.7736000000000001</v>
      </c>
      <c r="K85" s="4">
        <v>1.8243999999999998</v>
      </c>
      <c r="N85" s="4">
        <v>2.7241999999999997</v>
      </c>
    </row>
    <row r="86" spans="1:14" x14ac:dyDescent="0.2">
      <c r="A86" s="1"/>
      <c r="C86">
        <v>12</v>
      </c>
      <c r="D86" s="4">
        <v>2.1199999999999997</v>
      </c>
      <c r="E86" s="4">
        <v>2.0838000000000001</v>
      </c>
      <c r="F86" s="4">
        <v>2.1428000000000003</v>
      </c>
      <c r="H86" s="4">
        <v>1.7546000000000002</v>
      </c>
      <c r="J86" s="4">
        <v>1.8282</v>
      </c>
      <c r="K86" s="4">
        <v>1.8757999999999997</v>
      </c>
      <c r="N86" s="4">
        <v>2.7703999999999995</v>
      </c>
    </row>
    <row r="87" spans="1:14" x14ac:dyDescent="0.2">
      <c r="A87" s="1"/>
      <c r="C87">
        <v>13</v>
      </c>
      <c r="D87" s="4">
        <v>2.1899999999999995</v>
      </c>
      <c r="E87" s="4">
        <v>2.1442000000000001</v>
      </c>
      <c r="F87" s="4">
        <v>2.2102000000000004</v>
      </c>
      <c r="H87" s="4">
        <v>1.8144000000000002</v>
      </c>
      <c r="J87" s="4">
        <v>1.8828</v>
      </c>
      <c r="K87" s="4">
        <v>1.9271999999999996</v>
      </c>
      <c r="N87" s="4">
        <v>2.8165999999999993</v>
      </c>
    </row>
    <row r="88" spans="1:14" x14ac:dyDescent="0.2">
      <c r="A88" s="1"/>
      <c r="C88">
        <v>14</v>
      </c>
      <c r="D88" s="4">
        <v>2.2599999999999993</v>
      </c>
      <c r="E88" s="4">
        <v>2.2046000000000001</v>
      </c>
      <c r="F88" s="4">
        <v>2.2776000000000005</v>
      </c>
      <c r="H88" s="4">
        <v>1.8742000000000003</v>
      </c>
      <c r="J88" s="4">
        <v>1.9374</v>
      </c>
      <c r="K88" s="4">
        <v>1.9785999999999995</v>
      </c>
      <c r="N88" s="4">
        <v>2.8627999999999991</v>
      </c>
    </row>
    <row r="89" spans="1:14" x14ac:dyDescent="0.2">
      <c r="A89" s="1"/>
      <c r="C89">
        <v>15</v>
      </c>
      <c r="D89">
        <v>2.33</v>
      </c>
      <c r="E89">
        <v>2.2650000000000001</v>
      </c>
      <c r="F89">
        <v>2.3450000000000002</v>
      </c>
      <c r="H89">
        <v>1.9339999999999999</v>
      </c>
      <c r="J89">
        <v>1.992</v>
      </c>
      <c r="K89">
        <v>2.0299999999999998</v>
      </c>
      <c r="N89">
        <v>2.9089999999999998</v>
      </c>
    </row>
    <row r="90" spans="1:14" x14ac:dyDescent="0.2">
      <c r="A90" s="1"/>
      <c r="C90">
        <v>16</v>
      </c>
      <c r="D90" s="4">
        <v>2.3673999999999999</v>
      </c>
      <c r="E90" s="4">
        <v>2.3172000000000001</v>
      </c>
      <c r="F90" s="4">
        <v>2.3944000000000001</v>
      </c>
      <c r="H90" s="4">
        <v>1.9762</v>
      </c>
      <c r="J90" s="4">
        <v>2.0331999999999999</v>
      </c>
      <c r="K90" s="4">
        <v>2.0781999999999998</v>
      </c>
      <c r="N90" s="4">
        <v>2.9415999999999998</v>
      </c>
    </row>
    <row r="91" spans="1:14" x14ac:dyDescent="0.2">
      <c r="A91" s="1"/>
      <c r="C91">
        <v>17</v>
      </c>
      <c r="D91" s="4">
        <v>2.4047999999999998</v>
      </c>
      <c r="E91" s="4">
        <v>2.3694000000000002</v>
      </c>
      <c r="F91" s="4">
        <v>2.4438</v>
      </c>
      <c r="H91" s="4">
        <v>2.0183999999999997</v>
      </c>
      <c r="J91" s="4">
        <v>2.0743999999999998</v>
      </c>
      <c r="K91" s="4">
        <v>2.1263999999999998</v>
      </c>
      <c r="N91" s="4">
        <v>2.9741999999999997</v>
      </c>
    </row>
    <row r="92" spans="1:14" x14ac:dyDescent="0.2">
      <c r="A92" s="1"/>
      <c r="C92">
        <v>18</v>
      </c>
      <c r="D92" s="4">
        <v>2.4421999999999997</v>
      </c>
      <c r="E92" s="4">
        <v>2.4216000000000002</v>
      </c>
      <c r="F92" s="4">
        <v>2.4931999999999999</v>
      </c>
      <c r="H92" s="4">
        <v>2.0606</v>
      </c>
      <c r="J92" s="4">
        <v>2.1155999999999997</v>
      </c>
      <c r="K92" s="4">
        <v>2.1745999999999999</v>
      </c>
      <c r="N92" s="4">
        <v>3.0067999999999997</v>
      </c>
    </row>
    <row r="93" spans="1:14" x14ac:dyDescent="0.2">
      <c r="A93" s="1"/>
      <c r="C93">
        <v>19</v>
      </c>
      <c r="D93" s="4">
        <v>2.4795999999999996</v>
      </c>
      <c r="E93" s="4">
        <v>2.4738000000000002</v>
      </c>
      <c r="F93" s="4">
        <v>2.5425999999999997</v>
      </c>
      <c r="H93" s="4">
        <v>2.1028000000000002</v>
      </c>
      <c r="J93" s="4">
        <v>2.1567999999999996</v>
      </c>
      <c r="K93" s="4">
        <v>2.2227999999999999</v>
      </c>
      <c r="N93" s="4">
        <v>3.0393999999999997</v>
      </c>
    </row>
    <row r="94" spans="1:14" x14ac:dyDescent="0.2">
      <c r="A94" s="1"/>
      <c r="C94">
        <v>20</v>
      </c>
      <c r="D94">
        <v>2.5169999999999999</v>
      </c>
      <c r="E94">
        <v>2.5259999999999998</v>
      </c>
      <c r="F94">
        <v>2.5920000000000001</v>
      </c>
      <c r="H94">
        <v>2.145</v>
      </c>
      <c r="J94">
        <v>2.198</v>
      </c>
      <c r="K94">
        <v>2.2709999999999999</v>
      </c>
      <c r="N94">
        <v>3.0720000000000001</v>
      </c>
    </row>
    <row r="95" spans="1:14" x14ac:dyDescent="0.2">
      <c r="A95" s="1"/>
      <c r="C95">
        <v>21</v>
      </c>
      <c r="D95" s="4">
        <v>2.5446999999999997</v>
      </c>
      <c r="E95" s="4">
        <v>2.5497999999999998</v>
      </c>
      <c r="F95" s="4">
        <v>2.6156000000000001</v>
      </c>
      <c r="H95" s="4">
        <v>2.1747999999999998</v>
      </c>
      <c r="J95" s="4">
        <v>2.2122000000000002</v>
      </c>
      <c r="K95" s="4">
        <v>2.2837000000000001</v>
      </c>
      <c r="N95" s="4">
        <v>3.0805000000000002</v>
      </c>
    </row>
    <row r="96" spans="1:14" x14ac:dyDescent="0.2">
      <c r="A96" s="1"/>
      <c r="C96">
        <v>22</v>
      </c>
      <c r="D96" s="4">
        <v>2.5723999999999996</v>
      </c>
      <c r="E96" s="4">
        <v>2.5735999999999999</v>
      </c>
      <c r="F96" s="4">
        <v>2.6392000000000002</v>
      </c>
      <c r="H96" s="4">
        <v>2.2045999999999997</v>
      </c>
      <c r="J96" s="4">
        <v>2.2263999999999999</v>
      </c>
      <c r="K96" s="4">
        <v>2.2964000000000002</v>
      </c>
      <c r="N96" s="4">
        <v>3.0890000000000004</v>
      </c>
    </row>
    <row r="97" spans="1:14" x14ac:dyDescent="0.2">
      <c r="A97" s="1"/>
      <c r="C97">
        <v>23</v>
      </c>
      <c r="D97" s="4">
        <v>2.6000999999999994</v>
      </c>
      <c r="E97" s="4">
        <v>2.5973999999999999</v>
      </c>
      <c r="F97" s="4">
        <v>2.6628000000000003</v>
      </c>
      <c r="H97" s="4">
        <v>2.2343999999999995</v>
      </c>
      <c r="J97" s="4">
        <v>2.2405999999999997</v>
      </c>
      <c r="K97" s="4">
        <v>2.3091000000000004</v>
      </c>
      <c r="N97" s="4">
        <v>3.0975000000000006</v>
      </c>
    </row>
    <row r="98" spans="1:14" x14ac:dyDescent="0.2">
      <c r="A98" s="1"/>
      <c r="C98">
        <v>24</v>
      </c>
      <c r="D98" s="4">
        <v>2.6277999999999992</v>
      </c>
      <c r="E98" s="4">
        <v>2.6212</v>
      </c>
      <c r="F98" s="4">
        <v>2.6864000000000003</v>
      </c>
      <c r="H98" s="4">
        <v>2.2641999999999993</v>
      </c>
      <c r="J98" s="4">
        <v>2.2547999999999995</v>
      </c>
      <c r="K98" s="4">
        <v>2.3218000000000005</v>
      </c>
      <c r="N98" s="4">
        <v>3.1060000000000008</v>
      </c>
    </row>
    <row r="99" spans="1:14" x14ac:dyDescent="0.2">
      <c r="A99" s="1"/>
      <c r="C99">
        <v>25</v>
      </c>
      <c r="D99" s="4">
        <v>2.6554999999999991</v>
      </c>
      <c r="E99" s="4">
        <v>2.645</v>
      </c>
      <c r="F99" s="4">
        <v>2.7100000000000004</v>
      </c>
      <c r="H99" s="4">
        <v>2.2939999999999992</v>
      </c>
      <c r="J99" s="4">
        <v>2.2689999999999992</v>
      </c>
      <c r="K99" s="4">
        <v>2.3345000000000007</v>
      </c>
      <c r="N99" s="4">
        <v>3.1145000000000009</v>
      </c>
    </row>
    <row r="100" spans="1:14" x14ac:dyDescent="0.2">
      <c r="A100" s="1"/>
      <c r="C100">
        <v>26</v>
      </c>
      <c r="D100" s="4">
        <v>2.6831999999999989</v>
      </c>
      <c r="E100" s="4">
        <v>2.6688000000000001</v>
      </c>
      <c r="F100" s="4">
        <v>2.7336000000000005</v>
      </c>
      <c r="H100" s="4">
        <v>2.323799999999999</v>
      </c>
      <c r="J100" s="4">
        <v>2.283199999999999</v>
      </c>
      <c r="K100" s="4">
        <v>2.3472000000000008</v>
      </c>
      <c r="N100" s="4">
        <v>3.1230000000000011</v>
      </c>
    </row>
    <row r="101" spans="1:14" x14ac:dyDescent="0.2">
      <c r="A101" s="1"/>
      <c r="C101">
        <v>27</v>
      </c>
      <c r="D101" s="4">
        <v>2.7108999999999988</v>
      </c>
      <c r="E101" s="4">
        <v>2.6926000000000001</v>
      </c>
      <c r="F101" s="4">
        <v>2.7572000000000005</v>
      </c>
      <c r="H101" s="4">
        <v>2.3535999999999988</v>
      </c>
      <c r="J101" s="4">
        <v>2.2973999999999988</v>
      </c>
      <c r="K101" s="4">
        <v>2.359900000000001</v>
      </c>
      <c r="N101" s="4">
        <v>3.1315000000000013</v>
      </c>
    </row>
    <row r="102" spans="1:14" x14ac:dyDescent="0.2">
      <c r="A102" s="1"/>
      <c r="C102">
        <v>28</v>
      </c>
      <c r="D102" s="4">
        <v>2.7385999999999986</v>
      </c>
      <c r="E102" s="4">
        <v>2.7164000000000001</v>
      </c>
      <c r="F102" s="4">
        <v>2.7808000000000006</v>
      </c>
      <c r="H102" s="4">
        <v>2.3833999999999986</v>
      </c>
      <c r="J102" s="4">
        <v>2.3115999999999985</v>
      </c>
      <c r="K102" s="4">
        <v>2.3726000000000012</v>
      </c>
      <c r="N102" s="4">
        <v>3.1400000000000015</v>
      </c>
    </row>
    <row r="103" spans="1:14" x14ac:dyDescent="0.2">
      <c r="A103" s="1"/>
      <c r="C103">
        <v>29</v>
      </c>
      <c r="D103" s="4">
        <v>2.7662999999999984</v>
      </c>
      <c r="E103" s="4">
        <v>2.7402000000000002</v>
      </c>
      <c r="F103" s="4">
        <v>2.8044000000000007</v>
      </c>
      <c r="H103" s="4">
        <v>2.4131999999999985</v>
      </c>
      <c r="J103" s="4">
        <v>2.3257999999999983</v>
      </c>
      <c r="K103" s="4">
        <v>2.3853000000000013</v>
      </c>
      <c r="N103" s="4">
        <v>3.1485000000000016</v>
      </c>
    </row>
    <row r="104" spans="1:14" x14ac:dyDescent="0.2">
      <c r="A104" s="1"/>
      <c r="C104">
        <v>30</v>
      </c>
      <c r="D104">
        <v>2.794</v>
      </c>
      <c r="E104">
        <v>2.7639999999999998</v>
      </c>
      <c r="F104">
        <v>2.8279999999999998</v>
      </c>
      <c r="H104">
        <v>2.4430000000000001</v>
      </c>
      <c r="J104">
        <v>2.34</v>
      </c>
      <c r="K104">
        <v>2.3980000000000001</v>
      </c>
      <c r="N104">
        <v>3.157</v>
      </c>
    </row>
    <row r="106" spans="1:14" x14ac:dyDescent="0.2">
      <c r="B106">
        <v>2017</v>
      </c>
    </row>
    <row r="107" spans="1:14" x14ac:dyDescent="0.2">
      <c r="C107" s="1"/>
      <c r="D107" s="1"/>
      <c r="E107" s="1" t="s">
        <v>130</v>
      </c>
      <c r="F107" s="1"/>
      <c r="G107" s="1"/>
      <c r="H107" s="1" t="s">
        <v>131</v>
      </c>
      <c r="I107" s="1"/>
      <c r="J107" s="1" t="s">
        <v>132</v>
      </c>
      <c r="K107" s="1" t="s">
        <v>133</v>
      </c>
      <c r="L107" s="1"/>
      <c r="M107" s="1"/>
      <c r="N107" s="1" t="s">
        <v>134</v>
      </c>
    </row>
    <row r="110" spans="1:14" x14ac:dyDescent="0.2">
      <c r="C110" s="1">
        <v>1</v>
      </c>
      <c r="D110">
        <v>0.85299999999999998</v>
      </c>
      <c r="E110">
        <v>0.995</v>
      </c>
      <c r="F110">
        <v>1.1970000000000001</v>
      </c>
      <c r="H110">
        <v>1.276</v>
      </c>
      <c r="J110">
        <v>1.2869999999999999</v>
      </c>
      <c r="K110">
        <v>1.3979999999999999</v>
      </c>
      <c r="N110">
        <v>1.794</v>
      </c>
    </row>
    <row r="111" spans="1:14" x14ac:dyDescent="0.2">
      <c r="C111" s="1">
        <v>2</v>
      </c>
      <c r="D111">
        <v>1.1679999999999999</v>
      </c>
      <c r="E111">
        <v>1.1890000000000001</v>
      </c>
      <c r="F111">
        <v>1.335</v>
      </c>
      <c r="H111">
        <v>1.425</v>
      </c>
      <c r="J111">
        <v>1.3680000000000001</v>
      </c>
      <c r="K111">
        <v>1.5049999999999999</v>
      </c>
      <c r="N111">
        <v>1.8540000000000001</v>
      </c>
    </row>
    <row r="112" spans="1:14" x14ac:dyDescent="0.2">
      <c r="C112" s="1">
        <v>3</v>
      </c>
      <c r="D112">
        <v>1.5289999999999999</v>
      </c>
      <c r="E112">
        <v>1.472</v>
      </c>
      <c r="F112">
        <v>1.5229999999999999</v>
      </c>
      <c r="H112">
        <v>1.5529999999999999</v>
      </c>
      <c r="J112">
        <v>1.482</v>
      </c>
      <c r="K112">
        <v>1.6439999999999999</v>
      </c>
      <c r="N112">
        <v>2.02</v>
      </c>
    </row>
    <row r="113" spans="3:14" x14ac:dyDescent="0.2">
      <c r="C113" s="1">
        <v>4</v>
      </c>
      <c r="D113">
        <v>1.792</v>
      </c>
      <c r="E113">
        <v>1.742</v>
      </c>
      <c r="F113">
        <v>1.7729999999999999</v>
      </c>
      <c r="H113">
        <v>1.8029999999999999</v>
      </c>
      <c r="J113">
        <v>1.6259999999999999</v>
      </c>
      <c r="K113">
        <v>1.8149999999999999</v>
      </c>
      <c r="N113">
        <v>2.1520000000000001</v>
      </c>
    </row>
    <row r="114" spans="3:14" x14ac:dyDescent="0.2">
      <c r="C114" s="1">
        <v>5</v>
      </c>
      <c r="D114">
        <v>2.0129999999999999</v>
      </c>
      <c r="E114">
        <v>1.988</v>
      </c>
      <c r="F114">
        <v>1.9650000000000001</v>
      </c>
      <c r="H114">
        <v>1.976</v>
      </c>
      <c r="J114">
        <v>1.8029999999999999</v>
      </c>
      <c r="K114">
        <v>2.0179999999999998</v>
      </c>
      <c r="N114">
        <v>2.2490000000000001</v>
      </c>
    </row>
    <row r="115" spans="3:14" x14ac:dyDescent="0.2">
      <c r="C115" s="1">
        <v>6</v>
      </c>
      <c r="D115">
        <v>2.194</v>
      </c>
      <c r="E115">
        <v>2.1709999999999998</v>
      </c>
      <c r="F115">
        <v>2.1059999999999999</v>
      </c>
      <c r="H115">
        <v>2.121</v>
      </c>
      <c r="J115">
        <v>1.9359999999999999</v>
      </c>
      <c r="K115">
        <v>2.165</v>
      </c>
      <c r="N115">
        <v>2.3559999999999999</v>
      </c>
    </row>
    <row r="116" spans="3:14" x14ac:dyDescent="0.2">
      <c r="C116" s="1">
        <v>7</v>
      </c>
      <c r="D116">
        <v>2.3159999999999998</v>
      </c>
      <c r="E116">
        <v>2.2890000000000001</v>
      </c>
      <c r="F116">
        <v>2.2069999999999999</v>
      </c>
      <c r="H116">
        <v>2.2269999999999999</v>
      </c>
      <c r="J116">
        <v>2.0270000000000001</v>
      </c>
      <c r="K116">
        <v>2.2570000000000001</v>
      </c>
      <c r="N116">
        <v>2.4289999999999998</v>
      </c>
    </row>
    <row r="117" spans="3:14" x14ac:dyDescent="0.2">
      <c r="C117" s="1">
        <v>8</v>
      </c>
      <c r="D117">
        <v>2.4159999999999999</v>
      </c>
      <c r="E117">
        <v>2.3959999999999999</v>
      </c>
      <c r="F117">
        <v>2.2919999999999998</v>
      </c>
      <c r="H117">
        <v>2.31</v>
      </c>
      <c r="J117">
        <v>2.11</v>
      </c>
      <c r="K117">
        <v>2.331</v>
      </c>
      <c r="N117">
        <v>2.4740000000000002</v>
      </c>
    </row>
    <row r="118" spans="3:14" x14ac:dyDescent="0.2">
      <c r="C118" s="1">
        <v>9</v>
      </c>
      <c r="D118">
        <v>2.5209999999999999</v>
      </c>
      <c r="E118">
        <v>2.4950000000000001</v>
      </c>
      <c r="F118">
        <v>2.403</v>
      </c>
      <c r="H118">
        <v>2.391</v>
      </c>
      <c r="J118">
        <v>2.1869999999999998</v>
      </c>
      <c r="K118">
        <v>2.4079999999999999</v>
      </c>
      <c r="N118">
        <v>2.5049999999999999</v>
      </c>
    </row>
    <row r="119" spans="3:14" x14ac:dyDescent="0.2">
      <c r="C119" s="1">
        <v>10</v>
      </c>
      <c r="D119">
        <v>2.589</v>
      </c>
      <c r="E119">
        <v>2.5680000000000001</v>
      </c>
      <c r="F119">
        <v>2.4649999999999999</v>
      </c>
      <c r="H119">
        <v>2.4670000000000001</v>
      </c>
      <c r="J119">
        <v>2.262</v>
      </c>
      <c r="K119">
        <v>2.4630000000000001</v>
      </c>
      <c r="N119">
        <v>2.54</v>
      </c>
    </row>
    <row r="120" spans="3:14" x14ac:dyDescent="0.2">
      <c r="C120" s="1">
        <v>11</v>
      </c>
      <c r="D120" s="4">
        <f>((D$196-D$191)/5)+D119</f>
        <v>2.6121599999999998</v>
      </c>
      <c r="E120" s="4">
        <f>((E$196-E$191)/5)+E119</f>
        <v>2.5955600000000003</v>
      </c>
      <c r="F120" s="4">
        <f>((F$196-F$191)/5)+F119</f>
        <v>2.4960800000000001</v>
      </c>
      <c r="G120" s="4"/>
      <c r="H120" s="4">
        <f t="shared" ref="H120:N123" si="0">((H$196-H$191)/5)+H119</f>
        <v>2.5068799999999998</v>
      </c>
      <c r="I120" s="4"/>
      <c r="J120" s="4">
        <f t="shared" si="0"/>
        <v>2.2982399999999998</v>
      </c>
      <c r="K120" s="4">
        <f t="shared" si="0"/>
        <v>2.4957600000000002</v>
      </c>
      <c r="L120" s="4"/>
      <c r="M120" s="4"/>
      <c r="N120" s="4">
        <f>((N$196-N$191)/5)+N119</f>
        <v>2.5790799999999998</v>
      </c>
    </row>
    <row r="121" spans="3:14" x14ac:dyDescent="0.2">
      <c r="C121" s="1">
        <v>12</v>
      </c>
      <c r="D121" s="4">
        <f t="shared" ref="D121:F123" si="1">((D$196-D$191)/5)+D120</f>
        <v>2.6353199999999997</v>
      </c>
      <c r="E121" s="4">
        <f t="shared" si="1"/>
        <v>2.6231200000000006</v>
      </c>
      <c r="F121" s="4">
        <f t="shared" si="1"/>
        <v>2.5271600000000003</v>
      </c>
      <c r="G121" s="4"/>
      <c r="H121" s="4">
        <f t="shared" si="0"/>
        <v>2.5467599999999995</v>
      </c>
      <c r="I121" s="4"/>
      <c r="J121" s="4">
        <f t="shared" si="0"/>
        <v>2.3344800000000001</v>
      </c>
      <c r="K121" s="4">
        <f t="shared" si="0"/>
        <v>2.5285200000000003</v>
      </c>
      <c r="L121" s="4"/>
      <c r="M121" s="4"/>
      <c r="N121" s="4">
        <f t="shared" si="0"/>
        <v>2.6181599999999996</v>
      </c>
    </row>
    <row r="122" spans="3:14" x14ac:dyDescent="0.2">
      <c r="C122" s="1">
        <v>13</v>
      </c>
      <c r="D122" s="4">
        <f t="shared" si="1"/>
        <v>2.6584799999999995</v>
      </c>
      <c r="E122" s="4">
        <f t="shared" si="1"/>
        <v>2.6506800000000008</v>
      </c>
      <c r="F122" s="4">
        <f t="shared" si="1"/>
        <v>2.5582400000000005</v>
      </c>
      <c r="G122" s="4"/>
      <c r="H122" s="4">
        <f t="shared" si="0"/>
        <v>2.5866399999999992</v>
      </c>
      <c r="I122" s="4"/>
      <c r="J122" s="4">
        <f t="shared" si="0"/>
        <v>2.3707200000000004</v>
      </c>
      <c r="K122" s="4">
        <f t="shared" si="0"/>
        <v>2.5612800000000004</v>
      </c>
      <c r="L122" s="4"/>
      <c r="M122" s="4"/>
      <c r="N122" s="4">
        <f t="shared" si="0"/>
        <v>2.6572399999999994</v>
      </c>
    </row>
    <row r="123" spans="3:14" x14ac:dyDescent="0.2">
      <c r="C123" s="1">
        <v>14</v>
      </c>
      <c r="D123" s="4">
        <f>((D$196-D$191)/5)+D122</f>
        <v>2.6816399999999994</v>
      </c>
      <c r="E123" s="4">
        <f t="shared" si="1"/>
        <v>2.6782400000000011</v>
      </c>
      <c r="F123" s="4">
        <f t="shared" si="1"/>
        <v>2.5893200000000007</v>
      </c>
      <c r="G123" s="4"/>
      <c r="H123" s="4">
        <f t="shared" si="0"/>
        <v>2.6265199999999989</v>
      </c>
      <c r="I123" s="4"/>
      <c r="J123" s="4">
        <f t="shared" si="0"/>
        <v>2.4069600000000007</v>
      </c>
      <c r="K123" s="4">
        <f t="shared" si="0"/>
        <v>2.5940400000000006</v>
      </c>
      <c r="L123" s="4"/>
      <c r="M123" s="4"/>
      <c r="N123" s="4">
        <f t="shared" si="0"/>
        <v>2.6963199999999992</v>
      </c>
    </row>
    <row r="124" spans="3:14" x14ac:dyDescent="0.2">
      <c r="C124" s="1">
        <v>15</v>
      </c>
      <c r="D124">
        <v>2.83</v>
      </c>
      <c r="E124">
        <v>2.8180000000000001</v>
      </c>
      <c r="F124">
        <v>2.7250000000000001</v>
      </c>
      <c r="H124">
        <v>2.6669999999999998</v>
      </c>
      <c r="J124">
        <v>2.5099999999999998</v>
      </c>
      <c r="K124">
        <v>2.7</v>
      </c>
      <c r="N124">
        <v>2.6659999999999999</v>
      </c>
    </row>
    <row r="125" spans="3:14" x14ac:dyDescent="0.2">
      <c r="C125" s="1">
        <v>16</v>
      </c>
      <c r="D125" s="4">
        <f>((D$201-D$196)/5)+D124</f>
        <v>2.8446000000000002</v>
      </c>
      <c r="E125" s="4">
        <f t="shared" ref="E125:N128" si="2">((E$201-E$196)/5)+E124</f>
        <v>2.8344399999999998</v>
      </c>
      <c r="F125" s="4">
        <f t="shared" si="2"/>
        <v>2.7428400000000002</v>
      </c>
      <c r="G125" s="4"/>
      <c r="H125" s="4">
        <f t="shared" si="2"/>
        <v>2.6910799999999999</v>
      </c>
      <c r="I125" s="4"/>
      <c r="J125" s="4">
        <f t="shared" si="2"/>
        <v>2.5343599999999995</v>
      </c>
      <c r="K125" s="4">
        <f t="shared" si="2"/>
        <v>2.72024</v>
      </c>
      <c r="L125" s="4"/>
      <c r="M125" s="4"/>
      <c r="N125" s="4">
        <f t="shared" si="2"/>
        <v>2.6856399999999998</v>
      </c>
    </row>
    <row r="126" spans="3:14" x14ac:dyDescent="0.2">
      <c r="C126" s="1">
        <v>17</v>
      </c>
      <c r="D126" s="4">
        <f>((D$201-D$196)/5)+D125</f>
        <v>2.8592000000000004</v>
      </c>
      <c r="E126" s="4">
        <f t="shared" si="2"/>
        <v>2.8508799999999996</v>
      </c>
      <c r="F126" s="4">
        <f t="shared" si="2"/>
        <v>2.7606800000000002</v>
      </c>
      <c r="G126" s="4"/>
      <c r="H126" s="4">
        <f t="shared" si="2"/>
        <v>2.71516</v>
      </c>
      <c r="I126" s="4"/>
      <c r="J126" s="4">
        <f t="shared" si="2"/>
        <v>2.5587199999999992</v>
      </c>
      <c r="K126" s="4">
        <f t="shared" si="2"/>
        <v>2.7404799999999998</v>
      </c>
      <c r="L126" s="4"/>
      <c r="M126" s="4"/>
      <c r="N126" s="4">
        <f t="shared" si="2"/>
        <v>2.7052799999999997</v>
      </c>
    </row>
    <row r="127" spans="3:14" x14ac:dyDescent="0.2">
      <c r="C127" s="1">
        <v>18</v>
      </c>
      <c r="D127" s="4">
        <f>((D$201-D$196)/5)+D126</f>
        <v>2.8738000000000006</v>
      </c>
      <c r="E127" s="4">
        <f t="shared" si="2"/>
        <v>2.8673199999999994</v>
      </c>
      <c r="F127" s="4">
        <f t="shared" si="2"/>
        <v>2.7785200000000003</v>
      </c>
      <c r="G127" s="4"/>
      <c r="H127" s="4">
        <f t="shared" si="2"/>
        <v>2.7392400000000001</v>
      </c>
      <c r="I127" s="4"/>
      <c r="J127" s="4">
        <f t="shared" si="2"/>
        <v>2.5830799999999989</v>
      </c>
      <c r="K127" s="4">
        <f t="shared" si="2"/>
        <v>2.7607199999999996</v>
      </c>
      <c r="L127" s="4"/>
      <c r="M127" s="4"/>
      <c r="N127" s="4">
        <f t="shared" si="2"/>
        <v>2.7249199999999996</v>
      </c>
    </row>
    <row r="128" spans="3:14" x14ac:dyDescent="0.2">
      <c r="C128" s="1">
        <v>19</v>
      </c>
      <c r="D128" s="4">
        <f>((D$201-D$196)/5)+D127</f>
        <v>2.8884000000000007</v>
      </c>
      <c r="E128" s="4">
        <f t="shared" si="2"/>
        <v>2.8837599999999992</v>
      </c>
      <c r="F128" s="4">
        <f t="shared" si="2"/>
        <v>2.7963600000000004</v>
      </c>
      <c r="G128" s="4"/>
      <c r="H128" s="4">
        <f t="shared" si="2"/>
        <v>2.7633200000000002</v>
      </c>
      <c r="I128" s="4"/>
      <c r="J128" s="4">
        <f t="shared" si="2"/>
        <v>2.6074399999999986</v>
      </c>
      <c r="K128" s="4">
        <f t="shared" si="2"/>
        <v>2.7809599999999994</v>
      </c>
      <c r="L128" s="4"/>
      <c r="M128" s="4"/>
      <c r="N128" s="4">
        <f t="shared" si="2"/>
        <v>2.7445599999999994</v>
      </c>
    </row>
    <row r="129" spans="2:14" x14ac:dyDescent="0.2">
      <c r="C129" s="1">
        <v>20</v>
      </c>
      <c r="D129">
        <v>2.9990000000000001</v>
      </c>
      <c r="E129">
        <v>3</v>
      </c>
      <c r="F129">
        <v>2.9409999999999998</v>
      </c>
      <c r="H129">
        <v>2.8180000000000001</v>
      </c>
      <c r="J129">
        <v>2.6840000000000002</v>
      </c>
      <c r="K129">
        <v>2.8530000000000002</v>
      </c>
      <c r="N129">
        <v>2.7559999999999998</v>
      </c>
    </row>
    <row r="130" spans="2:14" x14ac:dyDescent="0.2">
      <c r="C130" s="1">
        <v>21</v>
      </c>
      <c r="D130" s="4">
        <f>((D$211-D$201)/10)+D129</f>
        <v>2.6894200000000001</v>
      </c>
      <c r="E130" s="4">
        <f t="shared" ref="E130:N138" si="3">((E$211-E$201)/10)+E129</f>
        <v>2.71794</v>
      </c>
      <c r="F130" s="4">
        <f t="shared" si="3"/>
        <v>2.6459999999999999</v>
      </c>
      <c r="G130" s="4"/>
      <c r="H130" s="4">
        <f t="shared" si="3"/>
        <v>2.5641799999999999</v>
      </c>
      <c r="I130" s="4"/>
      <c r="J130" s="4">
        <f t="shared" si="3"/>
        <v>2.4842400000000002</v>
      </c>
      <c r="K130" s="4">
        <f t="shared" si="3"/>
        <v>2.6403600000000003</v>
      </c>
      <c r="L130" s="4"/>
      <c r="M130" s="4"/>
      <c r="N130" s="4">
        <f t="shared" si="3"/>
        <v>2.5085799999999998</v>
      </c>
    </row>
    <row r="131" spans="2:14" x14ac:dyDescent="0.2">
      <c r="C131" s="1">
        <v>22</v>
      </c>
      <c r="D131" s="4">
        <f t="shared" ref="D131:D138" si="4">((D$211-D$201)/10)+D130</f>
        <v>2.3798400000000002</v>
      </c>
      <c r="E131" s="4">
        <f t="shared" si="3"/>
        <v>2.43588</v>
      </c>
      <c r="F131" s="4">
        <f t="shared" si="3"/>
        <v>2.351</v>
      </c>
      <c r="G131" s="4"/>
      <c r="H131" s="4">
        <f t="shared" si="3"/>
        <v>2.3103599999999997</v>
      </c>
      <c r="I131" s="4"/>
      <c r="J131" s="4">
        <f t="shared" si="3"/>
        <v>2.2844800000000003</v>
      </c>
      <c r="K131" s="4">
        <f t="shared" si="3"/>
        <v>2.4277200000000003</v>
      </c>
      <c r="L131" s="4"/>
      <c r="M131" s="4"/>
      <c r="N131" s="4">
        <f t="shared" si="3"/>
        <v>2.2611599999999998</v>
      </c>
    </row>
    <row r="132" spans="2:14" x14ac:dyDescent="0.2">
      <c r="C132" s="1">
        <v>23</v>
      </c>
      <c r="D132" s="4">
        <f t="shared" si="4"/>
        <v>2.0702600000000002</v>
      </c>
      <c r="E132" s="4">
        <f t="shared" si="3"/>
        <v>2.1538200000000001</v>
      </c>
      <c r="F132" s="4">
        <f t="shared" si="3"/>
        <v>2.056</v>
      </c>
      <c r="G132" s="4"/>
      <c r="H132" s="4">
        <f t="shared" si="3"/>
        <v>2.0565399999999996</v>
      </c>
      <c r="I132" s="4"/>
      <c r="J132" s="4">
        <f t="shared" si="3"/>
        <v>2.0847200000000004</v>
      </c>
      <c r="K132" s="4">
        <f t="shared" si="3"/>
        <v>2.2150800000000004</v>
      </c>
      <c r="L132" s="4"/>
      <c r="M132" s="4"/>
      <c r="N132" s="4">
        <f t="shared" si="3"/>
        <v>2.0137399999999999</v>
      </c>
    </row>
    <row r="133" spans="2:14" x14ac:dyDescent="0.2">
      <c r="C133" s="1">
        <v>24</v>
      </c>
      <c r="D133" s="4">
        <f t="shared" si="4"/>
        <v>1.7606800000000002</v>
      </c>
      <c r="E133" s="4">
        <f t="shared" si="3"/>
        <v>1.8717600000000001</v>
      </c>
      <c r="F133" s="4">
        <f t="shared" si="3"/>
        <v>1.7610000000000001</v>
      </c>
      <c r="G133" s="4"/>
      <c r="H133" s="4">
        <f t="shared" si="3"/>
        <v>1.8027199999999994</v>
      </c>
      <c r="I133" s="4"/>
      <c r="J133" s="4">
        <f t="shared" si="3"/>
        <v>1.8849600000000004</v>
      </c>
      <c r="K133" s="4">
        <f t="shared" si="3"/>
        <v>2.0024400000000004</v>
      </c>
      <c r="L133" s="4"/>
      <c r="M133" s="4"/>
      <c r="N133" s="4">
        <f t="shared" si="3"/>
        <v>1.7663199999999999</v>
      </c>
    </row>
    <row r="134" spans="2:14" x14ac:dyDescent="0.2">
      <c r="C134" s="1">
        <v>25</v>
      </c>
      <c r="D134" s="4">
        <f t="shared" si="4"/>
        <v>1.4511000000000003</v>
      </c>
      <c r="E134" s="4">
        <f t="shared" si="3"/>
        <v>1.5897000000000001</v>
      </c>
      <c r="F134" s="4">
        <f t="shared" si="3"/>
        <v>1.4660000000000002</v>
      </c>
      <c r="G134" s="4"/>
      <c r="H134" s="4">
        <f t="shared" si="3"/>
        <v>1.5488999999999993</v>
      </c>
      <c r="I134" s="4"/>
      <c r="J134" s="4">
        <f t="shared" si="3"/>
        <v>1.6852000000000005</v>
      </c>
      <c r="K134" s="4">
        <f t="shared" si="3"/>
        <v>1.7898000000000005</v>
      </c>
      <c r="L134" s="4"/>
      <c r="M134" s="4"/>
      <c r="N134" s="4">
        <f t="shared" si="3"/>
        <v>1.5188999999999999</v>
      </c>
    </row>
    <row r="135" spans="2:14" x14ac:dyDescent="0.2">
      <c r="C135" s="1">
        <v>26</v>
      </c>
      <c r="D135" s="4">
        <f t="shared" si="4"/>
        <v>1.1415200000000003</v>
      </c>
      <c r="E135" s="4">
        <f t="shared" si="3"/>
        <v>1.3076400000000001</v>
      </c>
      <c r="F135" s="4">
        <f t="shared" si="3"/>
        <v>1.1710000000000003</v>
      </c>
      <c r="G135" s="4"/>
      <c r="H135" s="4">
        <f t="shared" si="3"/>
        <v>1.2950799999999991</v>
      </c>
      <c r="I135" s="4"/>
      <c r="J135" s="4">
        <f t="shared" si="3"/>
        <v>1.4854400000000005</v>
      </c>
      <c r="K135" s="4">
        <f t="shared" si="3"/>
        <v>1.5771600000000006</v>
      </c>
      <c r="L135" s="4"/>
      <c r="M135" s="4"/>
      <c r="N135" s="4">
        <f t="shared" si="3"/>
        <v>1.2714799999999999</v>
      </c>
    </row>
    <row r="136" spans="2:14" x14ac:dyDescent="0.2">
      <c r="C136" s="1">
        <v>27</v>
      </c>
      <c r="D136" s="4">
        <f t="shared" si="4"/>
        <v>0.83194000000000035</v>
      </c>
      <c r="E136" s="4">
        <f t="shared" si="3"/>
        <v>1.0255800000000002</v>
      </c>
      <c r="F136" s="4">
        <f t="shared" si="3"/>
        <v>0.87600000000000033</v>
      </c>
      <c r="G136" s="4"/>
      <c r="H136" s="4">
        <f t="shared" si="3"/>
        <v>1.041259999999999</v>
      </c>
      <c r="I136" s="4"/>
      <c r="J136" s="4">
        <f t="shared" si="3"/>
        <v>1.2856800000000006</v>
      </c>
      <c r="K136" s="4">
        <f t="shared" si="3"/>
        <v>1.3645200000000006</v>
      </c>
      <c r="L136" s="4"/>
      <c r="M136" s="4"/>
      <c r="N136" s="4">
        <f t="shared" si="3"/>
        <v>1.02406</v>
      </c>
    </row>
    <row r="137" spans="2:14" x14ac:dyDescent="0.2">
      <c r="C137" s="1">
        <v>28</v>
      </c>
      <c r="D137" s="4">
        <f t="shared" si="4"/>
        <v>0.52236000000000038</v>
      </c>
      <c r="E137" s="4">
        <f t="shared" si="3"/>
        <v>0.74352000000000018</v>
      </c>
      <c r="F137" s="4">
        <f t="shared" si="3"/>
        <v>0.58100000000000041</v>
      </c>
      <c r="G137" s="4"/>
      <c r="H137" s="4">
        <f t="shared" si="3"/>
        <v>0.78743999999999892</v>
      </c>
      <c r="I137" s="4"/>
      <c r="J137" s="4">
        <f t="shared" si="3"/>
        <v>1.0859200000000007</v>
      </c>
      <c r="K137" s="4">
        <f t="shared" si="3"/>
        <v>1.1518800000000007</v>
      </c>
      <c r="L137" s="4"/>
      <c r="M137" s="4"/>
      <c r="N137" s="4">
        <f t="shared" si="3"/>
        <v>0.77664</v>
      </c>
    </row>
    <row r="138" spans="2:14" x14ac:dyDescent="0.2">
      <c r="C138" s="1">
        <v>29</v>
      </c>
      <c r="D138" s="4">
        <f t="shared" si="4"/>
        <v>0.21278000000000041</v>
      </c>
      <c r="E138" s="4">
        <f t="shared" si="3"/>
        <v>0.4614600000000002</v>
      </c>
      <c r="F138" s="4">
        <f t="shared" si="3"/>
        <v>0.28600000000000042</v>
      </c>
      <c r="G138" s="4"/>
      <c r="H138" s="4">
        <f t="shared" si="3"/>
        <v>0.53361999999999887</v>
      </c>
      <c r="I138" s="4"/>
      <c r="J138" s="4">
        <f t="shared" si="3"/>
        <v>0.88616000000000072</v>
      </c>
      <c r="K138" s="4">
        <f t="shared" si="3"/>
        <v>0.93924000000000074</v>
      </c>
      <c r="L138" s="4"/>
      <c r="M138" s="4"/>
      <c r="N138" s="4">
        <f t="shared" si="3"/>
        <v>0.52922000000000002</v>
      </c>
    </row>
    <row r="139" spans="2:14" x14ac:dyDescent="0.2">
      <c r="C139" s="1">
        <v>30</v>
      </c>
      <c r="D139">
        <v>3.1139999999999999</v>
      </c>
      <c r="E139">
        <v>3.137</v>
      </c>
      <c r="F139">
        <v>3.0750000000000002</v>
      </c>
      <c r="H139">
        <v>2.94</v>
      </c>
      <c r="J139">
        <v>2.871</v>
      </c>
      <c r="K139">
        <v>2.97</v>
      </c>
      <c r="N139">
        <v>2.8039999999999998</v>
      </c>
    </row>
    <row r="141" spans="2:14" x14ac:dyDescent="0.2">
      <c r="B141">
        <v>2018</v>
      </c>
    </row>
    <row r="142" spans="2:14" x14ac:dyDescent="0.2">
      <c r="C142" s="1"/>
      <c r="D142" s="1"/>
      <c r="E142" s="1" t="s">
        <v>130</v>
      </c>
      <c r="F142" s="1"/>
      <c r="G142" s="1"/>
      <c r="H142" s="1" t="s">
        <v>131</v>
      </c>
      <c r="I142" s="1"/>
      <c r="J142" s="1" t="s">
        <v>132</v>
      </c>
      <c r="K142" s="1" t="s">
        <v>133</v>
      </c>
      <c r="L142" s="1"/>
      <c r="M142" s="1"/>
      <c r="N142" s="1" t="s">
        <v>134</v>
      </c>
    </row>
    <row r="145" spans="3:14" x14ac:dyDescent="0.2">
      <c r="C145" s="1">
        <v>1</v>
      </c>
      <c r="D145">
        <v>2.0699999999999998</v>
      </c>
      <c r="E145">
        <v>2.0099999999999998</v>
      </c>
      <c r="F145">
        <v>2.23</v>
      </c>
      <c r="G145">
        <v>2.2360000000000002</v>
      </c>
      <c r="H145">
        <v>2.31</v>
      </c>
      <c r="I145">
        <v>2.5249999999999999</v>
      </c>
      <c r="J145">
        <v>2.5259999999999998</v>
      </c>
      <c r="K145">
        <v>2.6040000000000001</v>
      </c>
      <c r="L145">
        <v>2.64</v>
      </c>
      <c r="M145">
        <v>2.6640000000000001</v>
      </c>
      <c r="N145">
        <v>2.5659999999999998</v>
      </c>
    </row>
    <row r="146" spans="3:14" x14ac:dyDescent="0.2">
      <c r="C146" s="1">
        <v>2</v>
      </c>
      <c r="D146">
        <v>2.2909999999999999</v>
      </c>
      <c r="E146">
        <v>2.23</v>
      </c>
      <c r="F146">
        <v>2.5099999999999998</v>
      </c>
      <c r="G146">
        <v>2.431</v>
      </c>
      <c r="H146">
        <v>2.524</v>
      </c>
      <c r="I146">
        <v>2.7360000000000002</v>
      </c>
      <c r="J146">
        <v>2.6909999999999998</v>
      </c>
      <c r="K146">
        <v>2.8620000000000001</v>
      </c>
      <c r="L146">
        <v>2.899</v>
      </c>
      <c r="M146">
        <v>2.855</v>
      </c>
      <c r="N146">
        <v>2.569</v>
      </c>
    </row>
    <row r="147" spans="3:14" x14ac:dyDescent="0.2">
      <c r="C147" s="1">
        <v>3</v>
      </c>
      <c r="D147">
        <v>2.4319999999999999</v>
      </c>
      <c r="E147">
        <v>2.3759999999999999</v>
      </c>
      <c r="F147">
        <v>2.629</v>
      </c>
      <c r="G147">
        <v>2.6059999999999999</v>
      </c>
      <c r="H147">
        <v>2.6520000000000001</v>
      </c>
      <c r="I147">
        <v>2.8180000000000001</v>
      </c>
      <c r="J147">
        <v>2.74</v>
      </c>
      <c r="K147">
        <v>2.9209999999999998</v>
      </c>
      <c r="L147">
        <v>2.956</v>
      </c>
      <c r="M147">
        <v>2.851</v>
      </c>
      <c r="N147">
        <v>2.5070000000000001</v>
      </c>
    </row>
    <row r="148" spans="3:14" x14ac:dyDescent="0.2">
      <c r="C148" s="1">
        <v>4</v>
      </c>
      <c r="D148">
        <v>2.6240000000000001</v>
      </c>
      <c r="E148">
        <v>2.544</v>
      </c>
      <c r="F148">
        <v>2.7789999999999999</v>
      </c>
      <c r="G148">
        <v>2.702</v>
      </c>
      <c r="H148">
        <v>2.7480000000000002</v>
      </c>
      <c r="I148">
        <v>2.8919999999999999</v>
      </c>
      <c r="J148">
        <v>2.7989999999999999</v>
      </c>
      <c r="K148">
        <v>2.9929999999999999</v>
      </c>
      <c r="L148">
        <v>3.0179999999999998</v>
      </c>
      <c r="M148">
        <v>2.8879999999999999</v>
      </c>
      <c r="N148">
        <v>2.5619999999999998</v>
      </c>
    </row>
    <row r="149" spans="3:14" x14ac:dyDescent="0.2">
      <c r="C149" s="1">
        <v>5</v>
      </c>
      <c r="D149">
        <v>2.734</v>
      </c>
      <c r="E149">
        <v>2.633</v>
      </c>
      <c r="F149">
        <v>2.86</v>
      </c>
      <c r="G149">
        <v>2.7719999999999998</v>
      </c>
      <c r="H149">
        <v>2.8140000000000001</v>
      </c>
      <c r="I149">
        <v>2.915</v>
      </c>
      <c r="J149">
        <v>2.81</v>
      </c>
      <c r="K149">
        <v>3.0110000000000001</v>
      </c>
      <c r="L149">
        <v>3.0339999999999998</v>
      </c>
      <c r="M149">
        <v>2.8959999999999999</v>
      </c>
      <c r="N149">
        <v>2.5720000000000001</v>
      </c>
    </row>
    <row r="150" spans="3:14" x14ac:dyDescent="0.2">
      <c r="C150" s="1">
        <v>6</v>
      </c>
      <c r="D150">
        <v>2.8079999999999998</v>
      </c>
      <c r="E150">
        <v>2.6909999999999998</v>
      </c>
      <c r="F150">
        <v>2.9159999999999999</v>
      </c>
      <c r="G150">
        <v>2.8239999999999998</v>
      </c>
      <c r="H150">
        <v>2.8439999999999999</v>
      </c>
      <c r="I150">
        <v>2.95</v>
      </c>
      <c r="J150">
        <v>2.8380000000000001</v>
      </c>
      <c r="K150">
        <v>3.04</v>
      </c>
      <c r="L150">
        <v>3.0739999999999998</v>
      </c>
      <c r="M150">
        <v>2.9220000000000002</v>
      </c>
      <c r="N150">
        <v>2.61</v>
      </c>
    </row>
    <row r="151" spans="3:14" x14ac:dyDescent="0.2">
      <c r="C151" s="1">
        <v>7</v>
      </c>
      <c r="D151">
        <v>2.8759999999999999</v>
      </c>
      <c r="E151">
        <v>2.7450000000000001</v>
      </c>
      <c r="F151">
        <v>2.9660000000000002</v>
      </c>
      <c r="G151">
        <v>2.8719999999999999</v>
      </c>
      <c r="H151">
        <v>2.8860000000000001</v>
      </c>
      <c r="I151">
        <v>2.9929999999999999</v>
      </c>
      <c r="J151">
        <v>2.8849999999999998</v>
      </c>
      <c r="K151">
        <v>3.0920000000000001</v>
      </c>
      <c r="L151">
        <v>3.141</v>
      </c>
      <c r="M151">
        <v>2.9729999999999999</v>
      </c>
      <c r="N151">
        <v>2.661</v>
      </c>
    </row>
    <row r="152" spans="3:14" x14ac:dyDescent="0.2">
      <c r="C152" s="1">
        <v>8</v>
      </c>
      <c r="D152">
        <v>2.923</v>
      </c>
      <c r="E152">
        <v>2.7930000000000001</v>
      </c>
      <c r="F152">
        <v>3.0049999999999999</v>
      </c>
      <c r="G152">
        <v>2.915</v>
      </c>
      <c r="H152">
        <v>2.9129999999999998</v>
      </c>
      <c r="I152">
        <v>3.0169999999999999</v>
      </c>
      <c r="J152">
        <v>2.9129999999999998</v>
      </c>
      <c r="K152">
        <v>3.113</v>
      </c>
      <c r="L152">
        <v>3.1789999999999998</v>
      </c>
      <c r="M152">
        <v>3.0190000000000001</v>
      </c>
      <c r="N152">
        <v>2.722</v>
      </c>
    </row>
    <row r="153" spans="3:14" x14ac:dyDescent="0.2">
      <c r="C153" s="1">
        <v>9</v>
      </c>
      <c r="D153">
        <v>2.9620000000000002</v>
      </c>
      <c r="E153">
        <v>2.8220000000000001</v>
      </c>
      <c r="F153">
        <v>3.04</v>
      </c>
      <c r="G153">
        <v>2.95</v>
      </c>
      <c r="H153">
        <v>2.944</v>
      </c>
      <c r="I153">
        <v>3.0459999999999998</v>
      </c>
      <c r="J153">
        <v>2.95</v>
      </c>
      <c r="K153">
        <v>3.1520000000000001</v>
      </c>
      <c r="L153">
        <v>3.2280000000000002</v>
      </c>
      <c r="M153">
        <v>3.093</v>
      </c>
      <c r="N153">
        <v>2.7810000000000001</v>
      </c>
    </row>
    <row r="154" spans="3:14" x14ac:dyDescent="0.2">
      <c r="C154" s="1">
        <v>10</v>
      </c>
      <c r="D154">
        <v>3.0089999999999999</v>
      </c>
      <c r="E154">
        <v>2.8620000000000001</v>
      </c>
      <c r="F154">
        <v>3.0649999999999999</v>
      </c>
      <c r="G154">
        <v>2.9710000000000001</v>
      </c>
      <c r="H154">
        <v>2.964</v>
      </c>
      <c r="I154">
        <v>3.0720000000000001</v>
      </c>
      <c r="J154">
        <v>2.9740000000000002</v>
      </c>
      <c r="K154">
        <v>3.1659999999999999</v>
      </c>
      <c r="L154">
        <v>3.2679999999999998</v>
      </c>
      <c r="M154">
        <v>3.125</v>
      </c>
      <c r="N154">
        <v>2.8260000000000001</v>
      </c>
    </row>
    <row r="155" spans="3:14" x14ac:dyDescent="0.2">
      <c r="C155" s="1">
        <v>11</v>
      </c>
      <c r="D155" s="4">
        <f>((D$231-D$226)/5)+D154</f>
        <v>2.9958339999999999</v>
      </c>
      <c r="E155" s="4">
        <f t="shared" ref="E155:N158" si="5">((E$231-E$226)/5)+E154</f>
        <v>2.8434236363636365</v>
      </c>
      <c r="F155" s="4">
        <f t="shared" si="5"/>
        <v>3.0384472727272729</v>
      </c>
      <c r="G155" s="4">
        <f t="shared" si="5"/>
        <v>2.9348761904761904</v>
      </c>
      <c r="H155" s="4">
        <f t="shared" si="5"/>
        <v>2.9273236363636363</v>
      </c>
      <c r="I155" s="4">
        <f t="shared" si="5"/>
        <v>3.0394939130434784</v>
      </c>
      <c r="J155" s="4">
        <f t="shared" si="5"/>
        <v>2.9337676190476194</v>
      </c>
      <c r="K155" s="4">
        <f t="shared" si="5"/>
        <v>3.1272727272727274</v>
      </c>
      <c r="L155" s="4">
        <f t="shared" si="5"/>
        <v>3.2270581818181814</v>
      </c>
      <c r="M155" s="4">
        <f t="shared" si="5"/>
        <v>3.0866628571428572</v>
      </c>
      <c r="N155" s="4">
        <f t="shared" si="5"/>
        <v>2.7904243478260873</v>
      </c>
    </row>
    <row r="156" spans="3:14" x14ac:dyDescent="0.2">
      <c r="C156" s="1">
        <v>12</v>
      </c>
      <c r="D156" s="4">
        <f>((D$231-D$226)/5)+D155</f>
        <v>2.9826679999999999</v>
      </c>
      <c r="E156" s="4">
        <f t="shared" si="5"/>
        <v>2.8248472727272729</v>
      </c>
      <c r="F156" s="4">
        <f t="shared" si="5"/>
        <v>3.0118945454545458</v>
      </c>
      <c r="G156" s="4">
        <f t="shared" si="5"/>
        <v>2.8987523809523807</v>
      </c>
      <c r="H156" s="4">
        <f t="shared" si="5"/>
        <v>2.8906472727272727</v>
      </c>
      <c r="I156" s="4">
        <f t="shared" si="5"/>
        <v>3.0069878260869567</v>
      </c>
      <c r="J156" s="4">
        <f t="shared" si="5"/>
        <v>2.8935352380952386</v>
      </c>
      <c r="K156" s="4">
        <f t="shared" si="5"/>
        <v>3.0885454545454549</v>
      </c>
      <c r="L156" s="4">
        <f t="shared" si="5"/>
        <v>3.186116363636363</v>
      </c>
      <c r="M156" s="4">
        <f t="shared" si="5"/>
        <v>3.0483257142857143</v>
      </c>
      <c r="N156" s="4">
        <f t="shared" si="5"/>
        <v>2.7548486956521745</v>
      </c>
    </row>
    <row r="157" spans="3:14" x14ac:dyDescent="0.2">
      <c r="C157" s="1">
        <v>13</v>
      </c>
      <c r="D157" s="4">
        <f>((D$231-D$226)/5)+D156</f>
        <v>2.9695019999999999</v>
      </c>
      <c r="E157" s="4">
        <f t="shared" si="5"/>
        <v>2.8062709090909093</v>
      </c>
      <c r="F157" s="4">
        <f t="shared" si="5"/>
        <v>2.9853418181818188</v>
      </c>
      <c r="G157" s="4">
        <f t="shared" si="5"/>
        <v>2.8626285714285711</v>
      </c>
      <c r="H157" s="4">
        <f t="shared" si="5"/>
        <v>2.8539709090909091</v>
      </c>
      <c r="I157" s="4">
        <f t="shared" si="5"/>
        <v>2.974481739130435</v>
      </c>
      <c r="J157" s="4">
        <f t="shared" si="5"/>
        <v>2.8533028571428578</v>
      </c>
      <c r="K157" s="4">
        <f t="shared" si="5"/>
        <v>3.0498181818181824</v>
      </c>
      <c r="L157" s="4">
        <f t="shared" si="5"/>
        <v>3.1451745454545446</v>
      </c>
      <c r="M157" s="4">
        <f t="shared" si="5"/>
        <v>3.0099885714285715</v>
      </c>
      <c r="N157" s="4">
        <f t="shared" si="5"/>
        <v>2.7192730434782617</v>
      </c>
    </row>
    <row r="158" spans="3:14" x14ac:dyDescent="0.2">
      <c r="C158" s="1">
        <v>14</v>
      </c>
      <c r="D158" s="4">
        <f>((D$231-D$226)/5)+D157</f>
        <v>2.9563359999999999</v>
      </c>
      <c r="E158" s="4">
        <f t="shared" si="5"/>
        <v>2.7876945454545456</v>
      </c>
      <c r="F158" s="4">
        <f t="shared" si="5"/>
        <v>2.9587890909090917</v>
      </c>
      <c r="G158" s="4">
        <f t="shared" si="5"/>
        <v>2.8265047619047614</v>
      </c>
      <c r="H158" s="4">
        <f t="shared" si="5"/>
        <v>2.8172945454545455</v>
      </c>
      <c r="I158" s="4">
        <f t="shared" si="5"/>
        <v>2.9419756521739133</v>
      </c>
      <c r="J158" s="4">
        <f t="shared" si="5"/>
        <v>2.813070476190477</v>
      </c>
      <c r="K158" s="4">
        <f t="shared" si="5"/>
        <v>3.0110909090909099</v>
      </c>
      <c r="L158" s="4">
        <f t="shared" si="5"/>
        <v>3.1042327272727261</v>
      </c>
      <c r="M158" s="4">
        <f t="shared" si="5"/>
        <v>2.9716514285714286</v>
      </c>
      <c r="N158" s="4">
        <f t="shared" si="5"/>
        <v>2.6836973913043489</v>
      </c>
    </row>
    <row r="159" spans="3:14" x14ac:dyDescent="0.2">
      <c r="C159" s="1">
        <v>15</v>
      </c>
      <c r="D159">
        <v>3.121</v>
      </c>
      <c r="E159">
        <v>2.9489999999999998</v>
      </c>
      <c r="F159">
        <v>3.1379999999999999</v>
      </c>
      <c r="G159">
        <v>3.0350000000000001</v>
      </c>
      <c r="H159">
        <v>3.0259999999999998</v>
      </c>
      <c r="I159">
        <v>3.1269999999999998</v>
      </c>
      <c r="J159">
        <v>3.036</v>
      </c>
      <c r="K159">
        <v>3.2309999999999999</v>
      </c>
      <c r="L159">
        <v>3.3580000000000001</v>
      </c>
      <c r="M159">
        <v>3.2269999999999999</v>
      </c>
      <c r="N159">
        <v>2.9159999999999999</v>
      </c>
    </row>
    <row r="160" spans="3:14" x14ac:dyDescent="0.2">
      <c r="C160" s="1">
        <v>16</v>
      </c>
      <c r="D160" s="4">
        <f>((D$236-D$231)/5)+D159</f>
        <v>3.1413700000000002</v>
      </c>
      <c r="E160" s="4">
        <f t="shared" ref="E160:N163" si="6">((E$236-E$231)/5)+E159</f>
        <v>2.9741163636363637</v>
      </c>
      <c r="F160" s="4">
        <f t="shared" si="6"/>
        <v>3.1640854545454546</v>
      </c>
      <c r="G160" s="4">
        <f t="shared" si="6"/>
        <v>3.0651009523809525</v>
      </c>
      <c r="H160" s="4">
        <f t="shared" si="6"/>
        <v>3.0586327272727272</v>
      </c>
      <c r="I160" s="4">
        <f t="shared" si="6"/>
        <v>3.1564365217391304</v>
      </c>
      <c r="J160" s="4">
        <f t="shared" si="6"/>
        <v>3.0665352380952382</v>
      </c>
      <c r="K160" s="4">
        <f t="shared" si="6"/>
        <v>3.2629418181818179</v>
      </c>
      <c r="L160" s="4">
        <f t="shared" si="6"/>
        <v>3.391678181818182</v>
      </c>
      <c r="M160" s="4">
        <f t="shared" si="6"/>
        <v>3.2593238095238095</v>
      </c>
      <c r="N160" s="4">
        <f t="shared" si="6"/>
        <v>2.9479043478260869</v>
      </c>
    </row>
    <row r="161" spans="2:14" x14ac:dyDescent="0.2">
      <c r="C161" s="1">
        <v>17</v>
      </c>
      <c r="D161" s="4">
        <f>((D$236-D$231)/5)+D160</f>
        <v>3.1617400000000004</v>
      </c>
      <c r="E161" s="4">
        <f t="shared" si="6"/>
        <v>2.9992327272727275</v>
      </c>
      <c r="F161" s="4">
        <f t="shared" si="6"/>
        <v>3.1901709090909094</v>
      </c>
      <c r="G161" s="4">
        <f t="shared" si="6"/>
        <v>3.0952019047619048</v>
      </c>
      <c r="H161" s="4">
        <f t="shared" si="6"/>
        <v>3.0912654545454545</v>
      </c>
      <c r="I161" s="4">
        <f t="shared" si="6"/>
        <v>3.1858730434782609</v>
      </c>
      <c r="J161" s="4">
        <f t="shared" si="6"/>
        <v>3.0970704761904764</v>
      </c>
      <c r="K161" s="4">
        <f t="shared" si="6"/>
        <v>3.294883636363636</v>
      </c>
      <c r="L161" s="4">
        <f t="shared" si="6"/>
        <v>3.425356363636364</v>
      </c>
      <c r="M161" s="4">
        <f t="shared" si="6"/>
        <v>3.2916476190476192</v>
      </c>
      <c r="N161" s="4">
        <f t="shared" si="6"/>
        <v>2.9798086956521739</v>
      </c>
    </row>
    <row r="162" spans="2:14" x14ac:dyDescent="0.2">
      <c r="C162" s="1">
        <v>18</v>
      </c>
      <c r="D162" s="4">
        <f>((D$236-D$231)/5)+D161</f>
        <v>3.1821100000000007</v>
      </c>
      <c r="E162" s="4">
        <f t="shared" si="6"/>
        <v>3.0243490909090913</v>
      </c>
      <c r="F162" s="4">
        <f t="shared" si="6"/>
        <v>3.2162563636363641</v>
      </c>
      <c r="G162" s="4">
        <f t="shared" si="6"/>
        <v>3.1253028571428572</v>
      </c>
      <c r="H162" s="4">
        <f t="shared" si="6"/>
        <v>3.1238981818181819</v>
      </c>
      <c r="I162" s="4">
        <f t="shared" si="6"/>
        <v>3.2153095652173915</v>
      </c>
      <c r="J162" s="4">
        <f t="shared" si="6"/>
        <v>3.1276057142857145</v>
      </c>
      <c r="K162" s="4">
        <f t="shared" si="6"/>
        <v>3.3268254545454541</v>
      </c>
      <c r="L162" s="4">
        <f t="shared" si="6"/>
        <v>3.4590345454545459</v>
      </c>
      <c r="M162" s="4">
        <f t="shared" si="6"/>
        <v>3.3239714285714288</v>
      </c>
      <c r="N162" s="4">
        <f t="shared" si="6"/>
        <v>3.0117130434782609</v>
      </c>
    </row>
    <row r="163" spans="2:14" x14ac:dyDescent="0.2">
      <c r="C163" s="1">
        <v>19</v>
      </c>
      <c r="D163" s="4">
        <f>((D$236-D$231)/5)+D162</f>
        <v>3.2024800000000009</v>
      </c>
      <c r="E163" s="4">
        <f t="shared" si="6"/>
        <v>3.0494654545454551</v>
      </c>
      <c r="F163" s="4">
        <f t="shared" si="6"/>
        <v>3.2423418181818189</v>
      </c>
      <c r="G163" s="4">
        <f t="shared" si="6"/>
        <v>3.1554038095238095</v>
      </c>
      <c r="H163" s="4">
        <f t="shared" si="6"/>
        <v>3.1565309090909093</v>
      </c>
      <c r="I163" s="4">
        <f t="shared" si="6"/>
        <v>3.2447460869565221</v>
      </c>
      <c r="J163" s="4">
        <f t="shared" si="6"/>
        <v>3.1581409523809527</v>
      </c>
      <c r="K163" s="4">
        <f t="shared" si="6"/>
        <v>3.3587672727272722</v>
      </c>
      <c r="L163" s="4">
        <f t="shared" si="6"/>
        <v>3.4927127272727279</v>
      </c>
      <c r="M163" s="4">
        <f t="shared" si="6"/>
        <v>3.3562952380952384</v>
      </c>
      <c r="N163" s="4">
        <f t="shared" si="6"/>
        <v>3.0436173913043478</v>
      </c>
    </row>
    <row r="164" spans="2:14" x14ac:dyDescent="0.2">
      <c r="C164" s="1">
        <v>20</v>
      </c>
      <c r="D164">
        <v>3.1520000000000001</v>
      </c>
      <c r="E164">
        <v>2.9809999999999999</v>
      </c>
      <c r="F164">
        <v>3.145</v>
      </c>
      <c r="G164">
        <v>3.0350000000000001</v>
      </c>
      <c r="H164">
        <v>3.0209999999999999</v>
      </c>
      <c r="I164">
        <v>3.129</v>
      </c>
      <c r="J164">
        <v>3.0510000000000002</v>
      </c>
      <c r="K164">
        <v>3.2589999999999999</v>
      </c>
      <c r="L164">
        <v>3.423</v>
      </c>
      <c r="M164">
        <v>3.0379999999999998</v>
      </c>
      <c r="N164">
        <v>3.0070000000000001</v>
      </c>
    </row>
    <row r="165" spans="2:14" x14ac:dyDescent="0.2">
      <c r="C165" s="1">
        <v>21</v>
      </c>
      <c r="D165" s="4">
        <f>((D$246-D$236)/10)+D164</f>
        <v>2.9597100000000003</v>
      </c>
      <c r="E165" s="4">
        <f t="shared" ref="E165:N173" si="7">((E$246-E$236)/10)+E164</f>
        <v>2.8414654545454545</v>
      </c>
      <c r="F165" s="4">
        <f t="shared" si="7"/>
        <v>3.0250609090909091</v>
      </c>
      <c r="G165" s="4">
        <f t="shared" si="7"/>
        <v>2.9082685714285716</v>
      </c>
      <c r="H165" s="4">
        <f t="shared" si="7"/>
        <v>2.8861272727272724</v>
      </c>
      <c r="I165" s="4">
        <f t="shared" si="7"/>
        <v>3.0116808695652173</v>
      </c>
      <c r="J165" s="4">
        <f t="shared" si="7"/>
        <v>2.9294180952380953</v>
      </c>
      <c r="K165" s="4">
        <f t="shared" si="7"/>
        <v>3.1297699999999997</v>
      </c>
      <c r="L165" s="4">
        <f t="shared" si="7"/>
        <v>3.280171818181818</v>
      </c>
      <c r="M165" s="4">
        <f t="shared" si="7"/>
        <v>2.8886038095238096</v>
      </c>
      <c r="N165" s="4">
        <f t="shared" si="7"/>
        <v>2.8514139130434786</v>
      </c>
    </row>
    <row r="166" spans="2:14" x14ac:dyDescent="0.2">
      <c r="C166" s="1">
        <v>22</v>
      </c>
      <c r="D166" s="4">
        <f t="shared" ref="D166:D173" si="8">((D$246-D$236)/10)+D165</f>
        <v>2.7674200000000004</v>
      </c>
      <c r="E166" s="4">
        <f t="shared" si="7"/>
        <v>2.7019309090909092</v>
      </c>
      <c r="F166" s="4">
        <f t="shared" si="7"/>
        <v>2.9051218181818181</v>
      </c>
      <c r="G166" s="4">
        <f t="shared" si="7"/>
        <v>2.7815371428571432</v>
      </c>
      <c r="H166" s="4">
        <f t="shared" si="7"/>
        <v>2.751254545454545</v>
      </c>
      <c r="I166" s="4">
        <f t="shared" si="7"/>
        <v>2.8943617391304346</v>
      </c>
      <c r="J166" s="4">
        <f t="shared" si="7"/>
        <v>2.8078361904761904</v>
      </c>
      <c r="K166" s="4">
        <f t="shared" si="7"/>
        <v>3.0005399999999995</v>
      </c>
      <c r="L166" s="4">
        <f t="shared" si="7"/>
        <v>3.137343636363636</v>
      </c>
      <c r="M166" s="4">
        <f t="shared" si="7"/>
        <v>2.7392076190476189</v>
      </c>
      <c r="N166" s="4">
        <f t="shared" si="7"/>
        <v>2.695827826086957</v>
      </c>
    </row>
    <row r="167" spans="2:14" x14ac:dyDescent="0.2">
      <c r="C167" s="1">
        <v>23</v>
      </c>
      <c r="D167" s="4">
        <f t="shared" si="8"/>
        <v>2.5751300000000006</v>
      </c>
      <c r="E167" s="4">
        <f t="shared" si="7"/>
        <v>2.5623963636363638</v>
      </c>
      <c r="F167" s="4">
        <f t="shared" si="7"/>
        <v>2.7851827272727272</v>
      </c>
      <c r="G167" s="4">
        <f t="shared" si="7"/>
        <v>2.6548057142857147</v>
      </c>
      <c r="H167" s="4">
        <f t="shared" si="7"/>
        <v>2.6163818181818175</v>
      </c>
      <c r="I167" s="4">
        <f t="shared" si="7"/>
        <v>2.7770426086956519</v>
      </c>
      <c r="J167" s="4">
        <f t="shared" si="7"/>
        <v>2.6862542857142855</v>
      </c>
      <c r="K167" s="4">
        <f t="shared" si="7"/>
        <v>2.8713099999999994</v>
      </c>
      <c r="L167" s="4">
        <f t="shared" si="7"/>
        <v>2.994515454545454</v>
      </c>
      <c r="M167" s="4">
        <f t="shared" si="7"/>
        <v>2.5898114285714282</v>
      </c>
      <c r="N167" s="4">
        <f t="shared" si="7"/>
        <v>2.5402417391304355</v>
      </c>
    </row>
    <row r="168" spans="2:14" x14ac:dyDescent="0.2">
      <c r="C168" s="1">
        <v>24</v>
      </c>
      <c r="D168" s="4">
        <f t="shared" si="8"/>
        <v>2.3828400000000007</v>
      </c>
      <c r="E168" s="4">
        <f t="shared" si="7"/>
        <v>2.4228618181818184</v>
      </c>
      <c r="F168" s="4">
        <f t="shared" si="7"/>
        <v>2.6652436363636363</v>
      </c>
      <c r="G168" s="4">
        <f t="shared" si="7"/>
        <v>2.5280742857142862</v>
      </c>
      <c r="H168" s="4">
        <f t="shared" si="7"/>
        <v>2.48150909090909</v>
      </c>
      <c r="I168" s="4">
        <f t="shared" si="7"/>
        <v>2.6597234782608692</v>
      </c>
      <c r="J168" s="4">
        <f t="shared" si="7"/>
        <v>2.5646723809523806</v>
      </c>
      <c r="K168" s="4">
        <f t="shared" si="7"/>
        <v>2.7420799999999992</v>
      </c>
      <c r="L168" s="4">
        <f t="shared" si="7"/>
        <v>2.851687272727272</v>
      </c>
      <c r="M168" s="4">
        <f t="shared" si="7"/>
        <v>2.4404152380952375</v>
      </c>
      <c r="N168" s="4">
        <f t="shared" si="7"/>
        <v>2.384655652173914</v>
      </c>
    </row>
    <row r="169" spans="2:14" x14ac:dyDescent="0.2">
      <c r="C169" s="1">
        <v>25</v>
      </c>
      <c r="D169" s="4">
        <f t="shared" si="8"/>
        <v>2.1905500000000009</v>
      </c>
      <c r="E169" s="4">
        <f t="shared" si="7"/>
        <v>2.2833272727272731</v>
      </c>
      <c r="F169" s="4">
        <f t="shared" si="7"/>
        <v>2.5453045454545453</v>
      </c>
      <c r="G169" s="4">
        <f t="shared" si="7"/>
        <v>2.4013428571428577</v>
      </c>
      <c r="H169" s="4">
        <f t="shared" si="7"/>
        <v>2.3466363636363625</v>
      </c>
      <c r="I169" s="4">
        <f t="shared" si="7"/>
        <v>2.5424043478260865</v>
      </c>
      <c r="J169" s="4">
        <f t="shared" si="7"/>
        <v>2.4430904761904757</v>
      </c>
      <c r="K169" s="4">
        <f t="shared" si="7"/>
        <v>2.612849999999999</v>
      </c>
      <c r="L169" s="4">
        <f t="shared" si="7"/>
        <v>2.7088590909090899</v>
      </c>
      <c r="M169" s="4">
        <f t="shared" si="7"/>
        <v>2.2910190476190468</v>
      </c>
      <c r="N169" s="4">
        <f t="shared" si="7"/>
        <v>2.2290695652173924</v>
      </c>
    </row>
    <row r="170" spans="2:14" x14ac:dyDescent="0.2">
      <c r="C170" s="1">
        <v>26</v>
      </c>
      <c r="D170" s="4">
        <f t="shared" si="8"/>
        <v>1.9982600000000008</v>
      </c>
      <c r="E170" s="4">
        <f t="shared" si="7"/>
        <v>2.1437927272727277</v>
      </c>
      <c r="F170" s="4">
        <f t="shared" si="7"/>
        <v>2.4253654545454544</v>
      </c>
      <c r="G170" s="4">
        <f t="shared" si="7"/>
        <v>2.2746114285714292</v>
      </c>
      <c r="H170" s="4">
        <f t="shared" si="7"/>
        <v>2.211763636363635</v>
      </c>
      <c r="I170" s="4">
        <f t="shared" si="7"/>
        <v>2.4250852173913038</v>
      </c>
      <c r="J170" s="4">
        <f t="shared" si="7"/>
        <v>2.3215085714285708</v>
      </c>
      <c r="K170" s="4">
        <f t="shared" si="7"/>
        <v>2.4836199999999988</v>
      </c>
      <c r="L170" s="4">
        <f t="shared" si="7"/>
        <v>2.5660309090909079</v>
      </c>
      <c r="M170" s="4">
        <f t="shared" si="7"/>
        <v>2.1416228571428562</v>
      </c>
      <c r="N170" s="4">
        <f t="shared" si="7"/>
        <v>2.0734834782608709</v>
      </c>
    </row>
    <row r="171" spans="2:14" x14ac:dyDescent="0.2">
      <c r="C171" s="1">
        <v>27</v>
      </c>
      <c r="D171" s="4">
        <f t="shared" si="8"/>
        <v>1.8059700000000007</v>
      </c>
      <c r="E171" s="4">
        <f t="shared" si="7"/>
        <v>2.0042581818181824</v>
      </c>
      <c r="F171" s="4">
        <f t="shared" si="7"/>
        <v>2.3054263636363634</v>
      </c>
      <c r="G171" s="4">
        <f t="shared" si="7"/>
        <v>2.1478800000000007</v>
      </c>
      <c r="H171" s="4">
        <f t="shared" si="7"/>
        <v>2.0768909090909076</v>
      </c>
      <c r="I171" s="4">
        <f t="shared" si="7"/>
        <v>2.3077660869565211</v>
      </c>
      <c r="J171" s="4">
        <f t="shared" si="7"/>
        <v>2.1999266666666659</v>
      </c>
      <c r="K171" s="4">
        <f t="shared" si="7"/>
        <v>2.3543899999999987</v>
      </c>
      <c r="L171" s="4">
        <f t="shared" si="7"/>
        <v>2.4232027272727259</v>
      </c>
      <c r="M171" s="4">
        <f t="shared" si="7"/>
        <v>1.9922266666666657</v>
      </c>
      <c r="N171" s="4">
        <f t="shared" si="7"/>
        <v>1.9178973913043491</v>
      </c>
    </row>
    <row r="172" spans="2:14" x14ac:dyDescent="0.2">
      <c r="C172" s="1">
        <v>28</v>
      </c>
      <c r="D172" s="4">
        <f t="shared" si="8"/>
        <v>1.6136800000000007</v>
      </c>
      <c r="E172" s="4">
        <f t="shared" si="7"/>
        <v>1.864723636363637</v>
      </c>
      <c r="F172" s="4">
        <f t="shared" si="7"/>
        <v>2.1854872727272725</v>
      </c>
      <c r="G172" s="4">
        <f t="shared" si="7"/>
        <v>2.0211485714285722</v>
      </c>
      <c r="H172" s="4">
        <f t="shared" si="7"/>
        <v>1.9420181818181803</v>
      </c>
      <c r="I172" s="4">
        <f t="shared" si="7"/>
        <v>2.1904469565217384</v>
      </c>
      <c r="J172" s="4">
        <f t="shared" si="7"/>
        <v>2.078344761904761</v>
      </c>
      <c r="K172" s="4">
        <f t="shared" si="7"/>
        <v>2.2251599999999985</v>
      </c>
      <c r="L172" s="4">
        <f t="shared" si="7"/>
        <v>2.2803745454545439</v>
      </c>
      <c r="M172" s="4">
        <f t="shared" si="7"/>
        <v>1.8428304761904752</v>
      </c>
      <c r="N172" s="4">
        <f t="shared" si="7"/>
        <v>1.7623113043478273</v>
      </c>
    </row>
    <row r="173" spans="2:14" x14ac:dyDescent="0.2">
      <c r="C173" s="1">
        <v>29</v>
      </c>
      <c r="D173" s="4">
        <f t="shared" si="8"/>
        <v>1.4213900000000006</v>
      </c>
      <c r="E173" s="4">
        <f t="shared" si="7"/>
        <v>1.7251890909090917</v>
      </c>
      <c r="F173" s="4">
        <f t="shared" si="7"/>
        <v>2.0655481818181816</v>
      </c>
      <c r="G173" s="4">
        <f t="shared" si="7"/>
        <v>1.8944171428571437</v>
      </c>
      <c r="H173" s="4">
        <f t="shared" si="7"/>
        <v>1.8071454545454531</v>
      </c>
      <c r="I173" s="4">
        <f t="shared" si="7"/>
        <v>2.0731278260869557</v>
      </c>
      <c r="J173" s="4">
        <f t="shared" si="7"/>
        <v>1.9567628571428564</v>
      </c>
      <c r="K173" s="4">
        <f t="shared" si="7"/>
        <v>2.0959299999999983</v>
      </c>
      <c r="L173" s="4">
        <f t="shared" si="7"/>
        <v>2.1375463636363619</v>
      </c>
      <c r="M173" s="4">
        <f t="shared" si="7"/>
        <v>1.6934342857142848</v>
      </c>
      <c r="N173" s="4">
        <f t="shared" si="7"/>
        <v>1.6067252173913056</v>
      </c>
    </row>
    <row r="174" spans="2:14" x14ac:dyDescent="0.2">
      <c r="C174" s="1">
        <v>30</v>
      </c>
      <c r="D174">
        <v>3.1812999999999998</v>
      </c>
      <c r="E174">
        <v>3.0162</v>
      </c>
      <c r="F174">
        <v>3.1469</v>
      </c>
      <c r="G174">
        <v>3.0497999999999998</v>
      </c>
      <c r="H174">
        <v>3.0125000000000002</v>
      </c>
      <c r="I174">
        <v>3.0981999999999998</v>
      </c>
      <c r="J174">
        <v>3.0550999999999999</v>
      </c>
      <c r="K174">
        <v>3.2393000000000001</v>
      </c>
      <c r="L174">
        <v>3.4554</v>
      </c>
      <c r="M174">
        <v>3.3515000000000001</v>
      </c>
      <c r="N174">
        <v>3.0912999999999999</v>
      </c>
    </row>
    <row r="175" spans="2:14" x14ac:dyDescent="0.2">
      <c r="C175" s="1"/>
      <c r="D175" s="4"/>
      <c r="E175" s="4"/>
      <c r="F175" s="4"/>
      <c r="G175" s="4"/>
      <c r="H175" s="4"/>
      <c r="I175" s="4"/>
      <c r="J175" s="4"/>
      <c r="K175" s="4"/>
      <c r="L175" s="4"/>
      <c r="M175" s="4"/>
      <c r="N175" s="4"/>
    </row>
    <row r="176" spans="2:14" x14ac:dyDescent="0.2">
      <c r="B176">
        <v>2019</v>
      </c>
    </row>
    <row r="177" spans="3:14" x14ac:dyDescent="0.2">
      <c r="C177" s="1"/>
      <c r="D177" s="1"/>
      <c r="E177" s="1" t="s">
        <v>130</v>
      </c>
      <c r="F177" s="1"/>
      <c r="G177" s="1"/>
      <c r="H177" s="1" t="s">
        <v>131</v>
      </c>
      <c r="I177" s="1"/>
      <c r="J177" s="1" t="s">
        <v>132</v>
      </c>
      <c r="K177" s="1" t="s">
        <v>133</v>
      </c>
      <c r="L177" s="1"/>
      <c r="M177" s="1"/>
      <c r="N177" s="1" t="s">
        <v>134</v>
      </c>
    </row>
    <row r="180" spans="3:14" x14ac:dyDescent="0.2">
      <c r="C180" s="1">
        <v>1</v>
      </c>
      <c r="D180">
        <v>2.5680000000000001</v>
      </c>
      <c r="E180">
        <v>2.3380000000000001</v>
      </c>
      <c r="F180">
        <v>2.2949999999999999</v>
      </c>
      <c r="G180">
        <v>2.101</v>
      </c>
      <c r="H180">
        <v>1.8939999999999999</v>
      </c>
      <c r="I180">
        <v>2.0299999999999998</v>
      </c>
      <c r="J180">
        <v>1.7709999999999999</v>
      </c>
      <c r="K180">
        <v>1.867</v>
      </c>
      <c r="L180">
        <v>1.6859999999999999</v>
      </c>
      <c r="M180">
        <v>1.702</v>
      </c>
      <c r="N180">
        <v>1.657</v>
      </c>
    </row>
    <row r="181" spans="3:14" x14ac:dyDescent="0.2">
      <c r="C181" s="1">
        <v>2</v>
      </c>
      <c r="D181">
        <v>2.573</v>
      </c>
      <c r="E181">
        <v>2.3340000000000001</v>
      </c>
      <c r="F181">
        <v>2.335</v>
      </c>
      <c r="G181">
        <v>1.994</v>
      </c>
      <c r="H181">
        <v>1.849</v>
      </c>
      <c r="I181">
        <v>1.9490000000000001</v>
      </c>
      <c r="J181">
        <v>1.5760000000000001</v>
      </c>
      <c r="K181">
        <v>1.7030000000000001</v>
      </c>
      <c r="L181">
        <v>1.613</v>
      </c>
      <c r="M181">
        <v>1.71</v>
      </c>
      <c r="N181">
        <v>1.65</v>
      </c>
    </row>
    <row r="182" spans="3:14" x14ac:dyDescent="0.2">
      <c r="C182" s="1">
        <v>3</v>
      </c>
      <c r="D182">
        <v>2.5640000000000001</v>
      </c>
      <c r="E182">
        <v>2.2839999999999998</v>
      </c>
      <c r="F182">
        <v>2.3119999999999998</v>
      </c>
      <c r="G182">
        <v>1.95</v>
      </c>
      <c r="H182">
        <v>1.794</v>
      </c>
      <c r="I182">
        <v>1.895</v>
      </c>
      <c r="J182">
        <v>1.492</v>
      </c>
      <c r="K182">
        <v>1.629</v>
      </c>
      <c r="L182">
        <v>1.579</v>
      </c>
      <c r="M182">
        <v>1.6879999999999999</v>
      </c>
      <c r="N182">
        <v>1.673</v>
      </c>
    </row>
    <row r="183" spans="3:14" x14ac:dyDescent="0.2">
      <c r="C183" s="1">
        <v>4</v>
      </c>
      <c r="D183">
        <v>2.5910000000000002</v>
      </c>
      <c r="E183">
        <v>2.2959999999999998</v>
      </c>
      <c r="F183">
        <v>2.33</v>
      </c>
      <c r="G183">
        <v>1.9670000000000001</v>
      </c>
      <c r="H183">
        <v>1.8049999999999999</v>
      </c>
      <c r="I183">
        <v>1.877</v>
      </c>
      <c r="J183">
        <v>1.4570000000000001</v>
      </c>
      <c r="K183">
        <v>1.611</v>
      </c>
      <c r="L183">
        <v>1.5940000000000001</v>
      </c>
      <c r="M183">
        <v>1.7110000000000001</v>
      </c>
      <c r="N183">
        <v>1.742</v>
      </c>
    </row>
    <row r="184" spans="3:14" x14ac:dyDescent="0.2">
      <c r="C184" s="1">
        <v>5</v>
      </c>
      <c r="D184">
        <v>2.6</v>
      </c>
      <c r="E184">
        <v>2.3069999999999999</v>
      </c>
      <c r="F184">
        <v>2.3570000000000002</v>
      </c>
      <c r="G184">
        <v>2.0049999999999999</v>
      </c>
      <c r="H184">
        <v>1.8420000000000001</v>
      </c>
      <c r="I184">
        <v>1.9</v>
      </c>
      <c r="J184">
        <v>1.4610000000000001</v>
      </c>
      <c r="K184">
        <v>1.6220000000000001</v>
      </c>
      <c r="L184">
        <v>1.6279999999999999</v>
      </c>
      <c r="M184">
        <v>1.7470000000000001</v>
      </c>
      <c r="N184">
        <v>1.8149999999999999</v>
      </c>
    </row>
    <row r="185" spans="3:14" x14ac:dyDescent="0.2">
      <c r="C185" s="1">
        <v>6</v>
      </c>
      <c r="D185">
        <v>2.6659999999999999</v>
      </c>
      <c r="E185">
        <v>2.3660000000000001</v>
      </c>
      <c r="F185">
        <v>2.4340000000000002</v>
      </c>
      <c r="G185">
        <v>2.0590000000000002</v>
      </c>
      <c r="H185">
        <v>1.903</v>
      </c>
      <c r="I185">
        <v>1.9370000000000001</v>
      </c>
      <c r="J185">
        <v>1.4950000000000001</v>
      </c>
      <c r="K185">
        <v>1.659</v>
      </c>
      <c r="L185">
        <v>1.659</v>
      </c>
      <c r="M185">
        <v>1.8</v>
      </c>
      <c r="N185">
        <v>1.883</v>
      </c>
    </row>
    <row r="186" spans="3:14" x14ac:dyDescent="0.2">
      <c r="C186" s="1">
        <v>7</v>
      </c>
      <c r="D186">
        <v>2.7170000000000001</v>
      </c>
      <c r="E186">
        <v>2.41</v>
      </c>
      <c r="F186">
        <v>2.4910000000000001</v>
      </c>
      <c r="G186">
        <v>2.109</v>
      </c>
      <c r="H186">
        <v>1.958</v>
      </c>
      <c r="I186">
        <v>1.9910000000000001</v>
      </c>
      <c r="J186">
        <v>1.516</v>
      </c>
      <c r="K186">
        <v>1.6879999999999999</v>
      </c>
      <c r="L186">
        <v>1.7110000000000001</v>
      </c>
      <c r="M186">
        <v>1.843</v>
      </c>
      <c r="N186">
        <v>1.9490000000000001</v>
      </c>
    </row>
    <row r="187" spans="3:14" x14ac:dyDescent="0.2">
      <c r="C187" s="1">
        <v>8</v>
      </c>
      <c r="D187">
        <v>2.766</v>
      </c>
      <c r="E187">
        <v>2.4569999999999999</v>
      </c>
      <c r="F187">
        <v>2.5569999999999999</v>
      </c>
      <c r="G187">
        <v>2.1680000000000001</v>
      </c>
      <c r="H187">
        <v>2.0249999999999999</v>
      </c>
      <c r="I187">
        <v>2.0449999999999999</v>
      </c>
      <c r="J187">
        <v>1.546</v>
      </c>
      <c r="K187">
        <v>1.7110000000000001</v>
      </c>
      <c r="L187">
        <v>1.7470000000000001</v>
      </c>
      <c r="M187">
        <v>1.87</v>
      </c>
      <c r="N187">
        <v>2</v>
      </c>
    </row>
    <row r="188" spans="3:14" x14ac:dyDescent="0.2">
      <c r="C188" s="1">
        <v>9</v>
      </c>
      <c r="D188">
        <v>2.8130000000000002</v>
      </c>
      <c r="E188">
        <v>2.4950000000000001</v>
      </c>
      <c r="F188">
        <v>2.59</v>
      </c>
      <c r="G188">
        <v>2.2160000000000002</v>
      </c>
      <c r="H188">
        <v>2.0739999999999998</v>
      </c>
      <c r="I188">
        <v>2.085</v>
      </c>
      <c r="J188">
        <v>1.5780000000000001</v>
      </c>
      <c r="K188">
        <v>1.7410000000000001</v>
      </c>
      <c r="L188">
        <v>1.7949999999999999</v>
      </c>
      <c r="M188">
        <v>1.9039999999999999</v>
      </c>
      <c r="N188">
        <v>2.052</v>
      </c>
    </row>
    <row r="189" spans="3:14" x14ac:dyDescent="0.2">
      <c r="C189" s="1">
        <v>10</v>
      </c>
      <c r="D189">
        <v>2.8530000000000002</v>
      </c>
      <c r="E189">
        <v>2.5329999999999999</v>
      </c>
      <c r="F189">
        <v>2.629</v>
      </c>
      <c r="G189">
        <v>2.2450000000000001</v>
      </c>
      <c r="H189">
        <v>2.1259999999999999</v>
      </c>
      <c r="I189">
        <v>2.1230000000000002</v>
      </c>
      <c r="J189">
        <v>1.613</v>
      </c>
      <c r="K189">
        <v>1.7889999999999999</v>
      </c>
      <c r="L189">
        <v>1.83</v>
      </c>
      <c r="M189">
        <v>1.9379999999999999</v>
      </c>
      <c r="N189">
        <v>2.093</v>
      </c>
    </row>
    <row r="190" spans="3:14" x14ac:dyDescent="0.2">
      <c r="C190" s="1">
        <v>11</v>
      </c>
      <c r="D190" s="4">
        <v>2.8800000000000003</v>
      </c>
      <c r="E190" s="4">
        <v>2.5667999999999997</v>
      </c>
      <c r="F190" s="4">
        <v>2.6671999999999998</v>
      </c>
      <c r="G190" s="4">
        <v>2.2856000000000001</v>
      </c>
      <c r="H190" s="4">
        <v>2.1722000000000001</v>
      </c>
      <c r="I190" s="4">
        <v>2.169</v>
      </c>
      <c r="J190" s="4">
        <v>1.6537999999999999</v>
      </c>
      <c r="K190" s="4">
        <v>1.8251999999999999</v>
      </c>
      <c r="L190" s="4">
        <v>1.873</v>
      </c>
      <c r="M190" s="4">
        <v>1.9762</v>
      </c>
      <c r="N190" s="4">
        <v>2.1368</v>
      </c>
    </row>
    <row r="191" spans="3:14" x14ac:dyDescent="0.2">
      <c r="C191" s="1">
        <v>12</v>
      </c>
      <c r="D191" s="4">
        <v>2.9070000000000005</v>
      </c>
      <c r="E191" s="4">
        <v>2.6005999999999996</v>
      </c>
      <c r="F191" s="4">
        <v>2.7053999999999996</v>
      </c>
      <c r="G191" s="4">
        <v>2.3262</v>
      </c>
      <c r="H191" s="4">
        <v>2.2184000000000004</v>
      </c>
      <c r="I191" s="4">
        <v>2.2149999999999999</v>
      </c>
      <c r="J191" s="4">
        <v>1.6945999999999999</v>
      </c>
      <c r="K191" s="4">
        <v>1.8613999999999999</v>
      </c>
      <c r="L191" s="4">
        <v>1.9159999999999999</v>
      </c>
      <c r="M191" s="4">
        <v>2.0144000000000002</v>
      </c>
      <c r="N191" s="4">
        <v>2.1806000000000001</v>
      </c>
    </row>
    <row r="192" spans="3:14" x14ac:dyDescent="0.2">
      <c r="C192" s="1">
        <v>13</v>
      </c>
      <c r="D192" s="4">
        <v>2.9340000000000006</v>
      </c>
      <c r="E192" s="4">
        <v>2.6343999999999994</v>
      </c>
      <c r="F192" s="4">
        <v>2.7435999999999994</v>
      </c>
      <c r="G192" s="4">
        <v>2.3668</v>
      </c>
      <c r="H192" s="4">
        <v>2.2646000000000006</v>
      </c>
      <c r="I192" s="4">
        <v>2.2609999999999997</v>
      </c>
      <c r="J192" s="4">
        <v>1.7353999999999998</v>
      </c>
      <c r="K192" s="4">
        <v>1.8976</v>
      </c>
      <c r="L192" s="4">
        <v>1.9589999999999999</v>
      </c>
      <c r="M192" s="4">
        <v>2.0526</v>
      </c>
      <c r="N192" s="4">
        <v>2.2244000000000002</v>
      </c>
    </row>
    <row r="193" spans="3:14" x14ac:dyDescent="0.2">
      <c r="C193" s="1">
        <v>14</v>
      </c>
      <c r="D193" s="4">
        <v>2.9610000000000007</v>
      </c>
      <c r="E193" s="4">
        <v>2.6681999999999992</v>
      </c>
      <c r="F193" s="4">
        <v>2.7817999999999992</v>
      </c>
      <c r="G193" s="4">
        <v>2.4074</v>
      </c>
      <c r="H193" s="4">
        <v>2.3108000000000009</v>
      </c>
      <c r="I193" s="4">
        <v>2.3069999999999995</v>
      </c>
      <c r="J193" s="4">
        <v>1.7761999999999998</v>
      </c>
      <c r="K193" s="4">
        <v>1.9338</v>
      </c>
      <c r="L193" s="4">
        <v>2.0019999999999998</v>
      </c>
      <c r="M193" s="4">
        <v>2.0907999999999998</v>
      </c>
      <c r="N193" s="4">
        <v>2.2682000000000002</v>
      </c>
    </row>
    <row r="194" spans="3:14" x14ac:dyDescent="0.2">
      <c r="C194" s="1">
        <v>15</v>
      </c>
      <c r="D194">
        <v>2.988</v>
      </c>
      <c r="E194">
        <v>2.702</v>
      </c>
      <c r="F194">
        <v>2.82</v>
      </c>
      <c r="G194">
        <v>2.448</v>
      </c>
      <c r="H194">
        <v>2.3570000000000002</v>
      </c>
      <c r="I194">
        <v>2.3530000000000002</v>
      </c>
      <c r="J194">
        <v>1.8169999999999999</v>
      </c>
      <c r="K194">
        <v>1.97</v>
      </c>
      <c r="L194">
        <v>2.0449999999999999</v>
      </c>
      <c r="M194">
        <v>2.129</v>
      </c>
      <c r="N194">
        <v>2.3119999999999998</v>
      </c>
    </row>
    <row r="195" spans="3:14" x14ac:dyDescent="0.2">
      <c r="C195" s="1">
        <v>16</v>
      </c>
      <c r="D195" s="4">
        <v>3.0053999999999998</v>
      </c>
      <c r="E195" s="4">
        <v>2.7202000000000002</v>
      </c>
      <c r="F195" s="4">
        <v>2.8403999999999998</v>
      </c>
      <c r="G195" s="4">
        <v>2.4718</v>
      </c>
      <c r="H195" s="4">
        <v>2.3874</v>
      </c>
      <c r="I195" s="4">
        <v>2.3848000000000003</v>
      </c>
      <c r="J195" s="4">
        <v>1.8464</v>
      </c>
      <c r="K195" s="4">
        <v>1.9976</v>
      </c>
      <c r="L195" s="4">
        <v>2.0777999999999999</v>
      </c>
      <c r="M195" s="4">
        <v>2.1579999999999999</v>
      </c>
      <c r="N195" s="4">
        <v>2.3439999999999999</v>
      </c>
    </row>
    <row r="196" spans="3:14" x14ac:dyDescent="0.2">
      <c r="C196" s="1">
        <v>17</v>
      </c>
      <c r="D196" s="4">
        <v>3.0227999999999997</v>
      </c>
      <c r="E196" s="4">
        <v>2.7384000000000004</v>
      </c>
      <c r="F196" s="4">
        <v>2.8607999999999998</v>
      </c>
      <c r="G196" s="4">
        <v>2.4956</v>
      </c>
      <c r="H196" s="4">
        <v>2.4177999999999997</v>
      </c>
      <c r="I196" s="4">
        <v>2.4166000000000003</v>
      </c>
      <c r="J196" s="4">
        <v>1.8758000000000001</v>
      </c>
      <c r="K196" s="4">
        <v>2.0251999999999999</v>
      </c>
      <c r="L196" s="4">
        <v>2.1105999999999998</v>
      </c>
      <c r="M196" s="4">
        <v>2.1869999999999998</v>
      </c>
      <c r="N196" s="4">
        <v>2.3759999999999999</v>
      </c>
    </row>
    <row r="197" spans="3:14" x14ac:dyDescent="0.2">
      <c r="C197" s="1">
        <v>18</v>
      </c>
      <c r="D197" s="4">
        <v>3.0401999999999996</v>
      </c>
      <c r="E197" s="4">
        <v>2.7566000000000006</v>
      </c>
      <c r="F197" s="4">
        <v>2.8811999999999998</v>
      </c>
      <c r="G197" s="4">
        <v>2.5194000000000001</v>
      </c>
      <c r="H197" s="4">
        <v>2.4481999999999995</v>
      </c>
      <c r="I197" s="4">
        <v>2.4484000000000004</v>
      </c>
      <c r="J197" s="4">
        <v>1.9052000000000002</v>
      </c>
      <c r="K197" s="4">
        <v>2.0528</v>
      </c>
      <c r="L197" s="4">
        <v>2.1433999999999997</v>
      </c>
      <c r="M197" s="4">
        <v>2.2159999999999997</v>
      </c>
      <c r="N197" s="4">
        <v>2.4079999999999999</v>
      </c>
    </row>
    <row r="198" spans="3:14" x14ac:dyDescent="0.2">
      <c r="C198" s="1">
        <v>19</v>
      </c>
      <c r="D198" s="4">
        <v>3.0575999999999994</v>
      </c>
      <c r="E198" s="4">
        <v>2.7748000000000008</v>
      </c>
      <c r="F198" s="4">
        <v>2.9015999999999997</v>
      </c>
      <c r="G198" s="4">
        <v>2.5432000000000001</v>
      </c>
      <c r="H198" s="4">
        <v>2.4785999999999992</v>
      </c>
      <c r="I198" s="4">
        <v>2.4802000000000004</v>
      </c>
      <c r="J198" s="4">
        <v>1.9346000000000003</v>
      </c>
      <c r="K198" s="4">
        <v>2.0804</v>
      </c>
      <c r="L198" s="4">
        <v>2.1761999999999997</v>
      </c>
      <c r="M198" s="4">
        <v>2.2449999999999997</v>
      </c>
      <c r="N198" s="4">
        <v>2.44</v>
      </c>
    </row>
    <row r="199" spans="3:14" x14ac:dyDescent="0.2">
      <c r="C199" s="1">
        <v>20</v>
      </c>
      <c r="D199">
        <v>3.0750000000000002</v>
      </c>
      <c r="E199">
        <v>2.7930000000000001</v>
      </c>
      <c r="F199">
        <v>2.9220000000000002</v>
      </c>
      <c r="G199">
        <v>2.5670000000000002</v>
      </c>
      <c r="H199">
        <v>2.5089999999999999</v>
      </c>
      <c r="I199">
        <v>2.512</v>
      </c>
      <c r="J199">
        <v>1.964</v>
      </c>
      <c r="K199">
        <v>2.1080000000000001</v>
      </c>
      <c r="L199">
        <v>2.2090000000000001</v>
      </c>
      <c r="M199">
        <v>2.274</v>
      </c>
      <c r="N199">
        <v>2.472</v>
      </c>
    </row>
    <row r="200" spans="3:14" x14ac:dyDescent="0.2">
      <c r="C200" s="1">
        <v>21</v>
      </c>
      <c r="D200" s="4">
        <v>3.0853999999999999</v>
      </c>
      <c r="E200" s="4">
        <v>2.8068</v>
      </c>
      <c r="F200" s="4">
        <v>2.9359999999999999</v>
      </c>
      <c r="G200" s="4">
        <v>2.5775000000000001</v>
      </c>
      <c r="H200" s="4">
        <v>2.5236000000000001</v>
      </c>
      <c r="I200" s="4">
        <v>2.5246</v>
      </c>
      <c r="J200" s="4">
        <v>1.9807999999999999</v>
      </c>
      <c r="K200" s="4">
        <v>2.1172</v>
      </c>
      <c r="L200" s="4">
        <v>2.2158000000000002</v>
      </c>
      <c r="M200" s="4">
        <v>2.2787000000000002</v>
      </c>
      <c r="N200" s="4">
        <v>2.4731000000000001</v>
      </c>
    </row>
    <row r="201" spans="3:14" x14ac:dyDescent="0.2">
      <c r="C201" s="1">
        <v>22</v>
      </c>
      <c r="D201" s="4">
        <v>3.0957999999999997</v>
      </c>
      <c r="E201" s="4">
        <v>2.8205999999999998</v>
      </c>
      <c r="F201" s="4">
        <v>2.9499999999999997</v>
      </c>
      <c r="G201" s="4">
        <v>2.5880000000000001</v>
      </c>
      <c r="H201" s="4">
        <v>2.5382000000000002</v>
      </c>
      <c r="I201" s="4">
        <v>2.5371999999999999</v>
      </c>
      <c r="J201" s="4">
        <v>1.9975999999999998</v>
      </c>
      <c r="K201" s="4">
        <v>2.1263999999999998</v>
      </c>
      <c r="L201" s="4">
        <v>2.2226000000000004</v>
      </c>
      <c r="M201" s="4">
        <v>2.2834000000000003</v>
      </c>
      <c r="N201" s="4">
        <v>2.4742000000000002</v>
      </c>
    </row>
    <row r="202" spans="3:14" x14ac:dyDescent="0.2">
      <c r="C202" s="1">
        <v>23</v>
      </c>
      <c r="D202" s="4">
        <v>3.1061999999999994</v>
      </c>
      <c r="E202" s="4">
        <v>2.8343999999999996</v>
      </c>
      <c r="F202" s="4">
        <v>2.9639999999999995</v>
      </c>
      <c r="G202" s="4">
        <v>2.5985</v>
      </c>
      <c r="H202" s="4">
        <v>2.5528000000000004</v>
      </c>
      <c r="I202" s="4">
        <v>2.5497999999999998</v>
      </c>
      <c r="J202" s="4">
        <v>2.0143999999999997</v>
      </c>
      <c r="K202" s="4">
        <v>2.1355999999999997</v>
      </c>
      <c r="L202" s="4">
        <v>2.2294000000000005</v>
      </c>
      <c r="M202" s="4">
        <v>2.2881000000000005</v>
      </c>
      <c r="N202" s="4">
        <v>2.4753000000000003</v>
      </c>
    </row>
    <row r="203" spans="3:14" x14ac:dyDescent="0.2">
      <c r="C203" s="1">
        <v>24</v>
      </c>
      <c r="D203" s="4">
        <v>3.1165999999999991</v>
      </c>
      <c r="E203" s="4">
        <v>2.8481999999999994</v>
      </c>
      <c r="F203" s="4">
        <v>2.9779999999999993</v>
      </c>
      <c r="G203" s="4">
        <v>2.609</v>
      </c>
      <c r="H203" s="4">
        <v>2.5674000000000006</v>
      </c>
      <c r="I203" s="4">
        <v>2.5623999999999998</v>
      </c>
      <c r="J203" s="4">
        <v>2.0311999999999997</v>
      </c>
      <c r="K203" s="4">
        <v>2.1447999999999996</v>
      </c>
      <c r="L203" s="4">
        <v>2.2362000000000006</v>
      </c>
      <c r="M203" s="4">
        <v>2.2928000000000006</v>
      </c>
      <c r="N203" s="4">
        <v>2.4764000000000004</v>
      </c>
    </row>
    <row r="204" spans="3:14" x14ac:dyDescent="0.2">
      <c r="C204" s="1">
        <v>25</v>
      </c>
      <c r="D204" s="4">
        <v>3.1269999999999989</v>
      </c>
      <c r="E204" s="4">
        <v>2.8619999999999992</v>
      </c>
      <c r="F204" s="4">
        <v>2.9919999999999991</v>
      </c>
      <c r="G204" s="4">
        <v>2.6194999999999999</v>
      </c>
      <c r="H204" s="4">
        <v>2.5820000000000007</v>
      </c>
      <c r="I204" s="4">
        <v>2.5749999999999997</v>
      </c>
      <c r="J204" s="4">
        <v>2.0479999999999996</v>
      </c>
      <c r="K204" s="4">
        <v>2.1539999999999995</v>
      </c>
      <c r="L204" s="4">
        <v>2.2430000000000008</v>
      </c>
      <c r="M204" s="4">
        <v>2.2975000000000008</v>
      </c>
      <c r="N204" s="4">
        <v>2.4775000000000005</v>
      </c>
    </row>
    <row r="205" spans="3:14" x14ac:dyDescent="0.2">
      <c r="C205" s="1">
        <v>26</v>
      </c>
      <c r="D205" s="4">
        <v>3.1373999999999986</v>
      </c>
      <c r="E205" s="4">
        <v>2.875799999999999</v>
      </c>
      <c r="F205" s="4">
        <v>3.0059999999999989</v>
      </c>
      <c r="G205" s="4">
        <v>2.63</v>
      </c>
      <c r="H205" s="4">
        <v>2.5966000000000009</v>
      </c>
      <c r="I205" s="4">
        <v>2.5875999999999997</v>
      </c>
      <c r="J205" s="4">
        <v>2.0647999999999995</v>
      </c>
      <c r="K205" s="4">
        <v>2.1631999999999993</v>
      </c>
      <c r="L205" s="4">
        <v>2.2498000000000009</v>
      </c>
      <c r="M205" s="4">
        <v>2.3022000000000009</v>
      </c>
      <c r="N205" s="4">
        <v>2.4786000000000006</v>
      </c>
    </row>
    <row r="206" spans="3:14" x14ac:dyDescent="0.2">
      <c r="C206" s="1">
        <v>27</v>
      </c>
      <c r="D206" s="4">
        <v>3.1477999999999984</v>
      </c>
      <c r="E206" s="4">
        <v>2.8895999999999988</v>
      </c>
      <c r="F206" s="4">
        <v>3.0199999999999987</v>
      </c>
      <c r="G206" s="4">
        <v>2.6404999999999998</v>
      </c>
      <c r="H206" s="4">
        <v>2.6112000000000011</v>
      </c>
      <c r="I206" s="4">
        <v>2.6001999999999996</v>
      </c>
      <c r="J206" s="4">
        <v>2.0815999999999995</v>
      </c>
      <c r="K206" s="4">
        <v>2.1723999999999992</v>
      </c>
      <c r="L206" s="4">
        <v>2.256600000000001</v>
      </c>
      <c r="M206" s="4">
        <v>2.3069000000000011</v>
      </c>
      <c r="N206" s="4">
        <v>2.4797000000000007</v>
      </c>
    </row>
    <row r="207" spans="3:14" x14ac:dyDescent="0.2">
      <c r="C207" s="1">
        <v>28</v>
      </c>
      <c r="D207" s="4">
        <v>3.1581999999999981</v>
      </c>
      <c r="E207" s="4">
        <v>2.9033999999999986</v>
      </c>
      <c r="F207" s="4">
        <v>3.0339999999999985</v>
      </c>
      <c r="G207" s="4">
        <v>2.6509999999999998</v>
      </c>
      <c r="H207" s="4">
        <v>2.6258000000000012</v>
      </c>
      <c r="I207" s="4">
        <v>2.6127999999999996</v>
      </c>
      <c r="J207" s="4">
        <v>2.0983999999999994</v>
      </c>
      <c r="K207" s="4">
        <v>2.1815999999999991</v>
      </c>
      <c r="L207" s="4">
        <v>2.2634000000000012</v>
      </c>
      <c r="M207" s="4">
        <v>2.3116000000000012</v>
      </c>
      <c r="N207" s="4">
        <v>2.4808000000000008</v>
      </c>
    </row>
    <row r="208" spans="3:14" x14ac:dyDescent="0.2">
      <c r="C208" s="1">
        <v>29</v>
      </c>
      <c r="D208" s="4">
        <v>3.1685999999999979</v>
      </c>
      <c r="E208" s="4">
        <v>2.9171999999999985</v>
      </c>
      <c r="F208" s="4">
        <v>3.0479999999999983</v>
      </c>
      <c r="G208" s="4">
        <v>2.6614999999999998</v>
      </c>
      <c r="H208" s="4">
        <v>2.6404000000000014</v>
      </c>
      <c r="I208" s="4">
        <v>2.6253999999999995</v>
      </c>
      <c r="J208" s="4">
        <v>2.1151999999999993</v>
      </c>
      <c r="K208" s="4">
        <v>2.190799999999999</v>
      </c>
      <c r="L208" s="4">
        <v>2.2702000000000013</v>
      </c>
      <c r="M208" s="4">
        <v>2.3163000000000014</v>
      </c>
      <c r="N208" s="4">
        <v>2.4819000000000009</v>
      </c>
    </row>
    <row r="209" spans="2:14" x14ac:dyDescent="0.2">
      <c r="C209" s="1">
        <v>30</v>
      </c>
      <c r="D209">
        <v>3.1789999999999998</v>
      </c>
      <c r="E209">
        <v>2.931</v>
      </c>
      <c r="F209">
        <v>3.0619999999999998</v>
      </c>
      <c r="G209">
        <v>2.6720000000000002</v>
      </c>
      <c r="H209">
        <v>2.6549999999999998</v>
      </c>
      <c r="I209">
        <v>2.6379999999999999</v>
      </c>
      <c r="J209">
        <v>2.1320000000000001</v>
      </c>
      <c r="K209">
        <v>2.2000000000000002</v>
      </c>
      <c r="L209">
        <v>2.2770000000000001</v>
      </c>
      <c r="M209">
        <v>2.3210000000000002</v>
      </c>
      <c r="N209">
        <v>2.4830000000000001</v>
      </c>
    </row>
    <row r="211" spans="2:14" x14ac:dyDescent="0.2">
      <c r="B211">
        <v>2020</v>
      </c>
    </row>
    <row r="212" spans="2:14" x14ac:dyDescent="0.2">
      <c r="E212" t="s">
        <v>130</v>
      </c>
      <c r="H212" t="s">
        <v>131</v>
      </c>
      <c r="J212" t="s">
        <v>132</v>
      </c>
      <c r="K212" t="s">
        <v>133</v>
      </c>
      <c r="N212" t="s">
        <v>134</v>
      </c>
    </row>
    <row r="215" spans="2:14" x14ac:dyDescent="0.2">
      <c r="C215">
        <v>1</v>
      </c>
      <c r="D215">
        <v>1.2293500000000002</v>
      </c>
      <c r="E215">
        <v>0.51009090909090904</v>
      </c>
      <c r="F215">
        <v>0.3433181818181818</v>
      </c>
      <c r="G215">
        <v>0.28833333333333333</v>
      </c>
      <c r="H215">
        <v>0.29445454545454547</v>
      </c>
      <c r="I215">
        <v>0.22895652173913039</v>
      </c>
      <c r="J215">
        <v>0.23461904761904767</v>
      </c>
      <c r="K215">
        <v>0.23386363636363636</v>
      </c>
      <c r="L215">
        <v>0.28745454545454546</v>
      </c>
      <c r="M215">
        <v>0.33104761904761904</v>
      </c>
      <c r="N215">
        <v>0.30439130434782607</v>
      </c>
    </row>
    <row r="216" spans="2:14" x14ac:dyDescent="0.2">
      <c r="C216">
        <v>2</v>
      </c>
      <c r="D216">
        <v>1.3470999999999997</v>
      </c>
      <c r="E216">
        <v>0.63127272727272721</v>
      </c>
      <c r="F216">
        <v>0.39077272727272733</v>
      </c>
      <c r="G216">
        <v>0.34338095238095229</v>
      </c>
      <c r="H216">
        <v>0.34659090909090912</v>
      </c>
      <c r="I216">
        <v>0.28504347826086951</v>
      </c>
      <c r="J216">
        <v>0.26852380952380955</v>
      </c>
      <c r="K216">
        <v>0.27259090909090911</v>
      </c>
      <c r="L216">
        <v>0.33313636363636367</v>
      </c>
      <c r="M216">
        <v>0.39390476190476181</v>
      </c>
      <c r="N216">
        <v>0.38804347826086955</v>
      </c>
    </row>
    <row r="217" spans="2:14" x14ac:dyDescent="0.2">
      <c r="C217">
        <v>3</v>
      </c>
      <c r="D217">
        <v>1.3014000000000001</v>
      </c>
      <c r="E217">
        <v>0.65699999999999992</v>
      </c>
      <c r="F217">
        <v>0.48149999999999998</v>
      </c>
      <c r="G217">
        <v>0.44585714285714284</v>
      </c>
      <c r="H217">
        <v>0.46390909090909088</v>
      </c>
      <c r="I217">
        <v>0.37473913043478257</v>
      </c>
      <c r="J217">
        <v>0.39104761904761903</v>
      </c>
      <c r="K217">
        <v>0.39195454545454544</v>
      </c>
      <c r="L217">
        <v>0.47663636363636358</v>
      </c>
      <c r="M217">
        <v>0.54542857142857148</v>
      </c>
      <c r="N217">
        <v>0.54304347826086952</v>
      </c>
    </row>
    <row r="218" spans="2:14" x14ac:dyDescent="0.2">
      <c r="C218">
        <v>4</v>
      </c>
      <c r="D218">
        <v>1.3457500000000002</v>
      </c>
      <c r="E218">
        <v>0.73440909090909112</v>
      </c>
      <c r="F218">
        <v>0.54931818181818182</v>
      </c>
      <c r="G218">
        <v>0.52447619047619054</v>
      </c>
      <c r="H218">
        <v>0.5515000000000001</v>
      </c>
      <c r="I218">
        <v>0.45030434782608703</v>
      </c>
      <c r="J218">
        <v>0.47323809523809529</v>
      </c>
      <c r="K218">
        <v>0.47422727272727289</v>
      </c>
      <c r="L218">
        <v>0.57036363636363641</v>
      </c>
      <c r="M218">
        <v>0.65100000000000002</v>
      </c>
      <c r="N218">
        <v>0.65991304347826074</v>
      </c>
    </row>
    <row r="219" spans="2:14" x14ac:dyDescent="0.2">
      <c r="C219">
        <v>5</v>
      </c>
      <c r="D219">
        <v>1.3812499999999999</v>
      </c>
      <c r="E219">
        <v>0.77290909090909077</v>
      </c>
      <c r="F219">
        <v>0.59931818181818197</v>
      </c>
      <c r="G219">
        <v>0.59190476190476193</v>
      </c>
      <c r="H219">
        <v>0.62518181818181828</v>
      </c>
      <c r="I219">
        <v>0.51682608695652166</v>
      </c>
      <c r="J219">
        <v>0.55528571428571438</v>
      </c>
      <c r="K219">
        <v>0.56618181818181812</v>
      </c>
      <c r="L219">
        <v>0.66931818181818181</v>
      </c>
      <c r="M219">
        <v>0.75276190476190497</v>
      </c>
      <c r="N219">
        <v>0.77847826086956529</v>
      </c>
    </row>
    <row r="220" spans="2:14" x14ac:dyDescent="0.2">
      <c r="C220">
        <v>6</v>
      </c>
      <c r="D220">
        <v>1.4089500000000004</v>
      </c>
      <c r="E220">
        <v>0.80290909090909102</v>
      </c>
      <c r="F220">
        <v>0.63804545454545447</v>
      </c>
      <c r="G220">
        <v>0.64404761904761898</v>
      </c>
      <c r="H220">
        <v>0.68222727272727257</v>
      </c>
      <c r="I220">
        <v>0.5685217391304348</v>
      </c>
      <c r="J220">
        <v>0.61885714285714299</v>
      </c>
      <c r="K220">
        <v>0.63777272727272738</v>
      </c>
      <c r="L220">
        <v>0.7461363636363636</v>
      </c>
      <c r="M220">
        <v>0.83171428571428541</v>
      </c>
      <c r="N220">
        <v>0.87034782608695638</v>
      </c>
    </row>
    <row r="221" spans="2:14" x14ac:dyDescent="0.2">
      <c r="C221">
        <v>7</v>
      </c>
      <c r="D221">
        <v>1.4355</v>
      </c>
      <c r="E221">
        <v>0.83368181818181808</v>
      </c>
      <c r="F221">
        <v>0.68177272727272731</v>
      </c>
      <c r="G221">
        <v>0.69123809523809521</v>
      </c>
      <c r="H221">
        <v>0.73481818181818181</v>
      </c>
      <c r="I221">
        <v>0.62052173913043485</v>
      </c>
      <c r="J221">
        <v>0.67400000000000004</v>
      </c>
      <c r="K221">
        <v>0.70099999999999996</v>
      </c>
      <c r="L221">
        <v>0.81840909090909086</v>
      </c>
      <c r="M221">
        <v>0.89833333333333343</v>
      </c>
      <c r="N221">
        <v>0.9481739130434782</v>
      </c>
    </row>
    <row r="222" spans="2:14" x14ac:dyDescent="0.2">
      <c r="C222">
        <v>8</v>
      </c>
      <c r="D222">
        <v>1.6999500000000001</v>
      </c>
      <c r="E222">
        <v>1.1500000000000001</v>
      </c>
      <c r="F222">
        <v>1.0077272727272726</v>
      </c>
      <c r="G222">
        <v>1.0570000000000002</v>
      </c>
      <c r="H222">
        <v>1.1038636363636365</v>
      </c>
      <c r="I222">
        <v>0.93652173913043479</v>
      </c>
      <c r="J222">
        <v>1.0177142857142856</v>
      </c>
      <c r="K222">
        <v>1.0717727272727275</v>
      </c>
      <c r="L222">
        <v>1.1988636363636365</v>
      </c>
      <c r="M222">
        <v>1.2694761904761904</v>
      </c>
      <c r="N222">
        <v>1.321521739130435</v>
      </c>
    </row>
    <row r="223" spans="2:14" x14ac:dyDescent="0.2">
      <c r="C223">
        <v>9</v>
      </c>
      <c r="D223">
        <v>1.8322500000000002</v>
      </c>
      <c r="E223">
        <v>1.3080909090909092</v>
      </c>
      <c r="F223">
        <v>1.170818181818182</v>
      </c>
      <c r="G223">
        <v>1.2404285714285717</v>
      </c>
      <c r="H223">
        <v>1.2896818181818182</v>
      </c>
      <c r="I223">
        <v>1.0969130434782608</v>
      </c>
      <c r="J223">
        <v>1.1916190476190478</v>
      </c>
      <c r="K223">
        <v>1.2582272727272725</v>
      </c>
      <c r="L223">
        <v>1.3915454545454546</v>
      </c>
      <c r="M223">
        <v>1.4563809523809521</v>
      </c>
      <c r="N223">
        <v>1.5089565217391303</v>
      </c>
    </row>
    <row r="224" spans="2:14" x14ac:dyDescent="0.2">
      <c r="C224">
        <v>10</v>
      </c>
      <c r="D224">
        <v>1.9647000000000001</v>
      </c>
      <c r="E224">
        <v>1.466409090909091</v>
      </c>
      <c r="F224">
        <v>1.3337272727272729</v>
      </c>
      <c r="G224">
        <v>1.4659047619047616</v>
      </c>
      <c r="H224">
        <v>1.5412727272727269</v>
      </c>
      <c r="I224">
        <v>1.3405217391304347</v>
      </c>
      <c r="J224">
        <v>1.4438095238095234</v>
      </c>
      <c r="K224">
        <v>1.5045909090909091</v>
      </c>
      <c r="L224">
        <v>1.6526363636363635</v>
      </c>
      <c r="M224">
        <v>1.7015714285714287</v>
      </c>
      <c r="N224">
        <v>1.7429130434782607</v>
      </c>
    </row>
    <row r="225" spans="3:14" x14ac:dyDescent="0.2">
      <c r="C225">
        <v>11</v>
      </c>
      <c r="D225">
        <v>1.9257900000000001</v>
      </c>
      <c r="E225">
        <v>1.4145272727272729</v>
      </c>
      <c r="F225">
        <v>1.2677272727272728</v>
      </c>
      <c r="G225">
        <v>1.3816666666666664</v>
      </c>
      <c r="H225">
        <v>1.4551090909090907</v>
      </c>
      <c r="I225">
        <v>1.2645304347826085</v>
      </c>
      <c r="J225">
        <v>1.3540571428571426</v>
      </c>
      <c r="K225">
        <v>1.4154090909090908</v>
      </c>
      <c r="L225">
        <v>1.5586181818181817</v>
      </c>
      <c r="M225">
        <v>1.6128000000000002</v>
      </c>
      <c r="N225">
        <v>1.6585652173913041</v>
      </c>
    </row>
    <row r="226" spans="3:14" x14ac:dyDescent="0.2">
      <c r="C226">
        <v>12</v>
      </c>
      <c r="D226">
        <v>1.8868800000000001</v>
      </c>
      <c r="E226">
        <v>1.3626454545454547</v>
      </c>
      <c r="F226">
        <v>1.2017272727272728</v>
      </c>
      <c r="G226">
        <v>1.2974285714285712</v>
      </c>
      <c r="H226">
        <v>1.3689454545454545</v>
      </c>
      <c r="I226">
        <v>1.1885391304347823</v>
      </c>
      <c r="J226">
        <v>1.2643047619047618</v>
      </c>
      <c r="K226">
        <v>1.3262272727272726</v>
      </c>
      <c r="L226">
        <v>1.4645999999999999</v>
      </c>
      <c r="M226">
        <v>1.5240285714285717</v>
      </c>
      <c r="N226">
        <v>1.5742173913043476</v>
      </c>
    </row>
    <row r="227" spans="3:14" x14ac:dyDescent="0.2">
      <c r="C227">
        <v>13</v>
      </c>
      <c r="D227">
        <v>1.8479700000000001</v>
      </c>
      <c r="E227">
        <v>1.3107636363636366</v>
      </c>
      <c r="F227">
        <v>1.1357272727272727</v>
      </c>
      <c r="G227">
        <v>1.2131904761904759</v>
      </c>
      <c r="H227">
        <v>1.2827818181818182</v>
      </c>
      <c r="I227">
        <v>1.1125478260869561</v>
      </c>
      <c r="J227">
        <v>1.174552380952381</v>
      </c>
      <c r="K227">
        <v>1.2370454545454543</v>
      </c>
      <c r="L227">
        <v>1.3705818181818181</v>
      </c>
      <c r="M227">
        <v>1.4352571428571432</v>
      </c>
      <c r="N227">
        <v>1.489869565217391</v>
      </c>
    </row>
    <row r="228" spans="3:14" x14ac:dyDescent="0.2">
      <c r="C228">
        <v>14</v>
      </c>
      <c r="D228">
        <v>1.8090600000000001</v>
      </c>
      <c r="E228">
        <v>1.2588818181818184</v>
      </c>
      <c r="F228">
        <v>1.0697272727272726</v>
      </c>
      <c r="G228">
        <v>1.1289523809523807</v>
      </c>
      <c r="H228">
        <v>1.196618181818182</v>
      </c>
      <c r="I228">
        <v>1.0365565217391299</v>
      </c>
      <c r="J228">
        <v>1.0848000000000002</v>
      </c>
      <c r="K228">
        <v>1.1478636363636361</v>
      </c>
      <c r="L228">
        <v>1.2765636363636363</v>
      </c>
      <c r="M228">
        <v>1.3464857142857147</v>
      </c>
      <c r="N228">
        <v>1.4055217391304344</v>
      </c>
    </row>
    <row r="229" spans="3:14" x14ac:dyDescent="0.2">
      <c r="C229">
        <v>15</v>
      </c>
      <c r="D229">
        <v>1.7701499999999999</v>
      </c>
      <c r="E229">
        <v>1.2069999999999999</v>
      </c>
      <c r="F229">
        <v>1.0037272727272728</v>
      </c>
      <c r="G229">
        <v>1.0447142857142857</v>
      </c>
      <c r="H229">
        <v>1.1104545454545454</v>
      </c>
      <c r="I229">
        <v>0.96056521739130407</v>
      </c>
      <c r="J229">
        <v>0.99504761904761907</v>
      </c>
      <c r="K229">
        <v>1.0586818181818183</v>
      </c>
      <c r="L229">
        <v>1.1825454545454546</v>
      </c>
      <c r="M229">
        <v>1.2577142857142858</v>
      </c>
      <c r="N229">
        <v>1.3211739130434781</v>
      </c>
    </row>
    <row r="230" spans="3:14" x14ac:dyDescent="0.2">
      <c r="C230">
        <v>16</v>
      </c>
      <c r="D230">
        <v>1.7955999999999999</v>
      </c>
      <c r="E230">
        <v>1.238381818181818</v>
      </c>
      <c r="F230">
        <v>1.0363454545454547</v>
      </c>
      <c r="G230">
        <v>1.0807619047619048</v>
      </c>
      <c r="H230">
        <v>1.1480090909090908</v>
      </c>
      <c r="I230">
        <v>0.99328695652173882</v>
      </c>
      <c r="J230">
        <v>1.0290952380952381</v>
      </c>
      <c r="K230">
        <v>1.0956363636363637</v>
      </c>
      <c r="L230">
        <v>1.2212181818181818</v>
      </c>
      <c r="M230">
        <v>1.2950285714285714</v>
      </c>
      <c r="N230">
        <v>1.3587565217391304</v>
      </c>
    </row>
    <row r="231" spans="3:14" x14ac:dyDescent="0.2">
      <c r="C231">
        <v>17</v>
      </c>
      <c r="D231">
        <v>1.8210499999999998</v>
      </c>
      <c r="E231">
        <v>1.2697636363636362</v>
      </c>
      <c r="F231">
        <v>1.0689636363636366</v>
      </c>
      <c r="G231">
        <v>1.1168095238095239</v>
      </c>
      <c r="H231">
        <v>1.1855636363636362</v>
      </c>
      <c r="I231">
        <v>1.0260086956521737</v>
      </c>
      <c r="J231">
        <v>1.0631428571428572</v>
      </c>
      <c r="K231">
        <v>1.1325909090909092</v>
      </c>
      <c r="L231">
        <v>1.259890909090909</v>
      </c>
      <c r="M231">
        <v>1.3323428571428571</v>
      </c>
      <c r="N231">
        <v>1.3963391304347827</v>
      </c>
    </row>
    <row r="232" spans="3:14" x14ac:dyDescent="0.2">
      <c r="C232">
        <v>18</v>
      </c>
      <c r="D232">
        <v>1.8464999999999998</v>
      </c>
      <c r="E232">
        <v>1.3011454545454544</v>
      </c>
      <c r="F232">
        <v>1.1015818181818184</v>
      </c>
      <c r="G232">
        <v>1.152857142857143</v>
      </c>
      <c r="H232">
        <v>1.2231181818181815</v>
      </c>
      <c r="I232">
        <v>1.0587304347826085</v>
      </c>
      <c r="J232">
        <v>1.0971904761904763</v>
      </c>
      <c r="K232">
        <v>1.1695454545454547</v>
      </c>
      <c r="L232">
        <v>1.2985636363636361</v>
      </c>
      <c r="M232">
        <v>1.3696571428571427</v>
      </c>
      <c r="N232">
        <v>1.4339217391304351</v>
      </c>
    </row>
    <row r="233" spans="3:14" x14ac:dyDescent="0.2">
      <c r="C233">
        <v>19</v>
      </c>
      <c r="D233">
        <v>1.8719499999999998</v>
      </c>
      <c r="E233">
        <v>1.3325272727272726</v>
      </c>
      <c r="F233">
        <v>1.1342000000000003</v>
      </c>
      <c r="G233">
        <v>1.1889047619047621</v>
      </c>
      <c r="H233">
        <v>1.2606727272727269</v>
      </c>
      <c r="I233">
        <v>1.0914521739130434</v>
      </c>
      <c r="J233">
        <v>1.1312380952380954</v>
      </c>
      <c r="K233">
        <v>1.2065000000000001</v>
      </c>
      <c r="L233">
        <v>1.3372363636363633</v>
      </c>
      <c r="M233">
        <v>1.4069714285714283</v>
      </c>
      <c r="N233">
        <v>1.4715043478260874</v>
      </c>
    </row>
    <row r="234" spans="3:14" x14ac:dyDescent="0.2">
      <c r="C234">
        <v>20</v>
      </c>
      <c r="D234">
        <v>1.8974</v>
      </c>
      <c r="E234">
        <v>1.3639090909090905</v>
      </c>
      <c r="F234">
        <v>1.1668181818181818</v>
      </c>
      <c r="G234">
        <v>1.224952380952381</v>
      </c>
      <c r="H234">
        <v>1.2982272727272728</v>
      </c>
      <c r="I234">
        <v>1.124173913043478</v>
      </c>
      <c r="J234">
        <v>1.1652857142857145</v>
      </c>
      <c r="K234">
        <v>1.2434545454545456</v>
      </c>
      <c r="L234">
        <v>1.375909090909091</v>
      </c>
      <c r="M234">
        <v>1.444285714285714</v>
      </c>
      <c r="N234">
        <v>1.5090869565217393</v>
      </c>
    </row>
    <row r="235" spans="3:14" x14ac:dyDescent="0.2">
      <c r="C235">
        <v>21</v>
      </c>
      <c r="D235">
        <v>1.91015</v>
      </c>
      <c r="E235">
        <v>1.3796272727272725</v>
      </c>
      <c r="F235">
        <v>1.1831045454545455</v>
      </c>
      <c r="G235">
        <v>1.2461333333333333</v>
      </c>
      <c r="H235">
        <v>1.3234772727272728</v>
      </c>
      <c r="I235">
        <v>1.1486826086956519</v>
      </c>
      <c r="J235">
        <v>1.190552380952381</v>
      </c>
      <c r="K235">
        <v>1.2678772727272729</v>
      </c>
      <c r="L235">
        <v>1.4020954545454547</v>
      </c>
      <c r="M235">
        <v>1.4691238095238093</v>
      </c>
      <c r="N235">
        <v>1.5324739130434784</v>
      </c>
    </row>
    <row r="236" spans="3:14" x14ac:dyDescent="0.2">
      <c r="C236">
        <v>22</v>
      </c>
      <c r="D236">
        <v>1.9229000000000001</v>
      </c>
      <c r="E236">
        <v>1.3953454545454544</v>
      </c>
      <c r="F236">
        <v>1.1993909090909092</v>
      </c>
      <c r="G236">
        <v>1.2673142857142856</v>
      </c>
      <c r="H236">
        <v>1.3487272727272728</v>
      </c>
      <c r="I236">
        <v>1.1731913043478257</v>
      </c>
      <c r="J236">
        <v>1.2158190476190476</v>
      </c>
      <c r="K236">
        <v>1.2923000000000002</v>
      </c>
      <c r="L236">
        <v>1.4282818181818184</v>
      </c>
      <c r="M236">
        <v>1.4939619047619046</v>
      </c>
      <c r="N236">
        <v>1.5558608695652174</v>
      </c>
    </row>
    <row r="237" spans="3:14" x14ac:dyDescent="0.2">
      <c r="C237">
        <v>23</v>
      </c>
      <c r="D237">
        <v>1.9356500000000001</v>
      </c>
      <c r="E237">
        <v>1.4110636363636364</v>
      </c>
      <c r="F237">
        <v>1.2156772727272729</v>
      </c>
      <c r="G237">
        <v>1.2884952380952379</v>
      </c>
      <c r="H237">
        <v>1.3739772727272728</v>
      </c>
      <c r="I237">
        <v>1.1976999999999995</v>
      </c>
      <c r="J237">
        <v>1.2410857142857141</v>
      </c>
      <c r="K237">
        <v>1.3167227272727275</v>
      </c>
      <c r="L237">
        <v>1.4544681818181822</v>
      </c>
      <c r="M237">
        <v>1.5187999999999999</v>
      </c>
      <c r="N237">
        <v>1.5792478260869565</v>
      </c>
    </row>
    <row r="238" spans="3:14" x14ac:dyDescent="0.2">
      <c r="C238">
        <v>24</v>
      </c>
      <c r="D238">
        <v>1.9484000000000001</v>
      </c>
      <c r="E238">
        <v>1.4267818181818184</v>
      </c>
      <c r="F238">
        <v>1.2319636363636366</v>
      </c>
      <c r="G238">
        <v>1.3096761904761902</v>
      </c>
      <c r="H238">
        <v>1.3992272727272728</v>
      </c>
      <c r="I238">
        <v>1.2222086956521734</v>
      </c>
      <c r="J238">
        <v>1.2663523809523807</v>
      </c>
      <c r="K238">
        <v>1.3411454545454549</v>
      </c>
      <c r="L238">
        <v>1.4806545454545459</v>
      </c>
      <c r="M238">
        <v>1.5436380952380953</v>
      </c>
      <c r="N238">
        <v>1.6026347826086955</v>
      </c>
    </row>
    <row r="239" spans="3:14" x14ac:dyDescent="0.2">
      <c r="C239">
        <v>25</v>
      </c>
      <c r="D239">
        <v>1.9611500000000002</v>
      </c>
      <c r="E239">
        <v>1.4425000000000003</v>
      </c>
      <c r="F239">
        <v>1.2482500000000003</v>
      </c>
      <c r="G239">
        <v>1.3308571428571425</v>
      </c>
      <c r="H239">
        <v>1.4244772727272728</v>
      </c>
      <c r="I239">
        <v>1.2467173913043472</v>
      </c>
      <c r="J239">
        <v>1.2916190476190472</v>
      </c>
      <c r="K239">
        <v>1.3655681818181822</v>
      </c>
      <c r="L239">
        <v>1.5068409090909096</v>
      </c>
      <c r="M239">
        <v>1.5684761904761906</v>
      </c>
      <c r="N239">
        <v>1.6260217391304346</v>
      </c>
    </row>
    <row r="240" spans="3:14" x14ac:dyDescent="0.2">
      <c r="C240">
        <v>26</v>
      </c>
      <c r="D240">
        <v>1.9739000000000002</v>
      </c>
      <c r="E240">
        <v>1.4582181818181823</v>
      </c>
      <c r="F240">
        <v>1.264536363636364</v>
      </c>
      <c r="G240">
        <v>1.3520380952380948</v>
      </c>
      <c r="H240">
        <v>1.4497272727272728</v>
      </c>
      <c r="I240">
        <v>1.2712260869565211</v>
      </c>
      <c r="J240">
        <v>1.3168857142857138</v>
      </c>
      <c r="K240">
        <v>1.3899909090909095</v>
      </c>
      <c r="L240">
        <v>1.5330272727272733</v>
      </c>
      <c r="M240">
        <v>1.5933142857142859</v>
      </c>
      <c r="N240">
        <v>1.6494086956521736</v>
      </c>
    </row>
    <row r="241" spans="2:14" x14ac:dyDescent="0.2">
      <c r="C241">
        <v>27</v>
      </c>
      <c r="D241">
        <v>1.9866500000000002</v>
      </c>
      <c r="E241">
        <v>1.4739363636363643</v>
      </c>
      <c r="F241">
        <v>1.2808227272727277</v>
      </c>
      <c r="G241">
        <v>1.3732190476190471</v>
      </c>
      <c r="H241">
        <v>1.4749772727272727</v>
      </c>
      <c r="I241">
        <v>1.2957347826086949</v>
      </c>
      <c r="J241">
        <v>1.3421523809523803</v>
      </c>
      <c r="K241">
        <v>1.4144136363636368</v>
      </c>
      <c r="L241">
        <v>1.5592136363636371</v>
      </c>
      <c r="M241">
        <v>1.6181523809523812</v>
      </c>
      <c r="N241">
        <v>1.6727956521739127</v>
      </c>
    </row>
    <row r="242" spans="2:14" x14ac:dyDescent="0.2">
      <c r="C242">
        <v>28</v>
      </c>
      <c r="D242">
        <v>1.9994000000000003</v>
      </c>
      <c r="E242">
        <v>1.4896545454545462</v>
      </c>
      <c r="F242">
        <v>1.2971090909090914</v>
      </c>
      <c r="G242">
        <v>1.3943999999999994</v>
      </c>
      <c r="H242">
        <v>1.5002272727272727</v>
      </c>
      <c r="I242">
        <v>1.3202434782608687</v>
      </c>
      <c r="J242">
        <v>1.3674190476190469</v>
      </c>
      <c r="K242">
        <v>1.4388363636363641</v>
      </c>
      <c r="L242">
        <v>1.5854000000000008</v>
      </c>
      <c r="M242">
        <v>1.6429904761904766</v>
      </c>
      <c r="N242">
        <v>1.6961826086956517</v>
      </c>
    </row>
    <row r="243" spans="2:14" x14ac:dyDescent="0.2">
      <c r="C243">
        <v>29</v>
      </c>
      <c r="D243">
        <v>2.0121500000000001</v>
      </c>
      <c r="E243">
        <v>1.5053727272727282</v>
      </c>
      <c r="F243">
        <v>1.3133954545454551</v>
      </c>
      <c r="G243">
        <v>1.4155809523809517</v>
      </c>
      <c r="H243">
        <v>1.5254772727272727</v>
      </c>
      <c r="I243">
        <v>1.3447521739130426</v>
      </c>
      <c r="J243">
        <v>1.3926857142857134</v>
      </c>
      <c r="K243">
        <v>1.4632590909090915</v>
      </c>
      <c r="L243">
        <v>1.6115863636363645</v>
      </c>
      <c r="M243">
        <v>1.6678285714285719</v>
      </c>
      <c r="N243">
        <v>1.7195695652173908</v>
      </c>
    </row>
    <row r="244" spans="2:14" x14ac:dyDescent="0.2">
      <c r="C244">
        <v>30</v>
      </c>
      <c r="D244">
        <v>2.0248999999999997</v>
      </c>
      <c r="E244">
        <v>1.5210909090909097</v>
      </c>
      <c r="F244">
        <v>1.3296818181818182</v>
      </c>
      <c r="G244">
        <v>1.4367619047619045</v>
      </c>
      <c r="H244">
        <v>1.5507272727272727</v>
      </c>
      <c r="I244">
        <v>1.3692608695652173</v>
      </c>
      <c r="J244">
        <v>1.4179523809523809</v>
      </c>
      <c r="K244">
        <v>1.4876818181818181</v>
      </c>
      <c r="L244">
        <v>1.6377727272727276</v>
      </c>
      <c r="M244">
        <v>1.692666666666667</v>
      </c>
      <c r="N244">
        <v>1.7429565217391301</v>
      </c>
    </row>
    <row r="246" spans="2:14" x14ac:dyDescent="0.2">
      <c r="B246">
        <v>2021</v>
      </c>
    </row>
    <row r="247" spans="2:14" x14ac:dyDescent="0.2">
      <c r="E247" t="s">
        <v>130</v>
      </c>
      <c r="H247" t="s">
        <v>131</v>
      </c>
      <c r="J247" t="s">
        <v>132</v>
      </c>
      <c r="K247" t="s">
        <v>133</v>
      </c>
      <c r="N247" t="s">
        <v>134</v>
      </c>
    </row>
    <row r="250" spans="2:14" x14ac:dyDescent="0.2">
      <c r="C250">
        <v>1</v>
      </c>
      <c r="D250">
        <v>0.44524999999999998</v>
      </c>
      <c r="E250">
        <v>0.66047826086956518</v>
      </c>
      <c r="F250">
        <v>0.6591818181818182</v>
      </c>
      <c r="G250">
        <v>0.6335238095238096</v>
      </c>
      <c r="H250">
        <v>0.68440909090909086</v>
      </c>
      <c r="I250">
        <v>0.61018181818181827</v>
      </c>
      <c r="J250">
        <v>0.65677272727272717</v>
      </c>
      <c r="K250">
        <v>0.73531818181818176</v>
      </c>
      <c r="L250">
        <v>0.97352380952380946</v>
      </c>
      <c r="M250">
        <v>1.073590909090909</v>
      </c>
      <c r="N250">
        <v>1.1536956521739132</v>
      </c>
    </row>
    <row r="251" spans="2:14" x14ac:dyDescent="0.2">
      <c r="C251">
        <v>2</v>
      </c>
      <c r="D251">
        <v>0.52639999999999998</v>
      </c>
      <c r="E251">
        <v>0.81778260869565234</v>
      </c>
      <c r="F251">
        <v>0.87077272727272725</v>
      </c>
      <c r="G251">
        <v>0.82614285714285718</v>
      </c>
      <c r="H251">
        <v>0.83968181818181808</v>
      </c>
      <c r="I251">
        <v>0.78290909090909089</v>
      </c>
      <c r="J251">
        <v>0.77281818181818174</v>
      </c>
      <c r="K251">
        <v>0.85509090909090912</v>
      </c>
      <c r="L251">
        <v>1.097809523809524</v>
      </c>
      <c r="M251">
        <v>1.2152272727272726</v>
      </c>
      <c r="N251">
        <v>1.2277826086956523</v>
      </c>
    </row>
    <row r="252" spans="2:14" x14ac:dyDescent="0.2">
      <c r="C252">
        <v>3</v>
      </c>
      <c r="D252">
        <v>0.80059999999999998</v>
      </c>
      <c r="E252">
        <v>1.1290434782608696</v>
      </c>
      <c r="F252">
        <v>1.1153636363636361</v>
      </c>
      <c r="G252">
        <v>1.0961904761904762</v>
      </c>
      <c r="H252">
        <v>1.0757272727272726</v>
      </c>
      <c r="I252">
        <v>0.92449999999999999</v>
      </c>
      <c r="J252">
        <v>0.96477272727272723</v>
      </c>
      <c r="K252">
        <v>1.0692727272727274</v>
      </c>
      <c r="L252">
        <v>1.3115714285714286</v>
      </c>
      <c r="M252">
        <v>1.3513181818181819</v>
      </c>
      <c r="N252">
        <v>1.3622608695652174</v>
      </c>
    </row>
    <row r="253" spans="2:14" x14ac:dyDescent="0.2">
      <c r="C253">
        <v>4</v>
      </c>
      <c r="D253">
        <v>0.9604499999999998</v>
      </c>
      <c r="E253">
        <v>1.3224347826086957</v>
      </c>
      <c r="F253">
        <v>1.3053636363636363</v>
      </c>
      <c r="G253">
        <v>1.2928571428571429</v>
      </c>
      <c r="H253">
        <v>1.2366363636363638</v>
      </c>
      <c r="I253">
        <v>1.0538636363636362</v>
      </c>
      <c r="J253">
        <v>1.088318181818182</v>
      </c>
      <c r="K253">
        <v>1.1985909090909093</v>
      </c>
      <c r="L253">
        <v>1.4348095238095238</v>
      </c>
      <c r="M253">
        <v>1.4496818181818183</v>
      </c>
      <c r="N253">
        <v>1.433217391304348</v>
      </c>
    </row>
    <row r="254" spans="2:14" x14ac:dyDescent="0.2">
      <c r="C254">
        <v>5</v>
      </c>
      <c r="D254">
        <v>1.10975</v>
      </c>
      <c r="E254">
        <v>1.4657826086956522</v>
      </c>
      <c r="F254">
        <v>1.4450454545454545</v>
      </c>
      <c r="G254">
        <v>1.4415714285714283</v>
      </c>
      <c r="H254">
        <v>1.355681818181818</v>
      </c>
      <c r="I254">
        <v>1.1603636363636365</v>
      </c>
      <c r="J254">
        <v>1.1829090909090909</v>
      </c>
      <c r="K254">
        <v>1.2876363636363637</v>
      </c>
      <c r="L254">
        <v>1.5057619047619046</v>
      </c>
      <c r="M254">
        <v>1.4902272727272725</v>
      </c>
      <c r="N254">
        <v>1.4627391304347825</v>
      </c>
    </row>
    <row r="255" spans="2:14" x14ac:dyDescent="0.2">
      <c r="C255">
        <v>6</v>
      </c>
      <c r="D255">
        <v>1.2253500000000002</v>
      </c>
      <c r="E255">
        <v>1.577</v>
      </c>
      <c r="F255">
        <v>1.5538181818181813</v>
      </c>
      <c r="G255">
        <v>1.5574285714285712</v>
      </c>
      <c r="H255">
        <v>1.4483181818181818</v>
      </c>
      <c r="I255">
        <v>1.2432272727272726</v>
      </c>
      <c r="J255">
        <v>1.2565909090909093</v>
      </c>
      <c r="K255">
        <v>1.357</v>
      </c>
      <c r="L255">
        <v>1.5610952380952381</v>
      </c>
      <c r="M255">
        <v>1.5217727272727268</v>
      </c>
      <c r="N255">
        <v>1.4856521739130435</v>
      </c>
    </row>
    <row r="256" spans="2:14" x14ac:dyDescent="0.2">
      <c r="C256">
        <v>7</v>
      </c>
      <c r="D256">
        <v>1.32115</v>
      </c>
      <c r="E256">
        <v>1.6709130434782609</v>
      </c>
      <c r="F256">
        <v>1.6485000000000001</v>
      </c>
      <c r="G256">
        <v>1.6534285714285712</v>
      </c>
      <c r="H256">
        <v>1.5282272727272725</v>
      </c>
      <c r="I256">
        <v>1.3205454545454547</v>
      </c>
      <c r="J256">
        <v>1.3201818181818181</v>
      </c>
      <c r="K256">
        <v>1.418181818181818</v>
      </c>
      <c r="L256">
        <v>1.6151904761904761</v>
      </c>
      <c r="M256">
        <v>1.5505909090909091</v>
      </c>
      <c r="N256">
        <v>1.5115217391304347</v>
      </c>
    </row>
    <row r="257" spans="3:14" x14ac:dyDescent="0.2">
      <c r="C257">
        <v>8</v>
      </c>
      <c r="D257">
        <v>1.7734000000000001</v>
      </c>
      <c r="E257">
        <v>2.1132173913043473</v>
      </c>
      <c r="F257">
        <v>2.052909090909091</v>
      </c>
      <c r="G257">
        <v>2.0878571428571426</v>
      </c>
      <c r="H257">
        <v>1.938545454545455</v>
      </c>
      <c r="I257">
        <v>1.7193636363636364</v>
      </c>
      <c r="J257">
        <v>1.7116363636363638</v>
      </c>
      <c r="K257">
        <v>1.7716818181818184</v>
      </c>
      <c r="L257">
        <v>1.924857142857143</v>
      </c>
      <c r="M257">
        <v>1.8454545454545455</v>
      </c>
      <c r="N257">
        <v>1.8243913043478264</v>
      </c>
    </row>
    <row r="258" spans="3:14" x14ac:dyDescent="0.2">
      <c r="C258">
        <v>9</v>
      </c>
      <c r="D258">
        <v>1.9989499999999996</v>
      </c>
      <c r="E258">
        <v>2.3323913043478259</v>
      </c>
      <c r="F258">
        <v>2.2524090909090906</v>
      </c>
      <c r="G258">
        <v>2.3027619047619048</v>
      </c>
      <c r="H258">
        <v>2.1415000000000006</v>
      </c>
      <c r="I258">
        <v>1.915</v>
      </c>
      <c r="J258">
        <v>1.9050454545454547</v>
      </c>
      <c r="K258">
        <v>1.9463181818181823</v>
      </c>
      <c r="L258">
        <v>2.0756666666666663</v>
      </c>
      <c r="M258">
        <v>1.9888636363636365</v>
      </c>
      <c r="N258">
        <v>1.9776086956521737</v>
      </c>
    </row>
    <row r="259" spans="3:14" x14ac:dyDescent="0.2">
      <c r="C259">
        <v>10</v>
      </c>
      <c r="D259">
        <v>2.1693500000000001</v>
      </c>
      <c r="E259">
        <v>2.4253478260869561</v>
      </c>
      <c r="F259">
        <v>2.3592272727272725</v>
      </c>
      <c r="G259">
        <v>2.3995714285714289</v>
      </c>
      <c r="H259">
        <v>2.2022727272727272</v>
      </c>
      <c r="I259">
        <v>1.9895454545454543</v>
      </c>
      <c r="J259">
        <v>1.9896818181818181</v>
      </c>
      <c r="K259">
        <v>2.0074090909090909</v>
      </c>
      <c r="L259">
        <v>2.089285714285714</v>
      </c>
      <c r="M259">
        <v>1.9170909090909092</v>
      </c>
      <c r="N259">
        <v>1.9100869565217387</v>
      </c>
    </row>
    <row r="260" spans="3:14" x14ac:dyDescent="0.2">
      <c r="C260">
        <v>11</v>
      </c>
      <c r="D260">
        <v>2.0782799999999999</v>
      </c>
      <c r="E260">
        <v>2.3578086956521735</v>
      </c>
      <c r="F260">
        <v>2.3006818181818178</v>
      </c>
      <c r="G260">
        <v>2.3356761904761907</v>
      </c>
      <c r="H260">
        <v>2.1554272727272727</v>
      </c>
      <c r="I260">
        <v>1.9421272727272725</v>
      </c>
      <c r="J260">
        <v>1.9318909090909091</v>
      </c>
      <c r="K260">
        <v>1.9555454545454547</v>
      </c>
      <c r="L260">
        <v>2.0560761904761904</v>
      </c>
      <c r="M260">
        <v>1.9076909090909091</v>
      </c>
      <c r="N260">
        <v>1.8857478260869562</v>
      </c>
    </row>
    <row r="261" spans="3:14" x14ac:dyDescent="0.2">
      <c r="C261">
        <v>12</v>
      </c>
      <c r="D261">
        <v>1.9872099999999999</v>
      </c>
      <c r="E261">
        <v>2.290269565217391</v>
      </c>
      <c r="F261">
        <v>2.2421363636363631</v>
      </c>
      <c r="G261">
        <v>2.2717809523809525</v>
      </c>
      <c r="H261">
        <v>2.1085818181818183</v>
      </c>
      <c r="I261">
        <v>1.8947090909090907</v>
      </c>
      <c r="J261">
        <v>1.8741000000000001</v>
      </c>
      <c r="K261">
        <v>1.9036818181818185</v>
      </c>
      <c r="L261">
        <v>2.0228666666666668</v>
      </c>
      <c r="M261">
        <v>1.898290909090909</v>
      </c>
      <c r="N261">
        <v>1.8614086956521738</v>
      </c>
    </row>
    <row r="262" spans="3:14" x14ac:dyDescent="0.2">
      <c r="C262">
        <v>13</v>
      </c>
      <c r="D262">
        <v>1.8961399999999999</v>
      </c>
      <c r="E262">
        <v>2.2227304347826085</v>
      </c>
      <c r="F262">
        <v>2.1835909090909085</v>
      </c>
      <c r="G262">
        <v>2.2078857142857142</v>
      </c>
      <c r="H262">
        <v>2.0617363636363639</v>
      </c>
      <c r="I262">
        <v>1.8472909090909089</v>
      </c>
      <c r="J262">
        <v>1.8163090909090911</v>
      </c>
      <c r="K262">
        <v>1.8518181818181823</v>
      </c>
      <c r="L262">
        <v>1.989657142857143</v>
      </c>
      <c r="M262">
        <v>1.888890909090909</v>
      </c>
      <c r="N262">
        <v>1.8370695652173914</v>
      </c>
    </row>
    <row r="263" spans="3:14" x14ac:dyDescent="0.2">
      <c r="C263">
        <v>14</v>
      </c>
      <c r="D263">
        <v>1.80507</v>
      </c>
      <c r="E263">
        <v>2.1551913043478259</v>
      </c>
      <c r="F263">
        <v>2.1250454545454538</v>
      </c>
      <c r="G263">
        <v>2.143990476190476</v>
      </c>
      <c r="H263">
        <v>2.0148909090909095</v>
      </c>
      <c r="I263">
        <v>1.7998727272727271</v>
      </c>
      <c r="J263">
        <v>1.7585181818181821</v>
      </c>
      <c r="K263">
        <v>1.799954545454546</v>
      </c>
      <c r="L263">
        <v>1.9564476190476192</v>
      </c>
      <c r="M263">
        <v>1.8794909090909089</v>
      </c>
      <c r="N263">
        <v>1.812730434782609</v>
      </c>
    </row>
    <row r="264" spans="3:14" x14ac:dyDescent="0.2">
      <c r="C264">
        <v>15</v>
      </c>
      <c r="D264">
        <v>1.714</v>
      </c>
      <c r="E264">
        <v>2.0876521739130434</v>
      </c>
      <c r="F264">
        <v>2.0665</v>
      </c>
      <c r="G264">
        <v>2.0800952380952378</v>
      </c>
      <c r="H264">
        <v>1.9680454545454547</v>
      </c>
      <c r="I264">
        <v>1.7524545454545455</v>
      </c>
      <c r="J264">
        <v>1.7007272727272726</v>
      </c>
      <c r="K264">
        <v>1.7480909090909096</v>
      </c>
      <c r="L264">
        <v>1.9232380952380952</v>
      </c>
      <c r="M264">
        <v>1.8700909090909088</v>
      </c>
      <c r="N264">
        <v>1.7883913043478261</v>
      </c>
    </row>
    <row r="265" spans="3:14" x14ac:dyDescent="0.2">
      <c r="C265">
        <v>16</v>
      </c>
      <c r="D265">
        <v>1.7580199999999999</v>
      </c>
      <c r="E265">
        <v>2.1325999999999996</v>
      </c>
      <c r="F265">
        <v>2.1064090909090911</v>
      </c>
      <c r="G265">
        <v>2.1224285714285713</v>
      </c>
      <c r="H265">
        <v>2.0093272727272726</v>
      </c>
      <c r="I265">
        <v>1.7914363636363637</v>
      </c>
      <c r="J265">
        <v>1.739590909090909</v>
      </c>
      <c r="K265">
        <v>1.7834181818181822</v>
      </c>
      <c r="L265">
        <v>1.9543714285714284</v>
      </c>
      <c r="M265">
        <v>1.8986727272727271</v>
      </c>
      <c r="N265">
        <v>1.8189652173913045</v>
      </c>
    </row>
    <row r="266" spans="3:14" x14ac:dyDescent="0.2">
      <c r="C266">
        <v>17</v>
      </c>
      <c r="D266">
        <v>1.8020399999999999</v>
      </c>
      <c r="E266">
        <v>2.1775478260869559</v>
      </c>
      <c r="F266">
        <v>2.1463181818181822</v>
      </c>
      <c r="G266">
        <v>2.1647619047619049</v>
      </c>
      <c r="H266">
        <v>2.0506090909090906</v>
      </c>
      <c r="I266">
        <v>1.8304181818181819</v>
      </c>
      <c r="J266">
        <v>1.7784545454545453</v>
      </c>
      <c r="K266">
        <v>1.8187454545454549</v>
      </c>
      <c r="L266">
        <v>1.9855047619047617</v>
      </c>
      <c r="M266">
        <v>1.9272545454545453</v>
      </c>
      <c r="N266">
        <v>1.8495391304347828</v>
      </c>
    </row>
    <row r="267" spans="3:14" x14ac:dyDescent="0.2">
      <c r="C267">
        <v>18</v>
      </c>
      <c r="D267">
        <v>1.8460599999999998</v>
      </c>
      <c r="E267">
        <v>2.2224956521739121</v>
      </c>
      <c r="F267">
        <v>2.1862272727272734</v>
      </c>
      <c r="G267">
        <v>2.2070952380952384</v>
      </c>
      <c r="H267">
        <v>2.0918909090909086</v>
      </c>
      <c r="I267">
        <v>1.8694000000000002</v>
      </c>
      <c r="J267">
        <v>1.8173181818181816</v>
      </c>
      <c r="K267">
        <v>1.8540727272727275</v>
      </c>
      <c r="L267">
        <v>2.0166380952380951</v>
      </c>
      <c r="M267">
        <v>1.9558363636363636</v>
      </c>
      <c r="N267">
        <v>1.8801130434782611</v>
      </c>
    </row>
    <row r="268" spans="3:14" x14ac:dyDescent="0.2">
      <c r="C268">
        <v>19</v>
      </c>
      <c r="D268">
        <v>1.8900799999999998</v>
      </c>
      <c r="E268">
        <v>2.2674434782608683</v>
      </c>
      <c r="F268">
        <v>2.2261363636363645</v>
      </c>
      <c r="G268">
        <v>2.249428571428572</v>
      </c>
      <c r="H268">
        <v>2.1331727272727266</v>
      </c>
      <c r="I268">
        <v>1.9083818181818184</v>
      </c>
      <c r="J268">
        <v>1.8561818181818179</v>
      </c>
      <c r="K268">
        <v>1.8894000000000002</v>
      </c>
      <c r="L268">
        <v>2.0477714285714286</v>
      </c>
      <c r="M268">
        <v>1.9844181818181819</v>
      </c>
      <c r="N268">
        <v>1.9106869565217395</v>
      </c>
    </row>
    <row r="269" spans="3:14" x14ac:dyDescent="0.2">
      <c r="C269">
        <v>20</v>
      </c>
      <c r="D269">
        <v>1.9341000000000002</v>
      </c>
      <c r="E269">
        <v>2.3123913043478255</v>
      </c>
      <c r="F269">
        <v>2.2660454545454547</v>
      </c>
      <c r="G269">
        <v>2.2917619047619047</v>
      </c>
      <c r="H269">
        <v>2.1744545454545454</v>
      </c>
      <c r="I269">
        <v>1.9473636363636364</v>
      </c>
      <c r="J269">
        <v>1.8950454545454547</v>
      </c>
      <c r="K269">
        <v>1.9247272727272731</v>
      </c>
      <c r="L269">
        <v>2.0789047619047616</v>
      </c>
      <c r="M269">
        <v>2.0129999999999999</v>
      </c>
      <c r="N269">
        <v>1.9412608695652174</v>
      </c>
    </row>
    <row r="270" spans="3:14" x14ac:dyDescent="0.2">
      <c r="C270">
        <v>21</v>
      </c>
      <c r="D270">
        <v>1.9525050000000002</v>
      </c>
      <c r="E270">
        <v>2.3221695652173908</v>
      </c>
      <c r="F270">
        <v>2.2763318181818182</v>
      </c>
      <c r="G270">
        <v>2.3020857142857141</v>
      </c>
      <c r="H270">
        <v>2.1807181818181816</v>
      </c>
      <c r="I270">
        <v>1.954309090909091</v>
      </c>
      <c r="J270">
        <v>1.9036590909090911</v>
      </c>
      <c r="K270">
        <v>1.9311636363636366</v>
      </c>
      <c r="L270">
        <v>2.0815428571428569</v>
      </c>
      <c r="M270">
        <v>2.0070136363636362</v>
      </c>
      <c r="N270">
        <v>1.9336086956521736</v>
      </c>
    </row>
    <row r="271" spans="3:14" x14ac:dyDescent="0.2">
      <c r="C271">
        <v>22</v>
      </c>
      <c r="D271">
        <v>1.9709100000000002</v>
      </c>
      <c r="E271">
        <v>2.3319478260869562</v>
      </c>
      <c r="F271">
        <v>2.2866181818181817</v>
      </c>
      <c r="G271">
        <v>2.3124095238095235</v>
      </c>
      <c r="H271">
        <v>2.1869818181818177</v>
      </c>
      <c r="I271">
        <v>1.9612545454545456</v>
      </c>
      <c r="J271">
        <v>1.9122727272727276</v>
      </c>
      <c r="K271">
        <v>1.9376000000000002</v>
      </c>
      <c r="L271">
        <v>2.0841809523809522</v>
      </c>
      <c r="M271">
        <v>2.0010272727272724</v>
      </c>
      <c r="N271">
        <v>1.9259565217391299</v>
      </c>
    </row>
    <row r="272" spans="3:14" x14ac:dyDescent="0.2">
      <c r="C272">
        <v>23</v>
      </c>
      <c r="D272">
        <v>1.9893150000000002</v>
      </c>
      <c r="E272">
        <v>2.3417260869565215</v>
      </c>
      <c r="F272">
        <v>2.2969045454545451</v>
      </c>
      <c r="G272">
        <v>2.3227333333333329</v>
      </c>
      <c r="H272">
        <v>2.1932454545454538</v>
      </c>
      <c r="I272">
        <v>1.9682000000000002</v>
      </c>
      <c r="J272">
        <v>1.920886363636364</v>
      </c>
      <c r="K272">
        <v>1.9440363636363638</v>
      </c>
      <c r="L272">
        <v>2.0868190476190476</v>
      </c>
      <c r="M272">
        <v>1.9950409090909089</v>
      </c>
      <c r="N272">
        <v>1.9183043478260862</v>
      </c>
    </row>
    <row r="273" spans="2:14" x14ac:dyDescent="0.2">
      <c r="C273">
        <v>24</v>
      </c>
      <c r="D273">
        <v>2.0077199999999999</v>
      </c>
      <c r="E273">
        <v>2.3515043478260869</v>
      </c>
      <c r="F273">
        <v>2.3071909090909086</v>
      </c>
      <c r="G273">
        <v>2.3330571428571423</v>
      </c>
      <c r="H273">
        <v>2.19950909090909</v>
      </c>
      <c r="I273">
        <v>1.9751454545454548</v>
      </c>
      <c r="J273">
        <v>1.9295000000000004</v>
      </c>
      <c r="K273">
        <v>1.9504727272727274</v>
      </c>
      <c r="L273">
        <v>2.0894571428571429</v>
      </c>
      <c r="M273">
        <v>1.9890545454545454</v>
      </c>
      <c r="N273">
        <v>1.9106521739130424</v>
      </c>
    </row>
    <row r="274" spans="2:14" x14ac:dyDescent="0.2">
      <c r="C274">
        <v>25</v>
      </c>
      <c r="D274">
        <v>2.026125</v>
      </c>
      <c r="E274">
        <v>2.3612826086956522</v>
      </c>
      <c r="F274">
        <v>2.3174772727272721</v>
      </c>
      <c r="G274">
        <v>2.3433809523809517</v>
      </c>
      <c r="H274">
        <v>2.2057727272727261</v>
      </c>
      <c r="I274">
        <v>1.9820909090909093</v>
      </c>
      <c r="J274">
        <v>1.9381136363636369</v>
      </c>
      <c r="K274">
        <v>1.9569090909090909</v>
      </c>
      <c r="L274">
        <v>2.0920952380952382</v>
      </c>
      <c r="M274">
        <v>1.9830681818181819</v>
      </c>
      <c r="N274">
        <v>1.9029999999999987</v>
      </c>
    </row>
    <row r="275" spans="2:14" x14ac:dyDescent="0.2">
      <c r="C275">
        <v>26</v>
      </c>
      <c r="D275">
        <v>2.04453</v>
      </c>
      <c r="E275">
        <v>2.3710608695652176</v>
      </c>
      <c r="F275">
        <v>2.3277636363636356</v>
      </c>
      <c r="G275">
        <v>2.3537047619047611</v>
      </c>
      <c r="H275">
        <v>2.2120363636363622</v>
      </c>
      <c r="I275">
        <v>1.9890363636363639</v>
      </c>
      <c r="J275">
        <v>1.9467272727272733</v>
      </c>
      <c r="K275">
        <v>1.9633454545454545</v>
      </c>
      <c r="L275">
        <v>2.0947333333333336</v>
      </c>
      <c r="M275">
        <v>1.9770818181818184</v>
      </c>
      <c r="N275">
        <v>1.895347826086955</v>
      </c>
    </row>
    <row r="276" spans="2:14" x14ac:dyDescent="0.2">
      <c r="C276">
        <v>27</v>
      </c>
      <c r="D276">
        <v>2.062935</v>
      </c>
      <c r="E276">
        <v>2.3808391304347829</v>
      </c>
      <c r="F276">
        <v>2.3380499999999991</v>
      </c>
      <c r="G276">
        <v>2.3640285714285705</v>
      </c>
      <c r="H276">
        <v>2.2182999999999984</v>
      </c>
      <c r="I276">
        <v>1.9959818181818185</v>
      </c>
      <c r="J276">
        <v>1.9553409090909097</v>
      </c>
      <c r="K276">
        <v>1.9697818181818181</v>
      </c>
      <c r="L276">
        <v>2.0973714285714289</v>
      </c>
      <c r="M276">
        <v>1.9710954545454549</v>
      </c>
      <c r="N276">
        <v>1.8876956521739112</v>
      </c>
    </row>
    <row r="277" spans="2:14" x14ac:dyDescent="0.2">
      <c r="C277">
        <v>28</v>
      </c>
      <c r="D277">
        <v>2.08134</v>
      </c>
      <c r="E277">
        <v>2.3906173913043482</v>
      </c>
      <c r="F277">
        <v>2.3483363636363626</v>
      </c>
      <c r="G277">
        <v>2.3743523809523799</v>
      </c>
      <c r="H277">
        <v>2.2245636363636345</v>
      </c>
      <c r="I277">
        <v>2.0029272727272729</v>
      </c>
      <c r="J277">
        <v>1.9639545454545462</v>
      </c>
      <c r="K277">
        <v>1.9762181818181817</v>
      </c>
      <c r="L277">
        <v>2.1000095238095242</v>
      </c>
      <c r="M277">
        <v>1.9651090909090914</v>
      </c>
      <c r="N277">
        <v>1.8800434782608675</v>
      </c>
    </row>
    <row r="278" spans="2:14" x14ac:dyDescent="0.2">
      <c r="C278">
        <v>29</v>
      </c>
      <c r="D278">
        <v>2.099745</v>
      </c>
      <c r="E278">
        <v>2.4003956521739136</v>
      </c>
      <c r="F278">
        <v>2.358622727272726</v>
      </c>
      <c r="G278">
        <v>2.3846761904761893</v>
      </c>
      <c r="H278">
        <v>2.2308272727272707</v>
      </c>
      <c r="I278">
        <v>2.0098727272727275</v>
      </c>
      <c r="J278">
        <v>1.9725681818181826</v>
      </c>
      <c r="K278">
        <v>1.9826545454545452</v>
      </c>
      <c r="L278">
        <v>2.1026476190476195</v>
      </c>
      <c r="M278">
        <v>1.9591227272727278</v>
      </c>
      <c r="N278">
        <v>1.8723913043478237</v>
      </c>
    </row>
    <row r="279" spans="2:14" x14ac:dyDescent="0.2">
      <c r="C279">
        <v>30</v>
      </c>
      <c r="D279">
        <v>2.11815</v>
      </c>
      <c r="E279">
        <v>2.4101739130434781</v>
      </c>
      <c r="F279">
        <v>2.3689090909090913</v>
      </c>
      <c r="G279">
        <v>2.395</v>
      </c>
      <c r="H279">
        <v>2.237090909090909</v>
      </c>
      <c r="I279">
        <v>2.0168181818181821</v>
      </c>
      <c r="J279">
        <v>1.9811818181818182</v>
      </c>
      <c r="K279">
        <v>1.989090909090909</v>
      </c>
      <c r="L279">
        <v>2.1052857142857144</v>
      </c>
      <c r="M279">
        <v>1.9531363636363643</v>
      </c>
      <c r="N279">
        <v>1.86473913043478</v>
      </c>
    </row>
    <row r="281" spans="2:14" x14ac:dyDescent="0.2">
      <c r="B281">
        <v>2022</v>
      </c>
    </row>
    <row r="282" spans="2:14" x14ac:dyDescent="0.2">
      <c r="E282" t="s">
        <v>130</v>
      </c>
      <c r="H282" t="s">
        <v>131</v>
      </c>
      <c r="J282" t="s">
        <v>132</v>
      </c>
      <c r="K282" t="s">
        <v>133</v>
      </c>
      <c r="N282" t="s">
        <v>134</v>
      </c>
    </row>
    <row r="285" spans="2:14" x14ac:dyDescent="0.2">
      <c r="C285">
        <v>1</v>
      </c>
      <c r="D285">
        <v>1.7725500000000003</v>
      </c>
      <c r="E285">
        <v>2.2170000000000001</v>
      </c>
      <c r="F285">
        <v>2.7913809523809525</v>
      </c>
      <c r="G285">
        <v>2.8171363636363638</v>
      </c>
      <c r="H285">
        <v>3.1492727272727268</v>
      </c>
      <c r="I285">
        <v>2.9566666666666666</v>
      </c>
      <c r="J285">
        <v>3.1398695652173911</v>
      </c>
      <c r="K285">
        <v>3.7837727272727264</v>
      </c>
      <c r="L285">
        <v>4.2498571428571426</v>
      </c>
      <c r="M285">
        <v>4.0063636363636359</v>
      </c>
      <c r="N285">
        <v>3.8386363636363638</v>
      </c>
    </row>
    <row r="286" spans="2:14" x14ac:dyDescent="0.2">
      <c r="C286">
        <v>2</v>
      </c>
      <c r="D286">
        <v>1.8089</v>
      </c>
      <c r="E286">
        <v>2.073260869565217</v>
      </c>
      <c r="F286">
        <v>2.7431428571428578</v>
      </c>
      <c r="G286">
        <v>2.8606363636363636</v>
      </c>
      <c r="H286">
        <v>3.1609545454545445</v>
      </c>
      <c r="I286">
        <v>2.9518571428571425</v>
      </c>
      <c r="J286">
        <v>2.9694347826086949</v>
      </c>
      <c r="K286">
        <v>3.6045909090909092</v>
      </c>
      <c r="L286">
        <v>4.1081428571428571</v>
      </c>
      <c r="M286">
        <v>3.9997272727272728</v>
      </c>
      <c r="N286">
        <v>3.6977727272727279</v>
      </c>
    </row>
    <row r="287" spans="2:14" x14ac:dyDescent="0.2">
      <c r="C287">
        <v>3</v>
      </c>
      <c r="D287">
        <v>1.8792500000000001</v>
      </c>
      <c r="E287">
        <v>2.2326086956521736</v>
      </c>
      <c r="F287">
        <v>2.8363333333333336</v>
      </c>
      <c r="G287">
        <v>2.8771818181818185</v>
      </c>
      <c r="H287">
        <v>3.1685909090909088</v>
      </c>
      <c r="I287">
        <v>2.9198095238095241</v>
      </c>
      <c r="J287">
        <v>3.0394782608695645</v>
      </c>
      <c r="K287">
        <v>3.6700909090909097</v>
      </c>
      <c r="L287">
        <v>4.1163809523809523</v>
      </c>
      <c r="M287">
        <v>3.8569545454545451</v>
      </c>
      <c r="N287">
        <v>3.7157727272727272</v>
      </c>
    </row>
    <row r="288" spans="2:14" x14ac:dyDescent="0.2">
      <c r="C288">
        <v>4</v>
      </c>
      <c r="D288">
        <v>1.91795</v>
      </c>
      <c r="E288">
        <v>2.2395652173913039</v>
      </c>
      <c r="F288">
        <v>2.8479047619047617</v>
      </c>
      <c r="G288">
        <v>2.8961363636363635</v>
      </c>
      <c r="H288">
        <v>3.1723636363636358</v>
      </c>
      <c r="I288">
        <v>2.9154761904761908</v>
      </c>
      <c r="J288">
        <v>3.0189130434782605</v>
      </c>
      <c r="K288">
        <v>3.6385454545454539</v>
      </c>
      <c r="L288">
        <v>4.0764761904761899</v>
      </c>
      <c r="M288">
        <v>3.8275454545454548</v>
      </c>
      <c r="N288">
        <v>3.6975454545454554</v>
      </c>
    </row>
    <row r="289" spans="3:14" x14ac:dyDescent="0.2">
      <c r="C289">
        <v>5</v>
      </c>
      <c r="D289">
        <v>1.9251</v>
      </c>
      <c r="E289">
        <v>2.2201739130434781</v>
      </c>
      <c r="F289">
        <v>2.8279999999999994</v>
      </c>
      <c r="G289">
        <v>2.884590909090909</v>
      </c>
      <c r="H289">
        <v>3.1409090909090911</v>
      </c>
      <c r="I289">
        <v>2.8813809523809524</v>
      </c>
      <c r="J289">
        <v>2.9801739130434788</v>
      </c>
      <c r="K289">
        <v>3.5839090909090925</v>
      </c>
      <c r="L289">
        <v>4.0270000000000001</v>
      </c>
      <c r="M289">
        <v>3.7865909090909087</v>
      </c>
      <c r="N289">
        <v>3.6523636363636358</v>
      </c>
    </row>
    <row r="290" spans="3:14" x14ac:dyDescent="0.2">
      <c r="C290">
        <v>6</v>
      </c>
      <c r="D290">
        <v>1.9309500000000004</v>
      </c>
      <c r="E290">
        <v>2.2051304347826086</v>
      </c>
      <c r="F290">
        <v>2.8124761904761906</v>
      </c>
      <c r="G290">
        <v>2.8756363636363642</v>
      </c>
      <c r="H290">
        <v>3.1163181818181815</v>
      </c>
      <c r="I290">
        <v>2.854857142857143</v>
      </c>
      <c r="J290">
        <v>2.9498695652173916</v>
      </c>
      <c r="K290">
        <v>3.5414090909090912</v>
      </c>
      <c r="L290">
        <v>3.9884761904761903</v>
      </c>
      <c r="M290">
        <v>3.7545454545454544</v>
      </c>
      <c r="N290">
        <v>3.6171363636363649</v>
      </c>
    </row>
    <row r="291" spans="3:14" x14ac:dyDescent="0.2">
      <c r="C291">
        <v>7</v>
      </c>
      <c r="D291">
        <v>1.9400999999999997</v>
      </c>
      <c r="E291">
        <v>2.2012173913043473</v>
      </c>
      <c r="F291">
        <v>2.8122380952380954</v>
      </c>
      <c r="G291">
        <v>2.8744545454545447</v>
      </c>
      <c r="H291">
        <v>3.1068181818181815</v>
      </c>
      <c r="I291">
        <v>2.8567142857142858</v>
      </c>
      <c r="J291">
        <v>2.9344347826086961</v>
      </c>
      <c r="K291">
        <v>3.5173181818181818</v>
      </c>
      <c r="L291">
        <v>3.9763333333333342</v>
      </c>
      <c r="M291">
        <v>3.7351818181818177</v>
      </c>
      <c r="N291">
        <v>3.5976363636363633</v>
      </c>
    </row>
    <row r="292" spans="3:14" x14ac:dyDescent="0.2">
      <c r="C292">
        <v>8</v>
      </c>
      <c r="D292">
        <v>2.22485</v>
      </c>
      <c r="E292">
        <v>2.4614782608695656</v>
      </c>
      <c r="F292">
        <v>2.9979047619047625</v>
      </c>
      <c r="G292">
        <v>3.1660909090909088</v>
      </c>
      <c r="H292">
        <v>3.3834545454545459</v>
      </c>
      <c r="I292">
        <v>3.2093809523809527</v>
      </c>
      <c r="J292">
        <v>3.2879565217391313</v>
      </c>
      <c r="K292">
        <v>3.7532272727272726</v>
      </c>
      <c r="L292">
        <v>4.2202380952380949</v>
      </c>
      <c r="M292">
        <v>4.0070909090909099</v>
      </c>
      <c r="N292">
        <v>3.8059545454545454</v>
      </c>
    </row>
    <row r="293" spans="3:14" x14ac:dyDescent="0.2">
      <c r="C293">
        <v>9</v>
      </c>
      <c r="D293">
        <v>2.3631500000000001</v>
      </c>
      <c r="E293">
        <v>2.5875652173913046</v>
      </c>
      <c r="F293">
        <v>3.081428571428571</v>
      </c>
      <c r="G293">
        <v>3.3038181818181824</v>
      </c>
      <c r="H293">
        <v>3.5144090909090906</v>
      </c>
      <c r="I293">
        <v>3.371285714285714</v>
      </c>
      <c r="J293">
        <v>3.4552608695652181</v>
      </c>
      <c r="K293">
        <v>3.8635909090909091</v>
      </c>
      <c r="L293">
        <v>4.3281428571428577</v>
      </c>
      <c r="M293">
        <v>4.1345454545454539</v>
      </c>
      <c r="N293">
        <v>3.9042272727272729</v>
      </c>
    </row>
    <row r="294" spans="3:14" x14ac:dyDescent="0.2">
      <c r="C294">
        <v>10</v>
      </c>
      <c r="D294">
        <v>2.2623000000000002</v>
      </c>
      <c r="E294">
        <v>2.4183913043478267</v>
      </c>
      <c r="F294">
        <v>2.8272380952380951</v>
      </c>
      <c r="G294">
        <v>3.0074999999999998</v>
      </c>
      <c r="H294">
        <v>3.1469545454545456</v>
      </c>
      <c r="I294">
        <v>3.0122857142857145</v>
      </c>
      <c r="J294">
        <v>3.1039565217391312</v>
      </c>
      <c r="K294">
        <v>3.4664090909090906</v>
      </c>
      <c r="L294">
        <v>3.938190476190476</v>
      </c>
      <c r="M294">
        <v>3.7881363636363634</v>
      </c>
      <c r="N294">
        <v>3.5944090909090907</v>
      </c>
    </row>
    <row r="295" spans="3:14" x14ac:dyDescent="0.2">
      <c r="C295">
        <v>11</v>
      </c>
      <c r="D295">
        <v>2.2524100000000002</v>
      </c>
      <c r="E295">
        <v>2.4160782608695657</v>
      </c>
      <c r="F295">
        <v>2.8453523809523809</v>
      </c>
      <c r="G295">
        <v>3.0379</v>
      </c>
      <c r="H295">
        <v>3.1935909090909091</v>
      </c>
      <c r="I295">
        <v>3.0567714285714289</v>
      </c>
      <c r="J295">
        <v>3.1286956521739135</v>
      </c>
      <c r="K295">
        <v>3.5134090909090907</v>
      </c>
      <c r="L295">
        <v>3.9833428571428571</v>
      </c>
      <c r="M295">
        <v>3.8480181818181816</v>
      </c>
      <c r="N295">
        <v>3.6297090909090906</v>
      </c>
    </row>
    <row r="296" spans="3:14" x14ac:dyDescent="0.2">
      <c r="C296">
        <v>12</v>
      </c>
      <c r="D296">
        <v>2.2425200000000003</v>
      </c>
      <c r="E296">
        <v>2.4137652173913047</v>
      </c>
      <c r="F296">
        <v>2.8634666666666666</v>
      </c>
      <c r="G296">
        <v>3.0683000000000002</v>
      </c>
      <c r="H296">
        <v>3.2402272727272727</v>
      </c>
      <c r="I296">
        <v>3.1012571428571434</v>
      </c>
      <c r="J296">
        <v>3.1534347826086959</v>
      </c>
      <c r="K296">
        <v>3.5604090909090909</v>
      </c>
      <c r="L296">
        <v>4.0284952380952381</v>
      </c>
      <c r="M296">
        <v>3.9078999999999997</v>
      </c>
      <c r="N296">
        <v>3.6650090909090904</v>
      </c>
    </row>
    <row r="297" spans="3:14" x14ac:dyDescent="0.2">
      <c r="C297">
        <v>13</v>
      </c>
      <c r="D297">
        <v>2.2326300000000003</v>
      </c>
      <c r="E297">
        <v>2.4114521739130437</v>
      </c>
      <c r="F297">
        <v>2.8815809523809524</v>
      </c>
      <c r="G297">
        <v>3.0987000000000005</v>
      </c>
      <c r="H297">
        <v>3.2868636363636363</v>
      </c>
      <c r="I297">
        <v>3.1457428571428578</v>
      </c>
      <c r="J297">
        <v>3.1781739130434783</v>
      </c>
      <c r="K297">
        <v>3.607409090909091</v>
      </c>
      <c r="L297">
        <v>4.0736476190476187</v>
      </c>
      <c r="M297">
        <v>3.9677818181818179</v>
      </c>
      <c r="N297">
        <v>3.7003090909090903</v>
      </c>
    </row>
    <row r="298" spans="3:14" x14ac:dyDescent="0.2">
      <c r="C298">
        <v>14</v>
      </c>
      <c r="D298">
        <v>2.2227400000000004</v>
      </c>
      <c r="E298">
        <v>2.4091391304347827</v>
      </c>
      <c r="F298">
        <v>2.8996952380952381</v>
      </c>
      <c r="G298">
        <v>3.1291000000000007</v>
      </c>
      <c r="H298">
        <v>3.3334999999999999</v>
      </c>
      <c r="I298">
        <v>3.1902285714285723</v>
      </c>
      <c r="J298">
        <v>3.2029130434782607</v>
      </c>
      <c r="K298">
        <v>3.6544090909090912</v>
      </c>
      <c r="L298">
        <v>4.1187999999999994</v>
      </c>
      <c r="M298">
        <v>4.027663636363636</v>
      </c>
      <c r="N298">
        <v>3.7356090909090902</v>
      </c>
    </row>
    <row r="299" spans="3:14" x14ac:dyDescent="0.2">
      <c r="C299">
        <v>15</v>
      </c>
      <c r="D299">
        <v>2.2128500000000004</v>
      </c>
      <c r="E299">
        <v>2.4068260869565217</v>
      </c>
      <c r="F299">
        <v>2.9178095238095243</v>
      </c>
      <c r="G299">
        <v>3.1595</v>
      </c>
      <c r="H299">
        <v>3.3801363636363635</v>
      </c>
      <c r="I299">
        <v>3.2347142857142859</v>
      </c>
      <c r="J299">
        <v>3.227652173913043</v>
      </c>
      <c r="K299">
        <v>3.7014090909090909</v>
      </c>
      <c r="L299">
        <v>4.1639523809523808</v>
      </c>
      <c r="M299">
        <v>4.087545454545455</v>
      </c>
      <c r="N299">
        <v>3.7709090909090905</v>
      </c>
    </row>
    <row r="300" spans="3:14" x14ac:dyDescent="0.2">
      <c r="C300">
        <v>16</v>
      </c>
      <c r="D300">
        <v>2.2393000000000005</v>
      </c>
      <c r="E300">
        <v>2.4345652173913046</v>
      </c>
      <c r="F300">
        <v>2.9341333333333339</v>
      </c>
      <c r="G300">
        <v>3.1855181818181819</v>
      </c>
      <c r="H300">
        <v>3.4054818181818178</v>
      </c>
      <c r="I300">
        <v>3.267295238095238</v>
      </c>
      <c r="J300">
        <v>3.261373913043478</v>
      </c>
      <c r="K300">
        <v>3.7246000000000001</v>
      </c>
      <c r="L300">
        <v>4.1857809523809522</v>
      </c>
      <c r="M300">
        <v>4.1129363636363641</v>
      </c>
      <c r="N300">
        <v>3.7907363636363631</v>
      </c>
    </row>
    <row r="301" spans="3:14" x14ac:dyDescent="0.2">
      <c r="C301">
        <v>17</v>
      </c>
      <c r="D301">
        <v>2.2657500000000006</v>
      </c>
      <c r="E301">
        <v>2.4623043478260875</v>
      </c>
      <c r="F301">
        <v>2.9504571428571436</v>
      </c>
      <c r="G301">
        <v>3.2115363636363639</v>
      </c>
      <c r="H301">
        <v>3.4308272727272722</v>
      </c>
      <c r="I301">
        <v>3.2998761904761902</v>
      </c>
      <c r="J301">
        <v>3.295095652173913</v>
      </c>
      <c r="K301">
        <v>3.7477909090909094</v>
      </c>
      <c r="L301">
        <v>4.2076095238095235</v>
      </c>
      <c r="M301">
        <v>4.1383272727272731</v>
      </c>
      <c r="N301">
        <v>3.8105636363636357</v>
      </c>
    </row>
    <row r="302" spans="3:14" x14ac:dyDescent="0.2">
      <c r="C302">
        <v>18</v>
      </c>
      <c r="D302">
        <v>2.2922000000000007</v>
      </c>
      <c r="E302">
        <v>2.4900434782608705</v>
      </c>
      <c r="F302">
        <v>2.9667809523809532</v>
      </c>
      <c r="G302">
        <v>3.2375545454545458</v>
      </c>
      <c r="H302">
        <v>3.4561727272727265</v>
      </c>
      <c r="I302">
        <v>3.3324571428571423</v>
      </c>
      <c r="J302">
        <v>3.328817391304348</v>
      </c>
      <c r="K302">
        <v>3.7709818181818187</v>
      </c>
      <c r="L302">
        <v>4.2294380952380948</v>
      </c>
      <c r="M302">
        <v>4.1637181818181821</v>
      </c>
      <c r="N302">
        <v>3.8303909090909083</v>
      </c>
    </row>
    <row r="303" spans="3:14" x14ac:dyDescent="0.2">
      <c r="C303">
        <v>19</v>
      </c>
      <c r="D303">
        <v>2.3186500000000008</v>
      </c>
      <c r="E303">
        <v>2.5177826086956534</v>
      </c>
      <c r="F303">
        <v>2.9831047619047628</v>
      </c>
      <c r="G303">
        <v>3.2635727272727277</v>
      </c>
      <c r="H303">
        <v>3.4815181818181808</v>
      </c>
      <c r="I303">
        <v>3.3650380952380945</v>
      </c>
      <c r="J303">
        <v>3.3625391304347829</v>
      </c>
      <c r="K303">
        <v>3.7941727272727279</v>
      </c>
      <c r="L303">
        <v>4.2512666666666661</v>
      </c>
      <c r="M303">
        <v>4.1891090909090911</v>
      </c>
      <c r="N303">
        <v>3.8502181818181809</v>
      </c>
    </row>
    <row r="304" spans="3:14" x14ac:dyDescent="0.2">
      <c r="C304">
        <v>20</v>
      </c>
      <c r="D304">
        <v>2.3451</v>
      </c>
      <c r="E304">
        <v>2.5455217391304354</v>
      </c>
      <c r="F304">
        <v>2.9994285714285716</v>
      </c>
      <c r="G304">
        <v>3.2895909090909088</v>
      </c>
      <c r="H304">
        <v>3.5068636363636356</v>
      </c>
      <c r="I304">
        <v>3.3976190476190475</v>
      </c>
      <c r="J304">
        <v>3.3962608695652183</v>
      </c>
      <c r="K304">
        <v>3.8173636363636372</v>
      </c>
      <c r="L304">
        <v>4.2730952380952392</v>
      </c>
      <c r="M304">
        <v>4.2145000000000001</v>
      </c>
      <c r="N304">
        <v>3.8700454545454543</v>
      </c>
    </row>
    <row r="305" spans="3:14" x14ac:dyDescent="0.2">
      <c r="C305">
        <v>21</v>
      </c>
      <c r="D305">
        <v>2.3356399999999997</v>
      </c>
      <c r="E305">
        <v>2.5296913043478266</v>
      </c>
      <c r="F305">
        <v>2.9748952380952383</v>
      </c>
      <c r="G305">
        <v>3.2606909090909086</v>
      </c>
      <c r="H305">
        <v>3.4708863636363629</v>
      </c>
      <c r="I305">
        <v>3.3606380952380954</v>
      </c>
      <c r="J305">
        <v>3.362365217391305</v>
      </c>
      <c r="K305">
        <v>3.7778181818181826</v>
      </c>
      <c r="L305">
        <v>4.2336952380952386</v>
      </c>
      <c r="M305">
        <v>4.1791636363636364</v>
      </c>
      <c r="N305">
        <v>3.8382136363636361</v>
      </c>
    </row>
    <row r="306" spans="3:14" x14ac:dyDescent="0.2">
      <c r="C306">
        <v>22</v>
      </c>
      <c r="D306">
        <v>2.3261799999999999</v>
      </c>
      <c r="E306">
        <v>2.5138608695652178</v>
      </c>
      <c r="F306">
        <v>2.950361904761905</v>
      </c>
      <c r="G306">
        <v>3.2317909090909085</v>
      </c>
      <c r="H306">
        <v>3.4349090909090902</v>
      </c>
      <c r="I306">
        <v>3.3236571428571429</v>
      </c>
      <c r="J306">
        <v>3.3284695652173917</v>
      </c>
      <c r="K306">
        <v>3.7382727272727281</v>
      </c>
      <c r="L306">
        <v>4.1942952380952381</v>
      </c>
      <c r="M306">
        <v>4.1438272727272727</v>
      </c>
      <c r="N306">
        <v>3.8063818181818179</v>
      </c>
    </row>
    <row r="307" spans="3:14" x14ac:dyDescent="0.2">
      <c r="C307">
        <v>23</v>
      </c>
      <c r="D307">
        <v>2.3167200000000001</v>
      </c>
      <c r="E307">
        <v>2.498030434782609</v>
      </c>
      <c r="F307">
        <v>2.9258285714285717</v>
      </c>
      <c r="G307">
        <v>3.2028909090909083</v>
      </c>
      <c r="H307">
        <v>3.3989318181818176</v>
      </c>
      <c r="I307">
        <v>3.2866761904761903</v>
      </c>
      <c r="J307">
        <v>3.2945739130434784</v>
      </c>
      <c r="K307">
        <v>3.6987272727272735</v>
      </c>
      <c r="L307">
        <v>4.1548952380952375</v>
      </c>
      <c r="M307">
        <v>4.108490909090909</v>
      </c>
      <c r="N307">
        <v>3.7745499999999996</v>
      </c>
    </row>
    <row r="308" spans="3:14" x14ac:dyDescent="0.2">
      <c r="C308">
        <v>24</v>
      </c>
      <c r="D308">
        <v>2.3072600000000003</v>
      </c>
      <c r="E308">
        <v>2.4822000000000002</v>
      </c>
      <c r="F308">
        <v>2.9012952380952384</v>
      </c>
      <c r="G308">
        <v>3.1739909090909082</v>
      </c>
      <c r="H308">
        <v>3.3629545454545449</v>
      </c>
      <c r="I308">
        <v>3.2496952380952377</v>
      </c>
      <c r="J308">
        <v>3.260678260869565</v>
      </c>
      <c r="K308">
        <v>3.659181818181819</v>
      </c>
      <c r="L308">
        <v>4.115495238095237</v>
      </c>
      <c r="M308">
        <v>4.0731545454545453</v>
      </c>
      <c r="N308">
        <v>3.7427181818181814</v>
      </c>
    </row>
    <row r="309" spans="3:14" x14ac:dyDescent="0.2">
      <c r="C309">
        <v>25</v>
      </c>
      <c r="D309">
        <v>2.2978000000000005</v>
      </c>
      <c r="E309">
        <v>2.4663695652173914</v>
      </c>
      <c r="F309">
        <v>2.8767619047619051</v>
      </c>
      <c r="G309">
        <v>3.145090909090908</v>
      </c>
      <c r="H309">
        <v>3.3269772727272722</v>
      </c>
      <c r="I309">
        <v>3.2127142857142852</v>
      </c>
      <c r="J309">
        <v>3.2267826086956517</v>
      </c>
      <c r="K309">
        <v>3.6196363636363644</v>
      </c>
      <c r="L309">
        <v>4.0760952380952364</v>
      </c>
      <c r="M309">
        <v>4.0378181818181815</v>
      </c>
      <c r="N309">
        <v>3.7108863636363631</v>
      </c>
    </row>
    <row r="310" spans="3:14" x14ac:dyDescent="0.2">
      <c r="C310">
        <v>26</v>
      </c>
      <c r="D310">
        <v>2.2883400000000007</v>
      </c>
      <c r="E310">
        <v>2.4505391304347826</v>
      </c>
      <c r="F310">
        <v>2.8522285714285718</v>
      </c>
      <c r="G310">
        <v>3.1161909090909079</v>
      </c>
      <c r="H310">
        <v>3.2909999999999995</v>
      </c>
      <c r="I310">
        <v>3.1757333333333326</v>
      </c>
      <c r="J310">
        <v>3.1928869565217384</v>
      </c>
      <c r="K310">
        <v>3.5800909090909099</v>
      </c>
      <c r="L310">
        <v>4.0366952380952359</v>
      </c>
      <c r="M310">
        <v>4.0024818181818178</v>
      </c>
      <c r="N310">
        <v>3.6790545454545449</v>
      </c>
    </row>
    <row r="311" spans="3:14" x14ac:dyDescent="0.2">
      <c r="C311">
        <v>27</v>
      </c>
      <c r="D311">
        <v>2.2788800000000009</v>
      </c>
      <c r="E311">
        <v>2.4347086956521737</v>
      </c>
      <c r="F311">
        <v>2.8276952380952385</v>
      </c>
      <c r="G311">
        <v>3.0872909090909078</v>
      </c>
      <c r="H311">
        <v>3.2550227272727268</v>
      </c>
      <c r="I311">
        <v>3.1387523809523801</v>
      </c>
      <c r="J311">
        <v>3.158991304347825</v>
      </c>
      <c r="K311">
        <v>3.5405454545454553</v>
      </c>
      <c r="L311">
        <v>3.9972952380952358</v>
      </c>
      <c r="M311">
        <v>3.9671454545454541</v>
      </c>
      <c r="N311">
        <v>3.6472227272727267</v>
      </c>
    </row>
    <row r="312" spans="3:14" x14ac:dyDescent="0.2">
      <c r="C312">
        <v>28</v>
      </c>
      <c r="D312">
        <v>2.2694200000000011</v>
      </c>
      <c r="E312">
        <v>2.4188782608695649</v>
      </c>
      <c r="F312">
        <v>2.8031619047619052</v>
      </c>
      <c r="G312">
        <v>3.0583909090909076</v>
      </c>
      <c r="H312">
        <v>3.2190454545454541</v>
      </c>
      <c r="I312">
        <v>3.1017714285714275</v>
      </c>
      <c r="J312">
        <v>3.1250956521739117</v>
      </c>
      <c r="K312">
        <v>3.5010000000000008</v>
      </c>
      <c r="L312">
        <v>3.9578952380952357</v>
      </c>
      <c r="M312">
        <v>3.9318090909090904</v>
      </c>
      <c r="N312">
        <v>3.6153909090909084</v>
      </c>
    </row>
    <row r="313" spans="3:14" x14ac:dyDescent="0.2">
      <c r="C313">
        <v>29</v>
      </c>
      <c r="D313">
        <v>2.2599600000000013</v>
      </c>
      <c r="E313">
        <v>2.4030478260869561</v>
      </c>
      <c r="F313">
        <v>2.7786285714285719</v>
      </c>
      <c r="G313">
        <v>3.0294909090909075</v>
      </c>
      <c r="H313">
        <v>3.1830681818181814</v>
      </c>
      <c r="I313">
        <v>3.064790476190475</v>
      </c>
      <c r="J313">
        <v>3.0911999999999984</v>
      </c>
      <c r="K313">
        <v>3.4614545454545462</v>
      </c>
      <c r="L313">
        <v>3.9184952380952356</v>
      </c>
      <c r="M313">
        <v>3.8964727272727266</v>
      </c>
      <c r="N313">
        <v>3.5835590909090902</v>
      </c>
    </row>
    <row r="314" spans="3:14" x14ac:dyDescent="0.2">
      <c r="C314">
        <v>30</v>
      </c>
      <c r="D314">
        <v>2.2504999999999997</v>
      </c>
      <c r="E314">
        <v>2.3872173913043482</v>
      </c>
      <c r="F314">
        <v>2.7540952380952377</v>
      </c>
      <c r="G314">
        <v>3.0005909090909095</v>
      </c>
      <c r="H314">
        <v>3.1470909090909087</v>
      </c>
      <c r="I314">
        <v>3.0278095238095242</v>
      </c>
      <c r="J314">
        <v>3.0573043478260868</v>
      </c>
      <c r="K314">
        <v>3.4219090909090908</v>
      </c>
      <c r="L314">
        <v>3.8790952380952373</v>
      </c>
      <c r="M314">
        <v>3.8611363636363638</v>
      </c>
      <c r="N314">
        <v>3.5517272727272728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GASB 67 Data</vt:lpstr>
      <vt:lpstr>Summary</vt:lpstr>
      <vt:lpstr>State Figures</vt:lpstr>
      <vt:lpstr>Treasury 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Gregory Kearney</dc:creator>
  <cp:lastModifiedBy>Gregory Kearney</cp:lastModifiedBy>
  <dcterms:created xsi:type="dcterms:W3CDTF">2024-10-21T23:28:53Z</dcterms:created>
  <dcterms:modified xsi:type="dcterms:W3CDTF">2025-03-22T23:01:43Z</dcterms:modified>
</cp:coreProperties>
</file>