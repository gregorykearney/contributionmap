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Idaho/"/>
    </mc:Choice>
  </mc:AlternateContent>
  <xr:revisionPtr revIDLastSave="0" documentId="13_ncr:1_{B00E8192-0067-9048-B0CB-4B7B114D2CD4}" xr6:coauthVersionLast="47" xr6:coauthVersionMax="47" xr10:uidLastSave="{00000000-0000-0000-0000-000000000000}"/>
  <bookViews>
    <workbookView xWindow="-7780" yWindow="-21100" windowWidth="20960" windowHeight="21100" xr2:uid="{292D352E-8928-534C-A496-04F354CED784}"/>
  </bookViews>
  <sheets>
    <sheet name="Final Data" sheetId="2" r:id="rId1"/>
    <sheet name="GASB 68 Data --&gt;" sheetId="4" r:id="rId2"/>
    <sheet name="Collected Data" sheetId="1" r:id="rId3"/>
    <sheet name="NCES Data --&gt;" sheetId="5" r:id="rId4"/>
    <sheet name="LEAID Match" sheetId="3" r:id="rId5"/>
  </sheets>
  <definedNames>
    <definedName name="_xlnm._FilterDatabase" localSheetId="0" hidden="1">'Final Data'!$A$1:$K$1651</definedName>
    <definedName name="_xlnm._FilterDatabase" localSheetId="4" hidden="1">'LEAID Match'!$A$1:$C$1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2" i="2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4" i="3"/>
  <c r="C5" i="3"/>
  <c r="C61" i="3"/>
  <c r="C62" i="3"/>
  <c r="C2" i="3"/>
  <c r="C6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3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7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8" i="3"/>
  <c r="J117" i="2"/>
  <c r="J118" i="2"/>
  <c r="J119" i="2"/>
  <c r="J120" i="2"/>
  <c r="J121" i="2"/>
  <c r="J122" i="2"/>
  <c r="J123" i="2"/>
  <c r="J124" i="2"/>
  <c r="J442" i="2"/>
  <c r="J443" i="2"/>
  <c r="J444" i="2"/>
  <c r="J445" i="2"/>
  <c r="J446" i="2"/>
  <c r="J447" i="2"/>
  <c r="J448" i="2"/>
  <c r="J551" i="2"/>
  <c r="J552" i="2"/>
  <c r="J125" i="2"/>
  <c r="J126" i="2"/>
  <c r="J127" i="2"/>
  <c r="J128" i="2"/>
  <c r="J129" i="2"/>
  <c r="J130" i="2"/>
  <c r="J131" i="2"/>
  <c r="J132" i="2"/>
  <c r="J133" i="2"/>
  <c r="J342" i="2"/>
  <c r="J343" i="2"/>
  <c r="J344" i="2"/>
  <c r="J345" i="2"/>
  <c r="J346" i="2"/>
  <c r="J347" i="2"/>
  <c r="J348" i="2"/>
  <c r="J349" i="2"/>
  <c r="J350" i="2"/>
  <c r="J279" i="2"/>
  <c r="J280" i="2"/>
  <c r="J281" i="2"/>
  <c r="J282" i="2"/>
  <c r="J283" i="2"/>
  <c r="J284" i="2"/>
  <c r="J285" i="2"/>
  <c r="J286" i="2"/>
  <c r="J287" i="2"/>
  <c r="J533" i="2"/>
  <c r="J534" i="2"/>
  <c r="J535" i="2"/>
  <c r="J536" i="2"/>
  <c r="J537" i="2"/>
  <c r="J538" i="2"/>
  <c r="J539" i="2"/>
  <c r="J540" i="2"/>
  <c r="J541" i="2"/>
  <c r="J134" i="2"/>
  <c r="J135" i="2"/>
  <c r="J136" i="2"/>
  <c r="J137" i="2"/>
  <c r="J138" i="2"/>
  <c r="J139" i="2"/>
  <c r="J140" i="2"/>
  <c r="J141" i="2"/>
  <c r="J142" i="2"/>
  <c r="J234" i="2"/>
  <c r="J235" i="2"/>
  <c r="J236" i="2"/>
  <c r="J237" i="2"/>
  <c r="J238" i="2"/>
  <c r="J239" i="2"/>
  <c r="J240" i="2"/>
  <c r="J241" i="2"/>
  <c r="J242" i="2"/>
  <c r="J474" i="2"/>
  <c r="J475" i="2"/>
  <c r="J476" i="2"/>
  <c r="J477" i="2"/>
  <c r="J478" i="2"/>
  <c r="J479" i="2"/>
  <c r="J480" i="2"/>
  <c r="J481" i="2"/>
  <c r="J482" i="2"/>
  <c r="J574" i="2"/>
  <c r="J575" i="2"/>
  <c r="J576" i="2"/>
  <c r="J577" i="2"/>
  <c r="J578" i="2"/>
  <c r="J579" i="2"/>
  <c r="J580" i="2"/>
  <c r="J581" i="2"/>
  <c r="J582" i="2"/>
  <c r="J388" i="2"/>
  <c r="J389" i="2"/>
  <c r="J390" i="2"/>
  <c r="J391" i="2"/>
  <c r="J392" i="2"/>
  <c r="J393" i="2"/>
  <c r="J394" i="2"/>
  <c r="J395" i="2"/>
  <c r="J396" i="2"/>
  <c r="J261" i="2"/>
  <c r="J262" i="2"/>
  <c r="J263" i="2"/>
  <c r="J264" i="2"/>
  <c r="J265" i="2"/>
  <c r="J266" i="2"/>
  <c r="J267" i="2"/>
  <c r="J268" i="2"/>
  <c r="J269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790" i="2"/>
  <c r="J791" i="2"/>
  <c r="J792" i="2"/>
  <c r="J793" i="2"/>
  <c r="J794" i="2"/>
  <c r="J795" i="2"/>
  <c r="J796" i="2"/>
  <c r="J797" i="2"/>
  <c r="J79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252" i="2"/>
  <c r="J253" i="2"/>
  <c r="J254" i="2"/>
  <c r="J255" i="2"/>
  <c r="J256" i="2"/>
  <c r="J257" i="2"/>
  <c r="J258" i="2"/>
  <c r="J259" i="2"/>
  <c r="J260" i="2"/>
  <c r="J553" i="2"/>
  <c r="J554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351" i="2"/>
  <c r="J352" i="2"/>
  <c r="J353" i="2"/>
  <c r="J354" i="2"/>
  <c r="J355" i="2"/>
  <c r="J356" i="2"/>
  <c r="J357" i="2"/>
  <c r="J358" i="2"/>
  <c r="J359" i="2"/>
  <c r="J727" i="2"/>
  <c r="J728" i="2"/>
  <c r="J729" i="2"/>
  <c r="J730" i="2"/>
  <c r="J731" i="2"/>
  <c r="J732" i="2"/>
  <c r="J733" i="2"/>
  <c r="J734" i="2"/>
  <c r="J735" i="2"/>
  <c r="J1222" i="2"/>
  <c r="J1223" i="2"/>
  <c r="J1224" i="2"/>
  <c r="J1225" i="2"/>
  <c r="J1226" i="2"/>
  <c r="J1227" i="2"/>
  <c r="J1228" i="2"/>
  <c r="J1229" i="2"/>
  <c r="J1230" i="2"/>
  <c r="J424" i="2"/>
  <c r="J425" i="2"/>
  <c r="J426" i="2"/>
  <c r="J427" i="2"/>
  <c r="J428" i="2"/>
  <c r="J429" i="2"/>
  <c r="J430" i="2"/>
  <c r="J431" i="2"/>
  <c r="J432" i="2"/>
  <c r="J736" i="2"/>
  <c r="J737" i="2"/>
  <c r="J738" i="2"/>
  <c r="J739" i="2"/>
  <c r="J740" i="2"/>
  <c r="J741" i="2"/>
  <c r="J742" i="2"/>
  <c r="J743" i="2"/>
  <c r="J744" i="2"/>
  <c r="J1562" i="2"/>
  <c r="J1579" i="2"/>
  <c r="J1596" i="2"/>
  <c r="J1613" i="2"/>
  <c r="J1631" i="2"/>
  <c r="J1515" i="2"/>
  <c r="J1531" i="2"/>
  <c r="J1547" i="2"/>
  <c r="J1563" i="2"/>
  <c r="J1580" i="2"/>
  <c r="J1597" i="2"/>
  <c r="J1614" i="2"/>
  <c r="J1632" i="2"/>
  <c r="J1516" i="2"/>
  <c r="J1532" i="2"/>
  <c r="J1548" i="2"/>
  <c r="J1564" i="2"/>
  <c r="J1581" i="2"/>
  <c r="J1598" i="2"/>
  <c r="J1615" i="2"/>
  <c r="J1633" i="2"/>
  <c r="J56" i="2"/>
  <c r="J57" i="2"/>
  <c r="J58" i="2"/>
  <c r="J59" i="2"/>
  <c r="J60" i="2"/>
  <c r="J61" i="2"/>
  <c r="J62" i="2"/>
  <c r="J63" i="2"/>
  <c r="J64" i="2"/>
  <c r="J745" i="2"/>
  <c r="J746" i="2"/>
  <c r="J747" i="2"/>
  <c r="J748" i="2"/>
  <c r="J749" i="2"/>
  <c r="J750" i="2"/>
  <c r="J751" i="2"/>
  <c r="J752" i="2"/>
  <c r="J753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545" i="2"/>
  <c r="J546" i="2"/>
  <c r="J547" i="2"/>
  <c r="J557" i="2"/>
  <c r="J1634" i="2"/>
  <c r="J510" i="2"/>
  <c r="J511" i="2"/>
  <c r="J512" i="2"/>
  <c r="J513" i="2"/>
  <c r="J808" i="2"/>
  <c r="J809" i="2"/>
  <c r="J810" i="2"/>
  <c r="J811" i="2"/>
  <c r="J812" i="2"/>
  <c r="J813" i="2"/>
  <c r="J814" i="2"/>
  <c r="J815" i="2"/>
  <c r="J816" i="2"/>
  <c r="J65" i="2"/>
  <c r="J66" i="2"/>
  <c r="J67" i="2"/>
  <c r="J68" i="2"/>
  <c r="J69" i="2"/>
  <c r="J70" i="2"/>
  <c r="J71" i="2"/>
  <c r="J72" i="2"/>
  <c r="J73" i="2"/>
  <c r="J502" i="2"/>
  <c r="J503" i="2"/>
  <c r="J504" i="2"/>
  <c r="J505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514" i="2"/>
  <c r="J515" i="2"/>
  <c r="J516" i="2"/>
  <c r="J517" i="2"/>
  <c r="J844" i="2"/>
  <c r="J845" i="2"/>
  <c r="J846" i="2"/>
  <c r="J847" i="2"/>
  <c r="J848" i="2"/>
  <c r="J849" i="2"/>
  <c r="J850" i="2"/>
  <c r="J851" i="2"/>
  <c r="J852" i="2"/>
  <c r="J483" i="2"/>
  <c r="J484" i="2"/>
  <c r="J485" i="2"/>
  <c r="J486" i="2"/>
  <c r="J487" i="2"/>
  <c r="J853" i="2"/>
  <c r="J854" i="2"/>
  <c r="J855" i="2"/>
  <c r="J856" i="2"/>
  <c r="J857" i="2"/>
  <c r="J858" i="2"/>
  <c r="J859" i="2"/>
  <c r="J860" i="2"/>
  <c r="J861" i="2"/>
  <c r="J542" i="2"/>
  <c r="J543" i="2"/>
  <c r="J544" i="2"/>
  <c r="J555" i="2"/>
  <c r="J556" i="2"/>
  <c r="J469" i="2"/>
  <c r="J470" i="2"/>
  <c r="J471" i="2"/>
  <c r="J472" i="2"/>
  <c r="J473" i="2"/>
  <c r="J567" i="2"/>
  <c r="J568" i="2"/>
  <c r="J569" i="2"/>
  <c r="J570" i="2"/>
  <c r="J571" i="2"/>
  <c r="J572" i="2"/>
  <c r="J573" i="2"/>
  <c r="J419" i="2"/>
  <c r="J420" i="2"/>
  <c r="J421" i="2"/>
  <c r="J422" i="2"/>
  <c r="J423" i="2"/>
  <c r="J458" i="2"/>
  <c r="J459" i="2"/>
  <c r="J460" i="2"/>
  <c r="J461" i="2"/>
  <c r="J462" i="2"/>
  <c r="J463" i="2"/>
  <c r="J1635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499" i="2"/>
  <c r="J500" i="2"/>
  <c r="J501" i="2"/>
  <c r="J315" i="2"/>
  <c r="J316" i="2"/>
  <c r="J317" i="2"/>
  <c r="J318" i="2"/>
  <c r="J319" i="2"/>
  <c r="J320" i="2"/>
  <c r="J321" i="2"/>
  <c r="J322" i="2"/>
  <c r="J323" i="2"/>
  <c r="J333" i="2"/>
  <c r="J334" i="2"/>
  <c r="J335" i="2"/>
  <c r="J336" i="2"/>
  <c r="J337" i="2"/>
  <c r="J338" i="2"/>
  <c r="J339" i="2"/>
  <c r="J340" i="2"/>
  <c r="J341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197" i="2"/>
  <c r="J198" i="2"/>
  <c r="J199" i="2"/>
  <c r="J200" i="2"/>
  <c r="J201" i="2"/>
  <c r="J202" i="2"/>
  <c r="J203" i="2"/>
  <c r="J204" i="2"/>
  <c r="J205" i="2"/>
  <c r="J1502" i="2"/>
  <c r="J1517" i="2"/>
  <c r="J1533" i="2"/>
  <c r="J1549" i="2"/>
  <c r="J1565" i="2"/>
  <c r="J1582" i="2"/>
  <c r="J1599" i="2"/>
  <c r="J1616" i="2"/>
  <c r="J1636" i="2"/>
  <c r="J558" i="2"/>
  <c r="J559" i="2"/>
  <c r="J560" i="2"/>
  <c r="J561" i="2"/>
  <c r="J562" i="2"/>
  <c r="J563" i="2"/>
  <c r="J564" i="2"/>
  <c r="J565" i="2"/>
  <c r="J566" i="2"/>
  <c r="J406" i="2"/>
  <c r="J407" i="2"/>
  <c r="J408" i="2"/>
  <c r="J409" i="2"/>
  <c r="J410" i="2"/>
  <c r="J411" i="2"/>
  <c r="J412" i="2"/>
  <c r="J413" i="2"/>
  <c r="J414" i="2"/>
  <c r="J943" i="2"/>
  <c r="J944" i="2"/>
  <c r="J945" i="2"/>
  <c r="J946" i="2"/>
  <c r="J947" i="2"/>
  <c r="J948" i="2"/>
  <c r="J949" i="2"/>
  <c r="J950" i="2"/>
  <c r="J951" i="2"/>
  <c r="J206" i="2"/>
  <c r="J207" i="2"/>
  <c r="J208" i="2"/>
  <c r="J209" i="2"/>
  <c r="J210" i="2"/>
  <c r="J211" i="2"/>
  <c r="J212" i="2"/>
  <c r="J213" i="2"/>
  <c r="J214" i="2"/>
  <c r="J29" i="2"/>
  <c r="J30" i="2"/>
  <c r="J31" i="2"/>
  <c r="J32" i="2"/>
  <c r="J33" i="2"/>
  <c r="J34" i="2"/>
  <c r="J35" i="2"/>
  <c r="J36" i="2"/>
  <c r="J37" i="2"/>
  <c r="J216" i="2"/>
  <c r="J217" i="2"/>
  <c r="J218" i="2"/>
  <c r="J219" i="2"/>
  <c r="J220" i="2"/>
  <c r="J221" i="2"/>
  <c r="J222" i="2"/>
  <c r="J223" i="2"/>
  <c r="J224" i="2"/>
  <c r="J1501" i="2"/>
  <c r="J1514" i="2"/>
  <c r="J1530" i="2"/>
  <c r="J1546" i="2"/>
  <c r="J1561" i="2"/>
  <c r="J1578" i="2"/>
  <c r="J1595" i="2"/>
  <c r="J1612" i="2"/>
  <c r="J1630" i="2"/>
  <c r="J521" i="2"/>
  <c r="J522" i="2"/>
  <c r="J523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225" i="2"/>
  <c r="J226" i="2"/>
  <c r="J227" i="2"/>
  <c r="J228" i="2"/>
  <c r="J229" i="2"/>
  <c r="J230" i="2"/>
  <c r="J231" i="2"/>
  <c r="J232" i="2"/>
  <c r="J233" i="2"/>
  <c r="J997" i="2"/>
  <c r="J998" i="2"/>
  <c r="J999" i="2"/>
  <c r="J1000" i="2"/>
  <c r="J1001" i="2"/>
  <c r="J1002" i="2"/>
  <c r="J1003" i="2"/>
  <c r="J1004" i="2"/>
  <c r="J1005" i="2"/>
  <c r="J379" i="2"/>
  <c r="J380" i="2"/>
  <c r="J381" i="2"/>
  <c r="J382" i="2"/>
  <c r="J383" i="2"/>
  <c r="J384" i="2"/>
  <c r="J385" i="2"/>
  <c r="J386" i="2"/>
  <c r="J387" i="2"/>
  <c r="J1006" i="2"/>
  <c r="J1007" i="2"/>
  <c r="J1008" i="2"/>
  <c r="J1009" i="2"/>
  <c r="J1010" i="2"/>
  <c r="J1011" i="2"/>
  <c r="J1012" i="2"/>
  <c r="J1013" i="2"/>
  <c r="J1014" i="2"/>
  <c r="J11" i="2"/>
  <c r="J12" i="2"/>
  <c r="J13" i="2"/>
  <c r="J14" i="2"/>
  <c r="J15" i="2"/>
  <c r="J16" i="2"/>
  <c r="J17" i="2"/>
  <c r="J18" i="2"/>
  <c r="J19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306" i="2"/>
  <c r="J307" i="2"/>
  <c r="J308" i="2"/>
  <c r="J309" i="2"/>
  <c r="J310" i="2"/>
  <c r="J311" i="2"/>
  <c r="J312" i="2"/>
  <c r="J313" i="2"/>
  <c r="J314" i="2"/>
  <c r="J1033" i="2"/>
  <c r="J1034" i="2"/>
  <c r="J1035" i="2"/>
  <c r="J1036" i="2"/>
  <c r="J1037" i="2"/>
  <c r="J1038" i="2"/>
  <c r="J1039" i="2"/>
  <c r="J1040" i="2"/>
  <c r="J1041" i="2"/>
  <c r="J92" i="2"/>
  <c r="J93" i="2"/>
  <c r="J94" i="2"/>
  <c r="J95" i="2"/>
  <c r="J96" i="2"/>
  <c r="J97" i="2"/>
  <c r="J98" i="2"/>
  <c r="J99" i="2"/>
  <c r="J100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503" i="2"/>
  <c r="J1518" i="2"/>
  <c r="J1534" i="2"/>
  <c r="J1550" i="2"/>
  <c r="J1566" i="2"/>
  <c r="J1583" i="2"/>
  <c r="J1600" i="2"/>
  <c r="J1617" i="2"/>
  <c r="J1637" i="2"/>
  <c r="J1504" i="2"/>
  <c r="J1519" i="2"/>
  <c r="J1535" i="2"/>
  <c r="J1551" i="2"/>
  <c r="J1567" i="2"/>
  <c r="J1584" i="2"/>
  <c r="J1601" i="2"/>
  <c r="J1618" i="2"/>
  <c r="J1638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270" i="2"/>
  <c r="J271" i="2"/>
  <c r="J272" i="2"/>
  <c r="J273" i="2"/>
  <c r="J274" i="2"/>
  <c r="J275" i="2"/>
  <c r="J276" i="2"/>
  <c r="J277" i="2"/>
  <c r="J278" i="2"/>
  <c r="J518" i="2"/>
  <c r="J519" i="2"/>
  <c r="J520" i="2"/>
  <c r="J1505" i="2"/>
  <c r="J1520" i="2"/>
  <c r="J1536" i="2"/>
  <c r="J1552" i="2"/>
  <c r="J1568" i="2"/>
  <c r="J1585" i="2"/>
  <c r="J1602" i="2"/>
  <c r="J1619" i="2"/>
  <c r="J1639" i="2"/>
  <c r="J1132" i="2"/>
  <c r="J1133" i="2"/>
  <c r="J1134" i="2"/>
  <c r="J1135" i="2"/>
  <c r="J1136" i="2"/>
  <c r="J1137" i="2"/>
  <c r="J1138" i="2"/>
  <c r="J1139" i="2"/>
  <c r="J1140" i="2"/>
  <c r="J1640" i="2"/>
  <c r="J1141" i="2"/>
  <c r="J1142" i="2"/>
  <c r="J1143" i="2"/>
  <c r="J1144" i="2"/>
  <c r="J1145" i="2"/>
  <c r="J1146" i="2"/>
  <c r="J1147" i="2"/>
  <c r="J1148" i="2"/>
  <c r="J1149" i="2"/>
  <c r="J152" i="2"/>
  <c r="J153" i="2"/>
  <c r="J154" i="2"/>
  <c r="J155" i="2"/>
  <c r="J156" i="2"/>
  <c r="J157" i="2"/>
  <c r="J158" i="2"/>
  <c r="J159" i="2"/>
  <c r="J160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521" i="2"/>
  <c r="J1537" i="2"/>
  <c r="J1569" i="2"/>
  <c r="J1586" i="2"/>
  <c r="J1603" i="2"/>
  <c r="J1620" i="2"/>
  <c r="J1641" i="2"/>
  <c r="J433" i="2"/>
  <c r="J434" i="2"/>
  <c r="J435" i="2"/>
  <c r="J436" i="2"/>
  <c r="J437" i="2"/>
  <c r="J438" i="2"/>
  <c r="J439" i="2"/>
  <c r="J440" i="2"/>
  <c r="J441" i="2"/>
  <c r="J188" i="2"/>
  <c r="J189" i="2"/>
  <c r="J190" i="2"/>
  <c r="J191" i="2"/>
  <c r="J192" i="2"/>
  <c r="J193" i="2"/>
  <c r="J194" i="2"/>
  <c r="J195" i="2"/>
  <c r="J196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243" i="2"/>
  <c r="J244" i="2"/>
  <c r="J245" i="2"/>
  <c r="J246" i="2"/>
  <c r="J247" i="2"/>
  <c r="J248" i="2"/>
  <c r="J249" i="2"/>
  <c r="J250" i="2"/>
  <c r="J251" i="2"/>
  <c r="J1231" i="2"/>
  <c r="J1232" i="2"/>
  <c r="J1233" i="2"/>
  <c r="J1234" i="2"/>
  <c r="J1235" i="2"/>
  <c r="J1236" i="2"/>
  <c r="J1237" i="2"/>
  <c r="J1238" i="2"/>
  <c r="J1239" i="2"/>
  <c r="J493" i="2"/>
  <c r="J494" i="2"/>
  <c r="J495" i="2"/>
  <c r="J496" i="2"/>
  <c r="J497" i="2"/>
  <c r="J498" i="2"/>
  <c r="J1553" i="2"/>
  <c r="J1570" i="2"/>
  <c r="J1587" i="2"/>
  <c r="J1604" i="2"/>
  <c r="J1621" i="2"/>
  <c r="J1642" i="2"/>
  <c r="J1240" i="2"/>
  <c r="J1241" i="2"/>
  <c r="J1242" i="2"/>
  <c r="J1243" i="2"/>
  <c r="J1244" i="2"/>
  <c r="J1245" i="2"/>
  <c r="J1246" i="2"/>
  <c r="J1247" i="2"/>
  <c r="J1248" i="2"/>
  <c r="J464" i="2"/>
  <c r="J465" i="2"/>
  <c r="J466" i="2"/>
  <c r="J467" i="2"/>
  <c r="J468" i="2"/>
  <c r="J548" i="2"/>
  <c r="J549" i="2"/>
  <c r="J550" i="2"/>
  <c r="J1643" i="2"/>
  <c r="J1249" i="2"/>
  <c r="J1250" i="2"/>
  <c r="J1251" i="2"/>
  <c r="J1252" i="2"/>
  <c r="J1253" i="2"/>
  <c r="J1254" i="2"/>
  <c r="J1255" i="2"/>
  <c r="J1256" i="2"/>
  <c r="J1257" i="2"/>
  <c r="J754" i="2"/>
  <c r="J755" i="2"/>
  <c r="J756" i="2"/>
  <c r="J757" i="2"/>
  <c r="J758" i="2"/>
  <c r="J759" i="2"/>
  <c r="J760" i="2"/>
  <c r="J761" i="2"/>
  <c r="J762" i="2"/>
  <c r="J449" i="2"/>
  <c r="J450" i="2"/>
  <c r="J451" i="2"/>
  <c r="J452" i="2"/>
  <c r="J453" i="2"/>
  <c r="J454" i="2"/>
  <c r="J455" i="2"/>
  <c r="J456" i="2"/>
  <c r="J4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799" i="2"/>
  <c r="J800" i="2"/>
  <c r="J801" i="2"/>
  <c r="J802" i="2"/>
  <c r="J803" i="2"/>
  <c r="J804" i="2"/>
  <c r="J805" i="2"/>
  <c r="J806" i="2"/>
  <c r="J807" i="2"/>
  <c r="J488" i="2"/>
  <c r="J489" i="2"/>
  <c r="J490" i="2"/>
  <c r="J491" i="2"/>
  <c r="J492" i="2"/>
  <c r="J38" i="2"/>
  <c r="J39" i="2"/>
  <c r="J40" i="2"/>
  <c r="J41" i="2"/>
  <c r="J42" i="2"/>
  <c r="J43" i="2"/>
  <c r="J44" i="2"/>
  <c r="J45" i="2"/>
  <c r="J46" i="2"/>
  <c r="J1294" i="2"/>
  <c r="J1295" i="2"/>
  <c r="J1296" i="2"/>
  <c r="J1297" i="2"/>
  <c r="J1298" i="2"/>
  <c r="J1299" i="2"/>
  <c r="J1300" i="2"/>
  <c r="J1301" i="2"/>
  <c r="J1302" i="2"/>
  <c r="J1506" i="2"/>
  <c r="J1522" i="2"/>
  <c r="J1538" i="2"/>
  <c r="J1554" i="2"/>
  <c r="J1571" i="2"/>
  <c r="J1588" i="2"/>
  <c r="J1605" i="2"/>
  <c r="J1622" i="2"/>
  <c r="J1644" i="2"/>
  <c r="J1303" i="2"/>
  <c r="J1304" i="2"/>
  <c r="J1305" i="2"/>
  <c r="J1306" i="2"/>
  <c r="J1307" i="2"/>
  <c r="J1308" i="2"/>
  <c r="J1309" i="2"/>
  <c r="J1310" i="2"/>
  <c r="J1311" i="2"/>
  <c r="J1623" i="2"/>
  <c r="J1645" i="2"/>
  <c r="J1312" i="2"/>
  <c r="J1313" i="2"/>
  <c r="J1314" i="2"/>
  <c r="J1315" i="2"/>
  <c r="J1316" i="2"/>
  <c r="J1317" i="2"/>
  <c r="J1318" i="2"/>
  <c r="J1319" i="2"/>
  <c r="J1320" i="2"/>
  <c r="J47" i="2"/>
  <c r="J48" i="2"/>
  <c r="J49" i="2"/>
  <c r="J50" i="2"/>
  <c r="J51" i="2"/>
  <c r="J52" i="2"/>
  <c r="J53" i="2"/>
  <c r="J54" i="2"/>
  <c r="J55" i="2"/>
  <c r="J288" i="2"/>
  <c r="J289" i="2"/>
  <c r="J290" i="2"/>
  <c r="J291" i="2"/>
  <c r="J292" i="2"/>
  <c r="J293" i="2"/>
  <c r="J294" i="2"/>
  <c r="J295" i="2"/>
  <c r="J296" i="2"/>
  <c r="J143" i="2"/>
  <c r="J144" i="2"/>
  <c r="J145" i="2"/>
  <c r="J146" i="2"/>
  <c r="J147" i="2"/>
  <c r="J148" i="2"/>
  <c r="J149" i="2"/>
  <c r="J150" i="2"/>
  <c r="J151" i="2"/>
  <c r="J1321" i="2"/>
  <c r="J1322" i="2"/>
  <c r="J1323" i="2"/>
  <c r="J1324" i="2"/>
  <c r="J1325" i="2"/>
  <c r="J1326" i="2"/>
  <c r="J1327" i="2"/>
  <c r="J1328" i="2"/>
  <c r="J1329" i="2"/>
  <c r="J361" i="2"/>
  <c r="J362" i="2"/>
  <c r="J363" i="2"/>
  <c r="J364" i="2"/>
  <c r="J365" i="2"/>
  <c r="J366" i="2"/>
  <c r="J367" i="2"/>
  <c r="J368" i="2"/>
  <c r="J36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835" i="2"/>
  <c r="J836" i="2"/>
  <c r="J837" i="2"/>
  <c r="J838" i="2"/>
  <c r="J839" i="2"/>
  <c r="J840" i="2"/>
  <c r="J841" i="2"/>
  <c r="J842" i="2"/>
  <c r="J843" i="2"/>
  <c r="J1375" i="2"/>
  <c r="J1376" i="2"/>
  <c r="J1377" i="2"/>
  <c r="J1378" i="2"/>
  <c r="J1379" i="2"/>
  <c r="J1380" i="2"/>
  <c r="J1381" i="2"/>
  <c r="J1382" i="2"/>
  <c r="J1383" i="2"/>
  <c r="J324" i="2"/>
  <c r="J325" i="2"/>
  <c r="J326" i="2"/>
  <c r="J327" i="2"/>
  <c r="J328" i="2"/>
  <c r="J329" i="2"/>
  <c r="J330" i="2"/>
  <c r="J331" i="2"/>
  <c r="J332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370" i="2"/>
  <c r="J371" i="2"/>
  <c r="J372" i="2"/>
  <c r="J373" i="2"/>
  <c r="J374" i="2"/>
  <c r="J375" i="2"/>
  <c r="J376" i="2"/>
  <c r="J377" i="2"/>
  <c r="J378" i="2"/>
  <c r="J107" i="2"/>
  <c r="J108" i="2"/>
  <c r="J109" i="2"/>
  <c r="J110" i="2"/>
  <c r="J111" i="2"/>
  <c r="J112" i="2"/>
  <c r="J113" i="2"/>
  <c r="J114" i="2"/>
  <c r="J115" i="2"/>
  <c r="J1402" i="2"/>
  <c r="J1403" i="2"/>
  <c r="J1404" i="2"/>
  <c r="J1405" i="2"/>
  <c r="J1406" i="2"/>
  <c r="J1407" i="2"/>
  <c r="J1408" i="2"/>
  <c r="J1409" i="2"/>
  <c r="J1410" i="2"/>
  <c r="J101" i="2"/>
  <c r="J102" i="2"/>
  <c r="J103" i="2"/>
  <c r="J104" i="2"/>
  <c r="J105" i="2"/>
  <c r="J106" i="2"/>
  <c r="J297" i="2"/>
  <c r="J298" i="2"/>
  <c r="J299" i="2"/>
  <c r="J300" i="2"/>
  <c r="J301" i="2"/>
  <c r="J302" i="2"/>
  <c r="J303" i="2"/>
  <c r="J304" i="2"/>
  <c r="J305" i="2"/>
  <c r="J524" i="2"/>
  <c r="J525" i="2"/>
  <c r="J526" i="2"/>
  <c r="J527" i="2"/>
  <c r="J528" i="2"/>
  <c r="J529" i="2"/>
  <c r="J530" i="2"/>
  <c r="J531" i="2"/>
  <c r="J532" i="2"/>
  <c r="J1411" i="2"/>
  <c r="J1412" i="2"/>
  <c r="J1413" i="2"/>
  <c r="J1414" i="2"/>
  <c r="J1415" i="2"/>
  <c r="J1416" i="2"/>
  <c r="J1417" i="2"/>
  <c r="J1418" i="2"/>
  <c r="J1419" i="2"/>
  <c r="J506" i="2"/>
  <c r="J507" i="2"/>
  <c r="J508" i="2"/>
  <c r="J509" i="2"/>
  <c r="J74" i="2"/>
  <c r="J75" i="2"/>
  <c r="J76" i="2"/>
  <c r="J77" i="2"/>
  <c r="J78" i="2"/>
  <c r="J79" i="2"/>
  <c r="J80" i="2"/>
  <c r="J81" i="2"/>
  <c r="J82" i="2"/>
  <c r="J1420" i="2"/>
  <c r="J1421" i="2"/>
  <c r="J1422" i="2"/>
  <c r="J1423" i="2"/>
  <c r="J1424" i="2"/>
  <c r="J1425" i="2"/>
  <c r="J1426" i="2"/>
  <c r="J1427" i="2"/>
  <c r="J1428" i="2"/>
  <c r="J397" i="2"/>
  <c r="J398" i="2"/>
  <c r="J399" i="2"/>
  <c r="J400" i="2"/>
  <c r="J401" i="2"/>
  <c r="J402" i="2"/>
  <c r="J403" i="2"/>
  <c r="J404" i="2"/>
  <c r="J405" i="2"/>
  <c r="J1429" i="2"/>
  <c r="J1430" i="2"/>
  <c r="J1431" i="2"/>
  <c r="J1432" i="2"/>
  <c r="J1433" i="2"/>
  <c r="J1434" i="2"/>
  <c r="J1435" i="2"/>
  <c r="J1436" i="2"/>
  <c r="J1437" i="2"/>
  <c r="J682" i="2"/>
  <c r="J683" i="2"/>
  <c r="J684" i="2"/>
  <c r="J685" i="2"/>
  <c r="J686" i="2"/>
  <c r="J687" i="2"/>
  <c r="J688" i="2"/>
  <c r="J689" i="2"/>
  <c r="J690" i="2"/>
  <c r="J20" i="2"/>
  <c r="J21" i="2"/>
  <c r="J22" i="2"/>
  <c r="J23" i="2"/>
  <c r="J24" i="2"/>
  <c r="J25" i="2"/>
  <c r="J26" i="2"/>
  <c r="J27" i="2"/>
  <c r="J28" i="2"/>
  <c r="J170" i="2"/>
  <c r="J171" i="2"/>
  <c r="J172" i="2"/>
  <c r="J173" i="2"/>
  <c r="J174" i="2"/>
  <c r="J175" i="2"/>
  <c r="J176" i="2"/>
  <c r="J177" i="2"/>
  <c r="J178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507" i="2"/>
  <c r="J1523" i="2"/>
  <c r="J1539" i="2"/>
  <c r="J1555" i="2"/>
  <c r="J1572" i="2"/>
  <c r="J1589" i="2"/>
  <c r="J1606" i="2"/>
  <c r="J1624" i="2"/>
  <c r="J1646" i="2"/>
  <c r="J2" i="2"/>
  <c r="J3" i="2"/>
  <c r="J4" i="2"/>
  <c r="J5" i="2"/>
  <c r="J6" i="2"/>
  <c r="J7" i="2"/>
  <c r="J8" i="2"/>
  <c r="J9" i="2"/>
  <c r="J10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79" i="2"/>
  <c r="J180" i="2"/>
  <c r="J181" i="2"/>
  <c r="J182" i="2"/>
  <c r="J183" i="2"/>
  <c r="J184" i="2"/>
  <c r="J185" i="2"/>
  <c r="J186" i="2"/>
  <c r="J187" i="2"/>
  <c r="J83" i="2"/>
  <c r="J84" i="2"/>
  <c r="J85" i="2"/>
  <c r="J86" i="2"/>
  <c r="J87" i="2"/>
  <c r="J88" i="2"/>
  <c r="J89" i="2"/>
  <c r="J90" i="2"/>
  <c r="J91" i="2"/>
  <c r="J1483" i="2"/>
  <c r="J1484" i="2"/>
  <c r="J1485" i="2"/>
  <c r="J1486" i="2"/>
  <c r="J1487" i="2"/>
  <c r="J1488" i="2"/>
  <c r="J1489" i="2"/>
  <c r="J1490" i="2"/>
  <c r="J1491" i="2"/>
  <c r="J161" i="2"/>
  <c r="J162" i="2"/>
  <c r="J163" i="2"/>
  <c r="J164" i="2"/>
  <c r="J165" i="2"/>
  <c r="J166" i="2"/>
  <c r="J167" i="2"/>
  <c r="J168" i="2"/>
  <c r="J169" i="2"/>
  <c r="J215" i="2"/>
  <c r="J360" i="2"/>
  <c r="J1508" i="2"/>
  <c r="J1524" i="2"/>
  <c r="J1540" i="2"/>
  <c r="J1556" i="2"/>
  <c r="J1573" i="2"/>
  <c r="J1590" i="2"/>
  <c r="J1607" i="2"/>
  <c r="J1625" i="2"/>
  <c r="J1647" i="2"/>
  <c r="J1509" i="2"/>
  <c r="J1525" i="2"/>
  <c r="J1541" i="2"/>
  <c r="J1557" i="2"/>
  <c r="J1574" i="2"/>
  <c r="J1591" i="2"/>
  <c r="J1608" i="2"/>
  <c r="J1626" i="2"/>
  <c r="J1648" i="2"/>
  <c r="J1510" i="2"/>
  <c r="J1526" i="2"/>
  <c r="J1542" i="2"/>
  <c r="J1558" i="2"/>
  <c r="J1575" i="2"/>
  <c r="J1592" i="2"/>
  <c r="J1609" i="2"/>
  <c r="J1627" i="2"/>
  <c r="J1649" i="2"/>
  <c r="J1511" i="2"/>
  <c r="J1527" i="2"/>
  <c r="J1543" i="2"/>
  <c r="J1559" i="2"/>
  <c r="J1576" i="2"/>
  <c r="J1593" i="2"/>
  <c r="J1610" i="2"/>
  <c r="J1628" i="2"/>
  <c r="J1650" i="2"/>
  <c r="J415" i="2"/>
  <c r="J416" i="2"/>
  <c r="J417" i="2"/>
  <c r="J418" i="2"/>
  <c r="J1492" i="2"/>
  <c r="J1493" i="2"/>
  <c r="J1494" i="2"/>
  <c r="J1495" i="2"/>
  <c r="J1496" i="2"/>
  <c r="J1497" i="2"/>
  <c r="J1498" i="2"/>
  <c r="J1499" i="2"/>
  <c r="J1500" i="2"/>
  <c r="J1512" i="2"/>
  <c r="J1528" i="2"/>
  <c r="J1544" i="2"/>
  <c r="J1513" i="2"/>
  <c r="J1529" i="2"/>
  <c r="J1545" i="2"/>
  <c r="J1560" i="2"/>
  <c r="J1577" i="2"/>
  <c r="J1594" i="2"/>
  <c r="J1611" i="2"/>
  <c r="J1629" i="2"/>
  <c r="J1651" i="2"/>
  <c r="J1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tc={ABB68CC8-7EFE-E344-BDF8-C4FE9BF56DD0}</author>
  </authors>
  <commentList>
    <comment ref="A3" authorId="0" shapeId="0" xr:uid="{ABB68CC8-7EFE-E344-BDF8-C4FE9BF56D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change. Repeat is fine.</t>
      </text>
    </comment>
  </commentList>
</comments>
</file>

<file path=xl/sharedStrings.xml><?xml version="1.0" encoding="utf-8"?>
<sst xmlns="http://schemas.openxmlformats.org/spreadsheetml/2006/main" count="10213" uniqueCount="436">
  <si>
    <t>year</t>
  </si>
  <si>
    <t>employer_name</t>
  </si>
  <si>
    <t>employer_contributions</t>
  </si>
  <si>
    <t>employer_allocation</t>
  </si>
  <si>
    <t>American Falls School District</t>
  </si>
  <si>
    <t>Arbon School District</t>
  </si>
  <si>
    <t>Avery School District</t>
  </si>
  <si>
    <t>Basin School District</t>
  </si>
  <si>
    <t>Bear Lake School District</t>
  </si>
  <si>
    <t>Blackfoot School District</t>
  </si>
  <si>
    <t>Blaine County School District</t>
  </si>
  <si>
    <t>Bliss School District</t>
  </si>
  <si>
    <t>Boise Independent School District</t>
  </si>
  <si>
    <t>Bonneville School District</t>
  </si>
  <si>
    <t>Boundary County School District</t>
  </si>
  <si>
    <t>Aberdeen School District</t>
  </si>
  <si>
    <t>Bruneau-Grandview School District</t>
  </si>
  <si>
    <t>Buhl School District</t>
  </si>
  <si>
    <t>Butte County School District</t>
  </si>
  <si>
    <t>Caldwell School District</t>
  </si>
  <si>
    <t>Camas County School District</t>
  </si>
  <si>
    <t>Cambridge School District</t>
  </si>
  <si>
    <t>Canyon-Owyhee School District (COSSA)</t>
  </si>
  <si>
    <t>Cascade School District</t>
  </si>
  <si>
    <t>Cassia County School District</t>
  </si>
  <si>
    <t>Castleford School District</t>
  </si>
  <si>
    <t>Challis Joint School District</t>
  </si>
  <si>
    <t>Clark County School District</t>
  </si>
  <si>
    <t>Clearwater/Orofino Joint School District</t>
  </si>
  <si>
    <t>Coeur d`Alene School District</t>
  </si>
  <si>
    <t>Cottonwood School District</t>
  </si>
  <si>
    <t>Council Valley School District</t>
  </si>
  <si>
    <t>Culdesac Joint School District</t>
  </si>
  <si>
    <t>Dietrich School District</t>
  </si>
  <si>
    <t>Emmett School District</t>
  </si>
  <si>
    <t>Filer School District</t>
  </si>
  <si>
    <t>Firth School District</t>
  </si>
  <si>
    <t>Fruitland School District</t>
  </si>
  <si>
    <t>Garden Valley School District</t>
  </si>
  <si>
    <t>Genesee School District</t>
  </si>
  <si>
    <t>Glenns Ferry Joint School District</t>
  </si>
  <si>
    <t>Gooding Joint School District</t>
  </si>
  <si>
    <t>Grace School District</t>
  </si>
  <si>
    <t>Hagerman Joint School District</t>
  </si>
  <si>
    <t>Hansen School District</t>
  </si>
  <si>
    <t>Highland Joint School District</t>
  </si>
  <si>
    <t>Homedale School District</t>
  </si>
  <si>
    <t>Horseshoe Bend School District</t>
  </si>
  <si>
    <t>Idaho Falls School District</t>
  </si>
  <si>
    <t>Jerome School District</t>
  </si>
  <si>
    <t>Kamiah Joint School District</t>
  </si>
  <si>
    <t>Kellogg School District</t>
  </si>
  <si>
    <t>Kendrick School District</t>
  </si>
  <si>
    <t>Kimberly School District</t>
  </si>
  <si>
    <t>Kootenai School District</t>
  </si>
  <si>
    <t>Kuna Joint School District</t>
  </si>
  <si>
    <t>Lake Pend Oreille School District</t>
  </si>
  <si>
    <t>Lakeland School District</t>
  </si>
  <si>
    <t>Lapwai School District</t>
  </si>
  <si>
    <t>Lewiston Independ School District</t>
  </si>
  <si>
    <t>Mackay School District</t>
  </si>
  <si>
    <t>Madison School District</t>
  </si>
  <si>
    <t>Marsh Valley Joint School District</t>
  </si>
  <si>
    <t>Marsing School District</t>
  </si>
  <si>
    <t>McCall Donnelly School District</t>
  </si>
  <si>
    <t>Meadows Valley School District</t>
  </si>
  <si>
    <t>Melba School District</t>
  </si>
  <si>
    <t>Middleton School District</t>
  </si>
  <si>
    <t>Midvale School District</t>
  </si>
  <si>
    <t>Minidoka County School District</t>
  </si>
  <si>
    <t>Moscow School District</t>
  </si>
  <si>
    <t>Mountain Home School District</t>
  </si>
  <si>
    <t>Mountain View School District</t>
  </si>
  <si>
    <t>Mullan School District</t>
  </si>
  <si>
    <t>Murtaugh School District</t>
  </si>
  <si>
    <t>Nampa School District</t>
  </si>
  <si>
    <t>New Plymouth School District</t>
  </si>
  <si>
    <t>NezPerce Joint School District</t>
  </si>
  <si>
    <t>North Gem School District</t>
  </si>
  <si>
    <t>Notus School District</t>
  </si>
  <si>
    <t>Oneida School District</t>
  </si>
  <si>
    <t>Parma School District</t>
  </si>
  <si>
    <t>Payette School District</t>
  </si>
  <si>
    <t>Pleasant Valley School District</t>
  </si>
  <si>
    <t>Plummer-Worley Joint School District</t>
  </si>
  <si>
    <t>Pocatello School District</t>
  </si>
  <si>
    <t>Post Falls School District</t>
  </si>
  <si>
    <t>Potlatch School District</t>
  </si>
  <si>
    <t>Prairie School District</t>
  </si>
  <si>
    <t>Preston School District</t>
  </si>
  <si>
    <t>Richfield School District</t>
  </si>
  <si>
    <t>Rigby School Dist</t>
  </si>
  <si>
    <t>Ririe School District</t>
  </si>
  <si>
    <t>Rockland School District</t>
  </si>
  <si>
    <t>Salmon River Joint School District</t>
  </si>
  <si>
    <t>Salmon School District</t>
  </si>
  <si>
    <t>Shelley Joint School District</t>
  </si>
  <si>
    <t>Shoshone School District</t>
  </si>
  <si>
    <t>Snake River School District</t>
  </si>
  <si>
    <t>Soda Springs School District</t>
  </si>
  <si>
    <t>South Lemhi School District</t>
  </si>
  <si>
    <t>St Anthony School Dist (Fremont Co School District)</t>
  </si>
  <si>
    <t>St Maries School District</t>
  </si>
  <si>
    <t>Sugar-Salem School District</t>
  </si>
  <si>
    <t>Swan Valley School District</t>
  </si>
  <si>
    <t>Teton School District</t>
  </si>
  <si>
    <t>Three Creek School District</t>
  </si>
  <si>
    <t>Troy School District</t>
  </si>
  <si>
    <t>Twin Falls School District</t>
  </si>
  <si>
    <t>Valley School District</t>
  </si>
  <si>
    <t>Vallivue School District</t>
  </si>
  <si>
    <t>Wallace School District</t>
  </si>
  <si>
    <t>Weiser School District</t>
  </si>
  <si>
    <t>Wendell School District</t>
  </si>
  <si>
    <t>West Ada County School District</t>
  </si>
  <si>
    <t>West Bonner County School District</t>
  </si>
  <si>
    <t>West Jefferson School District</t>
  </si>
  <si>
    <t>West Side School District</t>
  </si>
  <si>
    <t>Whitepine Joint School District</t>
  </si>
  <si>
    <t>Wilder School District</t>
  </si>
  <si>
    <t>Academy at Roosevelt Center Charter School</t>
  </si>
  <si>
    <t>American Heritage Charter School</t>
  </si>
  <si>
    <t>Another Choice Virtual Charter School</t>
  </si>
  <si>
    <t>Anser of Idaho Inc</t>
  </si>
  <si>
    <t>Bingham Academy</t>
  </si>
  <si>
    <t>Blackfoot Charter Community Learning Center</t>
  </si>
  <si>
    <t>Chief Tahgee Elementary Academy</t>
  </si>
  <si>
    <t>Coeur d`Alene Charter Academy</t>
  </si>
  <si>
    <t>Compass Public Charter School</t>
  </si>
  <si>
    <t>Falconridge Charter School</t>
  </si>
  <si>
    <t>Heritage Academy</t>
  </si>
  <si>
    <t>Heritage Community Charter School</t>
  </si>
  <si>
    <t>I Succeed Virtual High School</t>
  </si>
  <si>
    <t>Idaho Association of School Administrators</t>
  </si>
  <si>
    <t>Idaho High School Activity Association</t>
  </si>
  <si>
    <t>Idaho Arts Charter School</t>
  </si>
  <si>
    <t>Idaho Bureau of Ed Services for the Deaf and Blind</t>
  </si>
  <si>
    <t>Idaho College and Career Readiness Academy</t>
  </si>
  <si>
    <t>Idaho Distance Education Academy</t>
  </si>
  <si>
    <t>Idaho Education Association</t>
  </si>
  <si>
    <t>Idaho School Boards Association</t>
  </si>
  <si>
    <t>Idaho School District Council</t>
  </si>
  <si>
    <t>Idaho Science and Technology Charter School</t>
  </si>
  <si>
    <t>Idaho Virtual Academy</t>
  </si>
  <si>
    <t>Idaho Virtual Education Partners, Inc.</t>
  </si>
  <si>
    <t>Inspire Virtual Charter School</t>
  </si>
  <si>
    <t>Kootenai Bridge Academy</t>
  </si>
  <si>
    <t>Kootenai Technical Education Campus</t>
  </si>
  <si>
    <t>Legacy Public Charter School</t>
  </si>
  <si>
    <t>Liberty Charter School Inc</t>
  </si>
  <si>
    <t>Meridian Charter High School Inc</t>
  </si>
  <si>
    <t>Meridian Medical Arts Charter School</t>
  </si>
  <si>
    <t>Monticello Montessori Charter School</t>
  </si>
  <si>
    <t>Moscow Charter School</t>
  </si>
  <si>
    <t>North Star Charter School</t>
  </si>
  <si>
    <t>North Valley Academy Charter School</t>
  </si>
  <si>
    <t>Odyssey Charter School</t>
  </si>
  <si>
    <t>Palouse Prairie Education Organization</t>
  </si>
  <si>
    <t>Pocatello Community Charter School</t>
  </si>
  <si>
    <t>Richard McKenna Charter High School</t>
  </si>
  <si>
    <t>Rolling Hills Charter School</t>
  </si>
  <si>
    <t>Sage International School of Boise</t>
  </si>
  <si>
    <t>Sandpoint Charter School</t>
  </si>
  <si>
    <t>STEM Charter Academy</t>
  </si>
  <si>
    <t>Syringa Mountain School</t>
  </si>
  <si>
    <t>Taylors Crossing Public Charter School</t>
  </si>
  <si>
    <t>The Village Charter School</t>
  </si>
  <si>
    <t>Thomas Jefferson Charter School</t>
  </si>
  <si>
    <t>Upper Carmen Charter School</t>
  </si>
  <si>
    <t>Victory Charter School</t>
  </si>
  <si>
    <t>Vision Charter School</t>
  </si>
  <si>
    <t>White Pine Charter School</t>
  </si>
  <si>
    <t>Wings Charter Middle School Inc.</t>
  </si>
  <si>
    <t>Xavier Charter School</t>
  </si>
  <si>
    <t>Junior Colleges and Public Schools</t>
  </si>
  <si>
    <t>Blackfoot Charter Comm Learning Center</t>
  </si>
  <si>
    <t>Blackfoot School Dis</t>
  </si>
  <si>
    <t>Boise Ind School Dis</t>
  </si>
  <si>
    <t>College of Southern Idaho</t>
  </si>
  <si>
    <t>College of Western Idaho</t>
  </si>
  <si>
    <t>IdahoAssociation of School Administrators</t>
  </si>
  <si>
    <t>IdahoHigh School Activity Association</t>
  </si>
  <si>
    <t>Idaho Districtance Education Academy</t>
  </si>
  <si>
    <t>Idaho Science &amp; Technology Charter School</t>
  </si>
  <si>
    <t>North Idaho College</t>
  </si>
  <si>
    <t>Pocatello Community Charter Sch</t>
  </si>
  <si>
    <t>Richard McKenna Charter Hi School</t>
  </si>
  <si>
    <t>Rigby School District</t>
  </si>
  <si>
    <t>St Anthony Sch Dist (Fremont County Sch Dist)</t>
  </si>
  <si>
    <t>Alturas International Academy</t>
  </si>
  <si>
    <t>Gem Prep Nampa</t>
  </si>
  <si>
    <t>Blaine Co School District</t>
  </si>
  <si>
    <t>Boise Ind School District</t>
  </si>
  <si>
    <t>Butte Co School District</t>
  </si>
  <si>
    <t>Camas Co School District</t>
  </si>
  <si>
    <t>Cassia Co School District</t>
  </si>
  <si>
    <t>Gem Prep: Nampa, Inc.</t>
  </si>
  <si>
    <t>Gem Prep: Pocatello, Inc.</t>
  </si>
  <si>
    <t>Id High School Activity Association</t>
  </si>
  <si>
    <t>Idaho District Education Academy</t>
  </si>
  <si>
    <t>Meridian School District</t>
  </si>
  <si>
    <t>Nez Perce Jt School District</t>
  </si>
  <si>
    <t>Pathways in Education - Nampa, Inc.</t>
  </si>
  <si>
    <t>Payette River Regional Technical Academy</t>
  </si>
  <si>
    <t>Salmon River Jt School District</t>
  </si>
  <si>
    <t>St Anthony SD (FremontCoSD)</t>
  </si>
  <si>
    <t>The Academy, Inc.</t>
  </si>
  <si>
    <t>West Bonner Co School District</t>
  </si>
  <si>
    <t>Whitepine Jt School District</t>
  </si>
  <si>
    <t>Aberdeen School Dist</t>
  </si>
  <si>
    <t>American Falls SD</t>
  </si>
  <si>
    <t>Arbon School Dist</t>
  </si>
  <si>
    <t>Avery School Dist</t>
  </si>
  <si>
    <t>Bear Lake School Dist</t>
  </si>
  <si>
    <t>Blackfoot Charter Comm Learning Ctr</t>
  </si>
  <si>
    <t>Blackfoot School Dist</t>
  </si>
  <si>
    <t>Blaine Co School Dist</t>
  </si>
  <si>
    <t>Bliss School Dist</t>
  </si>
  <si>
    <t>Boise Ind School Dist</t>
  </si>
  <si>
    <t>Boundary County SD</t>
  </si>
  <si>
    <t>Bruneau‐Grandview SD</t>
  </si>
  <si>
    <t>Butte Co School Dist</t>
  </si>
  <si>
    <t>Caldwell School Dist</t>
  </si>
  <si>
    <t>Camas Co School Dist</t>
  </si>
  <si>
    <t>Cambridge School Dist</t>
  </si>
  <si>
    <t>Canyon‐Owyhee SD (COSSA)</t>
  </si>
  <si>
    <t>Cascade School Dist</t>
  </si>
  <si>
    <t>Cassia Co SD</t>
  </si>
  <si>
    <t>Castleford SD</t>
  </si>
  <si>
    <t>Challis Jt SD</t>
  </si>
  <si>
    <t>Clark Co School Dist</t>
  </si>
  <si>
    <t>Clearwater/Orofino Jt SD</t>
  </si>
  <si>
    <t>Coeur d`Alene SD</t>
  </si>
  <si>
    <t>College of Eastern Idaho</t>
  </si>
  <si>
    <t>College of So Idaho</t>
  </si>
  <si>
    <t>Cottonwood SD</t>
  </si>
  <si>
    <t>Council Valley Sd</t>
  </si>
  <si>
    <t>Culdesac Jt SD</t>
  </si>
  <si>
    <t>Dietrich School Dist</t>
  </si>
  <si>
    <t>Emmett School Dist</t>
  </si>
  <si>
    <t>Filer School Dist</t>
  </si>
  <si>
    <t>Firth School Dist</t>
  </si>
  <si>
    <t>Fruitland School Dist</t>
  </si>
  <si>
    <t>Future Public School Inc</t>
  </si>
  <si>
    <t>Garden Valley SD</t>
  </si>
  <si>
    <t>Gem Prep: Meridian, Inc</t>
  </si>
  <si>
    <t>Gem Prep: Online, LLC</t>
  </si>
  <si>
    <t>Gem Prep: Pocatello Inc.</t>
  </si>
  <si>
    <t>Genesee School Dist</t>
  </si>
  <si>
    <t>Glenns Ferry Jt SD</t>
  </si>
  <si>
    <t>Gooding Jt SD</t>
  </si>
  <si>
    <t>Grace School Dist</t>
  </si>
  <si>
    <t>Hagerman Jt SD</t>
  </si>
  <si>
    <t>Hansen School Dist</t>
  </si>
  <si>
    <t>Highland Jt SD</t>
  </si>
  <si>
    <t>Homedale School Dist</t>
  </si>
  <si>
    <t>Horseshoe Bend SD</t>
  </si>
  <si>
    <t>ID High Sch Activity Assn</t>
  </si>
  <si>
    <t>Idaho Falls SD</t>
  </si>
  <si>
    <t>Jerome School Dist</t>
  </si>
  <si>
    <t>Kamiah Jt SD</t>
  </si>
  <si>
    <t>Kendrick School Dist</t>
  </si>
  <si>
    <t>Kimberly School Dist</t>
  </si>
  <si>
    <t>Kuna Jt SD</t>
  </si>
  <si>
    <t>Lake Pend Oreille Sch Dist</t>
  </si>
  <si>
    <t>Lakeland School Dist</t>
  </si>
  <si>
    <t>Lapwai School Dist</t>
  </si>
  <si>
    <t>Lewiston Independ SD</t>
  </si>
  <si>
    <t>Mackay School Dist</t>
  </si>
  <si>
    <t>Madison School Dist</t>
  </si>
  <si>
    <t>Marsh Valley Jt SD</t>
  </si>
  <si>
    <t>Marsing School Dist</t>
  </si>
  <si>
    <t>McCall Donnelly SD</t>
  </si>
  <si>
    <t>Meadows Valley SD</t>
  </si>
  <si>
    <t>Melba School Dist</t>
  </si>
  <si>
    <t>Meridian School Dist</t>
  </si>
  <si>
    <t>Middleton SD</t>
  </si>
  <si>
    <t>Midvale School Dist</t>
  </si>
  <si>
    <t>Minidoka County SD</t>
  </si>
  <si>
    <t>Moscow School Dist</t>
  </si>
  <si>
    <t>Mountain Home SD</t>
  </si>
  <si>
    <t>Mullan School Dist</t>
  </si>
  <si>
    <t>Murtaugh School Dist</t>
  </si>
  <si>
    <t>Nampa School Dist</t>
  </si>
  <si>
    <t>New Plymouth SD</t>
  </si>
  <si>
    <t>NezPerce Jt SD</t>
  </si>
  <si>
    <t>North Gem SD</t>
  </si>
  <si>
    <t>Notus School Dist</t>
  </si>
  <si>
    <t>Oneida School Dist</t>
  </si>
  <si>
    <t>Parma School Dist</t>
  </si>
  <si>
    <t>Pathways in Education ‐ Nampa, Inc.</t>
  </si>
  <si>
    <t>Payette School Dist</t>
  </si>
  <si>
    <t>Peace Valley Charter</t>
  </si>
  <si>
    <t>Pleasant Valley SD</t>
  </si>
  <si>
    <t>Plummer‐Worley Jt SD</t>
  </si>
  <si>
    <t>Pocatello School Dist</t>
  </si>
  <si>
    <t>Post Falls Sch Dist</t>
  </si>
  <si>
    <t>Potlatch School Dist</t>
  </si>
  <si>
    <t>Prairie School Dist</t>
  </si>
  <si>
    <t>Preston School Dist</t>
  </si>
  <si>
    <t>Project Impact STEM Academy</t>
  </si>
  <si>
    <t>Richfield School Dist</t>
  </si>
  <si>
    <t>Ririe School Dist</t>
  </si>
  <si>
    <t>Rockland School Dist</t>
  </si>
  <si>
    <t>Salmon River Jt School Dist</t>
  </si>
  <si>
    <t>Salmon School Dist</t>
  </si>
  <si>
    <t>Shelley Jt SD</t>
  </si>
  <si>
    <t>Shoshone School Dist</t>
  </si>
  <si>
    <t>Snake River SD</t>
  </si>
  <si>
    <t>Soda Springs SD</t>
  </si>
  <si>
    <t>South Lemhi SD</t>
  </si>
  <si>
    <t>St Maries School Dist</t>
  </si>
  <si>
    <t>Sugar‐Salem SD</t>
  </si>
  <si>
    <t>Swan Valley SD</t>
  </si>
  <si>
    <t>Teton School Dist</t>
  </si>
  <si>
    <t>Three Creek SD</t>
  </si>
  <si>
    <t>Twin Falls SD</t>
  </si>
  <si>
    <t>Valley School Dist</t>
  </si>
  <si>
    <t>Vallivue School Dist</t>
  </si>
  <si>
    <t>Wallace School Dist</t>
  </si>
  <si>
    <t>Weiser School Dist</t>
  </si>
  <si>
    <t>Wendell School Dist</t>
  </si>
  <si>
    <t>West Bonner Co Sch Dist</t>
  </si>
  <si>
    <t>West Jefferson SD</t>
  </si>
  <si>
    <t>West Side SD</t>
  </si>
  <si>
    <t>Whitepine Jt Sch Dist</t>
  </si>
  <si>
    <t>Wilder School Dist</t>
  </si>
  <si>
    <t>American Falls Sd</t>
  </si>
  <si>
    <t>Boundary County Sd</t>
  </si>
  <si>
    <t>Bruneau‐Grandview Sd</t>
  </si>
  <si>
    <t>Canyon‐Owyhee Sd (Cossa)</t>
  </si>
  <si>
    <t>Cassia Co Sd</t>
  </si>
  <si>
    <t>Castleford Sd</t>
  </si>
  <si>
    <t>Challis Jt Sd</t>
  </si>
  <si>
    <t>Clearwater/Orofino Jt Sd</t>
  </si>
  <si>
    <t>Coeur D`Alene Charter Academy</t>
  </si>
  <si>
    <t>Coeur D`Alene Sd</t>
  </si>
  <si>
    <t>Cottonwood Sd</t>
  </si>
  <si>
    <t>Culdesac Jt Sd</t>
  </si>
  <si>
    <t>Elevate Academy, Inc</t>
  </si>
  <si>
    <t>Fern‐Waters Public Charter School</t>
  </si>
  <si>
    <t>Forge International School</t>
  </si>
  <si>
    <t>Garden Valley Sd</t>
  </si>
  <si>
    <t>Gem Prep Pocatello</t>
  </si>
  <si>
    <t>Gem Prep: Online, Llc</t>
  </si>
  <si>
    <t>Glenns Ferry Jt Sd</t>
  </si>
  <si>
    <t>Gooding Jt Sd</t>
  </si>
  <si>
    <t>Hagerman Jt Sd</t>
  </si>
  <si>
    <t>Highland Jt Sd</t>
  </si>
  <si>
    <t>Horseshoe Bend Sd</t>
  </si>
  <si>
    <t>Idaho College And Career Readiness Academy</t>
  </si>
  <si>
    <t>Idaho Falls Sd</t>
  </si>
  <si>
    <t>Kamiah Jt Sd</t>
  </si>
  <si>
    <t>Kuna Jt Sd</t>
  </si>
  <si>
    <t>Lewiston Independ Sd</t>
  </si>
  <si>
    <t>Marsh Valley Jt Sd</t>
  </si>
  <si>
    <t>Mccall Donnelly Sd</t>
  </si>
  <si>
    <t>Meadows Valley Sd</t>
  </si>
  <si>
    <t>Middleton Sd</t>
  </si>
  <si>
    <t>Minidoka County Sd</t>
  </si>
  <si>
    <t>Mountain Home Sd</t>
  </si>
  <si>
    <t>New Plymouth Sd</t>
  </si>
  <si>
    <t>Nezperce Jt Sd</t>
  </si>
  <si>
    <t>North Gem Sd</t>
  </si>
  <si>
    <t>Pathways In Education ‐ Nampa, Inc.</t>
  </si>
  <si>
    <t>Pleasant Valley Sd</t>
  </si>
  <si>
    <t>Plummer‐Worley Jt Sd</t>
  </si>
  <si>
    <t>Project Impact Stem Academy</t>
  </si>
  <si>
    <t>Richard Mckenna Charter Hi Sch</t>
  </si>
  <si>
    <t>Sage International School Of Boise</t>
  </si>
  <si>
    <t>Shelley Jt Sd</t>
  </si>
  <si>
    <t>Snake River Sd</t>
  </si>
  <si>
    <t>Soda Springs Sd</t>
  </si>
  <si>
    <t>South Lemhi Sd</t>
  </si>
  <si>
    <t>St Anthony Sd(Fremontcosd)</t>
  </si>
  <si>
    <t>Stem Charter Academy</t>
  </si>
  <si>
    <t>Sugar‐Salem Sd</t>
  </si>
  <si>
    <t>Swan Valley Sd</t>
  </si>
  <si>
    <t>Three Creek Sd</t>
  </si>
  <si>
    <t>Treasure Valley Classical Academy, Inc</t>
  </si>
  <si>
    <t>Twin Falls Sd</t>
  </si>
  <si>
    <t>Upper Carmen Charter Sch</t>
  </si>
  <si>
    <t>West Jefferson Sd</t>
  </si>
  <si>
    <t>West Side Sd</t>
  </si>
  <si>
    <t>Clark Co School District</t>
  </si>
  <si>
    <t>Council Valley SD</t>
  </si>
  <si>
    <t>Doral Academy of Idaho</t>
  </si>
  <si>
    <t>Gem Prep: Meridian North LLC</t>
  </si>
  <si>
    <t>Gem Prep: Meridian, Inc.</t>
  </si>
  <si>
    <t>Hayden Canyon Charter</t>
  </si>
  <si>
    <t>Island Park Charter School</t>
  </si>
  <si>
    <t>Lake Pend Oreille Sch District</t>
  </si>
  <si>
    <t>Mosaics Public School</t>
  </si>
  <si>
    <t>Pinecrest Academy of Idaho</t>
  </si>
  <si>
    <t>Post Falls Sch District</t>
  </si>
  <si>
    <t>Richard McKenna Charter Hi Sch</t>
  </si>
  <si>
    <t>West Bonner Co Sch District</t>
  </si>
  <si>
    <t>Whitepine Jt Sch District</t>
  </si>
  <si>
    <t>Alturas Preparatory Academy Inc</t>
  </si>
  <si>
    <t>Cardinal Academy Inc</t>
  </si>
  <si>
    <t>Gem Prep: Meridian Sourth LLC</t>
  </si>
  <si>
    <t>RISE Charter School Inc</t>
  </si>
  <si>
    <t>St Anthony SD(FremontCoSD)</t>
  </si>
  <si>
    <t>Elevate Academy Nampa</t>
  </si>
  <si>
    <t>Elevate Academy North</t>
  </si>
  <si>
    <t>Gem Prep: Twin Falls LLC</t>
  </si>
  <si>
    <t>Mountain Community School</t>
  </si>
  <si>
    <t>Pinecrest Academy of Lewiston</t>
  </si>
  <si>
    <t>employer_code</t>
  </si>
  <si>
    <t>Idaho Association of School Administrators </t>
  </si>
  <si>
    <t>ID Assn of School Administrators </t>
  </si>
  <si>
    <t>ID Assn Of School Administrators </t>
  </si>
  <si>
    <t>ID Assn of School Administrators</t>
  </si>
  <si>
    <t>Idaho School District Council </t>
  </si>
  <si>
    <t>Idaho School Boards Assn </t>
  </si>
  <si>
    <t>Idaho School Boards Assn</t>
  </si>
  <si>
    <t>Idaho Education Assn </t>
  </si>
  <si>
    <t>Idaho Education Assn</t>
  </si>
  <si>
    <t>Board of Education</t>
  </si>
  <si>
    <t>Board of Education </t>
  </si>
  <si>
    <t>Idaho Bureau of Education Services for the Deaf and Blind </t>
  </si>
  <si>
    <t>ID Bureau of Education Svc for the Deaf and Blind </t>
  </si>
  <si>
    <t>Idaho Bureau of Ed Svcs for the Deaf and Blind </t>
  </si>
  <si>
    <t>district_name</t>
  </si>
  <si>
    <t>LEAID</t>
  </si>
  <si>
    <t>Year</t>
  </si>
  <si>
    <t>district_contributions</t>
  </si>
  <si>
    <t>State</t>
  </si>
  <si>
    <t>Idaho</t>
  </si>
  <si>
    <t>ID</t>
  </si>
  <si>
    <t>state_abv</t>
  </si>
  <si>
    <t>LEAID_match</t>
  </si>
  <si>
    <t>plan</t>
  </si>
  <si>
    <t>Public Employee Retirement System of Idaho - Teachers</t>
  </si>
  <si>
    <t>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</si>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</sst>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0.5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49" fontId="0" fillId="0" borderId="0" xfId="0" applyNumberFormat="1"/>
    <xf numFmtId="0" fontId="1" fillId="0" borderId="0" xfId="0" applyFont="1"/>
    <xf numFmtId="3" fontId="1" fillId="0" borderId="0" xfId="0" applyNumberFormat="1" applyFont="1"/>
    <xf numFmtId="164" fontId="0" fillId="0" borderId="0" xfId="1" applyNumberFormat="1" applyFont="1"/>
    <xf numFmtId="0" fontId="3" fillId="0" borderId="0" xfId="0" applyFont="1"/>
    <xf numFmtId="0" fontId="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ory Kearney" id="{2B031F42-0052-9F46-93FC-EA1162326CBD}" userId="S::gkearne1@stanford.edu::8abaa3ae-42bc-4b74-bc92-dcb5bcde81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5-02-20T18:29:39.55" personId="{2B031F42-0052-9F46-93FC-EA1162326CBD}" id="{ABB68CC8-7EFE-E344-BDF8-C4FE9BF56DD0}">
    <text>Name change. Repeat is fine.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D32-1CCC-7E4C-A8A3-5BECC40CFBD4}">
  <sheetPr>
    <tabColor rgb="FF002060"/>
  </sheetPr>
  <dimension ref="A1:M1651"/>
  <sheetViews>
    <sheetView tabSelected="1" zoomScaleNormal="100" workbookViewId="0">
      <selection activeCell="H3" sqref="H3"/>
    </sheetView>
  </sheetViews>
  <sheetFormatPr baseColWidth="10" defaultRowHeight="16" x14ac:dyDescent="0.2"/>
  <cols>
    <col min="2" max="2" width="5.1640625" bestFit="1" customWidth="1"/>
    <col min="3" max="5" width="18.6640625" customWidth="1"/>
    <col min="6" max="6" width="46.33203125" bestFit="1" customWidth="1"/>
    <col min="7" max="7" width="48.1640625" customWidth="1"/>
    <col min="8" max="8" width="49.5" customWidth="1"/>
    <col min="9" max="9" width="20.5" style="5" bestFit="1" customWidth="1"/>
    <col min="13" max="13" width="15" bestFit="1" customWidth="1"/>
    <col min="14" max="14" width="14.1640625" bestFit="1" customWidth="1"/>
  </cols>
  <sheetData>
    <row r="1" spans="1:11" x14ac:dyDescent="0.2">
      <c r="A1" t="s">
        <v>424</v>
      </c>
      <c r="B1" t="s">
        <v>425</v>
      </c>
      <c r="C1" t="s">
        <v>408</v>
      </c>
      <c r="D1" t="s">
        <v>427</v>
      </c>
      <c r="E1" t="s">
        <v>430</v>
      </c>
      <c r="F1" t="s">
        <v>432</v>
      </c>
      <c r="G1" t="s">
        <v>423</v>
      </c>
      <c r="H1" t="s">
        <v>1</v>
      </c>
      <c r="I1" s="5" t="s">
        <v>426</v>
      </c>
      <c r="J1" t="s">
        <v>431</v>
      </c>
      <c r="K1" t="s">
        <v>434</v>
      </c>
    </row>
    <row r="2" spans="1:11" x14ac:dyDescent="0.2">
      <c r="A2">
        <v>1600001</v>
      </c>
      <c r="B2">
        <v>2015</v>
      </c>
      <c r="C2">
        <v>189</v>
      </c>
      <c r="D2" t="s">
        <v>428</v>
      </c>
      <c r="E2" t="s">
        <v>429</v>
      </c>
      <c r="F2" t="s">
        <v>433</v>
      </c>
      <c r="G2" t="s">
        <v>115</v>
      </c>
      <c r="H2" t="s">
        <v>115</v>
      </c>
      <c r="I2" s="5">
        <v>687778</v>
      </c>
      <c r="J2">
        <f>IFERROR(VLOOKUP(G2,'LEAID Match'!$A$2:$B$183,2,FALSE),"")</f>
        <v>1600001</v>
      </c>
      <c r="K2">
        <f>COUNTIF($A$2:$A$1651,A2)</f>
        <v>9</v>
      </c>
    </row>
    <row r="3" spans="1:11" x14ac:dyDescent="0.2">
      <c r="A3">
        <v>1600001</v>
      </c>
      <c r="B3">
        <v>2016</v>
      </c>
      <c r="C3">
        <v>189</v>
      </c>
      <c r="D3" t="s">
        <v>428</v>
      </c>
      <c r="E3" t="s">
        <v>429</v>
      </c>
      <c r="F3" t="s">
        <v>433</v>
      </c>
      <c r="G3" t="s">
        <v>115</v>
      </c>
      <c r="H3" t="s">
        <v>115</v>
      </c>
      <c r="I3" s="5">
        <v>696859</v>
      </c>
      <c r="J3">
        <f>IFERROR(VLOOKUP(G3,'LEAID Match'!$A$2:$B$183,2,FALSE),"")</f>
        <v>1600001</v>
      </c>
      <c r="K3">
        <f t="shared" ref="K3:K66" si="0">COUNTIF($A$2:$A$1651,A3)</f>
        <v>9</v>
      </c>
    </row>
    <row r="4" spans="1:11" x14ac:dyDescent="0.2">
      <c r="A4">
        <v>1600001</v>
      </c>
      <c r="B4">
        <v>2017</v>
      </c>
      <c r="C4">
        <v>189</v>
      </c>
      <c r="D4" t="s">
        <v>428</v>
      </c>
      <c r="E4" t="s">
        <v>429</v>
      </c>
      <c r="F4" t="s">
        <v>433</v>
      </c>
      <c r="G4" t="s">
        <v>115</v>
      </c>
      <c r="H4" t="s">
        <v>115</v>
      </c>
      <c r="I4" s="5">
        <v>714984</v>
      </c>
      <c r="J4">
        <f>IFERROR(VLOOKUP(G4,'LEAID Match'!$A$2:$B$183,2,FALSE),"")</f>
        <v>1600001</v>
      </c>
      <c r="K4">
        <f t="shared" si="0"/>
        <v>9</v>
      </c>
    </row>
    <row r="5" spans="1:11" x14ac:dyDescent="0.2">
      <c r="A5">
        <v>1600001</v>
      </c>
      <c r="B5">
        <v>2018</v>
      </c>
      <c r="C5">
        <v>189</v>
      </c>
      <c r="D5" t="s">
        <v>428</v>
      </c>
      <c r="E5" t="s">
        <v>429</v>
      </c>
      <c r="F5" t="s">
        <v>433</v>
      </c>
      <c r="G5" t="s">
        <v>115</v>
      </c>
      <c r="H5" t="s">
        <v>207</v>
      </c>
      <c r="I5" s="5">
        <v>723937</v>
      </c>
      <c r="J5">
        <f>IFERROR(VLOOKUP(G5,'LEAID Match'!$A$2:$B$183,2,FALSE),"")</f>
        <v>1600001</v>
      </c>
      <c r="K5">
        <f t="shared" si="0"/>
        <v>9</v>
      </c>
    </row>
    <row r="6" spans="1:11" x14ac:dyDescent="0.2">
      <c r="A6">
        <v>1600001</v>
      </c>
      <c r="B6">
        <v>2019</v>
      </c>
      <c r="C6">
        <v>189</v>
      </c>
      <c r="D6" t="s">
        <v>428</v>
      </c>
      <c r="E6" t="s">
        <v>429</v>
      </c>
      <c r="F6" t="s">
        <v>433</v>
      </c>
      <c r="G6" t="s">
        <v>115</v>
      </c>
      <c r="H6" t="s">
        <v>322</v>
      </c>
      <c r="I6" s="5">
        <v>726215</v>
      </c>
      <c r="J6">
        <f>IFERROR(VLOOKUP(G6,'LEAID Match'!$A$2:$B$183,2,FALSE),"")</f>
        <v>1600001</v>
      </c>
      <c r="K6">
        <f t="shared" si="0"/>
        <v>9</v>
      </c>
    </row>
    <row r="7" spans="1:11" x14ac:dyDescent="0.2">
      <c r="A7">
        <v>1600001</v>
      </c>
      <c r="B7">
        <v>2020</v>
      </c>
      <c r="C7">
        <v>189</v>
      </c>
      <c r="D7" t="s">
        <v>428</v>
      </c>
      <c r="E7" t="s">
        <v>429</v>
      </c>
      <c r="F7" t="s">
        <v>433</v>
      </c>
      <c r="G7" t="s">
        <v>115</v>
      </c>
      <c r="H7" t="s">
        <v>322</v>
      </c>
      <c r="I7" s="5">
        <v>777214</v>
      </c>
      <c r="J7">
        <f>IFERROR(VLOOKUP(G7,'LEAID Match'!$A$2:$B$183,2,FALSE),"")</f>
        <v>1600001</v>
      </c>
      <c r="K7">
        <f t="shared" si="0"/>
        <v>9</v>
      </c>
    </row>
    <row r="8" spans="1:11" x14ac:dyDescent="0.2">
      <c r="A8">
        <v>1600001</v>
      </c>
      <c r="B8">
        <v>2021</v>
      </c>
      <c r="C8">
        <v>189</v>
      </c>
      <c r="D8" t="s">
        <v>428</v>
      </c>
      <c r="E8" t="s">
        <v>429</v>
      </c>
      <c r="F8" t="s">
        <v>433</v>
      </c>
      <c r="G8" t="s">
        <v>115</v>
      </c>
      <c r="H8" t="s">
        <v>396</v>
      </c>
      <c r="I8" s="5">
        <v>799943</v>
      </c>
      <c r="J8">
        <f>IFERROR(VLOOKUP(G8,'LEAID Match'!$A$2:$B$183,2,FALSE),"")</f>
        <v>1600001</v>
      </c>
      <c r="K8">
        <f t="shared" si="0"/>
        <v>9</v>
      </c>
    </row>
    <row r="9" spans="1:11" x14ac:dyDescent="0.2">
      <c r="A9">
        <v>1600001</v>
      </c>
      <c r="B9">
        <v>2022</v>
      </c>
      <c r="C9">
        <v>189</v>
      </c>
      <c r="D9" t="s">
        <v>428</v>
      </c>
      <c r="E9" t="s">
        <v>429</v>
      </c>
      <c r="F9" t="s">
        <v>433</v>
      </c>
      <c r="G9" t="s">
        <v>115</v>
      </c>
      <c r="H9" t="s">
        <v>322</v>
      </c>
      <c r="I9" s="5">
        <v>842787</v>
      </c>
      <c r="J9">
        <f>IFERROR(VLOOKUP(G9,'LEAID Match'!$A$2:$B$183,2,FALSE),"")</f>
        <v>1600001</v>
      </c>
      <c r="K9">
        <f t="shared" si="0"/>
        <v>9</v>
      </c>
    </row>
    <row r="10" spans="1:11" x14ac:dyDescent="0.2">
      <c r="A10">
        <v>1600001</v>
      </c>
      <c r="B10">
        <v>2023</v>
      </c>
      <c r="C10">
        <v>189</v>
      </c>
      <c r="D10" t="s">
        <v>428</v>
      </c>
      <c r="E10" t="s">
        <v>429</v>
      </c>
      <c r="F10" t="s">
        <v>433</v>
      </c>
      <c r="G10" t="s">
        <v>115</v>
      </c>
      <c r="H10" t="s">
        <v>322</v>
      </c>
      <c r="I10" s="5">
        <v>820021</v>
      </c>
      <c r="J10">
        <f>IFERROR(VLOOKUP(G10,'LEAID Match'!$A$2:$B$183,2,FALSE),"")</f>
        <v>1600001</v>
      </c>
      <c r="K10">
        <f t="shared" si="0"/>
        <v>9</v>
      </c>
    </row>
    <row r="11" spans="1:11" x14ac:dyDescent="0.2">
      <c r="A11">
        <v>1600002</v>
      </c>
      <c r="B11">
        <v>2015</v>
      </c>
      <c r="C11">
        <v>96</v>
      </c>
      <c r="D11" t="s">
        <v>428</v>
      </c>
      <c r="E11" t="s">
        <v>429</v>
      </c>
      <c r="F11" t="s">
        <v>433</v>
      </c>
      <c r="G11" t="s">
        <v>56</v>
      </c>
      <c r="H11" t="s">
        <v>56</v>
      </c>
      <c r="I11" s="5">
        <v>2007966</v>
      </c>
      <c r="J11">
        <f>IFERROR(VLOOKUP(G11,'LEAID Match'!$A$2:$B$183,2,FALSE),"")</f>
        <v>1600002</v>
      </c>
      <c r="K11">
        <f t="shared" si="0"/>
        <v>9</v>
      </c>
    </row>
    <row r="12" spans="1:11" x14ac:dyDescent="0.2">
      <c r="A12">
        <v>1600002</v>
      </c>
      <c r="B12">
        <v>2016</v>
      </c>
      <c r="C12">
        <v>96</v>
      </c>
      <c r="D12" t="s">
        <v>428</v>
      </c>
      <c r="E12" t="s">
        <v>429</v>
      </c>
      <c r="F12" t="s">
        <v>433</v>
      </c>
      <c r="G12" t="s">
        <v>56</v>
      </c>
      <c r="H12" t="s">
        <v>56</v>
      </c>
      <c r="I12" s="5">
        <v>2027085</v>
      </c>
      <c r="J12">
        <f>IFERROR(VLOOKUP(G12,'LEAID Match'!$A$2:$B$183,2,FALSE),"")</f>
        <v>1600002</v>
      </c>
      <c r="K12">
        <f t="shared" si="0"/>
        <v>9</v>
      </c>
    </row>
    <row r="13" spans="1:11" x14ac:dyDescent="0.2">
      <c r="A13">
        <v>1600002</v>
      </c>
      <c r="B13">
        <v>2017</v>
      </c>
      <c r="C13">
        <v>96</v>
      </c>
      <c r="D13" t="s">
        <v>428</v>
      </c>
      <c r="E13" t="s">
        <v>429</v>
      </c>
      <c r="F13" t="s">
        <v>433</v>
      </c>
      <c r="G13" t="s">
        <v>56</v>
      </c>
      <c r="H13" t="s">
        <v>56</v>
      </c>
      <c r="I13" s="5">
        <v>2101086</v>
      </c>
      <c r="J13">
        <f>IFERROR(VLOOKUP(G13,'LEAID Match'!$A$2:$B$183,2,FALSE),"")</f>
        <v>1600002</v>
      </c>
      <c r="K13">
        <f t="shared" si="0"/>
        <v>9</v>
      </c>
    </row>
    <row r="14" spans="1:11" x14ac:dyDescent="0.2">
      <c r="A14">
        <v>1600002</v>
      </c>
      <c r="B14">
        <v>2018</v>
      </c>
      <c r="C14">
        <v>96</v>
      </c>
      <c r="D14" t="s">
        <v>428</v>
      </c>
      <c r="E14" t="s">
        <v>429</v>
      </c>
      <c r="F14" t="s">
        <v>433</v>
      </c>
      <c r="G14" t="s">
        <v>56</v>
      </c>
      <c r="H14" t="s">
        <v>56</v>
      </c>
      <c r="I14" s="5">
        <v>2161390</v>
      </c>
      <c r="J14">
        <f>IFERROR(VLOOKUP(G14,'LEAID Match'!$A$2:$B$183,2,FALSE),"")</f>
        <v>1600002</v>
      </c>
      <c r="K14">
        <f t="shared" si="0"/>
        <v>9</v>
      </c>
    </row>
    <row r="15" spans="1:11" x14ac:dyDescent="0.2">
      <c r="A15">
        <v>1600002</v>
      </c>
      <c r="B15">
        <v>2019</v>
      </c>
      <c r="C15">
        <v>96</v>
      </c>
      <c r="D15" t="s">
        <v>428</v>
      </c>
      <c r="E15" t="s">
        <v>429</v>
      </c>
      <c r="F15" t="s">
        <v>433</v>
      </c>
      <c r="G15" t="s">
        <v>56</v>
      </c>
      <c r="H15" t="s">
        <v>264</v>
      </c>
      <c r="I15" s="5">
        <v>2243659</v>
      </c>
      <c r="J15">
        <f>IFERROR(VLOOKUP(G15,'LEAID Match'!$A$2:$B$183,2,FALSE),"")</f>
        <v>1600002</v>
      </c>
      <c r="K15">
        <f t="shared" si="0"/>
        <v>9</v>
      </c>
    </row>
    <row r="16" spans="1:11" x14ac:dyDescent="0.2">
      <c r="A16">
        <v>1600002</v>
      </c>
      <c r="B16">
        <v>2020</v>
      </c>
      <c r="C16">
        <v>96</v>
      </c>
      <c r="D16" t="s">
        <v>428</v>
      </c>
      <c r="E16" t="s">
        <v>429</v>
      </c>
      <c r="F16" t="s">
        <v>433</v>
      </c>
      <c r="G16" t="s">
        <v>56</v>
      </c>
      <c r="H16" t="s">
        <v>264</v>
      </c>
      <c r="I16" s="5">
        <v>2678227</v>
      </c>
      <c r="J16">
        <f>IFERROR(VLOOKUP(G16,'LEAID Match'!$A$2:$B$183,2,FALSE),"")</f>
        <v>1600002</v>
      </c>
      <c r="K16">
        <f t="shared" si="0"/>
        <v>9</v>
      </c>
    </row>
    <row r="17" spans="1:11" x14ac:dyDescent="0.2">
      <c r="A17">
        <v>1600002</v>
      </c>
      <c r="B17">
        <v>2021</v>
      </c>
      <c r="C17">
        <v>96</v>
      </c>
      <c r="D17" t="s">
        <v>428</v>
      </c>
      <c r="E17" t="s">
        <v>429</v>
      </c>
      <c r="F17" t="s">
        <v>433</v>
      </c>
      <c r="G17" t="s">
        <v>56</v>
      </c>
      <c r="H17" t="s">
        <v>391</v>
      </c>
      <c r="I17" s="5">
        <v>2796777</v>
      </c>
      <c r="J17">
        <f>IFERROR(VLOOKUP(G17,'LEAID Match'!$A$2:$B$183,2,FALSE),"")</f>
        <v>1600002</v>
      </c>
      <c r="K17">
        <f t="shared" si="0"/>
        <v>9</v>
      </c>
    </row>
    <row r="18" spans="1:11" x14ac:dyDescent="0.2">
      <c r="A18">
        <v>1600002</v>
      </c>
      <c r="B18">
        <v>2022</v>
      </c>
      <c r="C18">
        <v>96</v>
      </c>
      <c r="D18" t="s">
        <v>428</v>
      </c>
      <c r="E18" t="s">
        <v>429</v>
      </c>
      <c r="F18" t="s">
        <v>433</v>
      </c>
      <c r="G18" t="s">
        <v>56</v>
      </c>
      <c r="H18" t="s">
        <v>264</v>
      </c>
      <c r="I18" s="5">
        <v>2987612</v>
      </c>
      <c r="J18">
        <f>IFERROR(VLOOKUP(G18,'LEAID Match'!$A$2:$B$183,2,FALSE),"")</f>
        <v>1600002</v>
      </c>
      <c r="K18">
        <f t="shared" si="0"/>
        <v>9</v>
      </c>
    </row>
    <row r="19" spans="1:11" x14ac:dyDescent="0.2">
      <c r="A19">
        <v>1600002</v>
      </c>
      <c r="B19">
        <v>2023</v>
      </c>
      <c r="C19">
        <v>96</v>
      </c>
      <c r="D19" t="s">
        <v>428</v>
      </c>
      <c r="E19" t="s">
        <v>429</v>
      </c>
      <c r="F19" t="s">
        <v>433</v>
      </c>
      <c r="G19" t="s">
        <v>56</v>
      </c>
      <c r="H19" t="s">
        <v>264</v>
      </c>
      <c r="I19" s="5">
        <v>3207222</v>
      </c>
      <c r="J19">
        <f>IFERROR(VLOOKUP(G19,'LEAID Match'!$A$2:$B$183,2,FALSE),"")</f>
        <v>1600002</v>
      </c>
      <c r="K19">
        <f t="shared" si="0"/>
        <v>9</v>
      </c>
    </row>
    <row r="20" spans="1:11" x14ac:dyDescent="0.2">
      <c r="A20">
        <v>1600003</v>
      </c>
      <c r="B20">
        <v>2015</v>
      </c>
      <c r="C20">
        <v>183</v>
      </c>
      <c r="D20" t="s">
        <v>428</v>
      </c>
      <c r="E20" t="s">
        <v>429</v>
      </c>
      <c r="F20" t="s">
        <v>433</v>
      </c>
      <c r="G20" t="s">
        <v>169</v>
      </c>
      <c r="H20" t="s">
        <v>169</v>
      </c>
      <c r="I20" s="5">
        <v>129724</v>
      </c>
      <c r="J20">
        <f>IFERROR(VLOOKUP(G20,'LEAID Match'!$A$2:$B$183,2,FALSE),"")</f>
        <v>1600003</v>
      </c>
      <c r="K20">
        <f t="shared" si="0"/>
        <v>9</v>
      </c>
    </row>
    <row r="21" spans="1:11" x14ac:dyDescent="0.2">
      <c r="A21">
        <v>1600003</v>
      </c>
      <c r="B21">
        <v>2016</v>
      </c>
      <c r="C21">
        <v>183</v>
      </c>
      <c r="D21" t="s">
        <v>428</v>
      </c>
      <c r="E21" t="s">
        <v>429</v>
      </c>
      <c r="F21" t="s">
        <v>433</v>
      </c>
      <c r="G21" t="s">
        <v>169</v>
      </c>
      <c r="H21" t="s">
        <v>169</v>
      </c>
      <c r="I21" s="5">
        <v>130678</v>
      </c>
      <c r="J21">
        <f>IFERROR(VLOOKUP(G21,'LEAID Match'!$A$2:$B$183,2,FALSE),"")</f>
        <v>1600003</v>
      </c>
      <c r="K21">
        <f t="shared" si="0"/>
        <v>9</v>
      </c>
    </row>
    <row r="22" spans="1:11" x14ac:dyDescent="0.2">
      <c r="A22">
        <v>1600003</v>
      </c>
      <c r="B22">
        <v>2017</v>
      </c>
      <c r="C22">
        <v>183</v>
      </c>
      <c r="D22" t="s">
        <v>428</v>
      </c>
      <c r="E22" t="s">
        <v>429</v>
      </c>
      <c r="F22" t="s">
        <v>433</v>
      </c>
      <c r="G22" t="s">
        <v>169</v>
      </c>
      <c r="H22" t="s">
        <v>169</v>
      </c>
      <c r="I22" s="5">
        <v>138117</v>
      </c>
      <c r="J22">
        <f>IFERROR(VLOOKUP(G22,'LEAID Match'!$A$2:$B$183,2,FALSE),"")</f>
        <v>1600003</v>
      </c>
      <c r="K22">
        <f t="shared" si="0"/>
        <v>9</v>
      </c>
    </row>
    <row r="23" spans="1:11" x14ac:dyDescent="0.2">
      <c r="A23">
        <v>1600003</v>
      </c>
      <c r="B23">
        <v>2018</v>
      </c>
      <c r="C23">
        <v>183</v>
      </c>
      <c r="D23" t="s">
        <v>428</v>
      </c>
      <c r="E23" t="s">
        <v>429</v>
      </c>
      <c r="F23" t="s">
        <v>433</v>
      </c>
      <c r="G23" t="s">
        <v>169</v>
      </c>
      <c r="H23" t="s">
        <v>169</v>
      </c>
      <c r="I23" s="5">
        <v>144502</v>
      </c>
      <c r="J23">
        <f>IFERROR(VLOOKUP(G23,'LEAID Match'!$A$2:$B$183,2,FALSE),"")</f>
        <v>1600003</v>
      </c>
      <c r="K23">
        <f t="shared" si="0"/>
        <v>9</v>
      </c>
    </row>
    <row r="24" spans="1:11" x14ac:dyDescent="0.2">
      <c r="A24">
        <v>1600003</v>
      </c>
      <c r="B24">
        <v>2019</v>
      </c>
      <c r="C24">
        <v>183</v>
      </c>
      <c r="D24" t="s">
        <v>428</v>
      </c>
      <c r="E24" t="s">
        <v>429</v>
      </c>
      <c r="F24" t="s">
        <v>433</v>
      </c>
      <c r="G24" t="s">
        <v>169</v>
      </c>
      <c r="H24" t="s">
        <v>169</v>
      </c>
      <c r="I24" s="5">
        <v>137860</v>
      </c>
      <c r="J24">
        <f>IFERROR(VLOOKUP(G24,'LEAID Match'!$A$2:$B$183,2,FALSE),"")</f>
        <v>1600003</v>
      </c>
      <c r="K24">
        <f t="shared" si="0"/>
        <v>9</v>
      </c>
    </row>
    <row r="25" spans="1:11" x14ac:dyDescent="0.2">
      <c r="A25">
        <v>1600003</v>
      </c>
      <c r="B25">
        <v>2020</v>
      </c>
      <c r="C25">
        <v>183</v>
      </c>
      <c r="D25" t="s">
        <v>428</v>
      </c>
      <c r="E25" t="s">
        <v>429</v>
      </c>
      <c r="F25" t="s">
        <v>433</v>
      </c>
      <c r="G25" t="s">
        <v>169</v>
      </c>
      <c r="H25" t="s">
        <v>169</v>
      </c>
      <c r="I25" s="5">
        <v>171505</v>
      </c>
      <c r="J25">
        <f>IFERROR(VLOOKUP(G25,'LEAID Match'!$A$2:$B$183,2,FALSE),"")</f>
        <v>1600003</v>
      </c>
      <c r="K25">
        <f t="shared" si="0"/>
        <v>9</v>
      </c>
    </row>
    <row r="26" spans="1:11" x14ac:dyDescent="0.2">
      <c r="A26">
        <v>1600003</v>
      </c>
      <c r="B26">
        <v>2021</v>
      </c>
      <c r="C26">
        <v>183</v>
      </c>
      <c r="D26" t="s">
        <v>428</v>
      </c>
      <c r="E26" t="s">
        <v>429</v>
      </c>
      <c r="F26" t="s">
        <v>433</v>
      </c>
      <c r="G26" t="s">
        <v>169</v>
      </c>
      <c r="H26" t="s">
        <v>169</v>
      </c>
      <c r="I26" s="5">
        <v>186634</v>
      </c>
      <c r="J26">
        <f>IFERROR(VLOOKUP(G26,'LEAID Match'!$A$2:$B$183,2,FALSE),"")</f>
        <v>1600003</v>
      </c>
      <c r="K26">
        <f t="shared" si="0"/>
        <v>9</v>
      </c>
    </row>
    <row r="27" spans="1:11" x14ac:dyDescent="0.2">
      <c r="A27">
        <v>1600003</v>
      </c>
      <c r="B27">
        <v>2022</v>
      </c>
      <c r="C27">
        <v>183</v>
      </c>
      <c r="D27" t="s">
        <v>428</v>
      </c>
      <c r="E27" t="s">
        <v>429</v>
      </c>
      <c r="F27" t="s">
        <v>433</v>
      </c>
      <c r="G27" t="s">
        <v>169</v>
      </c>
      <c r="H27" t="s">
        <v>169</v>
      </c>
      <c r="I27" s="5">
        <v>185005</v>
      </c>
      <c r="J27">
        <f>IFERROR(VLOOKUP(G27,'LEAID Match'!$A$2:$B$183,2,FALSE),"")</f>
        <v>1600003</v>
      </c>
      <c r="K27">
        <f t="shared" si="0"/>
        <v>9</v>
      </c>
    </row>
    <row r="28" spans="1:11" x14ac:dyDescent="0.2">
      <c r="A28">
        <v>1600003</v>
      </c>
      <c r="B28">
        <v>2023</v>
      </c>
      <c r="C28">
        <v>183</v>
      </c>
      <c r="D28" t="s">
        <v>428</v>
      </c>
      <c r="E28" t="s">
        <v>429</v>
      </c>
      <c r="F28" t="s">
        <v>433</v>
      </c>
      <c r="G28" t="s">
        <v>169</v>
      </c>
      <c r="H28" t="s">
        <v>169</v>
      </c>
      <c r="I28" s="5">
        <v>179474</v>
      </c>
      <c r="J28">
        <f>IFERROR(VLOOKUP(G28,'LEAID Match'!$A$2:$B$183,2,FALSE),"")</f>
        <v>1600003</v>
      </c>
      <c r="K28">
        <f t="shared" si="0"/>
        <v>9</v>
      </c>
    </row>
    <row r="29" spans="1:11" x14ac:dyDescent="0.2">
      <c r="A29">
        <v>1600004</v>
      </c>
      <c r="B29">
        <v>2015</v>
      </c>
      <c r="C29">
        <v>83</v>
      </c>
      <c r="D29" t="s">
        <v>428</v>
      </c>
      <c r="E29" t="s">
        <v>429</v>
      </c>
      <c r="F29" t="s">
        <v>433</v>
      </c>
      <c r="G29" t="s">
        <v>143</v>
      </c>
      <c r="H29" t="s">
        <v>143</v>
      </c>
      <c r="I29" s="5">
        <v>395715</v>
      </c>
      <c r="J29">
        <f>IFERROR(VLOOKUP(G29,'LEAID Match'!$A$2:$B$183,2,FALSE),"")</f>
        <v>1600004</v>
      </c>
      <c r="K29">
        <f t="shared" si="0"/>
        <v>9</v>
      </c>
    </row>
    <row r="30" spans="1:11" x14ac:dyDescent="0.2">
      <c r="A30">
        <v>1600004</v>
      </c>
      <c r="B30">
        <v>2016</v>
      </c>
      <c r="C30">
        <v>83</v>
      </c>
      <c r="D30" t="s">
        <v>428</v>
      </c>
      <c r="E30" t="s">
        <v>429</v>
      </c>
      <c r="F30" t="s">
        <v>433</v>
      </c>
      <c r="G30" t="s">
        <v>143</v>
      </c>
      <c r="H30" t="s">
        <v>143</v>
      </c>
      <c r="I30" s="5">
        <v>407368</v>
      </c>
      <c r="J30">
        <f>IFERROR(VLOOKUP(G30,'LEAID Match'!$A$2:$B$183,2,FALSE),"")</f>
        <v>1600004</v>
      </c>
      <c r="K30">
        <f t="shared" si="0"/>
        <v>9</v>
      </c>
    </row>
    <row r="31" spans="1:11" x14ac:dyDescent="0.2">
      <c r="A31">
        <v>1600004</v>
      </c>
      <c r="B31">
        <v>2017</v>
      </c>
      <c r="C31">
        <v>83</v>
      </c>
      <c r="D31" t="s">
        <v>428</v>
      </c>
      <c r="E31" t="s">
        <v>429</v>
      </c>
      <c r="F31" t="s">
        <v>433</v>
      </c>
      <c r="G31" t="s">
        <v>143</v>
      </c>
      <c r="H31" t="s">
        <v>143</v>
      </c>
      <c r="I31" s="5">
        <v>441374</v>
      </c>
      <c r="J31">
        <f>IFERROR(VLOOKUP(G31,'LEAID Match'!$A$2:$B$183,2,FALSE),"")</f>
        <v>1600004</v>
      </c>
      <c r="K31">
        <f t="shared" si="0"/>
        <v>9</v>
      </c>
    </row>
    <row r="32" spans="1:11" x14ac:dyDescent="0.2">
      <c r="A32">
        <v>1600004</v>
      </c>
      <c r="B32">
        <v>2018</v>
      </c>
      <c r="C32">
        <v>83</v>
      </c>
      <c r="D32" t="s">
        <v>428</v>
      </c>
      <c r="E32" t="s">
        <v>429</v>
      </c>
      <c r="F32" t="s">
        <v>433</v>
      </c>
      <c r="G32" t="s">
        <v>143</v>
      </c>
      <c r="H32" t="s">
        <v>143</v>
      </c>
      <c r="I32" s="5">
        <v>441008</v>
      </c>
      <c r="J32">
        <f>IFERROR(VLOOKUP(G32,'LEAID Match'!$A$2:$B$183,2,FALSE),"")</f>
        <v>1600004</v>
      </c>
      <c r="K32">
        <f t="shared" si="0"/>
        <v>9</v>
      </c>
    </row>
    <row r="33" spans="1:11" x14ac:dyDescent="0.2">
      <c r="A33">
        <v>1600004</v>
      </c>
      <c r="B33">
        <v>2019</v>
      </c>
      <c r="C33">
        <v>83</v>
      </c>
      <c r="D33" t="s">
        <v>428</v>
      </c>
      <c r="E33" t="s">
        <v>429</v>
      </c>
      <c r="F33" t="s">
        <v>433</v>
      </c>
      <c r="G33" t="s">
        <v>143</v>
      </c>
      <c r="H33" t="s">
        <v>143</v>
      </c>
      <c r="I33" s="5">
        <v>464407</v>
      </c>
      <c r="J33">
        <f>IFERROR(VLOOKUP(G33,'LEAID Match'!$A$2:$B$183,2,FALSE),"")</f>
        <v>1600004</v>
      </c>
      <c r="K33">
        <f t="shared" si="0"/>
        <v>9</v>
      </c>
    </row>
    <row r="34" spans="1:11" x14ac:dyDescent="0.2">
      <c r="A34">
        <v>1600004</v>
      </c>
      <c r="B34">
        <v>2020</v>
      </c>
      <c r="C34">
        <v>83</v>
      </c>
      <c r="D34" t="s">
        <v>428</v>
      </c>
      <c r="E34" t="s">
        <v>429</v>
      </c>
      <c r="F34" t="s">
        <v>433</v>
      </c>
      <c r="G34" t="s">
        <v>143</v>
      </c>
      <c r="H34" t="s">
        <v>143</v>
      </c>
      <c r="I34" s="5">
        <v>505763</v>
      </c>
      <c r="J34">
        <f>IFERROR(VLOOKUP(G34,'LEAID Match'!$A$2:$B$183,2,FALSE),"")</f>
        <v>1600004</v>
      </c>
      <c r="K34">
        <f t="shared" si="0"/>
        <v>9</v>
      </c>
    </row>
    <row r="35" spans="1:11" x14ac:dyDescent="0.2">
      <c r="A35">
        <v>1600004</v>
      </c>
      <c r="B35">
        <v>2021</v>
      </c>
      <c r="C35">
        <v>83</v>
      </c>
      <c r="D35" t="s">
        <v>428</v>
      </c>
      <c r="E35" t="s">
        <v>429</v>
      </c>
      <c r="F35" t="s">
        <v>433</v>
      </c>
      <c r="G35" t="s">
        <v>143</v>
      </c>
      <c r="H35" t="s">
        <v>143</v>
      </c>
      <c r="I35" s="5">
        <v>810051</v>
      </c>
      <c r="J35">
        <f>IFERROR(VLOOKUP(G35,'LEAID Match'!$A$2:$B$183,2,FALSE),"")</f>
        <v>1600004</v>
      </c>
      <c r="K35">
        <f t="shared" si="0"/>
        <v>9</v>
      </c>
    </row>
    <row r="36" spans="1:11" x14ac:dyDescent="0.2">
      <c r="A36">
        <v>1600004</v>
      </c>
      <c r="B36">
        <v>2022</v>
      </c>
      <c r="C36">
        <v>83</v>
      </c>
      <c r="D36" t="s">
        <v>428</v>
      </c>
      <c r="E36" t="s">
        <v>429</v>
      </c>
      <c r="F36" t="s">
        <v>433</v>
      </c>
      <c r="G36" t="s">
        <v>143</v>
      </c>
      <c r="H36" t="s">
        <v>143</v>
      </c>
      <c r="I36" s="5">
        <v>804886</v>
      </c>
      <c r="J36">
        <f>IFERROR(VLOOKUP(G36,'LEAID Match'!$A$2:$B$183,2,FALSE),"")</f>
        <v>1600004</v>
      </c>
      <c r="K36">
        <f t="shared" si="0"/>
        <v>9</v>
      </c>
    </row>
    <row r="37" spans="1:11" x14ac:dyDescent="0.2">
      <c r="A37">
        <v>1600004</v>
      </c>
      <c r="B37">
        <v>2023</v>
      </c>
      <c r="C37">
        <v>83</v>
      </c>
      <c r="D37" t="s">
        <v>428</v>
      </c>
      <c r="E37" t="s">
        <v>429</v>
      </c>
      <c r="F37" t="s">
        <v>433</v>
      </c>
      <c r="G37" t="s">
        <v>143</v>
      </c>
      <c r="H37" t="s">
        <v>143</v>
      </c>
      <c r="I37" s="5">
        <v>780170</v>
      </c>
      <c r="J37">
        <f>IFERROR(VLOOKUP(G37,'LEAID Match'!$A$2:$B$183,2,FALSE),"")</f>
        <v>1600004</v>
      </c>
      <c r="K37">
        <f t="shared" si="0"/>
        <v>9</v>
      </c>
    </row>
    <row r="38" spans="1:11" x14ac:dyDescent="0.2">
      <c r="A38">
        <v>1600005</v>
      </c>
      <c r="B38">
        <v>2015</v>
      </c>
      <c r="C38">
        <v>149</v>
      </c>
      <c r="D38" t="s">
        <v>428</v>
      </c>
      <c r="E38" t="s">
        <v>429</v>
      </c>
      <c r="F38" t="s">
        <v>433</v>
      </c>
      <c r="G38" t="s">
        <v>159</v>
      </c>
      <c r="H38" t="s">
        <v>159</v>
      </c>
      <c r="I38" s="5">
        <v>84383</v>
      </c>
      <c r="J38">
        <f>IFERROR(VLOOKUP(G38,'LEAID Match'!$A$2:$B$183,2,FALSE),"")</f>
        <v>1600005</v>
      </c>
      <c r="K38">
        <f t="shared" si="0"/>
        <v>9</v>
      </c>
    </row>
    <row r="39" spans="1:11" x14ac:dyDescent="0.2">
      <c r="A39">
        <v>1600005</v>
      </c>
      <c r="B39">
        <v>2016</v>
      </c>
      <c r="C39">
        <v>149</v>
      </c>
      <c r="D39" t="s">
        <v>428</v>
      </c>
      <c r="E39" t="s">
        <v>429</v>
      </c>
      <c r="F39" t="s">
        <v>433</v>
      </c>
      <c r="G39" t="s">
        <v>159</v>
      </c>
      <c r="H39" t="s">
        <v>186</v>
      </c>
      <c r="I39" s="5">
        <v>98631</v>
      </c>
      <c r="J39">
        <f>IFERROR(VLOOKUP(G39,'LEAID Match'!$A$2:$B$183,2,FALSE),"")</f>
        <v>1600005</v>
      </c>
      <c r="K39">
        <f t="shared" si="0"/>
        <v>9</v>
      </c>
    </row>
    <row r="40" spans="1:11" x14ac:dyDescent="0.2">
      <c r="A40">
        <v>1600005</v>
      </c>
      <c r="B40">
        <v>2017</v>
      </c>
      <c r="C40">
        <v>149</v>
      </c>
      <c r="D40" t="s">
        <v>428</v>
      </c>
      <c r="E40" t="s">
        <v>429</v>
      </c>
      <c r="F40" t="s">
        <v>433</v>
      </c>
      <c r="G40" t="s">
        <v>159</v>
      </c>
      <c r="H40" t="s">
        <v>159</v>
      </c>
      <c r="I40" s="5">
        <v>111356</v>
      </c>
      <c r="J40">
        <f>IFERROR(VLOOKUP(G40,'LEAID Match'!$A$2:$B$183,2,FALSE),"")</f>
        <v>1600005</v>
      </c>
      <c r="K40">
        <f t="shared" si="0"/>
        <v>9</v>
      </c>
    </row>
    <row r="41" spans="1:11" x14ac:dyDescent="0.2">
      <c r="A41">
        <v>1600005</v>
      </c>
      <c r="B41">
        <v>2018</v>
      </c>
      <c r="C41">
        <v>149</v>
      </c>
      <c r="D41" t="s">
        <v>428</v>
      </c>
      <c r="E41" t="s">
        <v>429</v>
      </c>
      <c r="F41" t="s">
        <v>433</v>
      </c>
      <c r="G41" t="s">
        <v>159</v>
      </c>
      <c r="H41" t="s">
        <v>159</v>
      </c>
      <c r="I41" s="5">
        <v>132699</v>
      </c>
      <c r="J41">
        <f>IFERROR(VLOOKUP(G41,'LEAID Match'!$A$2:$B$183,2,FALSE),"")</f>
        <v>1600005</v>
      </c>
      <c r="K41">
        <f t="shared" si="0"/>
        <v>9</v>
      </c>
    </row>
    <row r="42" spans="1:11" x14ac:dyDescent="0.2">
      <c r="A42">
        <v>1600005</v>
      </c>
      <c r="B42">
        <v>2019</v>
      </c>
      <c r="C42">
        <v>149</v>
      </c>
      <c r="D42" t="s">
        <v>428</v>
      </c>
      <c r="E42" t="s">
        <v>429</v>
      </c>
      <c r="F42" t="s">
        <v>433</v>
      </c>
      <c r="G42" t="s">
        <v>159</v>
      </c>
      <c r="H42" t="s">
        <v>159</v>
      </c>
      <c r="I42" s="5">
        <v>137939</v>
      </c>
      <c r="J42">
        <f>IFERROR(VLOOKUP(G42,'LEAID Match'!$A$2:$B$183,2,FALSE),"")</f>
        <v>1600005</v>
      </c>
      <c r="K42">
        <f t="shared" si="0"/>
        <v>9</v>
      </c>
    </row>
    <row r="43" spans="1:11" x14ac:dyDescent="0.2">
      <c r="A43">
        <v>1600005</v>
      </c>
      <c r="B43">
        <v>2020</v>
      </c>
      <c r="C43">
        <v>149</v>
      </c>
      <c r="D43" t="s">
        <v>428</v>
      </c>
      <c r="E43" t="s">
        <v>429</v>
      </c>
      <c r="F43" t="s">
        <v>433</v>
      </c>
      <c r="G43" t="s">
        <v>159</v>
      </c>
      <c r="H43" t="s">
        <v>368</v>
      </c>
      <c r="I43" s="5">
        <v>188250</v>
      </c>
      <c r="J43">
        <f>IFERROR(VLOOKUP(G43,'LEAID Match'!$A$2:$B$183,2,FALSE),"")</f>
        <v>1600005</v>
      </c>
      <c r="K43">
        <f t="shared" si="0"/>
        <v>9</v>
      </c>
    </row>
    <row r="44" spans="1:11" x14ac:dyDescent="0.2">
      <c r="A44">
        <v>1600005</v>
      </c>
      <c r="B44">
        <v>2021</v>
      </c>
      <c r="C44">
        <v>149</v>
      </c>
      <c r="D44" t="s">
        <v>428</v>
      </c>
      <c r="E44" t="s">
        <v>429</v>
      </c>
      <c r="F44" t="s">
        <v>433</v>
      </c>
      <c r="G44" t="s">
        <v>159</v>
      </c>
      <c r="H44" t="s">
        <v>395</v>
      </c>
      <c r="I44" s="5">
        <v>228016</v>
      </c>
      <c r="J44">
        <f>IFERROR(VLOOKUP(G44,'LEAID Match'!$A$2:$B$183,2,FALSE),"")</f>
        <v>1600005</v>
      </c>
      <c r="K44">
        <f t="shared" si="0"/>
        <v>9</v>
      </c>
    </row>
    <row r="45" spans="1:11" x14ac:dyDescent="0.2">
      <c r="A45">
        <v>1600005</v>
      </c>
      <c r="B45">
        <v>2022</v>
      </c>
      <c r="C45">
        <v>149</v>
      </c>
      <c r="D45" t="s">
        <v>428</v>
      </c>
      <c r="E45" t="s">
        <v>429</v>
      </c>
      <c r="F45" t="s">
        <v>433</v>
      </c>
      <c r="G45" t="s">
        <v>159</v>
      </c>
      <c r="H45" t="s">
        <v>395</v>
      </c>
      <c r="I45" s="5">
        <v>249323</v>
      </c>
      <c r="J45">
        <f>IFERROR(VLOOKUP(G45,'LEAID Match'!$A$2:$B$183,2,FALSE),"")</f>
        <v>1600005</v>
      </c>
      <c r="K45">
        <f t="shared" si="0"/>
        <v>9</v>
      </c>
    </row>
    <row r="46" spans="1:11" x14ac:dyDescent="0.2">
      <c r="A46">
        <v>1600005</v>
      </c>
      <c r="B46">
        <v>2023</v>
      </c>
      <c r="C46">
        <v>149</v>
      </c>
      <c r="D46" t="s">
        <v>428</v>
      </c>
      <c r="E46" t="s">
        <v>429</v>
      </c>
      <c r="F46" t="s">
        <v>433</v>
      </c>
      <c r="G46" t="s">
        <v>159</v>
      </c>
      <c r="H46" t="s">
        <v>395</v>
      </c>
      <c r="I46" s="5">
        <v>281536</v>
      </c>
      <c r="J46">
        <f>IFERROR(VLOOKUP(G46,'LEAID Match'!$A$2:$B$183,2,FALSE),"")</f>
        <v>1600005</v>
      </c>
      <c r="K46">
        <f t="shared" si="0"/>
        <v>9</v>
      </c>
    </row>
    <row r="47" spans="1:11" x14ac:dyDescent="0.2">
      <c r="A47">
        <v>1600006</v>
      </c>
      <c r="B47">
        <v>2015</v>
      </c>
      <c r="C47">
        <v>155</v>
      </c>
      <c r="D47" t="s">
        <v>428</v>
      </c>
      <c r="E47" t="s">
        <v>429</v>
      </c>
      <c r="F47" t="s">
        <v>433</v>
      </c>
      <c r="G47" t="s">
        <v>160</v>
      </c>
      <c r="H47" t="s">
        <v>160</v>
      </c>
      <c r="I47" s="5">
        <v>82132</v>
      </c>
      <c r="J47">
        <f>IFERROR(VLOOKUP(G47,'LEAID Match'!$A$2:$B$183,2,FALSE),"")</f>
        <v>1600006</v>
      </c>
      <c r="K47">
        <f t="shared" si="0"/>
        <v>9</v>
      </c>
    </row>
    <row r="48" spans="1:11" x14ac:dyDescent="0.2">
      <c r="A48">
        <v>1600006</v>
      </c>
      <c r="B48">
        <v>2016</v>
      </c>
      <c r="C48">
        <v>155</v>
      </c>
      <c r="D48" t="s">
        <v>428</v>
      </c>
      <c r="E48" t="s">
        <v>429</v>
      </c>
      <c r="F48" t="s">
        <v>433</v>
      </c>
      <c r="G48" t="s">
        <v>160</v>
      </c>
      <c r="H48" t="s">
        <v>160</v>
      </c>
      <c r="I48" s="5">
        <v>96072</v>
      </c>
      <c r="J48">
        <f>IFERROR(VLOOKUP(G48,'LEAID Match'!$A$2:$B$183,2,FALSE),"")</f>
        <v>1600006</v>
      </c>
      <c r="K48">
        <f t="shared" si="0"/>
        <v>9</v>
      </c>
    </row>
    <row r="49" spans="1:11" x14ac:dyDescent="0.2">
      <c r="A49">
        <v>1600006</v>
      </c>
      <c r="B49">
        <v>2017</v>
      </c>
      <c r="C49">
        <v>155</v>
      </c>
      <c r="D49" t="s">
        <v>428</v>
      </c>
      <c r="E49" t="s">
        <v>429</v>
      </c>
      <c r="F49" t="s">
        <v>433</v>
      </c>
      <c r="G49" t="s">
        <v>160</v>
      </c>
      <c r="H49" t="s">
        <v>160</v>
      </c>
      <c r="I49" s="5">
        <v>92330</v>
      </c>
      <c r="J49">
        <f>IFERROR(VLOOKUP(G49,'LEAID Match'!$A$2:$B$183,2,FALSE),"")</f>
        <v>1600006</v>
      </c>
      <c r="K49">
        <f t="shared" si="0"/>
        <v>9</v>
      </c>
    </row>
    <row r="50" spans="1:11" x14ac:dyDescent="0.2">
      <c r="A50">
        <v>1600006</v>
      </c>
      <c r="B50">
        <v>2018</v>
      </c>
      <c r="C50">
        <v>155</v>
      </c>
      <c r="D50" t="s">
        <v>428</v>
      </c>
      <c r="E50" t="s">
        <v>429</v>
      </c>
      <c r="F50" t="s">
        <v>433</v>
      </c>
      <c r="G50" t="s">
        <v>160</v>
      </c>
      <c r="H50" t="s">
        <v>160</v>
      </c>
      <c r="I50" s="5">
        <v>98545</v>
      </c>
      <c r="J50">
        <f>IFERROR(VLOOKUP(G50,'LEAID Match'!$A$2:$B$183,2,FALSE),"")</f>
        <v>1600006</v>
      </c>
      <c r="K50">
        <f t="shared" si="0"/>
        <v>9</v>
      </c>
    </row>
    <row r="51" spans="1:11" x14ac:dyDescent="0.2">
      <c r="A51">
        <v>1600006</v>
      </c>
      <c r="B51">
        <v>2019</v>
      </c>
      <c r="C51">
        <v>155</v>
      </c>
      <c r="D51" t="s">
        <v>428</v>
      </c>
      <c r="E51" t="s">
        <v>429</v>
      </c>
      <c r="F51" t="s">
        <v>433</v>
      </c>
      <c r="G51" t="s">
        <v>160</v>
      </c>
      <c r="H51" t="s">
        <v>160</v>
      </c>
      <c r="I51" s="5">
        <v>123526</v>
      </c>
      <c r="J51">
        <f>IFERROR(VLOOKUP(G51,'LEAID Match'!$A$2:$B$183,2,FALSE),"")</f>
        <v>1600006</v>
      </c>
      <c r="K51">
        <f t="shared" si="0"/>
        <v>9</v>
      </c>
    </row>
    <row r="52" spans="1:11" x14ac:dyDescent="0.2">
      <c r="A52">
        <v>1600006</v>
      </c>
      <c r="B52">
        <v>2020</v>
      </c>
      <c r="C52">
        <v>155</v>
      </c>
      <c r="D52" t="s">
        <v>428</v>
      </c>
      <c r="E52" t="s">
        <v>429</v>
      </c>
      <c r="F52" t="s">
        <v>433</v>
      </c>
      <c r="G52" t="s">
        <v>160</v>
      </c>
      <c r="H52" t="s">
        <v>160</v>
      </c>
      <c r="I52" s="5">
        <v>139969</v>
      </c>
      <c r="J52">
        <f>IFERROR(VLOOKUP(G52,'LEAID Match'!$A$2:$B$183,2,FALSE),"")</f>
        <v>1600006</v>
      </c>
      <c r="K52">
        <f t="shared" si="0"/>
        <v>9</v>
      </c>
    </row>
    <row r="53" spans="1:11" x14ac:dyDescent="0.2">
      <c r="A53">
        <v>1600006</v>
      </c>
      <c r="B53">
        <v>2021</v>
      </c>
      <c r="C53">
        <v>155</v>
      </c>
      <c r="D53" t="s">
        <v>428</v>
      </c>
      <c r="E53" t="s">
        <v>429</v>
      </c>
      <c r="F53" t="s">
        <v>433</v>
      </c>
      <c r="G53" t="s">
        <v>160</v>
      </c>
      <c r="H53" t="s">
        <v>160</v>
      </c>
      <c r="I53" s="5">
        <v>170600</v>
      </c>
      <c r="J53">
        <f>IFERROR(VLOOKUP(G53,'LEAID Match'!$A$2:$B$183,2,FALSE),"")</f>
        <v>1600006</v>
      </c>
      <c r="K53">
        <f t="shared" si="0"/>
        <v>9</v>
      </c>
    </row>
    <row r="54" spans="1:11" x14ac:dyDescent="0.2">
      <c r="A54">
        <v>1600006</v>
      </c>
      <c r="B54">
        <v>2022</v>
      </c>
      <c r="C54">
        <v>155</v>
      </c>
      <c r="D54" t="s">
        <v>428</v>
      </c>
      <c r="E54" t="s">
        <v>429</v>
      </c>
      <c r="F54" t="s">
        <v>433</v>
      </c>
      <c r="G54" t="s">
        <v>160</v>
      </c>
      <c r="H54" t="s">
        <v>160</v>
      </c>
      <c r="I54" s="5">
        <v>186216</v>
      </c>
      <c r="J54">
        <f>IFERROR(VLOOKUP(G54,'LEAID Match'!$A$2:$B$183,2,FALSE),"")</f>
        <v>1600006</v>
      </c>
      <c r="K54">
        <f t="shared" si="0"/>
        <v>9</v>
      </c>
    </row>
    <row r="55" spans="1:11" x14ac:dyDescent="0.2">
      <c r="A55">
        <v>1600006</v>
      </c>
      <c r="B55">
        <v>2023</v>
      </c>
      <c r="C55">
        <v>155</v>
      </c>
      <c r="D55" t="s">
        <v>428</v>
      </c>
      <c r="E55" t="s">
        <v>429</v>
      </c>
      <c r="F55" t="s">
        <v>433</v>
      </c>
      <c r="G55" t="s">
        <v>160</v>
      </c>
      <c r="H55" t="s">
        <v>160</v>
      </c>
      <c r="I55" s="5">
        <v>165745</v>
      </c>
      <c r="J55">
        <f>IFERROR(VLOOKUP(G55,'LEAID Match'!$A$2:$B$183,2,FALSE),"")</f>
        <v>1600006</v>
      </c>
      <c r="K55">
        <f t="shared" si="0"/>
        <v>9</v>
      </c>
    </row>
    <row r="56" spans="1:11" x14ac:dyDescent="0.2">
      <c r="A56">
        <v>1600007</v>
      </c>
      <c r="B56">
        <v>2015</v>
      </c>
      <c r="C56">
        <v>40</v>
      </c>
      <c r="D56" t="s">
        <v>428</v>
      </c>
      <c r="E56" t="s">
        <v>429</v>
      </c>
      <c r="F56" t="s">
        <v>433</v>
      </c>
      <c r="G56" t="s">
        <v>128</v>
      </c>
      <c r="H56" t="s">
        <v>128</v>
      </c>
      <c r="I56" s="5">
        <v>218109</v>
      </c>
      <c r="J56">
        <f>IFERROR(VLOOKUP(G56,'LEAID Match'!$A$2:$B$183,2,FALSE),"")</f>
        <v>1600007</v>
      </c>
      <c r="K56">
        <f t="shared" si="0"/>
        <v>9</v>
      </c>
    </row>
    <row r="57" spans="1:11" x14ac:dyDescent="0.2">
      <c r="A57">
        <v>1600007</v>
      </c>
      <c r="B57">
        <v>2016</v>
      </c>
      <c r="C57">
        <v>40</v>
      </c>
      <c r="D57" t="s">
        <v>428</v>
      </c>
      <c r="E57" t="s">
        <v>429</v>
      </c>
      <c r="F57" t="s">
        <v>433</v>
      </c>
      <c r="G57" t="s">
        <v>128</v>
      </c>
      <c r="H57" t="s">
        <v>128</v>
      </c>
      <c r="I57" s="5">
        <v>283256</v>
      </c>
      <c r="J57">
        <f>IFERROR(VLOOKUP(G57,'LEAID Match'!$A$2:$B$183,2,FALSE),"")</f>
        <v>1600007</v>
      </c>
      <c r="K57">
        <f t="shared" si="0"/>
        <v>9</v>
      </c>
    </row>
    <row r="58" spans="1:11" x14ac:dyDescent="0.2">
      <c r="A58">
        <v>1600007</v>
      </c>
      <c r="B58">
        <v>2017</v>
      </c>
      <c r="C58">
        <v>40</v>
      </c>
      <c r="D58" t="s">
        <v>428</v>
      </c>
      <c r="E58" t="s">
        <v>429</v>
      </c>
      <c r="F58" t="s">
        <v>433</v>
      </c>
      <c r="G58" t="s">
        <v>128</v>
      </c>
      <c r="H58" t="s">
        <v>128</v>
      </c>
      <c r="I58" s="5">
        <v>325893</v>
      </c>
      <c r="J58">
        <f>IFERROR(VLOOKUP(G58,'LEAID Match'!$A$2:$B$183,2,FALSE),"")</f>
        <v>1600007</v>
      </c>
      <c r="K58">
        <f t="shared" si="0"/>
        <v>9</v>
      </c>
    </row>
    <row r="59" spans="1:11" x14ac:dyDescent="0.2">
      <c r="A59">
        <v>1600007</v>
      </c>
      <c r="B59">
        <v>2018</v>
      </c>
      <c r="C59">
        <v>40</v>
      </c>
      <c r="D59" t="s">
        <v>428</v>
      </c>
      <c r="E59" t="s">
        <v>429</v>
      </c>
      <c r="F59" t="s">
        <v>433</v>
      </c>
      <c r="G59" t="s">
        <v>128</v>
      </c>
      <c r="H59" t="s">
        <v>128</v>
      </c>
      <c r="I59" s="5">
        <v>353343</v>
      </c>
      <c r="J59">
        <f>IFERROR(VLOOKUP(G59,'LEAID Match'!$A$2:$B$183,2,FALSE),"")</f>
        <v>1600007</v>
      </c>
      <c r="K59">
        <f t="shared" si="0"/>
        <v>9</v>
      </c>
    </row>
    <row r="60" spans="1:11" x14ac:dyDescent="0.2">
      <c r="A60">
        <v>1600007</v>
      </c>
      <c r="B60">
        <v>2019</v>
      </c>
      <c r="C60">
        <v>40</v>
      </c>
      <c r="D60" t="s">
        <v>428</v>
      </c>
      <c r="E60" t="s">
        <v>429</v>
      </c>
      <c r="F60" t="s">
        <v>433</v>
      </c>
      <c r="G60" t="s">
        <v>128</v>
      </c>
      <c r="H60" t="s">
        <v>128</v>
      </c>
      <c r="I60" s="5">
        <v>386668</v>
      </c>
      <c r="J60">
        <f>IFERROR(VLOOKUP(G60,'LEAID Match'!$A$2:$B$183,2,FALSE),"")</f>
        <v>1600007</v>
      </c>
      <c r="K60">
        <f t="shared" si="0"/>
        <v>9</v>
      </c>
    </row>
    <row r="61" spans="1:11" x14ac:dyDescent="0.2">
      <c r="A61">
        <v>1600007</v>
      </c>
      <c r="B61">
        <v>2020</v>
      </c>
      <c r="C61">
        <v>40</v>
      </c>
      <c r="D61" t="s">
        <v>428</v>
      </c>
      <c r="E61" t="s">
        <v>429</v>
      </c>
      <c r="F61" t="s">
        <v>433</v>
      </c>
      <c r="G61" t="s">
        <v>128</v>
      </c>
      <c r="H61" t="s">
        <v>128</v>
      </c>
      <c r="I61" s="5">
        <v>451973</v>
      </c>
      <c r="J61">
        <f>IFERROR(VLOOKUP(G61,'LEAID Match'!$A$2:$B$183,2,FALSE),"")</f>
        <v>1600007</v>
      </c>
      <c r="K61">
        <f t="shared" si="0"/>
        <v>9</v>
      </c>
    </row>
    <row r="62" spans="1:11" x14ac:dyDescent="0.2">
      <c r="A62">
        <v>1600007</v>
      </c>
      <c r="B62">
        <v>2021</v>
      </c>
      <c r="C62">
        <v>40</v>
      </c>
      <c r="D62" t="s">
        <v>428</v>
      </c>
      <c r="E62" t="s">
        <v>429</v>
      </c>
      <c r="F62" t="s">
        <v>433</v>
      </c>
      <c r="G62" t="s">
        <v>128</v>
      </c>
      <c r="H62" t="s">
        <v>128</v>
      </c>
      <c r="I62" s="5">
        <v>531524</v>
      </c>
      <c r="J62">
        <f>IFERROR(VLOOKUP(G62,'LEAID Match'!$A$2:$B$183,2,FALSE),"")</f>
        <v>1600007</v>
      </c>
      <c r="K62">
        <f t="shared" si="0"/>
        <v>9</v>
      </c>
    </row>
    <row r="63" spans="1:11" x14ac:dyDescent="0.2">
      <c r="A63">
        <v>1600007</v>
      </c>
      <c r="B63">
        <v>2022</v>
      </c>
      <c r="C63">
        <v>40</v>
      </c>
      <c r="D63" t="s">
        <v>428</v>
      </c>
      <c r="E63" t="s">
        <v>429</v>
      </c>
      <c r="F63" t="s">
        <v>433</v>
      </c>
      <c r="G63" t="s">
        <v>128</v>
      </c>
      <c r="H63" t="s">
        <v>128</v>
      </c>
      <c r="I63" s="5">
        <v>542535</v>
      </c>
      <c r="J63">
        <f>IFERROR(VLOOKUP(G63,'LEAID Match'!$A$2:$B$183,2,FALSE),"")</f>
        <v>1600007</v>
      </c>
      <c r="K63">
        <f t="shared" si="0"/>
        <v>9</v>
      </c>
    </row>
    <row r="64" spans="1:11" x14ac:dyDescent="0.2">
      <c r="A64">
        <v>1600007</v>
      </c>
      <c r="B64">
        <v>2023</v>
      </c>
      <c r="C64">
        <v>40</v>
      </c>
      <c r="D64" t="s">
        <v>428</v>
      </c>
      <c r="E64" t="s">
        <v>429</v>
      </c>
      <c r="F64" t="s">
        <v>433</v>
      </c>
      <c r="G64" t="s">
        <v>128</v>
      </c>
      <c r="H64" t="s">
        <v>128</v>
      </c>
      <c r="I64" s="5">
        <v>579527</v>
      </c>
      <c r="J64">
        <f>IFERROR(VLOOKUP(G64,'LEAID Match'!$A$2:$B$183,2,FALSE),"")</f>
        <v>1600007</v>
      </c>
      <c r="K64">
        <f t="shared" si="0"/>
        <v>9</v>
      </c>
    </row>
    <row r="65" spans="1:11" x14ac:dyDescent="0.2">
      <c r="A65">
        <v>1600008</v>
      </c>
      <c r="B65">
        <v>2015</v>
      </c>
      <c r="C65">
        <v>50</v>
      </c>
      <c r="D65" t="s">
        <v>428</v>
      </c>
      <c r="E65" t="s">
        <v>429</v>
      </c>
      <c r="F65" t="s">
        <v>433</v>
      </c>
      <c r="G65" t="s">
        <v>129</v>
      </c>
      <c r="H65" t="s">
        <v>129</v>
      </c>
      <c r="I65" s="5">
        <v>66899</v>
      </c>
      <c r="J65">
        <f>IFERROR(VLOOKUP(G65,'LEAID Match'!$A$2:$B$183,2,FALSE),"")</f>
        <v>1600008</v>
      </c>
      <c r="K65">
        <f t="shared" si="0"/>
        <v>9</v>
      </c>
    </row>
    <row r="66" spans="1:11" x14ac:dyDescent="0.2">
      <c r="A66">
        <v>1600008</v>
      </c>
      <c r="B66">
        <v>2016</v>
      </c>
      <c r="C66">
        <v>50</v>
      </c>
      <c r="D66" t="s">
        <v>428</v>
      </c>
      <c r="E66" t="s">
        <v>429</v>
      </c>
      <c r="F66" t="s">
        <v>433</v>
      </c>
      <c r="G66" t="s">
        <v>129</v>
      </c>
      <c r="H66" t="s">
        <v>129</v>
      </c>
      <c r="I66" s="5">
        <v>70657</v>
      </c>
      <c r="J66">
        <f>IFERROR(VLOOKUP(G66,'LEAID Match'!$A$2:$B$183,2,FALSE),"")</f>
        <v>1600008</v>
      </c>
      <c r="K66">
        <f t="shared" si="0"/>
        <v>9</v>
      </c>
    </row>
    <row r="67" spans="1:11" x14ac:dyDescent="0.2">
      <c r="A67">
        <v>1600008</v>
      </c>
      <c r="B67">
        <v>2017</v>
      </c>
      <c r="C67">
        <v>50</v>
      </c>
      <c r="D67" t="s">
        <v>428</v>
      </c>
      <c r="E67" t="s">
        <v>429</v>
      </c>
      <c r="F67" t="s">
        <v>433</v>
      </c>
      <c r="G67" t="s">
        <v>129</v>
      </c>
      <c r="H67" t="s">
        <v>129</v>
      </c>
      <c r="I67" s="5">
        <v>96825</v>
      </c>
      <c r="J67">
        <f>IFERROR(VLOOKUP(G67,'LEAID Match'!$A$2:$B$183,2,FALSE),"")</f>
        <v>1600008</v>
      </c>
      <c r="K67">
        <f t="shared" ref="K67:K130" si="1">COUNTIF($A$2:$A$1651,A67)</f>
        <v>9</v>
      </c>
    </row>
    <row r="68" spans="1:11" x14ac:dyDescent="0.2">
      <c r="A68">
        <v>1600008</v>
      </c>
      <c r="B68">
        <v>2018</v>
      </c>
      <c r="C68">
        <v>50</v>
      </c>
      <c r="D68" t="s">
        <v>428</v>
      </c>
      <c r="E68" t="s">
        <v>429</v>
      </c>
      <c r="F68" t="s">
        <v>433</v>
      </c>
      <c r="G68" t="s">
        <v>129</v>
      </c>
      <c r="H68" t="s">
        <v>129</v>
      </c>
      <c r="I68" s="5">
        <v>109516</v>
      </c>
      <c r="J68">
        <f>IFERROR(VLOOKUP(G68,'LEAID Match'!$A$2:$B$183,2,FALSE),"")</f>
        <v>1600008</v>
      </c>
      <c r="K68">
        <f t="shared" si="1"/>
        <v>9</v>
      </c>
    </row>
    <row r="69" spans="1:11" x14ac:dyDescent="0.2">
      <c r="A69">
        <v>1600008</v>
      </c>
      <c r="B69">
        <v>2019</v>
      </c>
      <c r="C69">
        <v>50</v>
      </c>
      <c r="D69" t="s">
        <v>428</v>
      </c>
      <c r="E69" t="s">
        <v>429</v>
      </c>
      <c r="F69" t="s">
        <v>433</v>
      </c>
      <c r="G69" t="s">
        <v>129</v>
      </c>
      <c r="H69" t="s">
        <v>129</v>
      </c>
      <c r="I69" s="5">
        <v>116495</v>
      </c>
      <c r="J69">
        <f>IFERROR(VLOOKUP(G69,'LEAID Match'!$A$2:$B$183,2,FALSE),"")</f>
        <v>1600008</v>
      </c>
      <c r="K69">
        <f t="shared" si="1"/>
        <v>9</v>
      </c>
    </row>
    <row r="70" spans="1:11" x14ac:dyDescent="0.2">
      <c r="A70">
        <v>1600008</v>
      </c>
      <c r="B70">
        <v>2020</v>
      </c>
      <c r="C70">
        <v>50</v>
      </c>
      <c r="D70" t="s">
        <v>428</v>
      </c>
      <c r="E70" t="s">
        <v>429</v>
      </c>
      <c r="F70" t="s">
        <v>433</v>
      </c>
      <c r="G70" t="s">
        <v>129</v>
      </c>
      <c r="H70" t="s">
        <v>129</v>
      </c>
      <c r="I70" s="5">
        <v>137889</v>
      </c>
      <c r="J70">
        <f>IFERROR(VLOOKUP(G70,'LEAID Match'!$A$2:$B$183,2,FALSE),"")</f>
        <v>1600008</v>
      </c>
      <c r="K70">
        <f t="shared" si="1"/>
        <v>9</v>
      </c>
    </row>
    <row r="71" spans="1:11" x14ac:dyDescent="0.2">
      <c r="A71">
        <v>1600008</v>
      </c>
      <c r="B71">
        <v>2021</v>
      </c>
      <c r="C71">
        <v>50</v>
      </c>
      <c r="D71" t="s">
        <v>428</v>
      </c>
      <c r="E71" t="s">
        <v>429</v>
      </c>
      <c r="F71" t="s">
        <v>433</v>
      </c>
      <c r="G71" t="s">
        <v>129</v>
      </c>
      <c r="H71" t="s">
        <v>129</v>
      </c>
      <c r="I71" s="5">
        <v>143424</v>
      </c>
      <c r="J71">
        <f>IFERROR(VLOOKUP(G71,'LEAID Match'!$A$2:$B$183,2,FALSE),"")</f>
        <v>1600008</v>
      </c>
      <c r="K71">
        <f t="shared" si="1"/>
        <v>9</v>
      </c>
    </row>
    <row r="72" spans="1:11" x14ac:dyDescent="0.2">
      <c r="A72">
        <v>1600008</v>
      </c>
      <c r="B72">
        <v>2022</v>
      </c>
      <c r="C72">
        <v>50</v>
      </c>
      <c r="D72" t="s">
        <v>428</v>
      </c>
      <c r="E72" t="s">
        <v>429</v>
      </c>
      <c r="F72" t="s">
        <v>433</v>
      </c>
      <c r="G72" t="s">
        <v>129</v>
      </c>
      <c r="H72" t="s">
        <v>129</v>
      </c>
      <c r="I72" s="5">
        <v>139009</v>
      </c>
      <c r="J72">
        <f>IFERROR(VLOOKUP(G72,'LEAID Match'!$A$2:$B$183,2,FALSE),"")</f>
        <v>1600008</v>
      </c>
      <c r="K72">
        <f t="shared" si="1"/>
        <v>9</v>
      </c>
    </row>
    <row r="73" spans="1:11" x14ac:dyDescent="0.2">
      <c r="A73">
        <v>1600008</v>
      </c>
      <c r="B73">
        <v>2023</v>
      </c>
      <c r="C73">
        <v>50</v>
      </c>
      <c r="D73" t="s">
        <v>428</v>
      </c>
      <c r="E73" t="s">
        <v>429</v>
      </c>
      <c r="F73" t="s">
        <v>433</v>
      </c>
      <c r="G73" t="s">
        <v>129</v>
      </c>
      <c r="H73" t="s">
        <v>129</v>
      </c>
      <c r="I73" s="5">
        <v>145994</v>
      </c>
      <c r="J73">
        <f>IFERROR(VLOOKUP(G73,'LEAID Match'!$A$2:$B$183,2,FALSE),"")</f>
        <v>1600008</v>
      </c>
      <c r="K73">
        <f t="shared" si="1"/>
        <v>9</v>
      </c>
    </row>
    <row r="74" spans="1:11" x14ac:dyDescent="0.2">
      <c r="A74">
        <v>1600009</v>
      </c>
      <c r="B74">
        <v>2015</v>
      </c>
      <c r="C74">
        <v>178</v>
      </c>
      <c r="D74" t="s">
        <v>428</v>
      </c>
      <c r="E74" t="s">
        <v>429</v>
      </c>
      <c r="F74" t="s">
        <v>433</v>
      </c>
      <c r="G74" t="s">
        <v>107</v>
      </c>
      <c r="H74" t="s">
        <v>107</v>
      </c>
      <c r="I74" s="5">
        <v>216379</v>
      </c>
      <c r="J74">
        <f>IFERROR(VLOOKUP(G74,'LEAID Match'!$A$2:$B$183,2,FALSE),"")</f>
        <v>1600009</v>
      </c>
      <c r="K74">
        <f t="shared" si="1"/>
        <v>9</v>
      </c>
    </row>
    <row r="75" spans="1:11" x14ac:dyDescent="0.2">
      <c r="A75">
        <v>1600009</v>
      </c>
      <c r="B75">
        <v>2016</v>
      </c>
      <c r="C75">
        <v>178</v>
      </c>
      <c r="D75" t="s">
        <v>428</v>
      </c>
      <c r="E75" t="s">
        <v>429</v>
      </c>
      <c r="F75" t="s">
        <v>433</v>
      </c>
      <c r="G75" t="s">
        <v>107</v>
      </c>
      <c r="H75" t="s">
        <v>107</v>
      </c>
      <c r="I75" s="5">
        <v>193199</v>
      </c>
      <c r="J75">
        <f>IFERROR(VLOOKUP(G75,'LEAID Match'!$A$2:$B$183,2,FALSE),"")</f>
        <v>1600009</v>
      </c>
      <c r="K75">
        <f t="shared" si="1"/>
        <v>9</v>
      </c>
    </row>
    <row r="76" spans="1:11" x14ac:dyDescent="0.2">
      <c r="A76">
        <v>1600009</v>
      </c>
      <c r="B76">
        <v>2017</v>
      </c>
      <c r="C76">
        <v>178</v>
      </c>
      <c r="D76" t="s">
        <v>428</v>
      </c>
      <c r="E76" t="s">
        <v>429</v>
      </c>
      <c r="F76" t="s">
        <v>433</v>
      </c>
      <c r="G76" t="s">
        <v>107</v>
      </c>
      <c r="H76" t="s">
        <v>107</v>
      </c>
      <c r="I76" s="5">
        <v>198897</v>
      </c>
      <c r="J76">
        <f>IFERROR(VLOOKUP(G76,'LEAID Match'!$A$2:$B$183,2,FALSE),"")</f>
        <v>1600009</v>
      </c>
      <c r="K76">
        <f t="shared" si="1"/>
        <v>9</v>
      </c>
    </row>
    <row r="77" spans="1:11" x14ac:dyDescent="0.2">
      <c r="A77">
        <v>1600009</v>
      </c>
      <c r="B77">
        <v>2018</v>
      </c>
      <c r="C77">
        <v>178</v>
      </c>
      <c r="D77" t="s">
        <v>428</v>
      </c>
      <c r="E77" t="s">
        <v>429</v>
      </c>
      <c r="F77" t="s">
        <v>433</v>
      </c>
      <c r="G77" t="s">
        <v>107</v>
      </c>
      <c r="H77" t="s">
        <v>107</v>
      </c>
      <c r="I77" s="5">
        <v>192801</v>
      </c>
      <c r="J77">
        <f>IFERROR(VLOOKUP(G77,'LEAID Match'!$A$2:$B$183,2,FALSE),"")</f>
        <v>1600009</v>
      </c>
      <c r="K77">
        <f t="shared" si="1"/>
        <v>9</v>
      </c>
    </row>
    <row r="78" spans="1:11" x14ac:dyDescent="0.2">
      <c r="A78">
        <v>1600009</v>
      </c>
      <c r="B78">
        <v>2019</v>
      </c>
      <c r="C78">
        <v>178</v>
      </c>
      <c r="D78" t="s">
        <v>428</v>
      </c>
      <c r="E78" t="s">
        <v>429</v>
      </c>
      <c r="F78" t="s">
        <v>433</v>
      </c>
      <c r="G78" t="s">
        <v>107</v>
      </c>
      <c r="H78" t="s">
        <v>107</v>
      </c>
      <c r="I78" s="5">
        <v>204194</v>
      </c>
      <c r="J78">
        <f>IFERROR(VLOOKUP(G78,'LEAID Match'!$A$2:$B$183,2,FALSE),"")</f>
        <v>1600009</v>
      </c>
      <c r="K78">
        <f t="shared" si="1"/>
        <v>9</v>
      </c>
    </row>
    <row r="79" spans="1:11" x14ac:dyDescent="0.2">
      <c r="A79">
        <v>1600009</v>
      </c>
      <c r="B79">
        <v>2020</v>
      </c>
      <c r="C79">
        <v>178</v>
      </c>
      <c r="D79" t="s">
        <v>428</v>
      </c>
      <c r="E79" t="s">
        <v>429</v>
      </c>
      <c r="F79" t="s">
        <v>433</v>
      </c>
      <c r="G79" t="s">
        <v>107</v>
      </c>
      <c r="H79" t="s">
        <v>107</v>
      </c>
      <c r="I79" s="5">
        <v>235880</v>
      </c>
      <c r="J79">
        <f>IFERROR(VLOOKUP(G79,'LEAID Match'!$A$2:$B$183,2,FALSE),"")</f>
        <v>1600009</v>
      </c>
      <c r="K79">
        <f t="shared" si="1"/>
        <v>9</v>
      </c>
    </row>
    <row r="80" spans="1:11" x14ac:dyDescent="0.2">
      <c r="A80">
        <v>1600009</v>
      </c>
      <c r="B80">
        <v>2021</v>
      </c>
      <c r="C80">
        <v>178</v>
      </c>
      <c r="D80" t="s">
        <v>428</v>
      </c>
      <c r="E80" t="s">
        <v>429</v>
      </c>
      <c r="F80" t="s">
        <v>433</v>
      </c>
      <c r="G80" t="s">
        <v>107</v>
      </c>
      <c r="H80" t="s">
        <v>107</v>
      </c>
      <c r="I80" s="5">
        <v>250493</v>
      </c>
      <c r="J80">
        <f>IFERROR(VLOOKUP(G80,'LEAID Match'!$A$2:$B$183,2,FALSE),"")</f>
        <v>1600009</v>
      </c>
      <c r="K80">
        <f t="shared" si="1"/>
        <v>9</v>
      </c>
    </row>
    <row r="81" spans="1:11" x14ac:dyDescent="0.2">
      <c r="A81">
        <v>1600009</v>
      </c>
      <c r="B81">
        <v>2022</v>
      </c>
      <c r="C81">
        <v>178</v>
      </c>
      <c r="D81" t="s">
        <v>428</v>
      </c>
      <c r="E81" t="s">
        <v>429</v>
      </c>
      <c r="F81" t="s">
        <v>433</v>
      </c>
      <c r="G81" t="s">
        <v>107</v>
      </c>
      <c r="H81" t="s">
        <v>107</v>
      </c>
      <c r="I81" s="5">
        <v>248190</v>
      </c>
      <c r="J81">
        <f>IFERROR(VLOOKUP(G81,'LEAID Match'!$A$2:$B$183,2,FALSE),"")</f>
        <v>1600009</v>
      </c>
      <c r="K81">
        <f t="shared" si="1"/>
        <v>9</v>
      </c>
    </row>
    <row r="82" spans="1:11" x14ac:dyDescent="0.2">
      <c r="A82">
        <v>1600009</v>
      </c>
      <c r="B82">
        <v>2023</v>
      </c>
      <c r="C82">
        <v>178</v>
      </c>
      <c r="D82" t="s">
        <v>428</v>
      </c>
      <c r="E82" t="s">
        <v>429</v>
      </c>
      <c r="F82" t="s">
        <v>433</v>
      </c>
      <c r="G82" t="s">
        <v>107</v>
      </c>
      <c r="H82" t="s">
        <v>107</v>
      </c>
      <c r="I82" s="5">
        <v>258771</v>
      </c>
      <c r="J82">
        <f>IFERROR(VLOOKUP(G82,'LEAID Match'!$A$2:$B$183,2,FALSE),"")</f>
        <v>1600009</v>
      </c>
      <c r="K82">
        <f t="shared" si="1"/>
        <v>9</v>
      </c>
    </row>
    <row r="83" spans="1:11" x14ac:dyDescent="0.2">
      <c r="A83">
        <v>1600010</v>
      </c>
      <c r="B83">
        <v>2015</v>
      </c>
      <c r="C83">
        <v>193</v>
      </c>
      <c r="D83" t="s">
        <v>428</v>
      </c>
      <c r="E83" t="s">
        <v>429</v>
      </c>
      <c r="F83" t="s">
        <v>433</v>
      </c>
      <c r="G83" t="s">
        <v>118</v>
      </c>
      <c r="H83" t="s">
        <v>118</v>
      </c>
      <c r="I83" s="5">
        <v>202108</v>
      </c>
      <c r="J83">
        <f>IFERROR(VLOOKUP(G83,'LEAID Match'!$A$2:$B$183,2,FALSE),"")</f>
        <v>1600010</v>
      </c>
      <c r="K83">
        <f t="shared" si="1"/>
        <v>9</v>
      </c>
    </row>
    <row r="84" spans="1:11" x14ac:dyDescent="0.2">
      <c r="A84">
        <v>1600010</v>
      </c>
      <c r="B84">
        <v>2016</v>
      </c>
      <c r="C84">
        <v>193</v>
      </c>
      <c r="D84" t="s">
        <v>428</v>
      </c>
      <c r="E84" t="s">
        <v>429</v>
      </c>
      <c r="F84" t="s">
        <v>433</v>
      </c>
      <c r="G84" t="s">
        <v>118</v>
      </c>
      <c r="H84" t="s">
        <v>118</v>
      </c>
      <c r="I84" s="5">
        <v>201133</v>
      </c>
      <c r="J84">
        <f>IFERROR(VLOOKUP(G84,'LEAID Match'!$A$2:$B$183,2,FALSE),"")</f>
        <v>1600010</v>
      </c>
      <c r="K84">
        <f t="shared" si="1"/>
        <v>9</v>
      </c>
    </row>
    <row r="85" spans="1:11" x14ac:dyDescent="0.2">
      <c r="A85">
        <v>1600010</v>
      </c>
      <c r="B85">
        <v>2017</v>
      </c>
      <c r="C85">
        <v>193</v>
      </c>
      <c r="D85" t="s">
        <v>428</v>
      </c>
      <c r="E85" t="s">
        <v>429</v>
      </c>
      <c r="F85" t="s">
        <v>433</v>
      </c>
      <c r="G85" t="s">
        <v>118</v>
      </c>
      <c r="H85" t="s">
        <v>118</v>
      </c>
      <c r="I85" s="5">
        <v>199802</v>
      </c>
      <c r="J85">
        <f>IFERROR(VLOOKUP(G85,'LEAID Match'!$A$2:$B$183,2,FALSE),"")</f>
        <v>1600010</v>
      </c>
      <c r="K85">
        <f t="shared" si="1"/>
        <v>9</v>
      </c>
    </row>
    <row r="86" spans="1:11" x14ac:dyDescent="0.2">
      <c r="A86">
        <v>1600010</v>
      </c>
      <c r="B86">
        <v>2018</v>
      </c>
      <c r="C86">
        <v>193</v>
      </c>
      <c r="D86" t="s">
        <v>428</v>
      </c>
      <c r="E86" t="s">
        <v>429</v>
      </c>
      <c r="F86" t="s">
        <v>433</v>
      </c>
      <c r="G86" t="s">
        <v>118</v>
      </c>
      <c r="H86" t="s">
        <v>208</v>
      </c>
      <c r="I86" s="5">
        <v>209691</v>
      </c>
      <c r="J86">
        <f>IFERROR(VLOOKUP(G86,'LEAID Match'!$A$2:$B$183,2,FALSE),"")</f>
        <v>1600010</v>
      </c>
      <c r="K86">
        <f t="shared" si="1"/>
        <v>9</v>
      </c>
    </row>
    <row r="87" spans="1:11" x14ac:dyDescent="0.2">
      <c r="A87">
        <v>1600010</v>
      </c>
      <c r="B87">
        <v>2019</v>
      </c>
      <c r="C87">
        <v>193</v>
      </c>
      <c r="D87" t="s">
        <v>428</v>
      </c>
      <c r="E87" t="s">
        <v>429</v>
      </c>
      <c r="F87" t="s">
        <v>433</v>
      </c>
      <c r="G87" t="s">
        <v>118</v>
      </c>
      <c r="H87" t="s">
        <v>325</v>
      </c>
      <c r="I87" s="5">
        <v>216990</v>
      </c>
      <c r="J87">
        <f>IFERROR(VLOOKUP(G87,'LEAID Match'!$A$2:$B$183,2,FALSE),"")</f>
        <v>1600010</v>
      </c>
      <c r="K87">
        <f t="shared" si="1"/>
        <v>9</v>
      </c>
    </row>
    <row r="88" spans="1:11" x14ac:dyDescent="0.2">
      <c r="A88">
        <v>1600010</v>
      </c>
      <c r="B88">
        <v>2020</v>
      </c>
      <c r="C88">
        <v>193</v>
      </c>
      <c r="D88" t="s">
        <v>428</v>
      </c>
      <c r="E88" t="s">
        <v>429</v>
      </c>
      <c r="F88" t="s">
        <v>433</v>
      </c>
      <c r="G88" t="s">
        <v>118</v>
      </c>
      <c r="H88" t="s">
        <v>325</v>
      </c>
      <c r="I88" s="5">
        <v>225538</v>
      </c>
      <c r="J88">
        <f>IFERROR(VLOOKUP(G88,'LEAID Match'!$A$2:$B$183,2,FALSE),"")</f>
        <v>1600010</v>
      </c>
      <c r="K88">
        <f t="shared" si="1"/>
        <v>9</v>
      </c>
    </row>
    <row r="89" spans="1:11" x14ac:dyDescent="0.2">
      <c r="A89">
        <v>1600010</v>
      </c>
      <c r="B89">
        <v>2021</v>
      </c>
      <c r="C89">
        <v>193</v>
      </c>
      <c r="D89" t="s">
        <v>428</v>
      </c>
      <c r="E89" t="s">
        <v>429</v>
      </c>
      <c r="F89" t="s">
        <v>433</v>
      </c>
      <c r="G89" t="s">
        <v>118</v>
      </c>
      <c r="H89" t="s">
        <v>397</v>
      </c>
      <c r="I89" s="5">
        <v>240677</v>
      </c>
      <c r="J89">
        <f>IFERROR(VLOOKUP(G89,'LEAID Match'!$A$2:$B$183,2,FALSE),"")</f>
        <v>1600010</v>
      </c>
      <c r="K89">
        <f t="shared" si="1"/>
        <v>9</v>
      </c>
    </row>
    <row r="90" spans="1:11" x14ac:dyDescent="0.2">
      <c r="A90">
        <v>1600010</v>
      </c>
      <c r="B90">
        <v>2022</v>
      </c>
      <c r="C90">
        <v>193</v>
      </c>
      <c r="D90" t="s">
        <v>428</v>
      </c>
      <c r="E90" t="s">
        <v>429</v>
      </c>
      <c r="F90" t="s">
        <v>433</v>
      </c>
      <c r="G90" t="s">
        <v>118</v>
      </c>
      <c r="H90" t="s">
        <v>325</v>
      </c>
      <c r="I90" s="5">
        <v>243884</v>
      </c>
      <c r="J90">
        <f>IFERROR(VLOOKUP(G90,'LEAID Match'!$A$2:$B$183,2,FALSE),"")</f>
        <v>1600010</v>
      </c>
      <c r="K90">
        <f t="shared" si="1"/>
        <v>9</v>
      </c>
    </row>
    <row r="91" spans="1:11" x14ac:dyDescent="0.2">
      <c r="A91">
        <v>1600010</v>
      </c>
      <c r="B91">
        <v>2023</v>
      </c>
      <c r="C91">
        <v>193</v>
      </c>
      <c r="D91" t="s">
        <v>428</v>
      </c>
      <c r="E91" t="s">
        <v>429</v>
      </c>
      <c r="F91" t="s">
        <v>433</v>
      </c>
      <c r="G91" t="s">
        <v>118</v>
      </c>
      <c r="H91" t="s">
        <v>325</v>
      </c>
      <c r="I91" s="5">
        <v>241829</v>
      </c>
      <c r="J91">
        <f>IFERROR(VLOOKUP(G91,'LEAID Match'!$A$2:$B$183,2,FALSE),"")</f>
        <v>1600010</v>
      </c>
      <c r="K91">
        <f t="shared" si="1"/>
        <v>9</v>
      </c>
    </row>
    <row r="92" spans="1:11" x14ac:dyDescent="0.2">
      <c r="A92">
        <v>1600012</v>
      </c>
      <c r="B92">
        <v>2015</v>
      </c>
      <c r="C92">
        <v>101</v>
      </c>
      <c r="D92" t="s">
        <v>428</v>
      </c>
      <c r="E92" t="s">
        <v>429</v>
      </c>
      <c r="F92" t="s">
        <v>433</v>
      </c>
      <c r="G92" t="s">
        <v>149</v>
      </c>
      <c r="H92" t="s">
        <v>149</v>
      </c>
      <c r="I92" s="5">
        <v>135997</v>
      </c>
      <c r="J92">
        <f>IFERROR(VLOOKUP(G92,'LEAID Match'!$A$2:$B$183,2,FALSE),"")</f>
        <v>1600012</v>
      </c>
      <c r="K92">
        <f t="shared" si="1"/>
        <v>9</v>
      </c>
    </row>
    <row r="93" spans="1:11" x14ac:dyDescent="0.2">
      <c r="A93">
        <v>1600012</v>
      </c>
      <c r="B93">
        <v>2016</v>
      </c>
      <c r="C93">
        <v>101</v>
      </c>
      <c r="D93" t="s">
        <v>428</v>
      </c>
      <c r="E93" t="s">
        <v>429</v>
      </c>
      <c r="F93" t="s">
        <v>433</v>
      </c>
      <c r="G93" t="s">
        <v>149</v>
      </c>
      <c r="H93" t="s">
        <v>149</v>
      </c>
      <c r="I93" s="5">
        <v>139693</v>
      </c>
      <c r="J93">
        <f>IFERROR(VLOOKUP(G93,'LEAID Match'!$A$2:$B$183,2,FALSE),"")</f>
        <v>1600012</v>
      </c>
      <c r="K93">
        <f t="shared" si="1"/>
        <v>9</v>
      </c>
    </row>
    <row r="94" spans="1:11" x14ac:dyDescent="0.2">
      <c r="A94">
        <v>1600012</v>
      </c>
      <c r="B94">
        <v>2017</v>
      </c>
      <c r="C94">
        <v>101</v>
      </c>
      <c r="D94" t="s">
        <v>428</v>
      </c>
      <c r="E94" t="s">
        <v>429</v>
      </c>
      <c r="F94" t="s">
        <v>433</v>
      </c>
      <c r="G94" t="s">
        <v>149</v>
      </c>
      <c r="H94" t="s">
        <v>149</v>
      </c>
      <c r="I94" s="5">
        <v>157507</v>
      </c>
      <c r="J94">
        <f>IFERROR(VLOOKUP(G94,'LEAID Match'!$A$2:$B$183,2,FALSE),"")</f>
        <v>1600012</v>
      </c>
      <c r="K94">
        <f t="shared" si="1"/>
        <v>9</v>
      </c>
    </row>
    <row r="95" spans="1:11" x14ac:dyDescent="0.2">
      <c r="A95">
        <v>1600012</v>
      </c>
      <c r="B95">
        <v>2018</v>
      </c>
      <c r="C95">
        <v>101</v>
      </c>
      <c r="D95" t="s">
        <v>428</v>
      </c>
      <c r="E95" t="s">
        <v>429</v>
      </c>
      <c r="F95" t="s">
        <v>433</v>
      </c>
      <c r="G95" t="s">
        <v>149</v>
      </c>
      <c r="H95" t="s">
        <v>149</v>
      </c>
      <c r="I95" s="5">
        <v>157999</v>
      </c>
      <c r="J95">
        <f>IFERROR(VLOOKUP(G95,'LEAID Match'!$A$2:$B$183,2,FALSE),"")</f>
        <v>1600012</v>
      </c>
      <c r="K95">
        <f t="shared" si="1"/>
        <v>9</v>
      </c>
    </row>
    <row r="96" spans="1:11" x14ac:dyDescent="0.2">
      <c r="A96">
        <v>1600012</v>
      </c>
      <c r="B96">
        <v>2019</v>
      </c>
      <c r="C96">
        <v>101</v>
      </c>
      <c r="D96" t="s">
        <v>428</v>
      </c>
      <c r="E96" t="s">
        <v>429</v>
      </c>
      <c r="F96" t="s">
        <v>433</v>
      </c>
      <c r="G96" t="s">
        <v>149</v>
      </c>
      <c r="H96" t="s">
        <v>149</v>
      </c>
      <c r="I96" s="5">
        <v>188838</v>
      </c>
      <c r="J96">
        <f>IFERROR(VLOOKUP(G96,'LEAID Match'!$A$2:$B$183,2,FALSE),"")</f>
        <v>1600012</v>
      </c>
      <c r="K96">
        <f t="shared" si="1"/>
        <v>9</v>
      </c>
    </row>
    <row r="97" spans="1:11" x14ac:dyDescent="0.2">
      <c r="A97">
        <v>1600012</v>
      </c>
      <c r="B97">
        <v>2020</v>
      </c>
      <c r="C97">
        <v>101</v>
      </c>
      <c r="D97" t="s">
        <v>428</v>
      </c>
      <c r="E97" t="s">
        <v>429</v>
      </c>
      <c r="F97" t="s">
        <v>433</v>
      </c>
      <c r="G97" t="s">
        <v>149</v>
      </c>
      <c r="H97" t="s">
        <v>149</v>
      </c>
      <c r="I97" s="5">
        <v>192992</v>
      </c>
      <c r="J97">
        <f>IFERROR(VLOOKUP(G97,'LEAID Match'!$A$2:$B$183,2,FALSE),"")</f>
        <v>1600012</v>
      </c>
      <c r="K97">
        <f t="shared" si="1"/>
        <v>9</v>
      </c>
    </row>
    <row r="98" spans="1:11" x14ac:dyDescent="0.2">
      <c r="A98">
        <v>1600012</v>
      </c>
      <c r="B98">
        <v>2021</v>
      </c>
      <c r="C98">
        <v>101</v>
      </c>
      <c r="D98" t="s">
        <v>428</v>
      </c>
      <c r="E98" t="s">
        <v>429</v>
      </c>
      <c r="F98" t="s">
        <v>433</v>
      </c>
      <c r="G98" t="s">
        <v>149</v>
      </c>
      <c r="H98" t="s">
        <v>149</v>
      </c>
      <c r="I98" s="5">
        <v>198106</v>
      </c>
      <c r="J98">
        <f>IFERROR(VLOOKUP(G98,'LEAID Match'!$A$2:$B$183,2,FALSE),"")</f>
        <v>1600012</v>
      </c>
      <c r="K98">
        <f t="shared" si="1"/>
        <v>9</v>
      </c>
    </row>
    <row r="99" spans="1:11" x14ac:dyDescent="0.2">
      <c r="A99">
        <v>1600012</v>
      </c>
      <c r="B99">
        <v>2022</v>
      </c>
      <c r="C99">
        <v>101</v>
      </c>
      <c r="D99" t="s">
        <v>428</v>
      </c>
      <c r="E99" t="s">
        <v>429</v>
      </c>
      <c r="F99" t="s">
        <v>433</v>
      </c>
      <c r="G99" t="s">
        <v>149</v>
      </c>
      <c r="H99" t="s">
        <v>149</v>
      </c>
      <c r="I99" s="5">
        <v>222827</v>
      </c>
      <c r="J99">
        <f>IFERROR(VLOOKUP(G99,'LEAID Match'!$A$2:$B$183,2,FALSE),"")</f>
        <v>1600012</v>
      </c>
      <c r="K99">
        <f t="shared" si="1"/>
        <v>9</v>
      </c>
    </row>
    <row r="100" spans="1:11" x14ac:dyDescent="0.2">
      <c r="A100">
        <v>1600012</v>
      </c>
      <c r="B100">
        <v>2023</v>
      </c>
      <c r="C100">
        <v>101</v>
      </c>
      <c r="D100" t="s">
        <v>428</v>
      </c>
      <c r="E100" t="s">
        <v>429</v>
      </c>
      <c r="F100" t="s">
        <v>433</v>
      </c>
      <c r="G100" t="s">
        <v>149</v>
      </c>
      <c r="H100" t="s">
        <v>149</v>
      </c>
      <c r="I100" s="5">
        <v>209866</v>
      </c>
      <c r="J100">
        <f>IFERROR(VLOOKUP(G100,'LEAID Match'!$A$2:$B$183,2,FALSE),"")</f>
        <v>1600012</v>
      </c>
      <c r="K100">
        <f t="shared" si="1"/>
        <v>9</v>
      </c>
    </row>
    <row r="101" spans="1:11" x14ac:dyDescent="0.2">
      <c r="A101">
        <v>1600014</v>
      </c>
      <c r="B101">
        <v>2018</v>
      </c>
      <c r="C101">
        <v>173</v>
      </c>
      <c r="D101" t="s">
        <v>428</v>
      </c>
      <c r="E101" t="s">
        <v>429</v>
      </c>
      <c r="F101" t="s">
        <v>433</v>
      </c>
      <c r="G101" t="s">
        <v>206</v>
      </c>
      <c r="H101" t="s">
        <v>206</v>
      </c>
      <c r="I101" s="5">
        <v>166969</v>
      </c>
      <c r="J101">
        <f>IFERROR(VLOOKUP(G101,'LEAID Match'!$A$2:$B$183,2,FALSE),"")</f>
        <v>1600014</v>
      </c>
      <c r="K101">
        <f t="shared" si="1"/>
        <v>6</v>
      </c>
    </row>
    <row r="102" spans="1:11" x14ac:dyDescent="0.2">
      <c r="A102">
        <v>1600014</v>
      </c>
      <c r="B102">
        <v>2019</v>
      </c>
      <c r="C102">
        <v>173</v>
      </c>
      <c r="D102" t="s">
        <v>428</v>
      </c>
      <c r="E102" t="s">
        <v>429</v>
      </c>
      <c r="F102" t="s">
        <v>433</v>
      </c>
      <c r="G102" t="s">
        <v>206</v>
      </c>
      <c r="H102" t="s">
        <v>206</v>
      </c>
      <c r="I102" s="5">
        <v>169097</v>
      </c>
      <c r="J102">
        <f>IFERROR(VLOOKUP(G102,'LEAID Match'!$A$2:$B$183,2,FALSE),"")</f>
        <v>1600014</v>
      </c>
      <c r="K102">
        <f t="shared" si="1"/>
        <v>6</v>
      </c>
    </row>
    <row r="103" spans="1:11" x14ac:dyDescent="0.2">
      <c r="A103">
        <v>1600014</v>
      </c>
      <c r="B103">
        <v>2020</v>
      </c>
      <c r="C103">
        <v>173</v>
      </c>
      <c r="D103" t="s">
        <v>428</v>
      </c>
      <c r="E103" t="s">
        <v>429</v>
      </c>
      <c r="F103" t="s">
        <v>433</v>
      </c>
      <c r="G103" t="s">
        <v>206</v>
      </c>
      <c r="H103" t="s">
        <v>206</v>
      </c>
      <c r="I103" s="5">
        <v>193400</v>
      </c>
      <c r="J103">
        <f>IFERROR(VLOOKUP(G103,'LEAID Match'!$A$2:$B$183,2,FALSE),"")</f>
        <v>1600014</v>
      </c>
      <c r="K103">
        <f t="shared" si="1"/>
        <v>6</v>
      </c>
    </row>
    <row r="104" spans="1:11" x14ac:dyDescent="0.2">
      <c r="A104">
        <v>1600014</v>
      </c>
      <c r="B104">
        <v>2021</v>
      </c>
      <c r="C104">
        <v>173</v>
      </c>
      <c r="D104" t="s">
        <v>428</v>
      </c>
      <c r="E104" t="s">
        <v>429</v>
      </c>
      <c r="F104" t="s">
        <v>433</v>
      </c>
      <c r="G104" t="s">
        <v>206</v>
      </c>
      <c r="H104" t="s">
        <v>206</v>
      </c>
      <c r="I104" s="5">
        <v>214659</v>
      </c>
      <c r="J104">
        <f>IFERROR(VLOOKUP(G104,'LEAID Match'!$A$2:$B$183,2,FALSE),"")</f>
        <v>1600014</v>
      </c>
      <c r="K104">
        <f t="shared" si="1"/>
        <v>6</v>
      </c>
    </row>
    <row r="105" spans="1:11" x14ac:dyDescent="0.2">
      <c r="A105">
        <v>1600014</v>
      </c>
      <c r="B105">
        <v>2022</v>
      </c>
      <c r="C105">
        <v>173</v>
      </c>
      <c r="D105" t="s">
        <v>428</v>
      </c>
      <c r="E105" t="s">
        <v>429</v>
      </c>
      <c r="F105" t="s">
        <v>433</v>
      </c>
      <c r="G105" t="s">
        <v>206</v>
      </c>
      <c r="H105" t="s">
        <v>206</v>
      </c>
      <c r="I105" s="5">
        <v>213383</v>
      </c>
      <c r="J105">
        <f>IFERROR(VLOOKUP(G105,'LEAID Match'!$A$2:$B$183,2,FALSE),"")</f>
        <v>1600014</v>
      </c>
      <c r="K105">
        <f t="shared" si="1"/>
        <v>6</v>
      </c>
    </row>
    <row r="106" spans="1:11" x14ac:dyDescent="0.2">
      <c r="A106">
        <v>1600014</v>
      </c>
      <c r="B106">
        <v>2023</v>
      </c>
      <c r="C106">
        <v>173</v>
      </c>
      <c r="D106" t="s">
        <v>428</v>
      </c>
      <c r="E106" t="s">
        <v>429</v>
      </c>
      <c r="F106" t="s">
        <v>433</v>
      </c>
      <c r="G106" t="s">
        <v>206</v>
      </c>
      <c r="H106" t="s">
        <v>206</v>
      </c>
      <c r="I106" s="5">
        <v>221526</v>
      </c>
      <c r="J106">
        <f>IFERROR(VLOOKUP(G106,'LEAID Match'!$A$2:$B$183,2,FALSE),"")</f>
        <v>1600014</v>
      </c>
      <c r="K106">
        <f t="shared" si="1"/>
        <v>6</v>
      </c>
    </row>
    <row r="107" spans="1:11" x14ac:dyDescent="0.2">
      <c r="A107">
        <v>1600015</v>
      </c>
      <c r="B107">
        <v>2015</v>
      </c>
      <c r="C107">
        <v>171</v>
      </c>
      <c r="D107" t="s">
        <v>428</v>
      </c>
      <c r="E107" t="s">
        <v>429</v>
      </c>
      <c r="F107" t="s">
        <v>433</v>
      </c>
      <c r="G107" t="s">
        <v>165</v>
      </c>
      <c r="H107" t="s">
        <v>165</v>
      </c>
      <c r="I107" s="5">
        <v>130754</v>
      </c>
      <c r="J107">
        <f>IFERROR(VLOOKUP(G107,'LEAID Match'!$A$2:$B$183,2,FALSE),"")</f>
        <v>1600015</v>
      </c>
      <c r="K107">
        <f t="shared" si="1"/>
        <v>9</v>
      </c>
    </row>
    <row r="108" spans="1:11" x14ac:dyDescent="0.2">
      <c r="A108">
        <v>1600015</v>
      </c>
      <c r="B108">
        <v>2016</v>
      </c>
      <c r="C108">
        <v>171</v>
      </c>
      <c r="D108" t="s">
        <v>428</v>
      </c>
      <c r="E108" t="s">
        <v>429</v>
      </c>
      <c r="F108" t="s">
        <v>433</v>
      </c>
      <c r="G108" t="s">
        <v>165</v>
      </c>
      <c r="H108" t="s">
        <v>165</v>
      </c>
      <c r="I108" s="5">
        <v>130920</v>
      </c>
      <c r="J108">
        <f>IFERROR(VLOOKUP(G108,'LEAID Match'!$A$2:$B$183,2,FALSE),"")</f>
        <v>1600015</v>
      </c>
      <c r="K108">
        <f t="shared" si="1"/>
        <v>9</v>
      </c>
    </row>
    <row r="109" spans="1:11" x14ac:dyDescent="0.2">
      <c r="A109">
        <v>1600015</v>
      </c>
      <c r="B109">
        <v>2017</v>
      </c>
      <c r="C109">
        <v>171</v>
      </c>
      <c r="D109" t="s">
        <v>428</v>
      </c>
      <c r="E109" t="s">
        <v>429</v>
      </c>
      <c r="F109" t="s">
        <v>433</v>
      </c>
      <c r="G109" t="s">
        <v>165</v>
      </c>
      <c r="H109" t="s">
        <v>165</v>
      </c>
      <c r="I109" s="5">
        <v>139895</v>
      </c>
      <c r="J109">
        <f>IFERROR(VLOOKUP(G109,'LEAID Match'!$A$2:$B$183,2,FALSE),"")</f>
        <v>1600015</v>
      </c>
      <c r="K109">
        <f t="shared" si="1"/>
        <v>9</v>
      </c>
    </row>
    <row r="110" spans="1:11" x14ac:dyDescent="0.2">
      <c r="A110">
        <v>1600015</v>
      </c>
      <c r="B110">
        <v>2018</v>
      </c>
      <c r="C110">
        <v>171</v>
      </c>
      <c r="D110" t="s">
        <v>428</v>
      </c>
      <c r="E110" t="s">
        <v>429</v>
      </c>
      <c r="F110" t="s">
        <v>433</v>
      </c>
      <c r="G110" t="s">
        <v>165</v>
      </c>
      <c r="H110" t="s">
        <v>165</v>
      </c>
      <c r="I110" s="5">
        <v>146344</v>
      </c>
      <c r="J110">
        <f>IFERROR(VLOOKUP(G110,'LEAID Match'!$A$2:$B$183,2,FALSE),"")</f>
        <v>1600015</v>
      </c>
      <c r="K110">
        <f t="shared" si="1"/>
        <v>9</v>
      </c>
    </row>
    <row r="111" spans="1:11" x14ac:dyDescent="0.2">
      <c r="A111">
        <v>1600015</v>
      </c>
      <c r="B111">
        <v>2019</v>
      </c>
      <c r="C111">
        <v>171</v>
      </c>
      <c r="D111" t="s">
        <v>428</v>
      </c>
      <c r="E111" t="s">
        <v>429</v>
      </c>
      <c r="F111" t="s">
        <v>433</v>
      </c>
      <c r="G111" t="s">
        <v>165</v>
      </c>
      <c r="H111" t="s">
        <v>165</v>
      </c>
      <c r="I111" s="5">
        <v>157592</v>
      </c>
      <c r="J111">
        <f>IFERROR(VLOOKUP(G111,'LEAID Match'!$A$2:$B$183,2,FALSE),"")</f>
        <v>1600015</v>
      </c>
      <c r="K111">
        <f t="shared" si="1"/>
        <v>9</v>
      </c>
    </row>
    <row r="112" spans="1:11" x14ac:dyDescent="0.2">
      <c r="A112">
        <v>1600015</v>
      </c>
      <c r="B112">
        <v>2020</v>
      </c>
      <c r="C112">
        <v>171</v>
      </c>
      <c r="D112" t="s">
        <v>428</v>
      </c>
      <c r="E112" t="s">
        <v>429</v>
      </c>
      <c r="F112" t="s">
        <v>433</v>
      </c>
      <c r="G112" t="s">
        <v>165</v>
      </c>
      <c r="H112" t="s">
        <v>165</v>
      </c>
      <c r="I112" s="5">
        <v>176921</v>
      </c>
      <c r="J112">
        <f>IFERROR(VLOOKUP(G112,'LEAID Match'!$A$2:$B$183,2,FALSE),"")</f>
        <v>1600015</v>
      </c>
      <c r="K112">
        <f t="shared" si="1"/>
        <v>9</v>
      </c>
    </row>
    <row r="113" spans="1:13" x14ac:dyDescent="0.2">
      <c r="A113">
        <v>1600015</v>
      </c>
      <c r="B113">
        <v>2021</v>
      </c>
      <c r="C113">
        <v>171</v>
      </c>
      <c r="D113" t="s">
        <v>428</v>
      </c>
      <c r="E113" t="s">
        <v>429</v>
      </c>
      <c r="F113" t="s">
        <v>433</v>
      </c>
      <c r="G113" t="s">
        <v>165</v>
      </c>
      <c r="H113" t="s">
        <v>165</v>
      </c>
      <c r="I113" s="5">
        <v>182030</v>
      </c>
      <c r="J113">
        <f>IFERROR(VLOOKUP(G113,'LEAID Match'!$A$2:$B$183,2,FALSE),"")</f>
        <v>1600015</v>
      </c>
      <c r="K113">
        <f t="shared" si="1"/>
        <v>9</v>
      </c>
    </row>
    <row r="114" spans="1:13" x14ac:dyDescent="0.2">
      <c r="A114">
        <v>1600015</v>
      </c>
      <c r="B114">
        <v>2022</v>
      </c>
      <c r="C114">
        <v>171</v>
      </c>
      <c r="D114" t="s">
        <v>428</v>
      </c>
      <c r="E114" t="s">
        <v>429</v>
      </c>
      <c r="F114" t="s">
        <v>433</v>
      </c>
      <c r="G114" t="s">
        <v>165</v>
      </c>
      <c r="H114" t="s">
        <v>165</v>
      </c>
      <c r="I114" s="5">
        <v>204201</v>
      </c>
      <c r="J114">
        <f>IFERROR(VLOOKUP(G114,'LEAID Match'!$A$2:$B$183,2,FALSE),"")</f>
        <v>1600015</v>
      </c>
      <c r="K114">
        <f t="shared" si="1"/>
        <v>9</v>
      </c>
    </row>
    <row r="115" spans="1:13" x14ac:dyDescent="0.2">
      <c r="A115">
        <v>1600015</v>
      </c>
      <c r="B115">
        <v>2023</v>
      </c>
      <c r="C115">
        <v>171</v>
      </c>
      <c r="D115" t="s">
        <v>428</v>
      </c>
      <c r="E115" t="s">
        <v>429</v>
      </c>
      <c r="F115" t="s">
        <v>433</v>
      </c>
      <c r="G115" t="s">
        <v>165</v>
      </c>
      <c r="H115" t="s">
        <v>165</v>
      </c>
      <c r="I115" s="5">
        <v>194987</v>
      </c>
      <c r="J115">
        <f>IFERROR(VLOOKUP(G115,'LEAID Match'!$A$2:$B$183,2,FALSE),"")</f>
        <v>1600015</v>
      </c>
      <c r="K115">
        <f t="shared" si="1"/>
        <v>9</v>
      </c>
    </row>
    <row r="116" spans="1:13" x14ac:dyDescent="0.2">
      <c r="A116">
        <v>1600030</v>
      </c>
      <c r="B116">
        <v>2015</v>
      </c>
      <c r="C116">
        <v>1</v>
      </c>
      <c r="D116" t="s">
        <v>428</v>
      </c>
      <c r="E116" t="s">
        <v>429</v>
      </c>
      <c r="F116" t="s">
        <v>433</v>
      </c>
      <c r="G116" t="s">
        <v>15</v>
      </c>
      <c r="H116" t="s">
        <v>15</v>
      </c>
      <c r="I116" s="5">
        <v>356898</v>
      </c>
      <c r="J116">
        <f>IFERROR(VLOOKUP(G116,'LEAID Match'!$A$2:$B$183,2,FALSE),"")</f>
        <v>1600030</v>
      </c>
      <c r="K116">
        <f t="shared" si="1"/>
        <v>9</v>
      </c>
      <c r="M116" s="5"/>
    </row>
    <row r="117" spans="1:13" x14ac:dyDescent="0.2">
      <c r="A117">
        <v>1600030</v>
      </c>
      <c r="B117">
        <v>2016</v>
      </c>
      <c r="C117">
        <v>1</v>
      </c>
      <c r="D117" t="s">
        <v>428</v>
      </c>
      <c r="E117" t="s">
        <v>429</v>
      </c>
      <c r="F117" t="s">
        <v>433</v>
      </c>
      <c r="G117" t="s">
        <v>15</v>
      </c>
      <c r="H117" t="s">
        <v>15</v>
      </c>
      <c r="I117" s="5">
        <v>379305</v>
      </c>
      <c r="J117">
        <f>IFERROR(VLOOKUP(G117,'LEAID Match'!$A$2:$B$183,2,FALSE),"")</f>
        <v>1600030</v>
      </c>
      <c r="K117">
        <f t="shared" si="1"/>
        <v>9</v>
      </c>
      <c r="M117" s="5"/>
    </row>
    <row r="118" spans="1:13" x14ac:dyDescent="0.2">
      <c r="A118">
        <v>1600030</v>
      </c>
      <c r="B118">
        <v>2017</v>
      </c>
      <c r="C118">
        <v>1</v>
      </c>
      <c r="D118" t="s">
        <v>428</v>
      </c>
      <c r="E118" t="s">
        <v>429</v>
      </c>
      <c r="F118" t="s">
        <v>433</v>
      </c>
      <c r="G118" t="s">
        <v>15</v>
      </c>
      <c r="H118" t="s">
        <v>15</v>
      </c>
      <c r="I118" s="5">
        <v>386025</v>
      </c>
      <c r="J118">
        <f>IFERROR(VLOOKUP(G118,'LEAID Match'!$A$2:$B$183,2,FALSE),"")</f>
        <v>1600030</v>
      </c>
      <c r="K118">
        <f t="shared" si="1"/>
        <v>9</v>
      </c>
      <c r="M118" s="5"/>
    </row>
    <row r="119" spans="1:13" x14ac:dyDescent="0.2">
      <c r="A119">
        <v>1600030</v>
      </c>
      <c r="B119">
        <v>2018</v>
      </c>
      <c r="C119">
        <v>1</v>
      </c>
      <c r="D119" t="s">
        <v>428</v>
      </c>
      <c r="E119" t="s">
        <v>429</v>
      </c>
      <c r="F119" t="s">
        <v>433</v>
      </c>
      <c r="G119" t="s">
        <v>15</v>
      </c>
      <c r="H119" t="s">
        <v>15</v>
      </c>
      <c r="I119" s="5">
        <v>388638</v>
      </c>
      <c r="J119">
        <f>IFERROR(VLOOKUP(G119,'LEAID Match'!$A$2:$B$183,2,FALSE),"")</f>
        <v>1600030</v>
      </c>
      <c r="K119">
        <f t="shared" si="1"/>
        <v>9</v>
      </c>
      <c r="M119" s="5"/>
    </row>
    <row r="120" spans="1:13" x14ac:dyDescent="0.2">
      <c r="A120">
        <v>1600030</v>
      </c>
      <c r="B120">
        <v>2019</v>
      </c>
      <c r="C120">
        <v>1</v>
      </c>
      <c r="D120" t="s">
        <v>428</v>
      </c>
      <c r="E120" t="s">
        <v>429</v>
      </c>
      <c r="F120" t="s">
        <v>433</v>
      </c>
      <c r="G120" t="s">
        <v>15</v>
      </c>
      <c r="H120" t="s">
        <v>209</v>
      </c>
      <c r="I120" s="5">
        <v>421013</v>
      </c>
      <c r="J120">
        <f>IFERROR(VLOOKUP(G120,'LEAID Match'!$A$2:$B$183,2,FALSE),"")</f>
        <v>1600030</v>
      </c>
      <c r="K120">
        <f t="shared" si="1"/>
        <v>9</v>
      </c>
      <c r="M120" s="5"/>
    </row>
    <row r="121" spans="1:13" x14ac:dyDescent="0.2">
      <c r="A121">
        <v>1600030</v>
      </c>
      <c r="B121">
        <v>2020</v>
      </c>
      <c r="C121">
        <v>1</v>
      </c>
      <c r="D121" t="s">
        <v>428</v>
      </c>
      <c r="E121" t="s">
        <v>429</v>
      </c>
      <c r="F121" t="s">
        <v>433</v>
      </c>
      <c r="G121" t="s">
        <v>15</v>
      </c>
      <c r="H121" t="s">
        <v>209</v>
      </c>
      <c r="I121" s="5">
        <v>480133</v>
      </c>
      <c r="J121">
        <f>IFERROR(VLOOKUP(G121,'LEAID Match'!$A$2:$B$183,2,FALSE),"")</f>
        <v>1600030</v>
      </c>
      <c r="K121">
        <f t="shared" si="1"/>
        <v>9</v>
      </c>
      <c r="M121" s="5"/>
    </row>
    <row r="122" spans="1:13" x14ac:dyDescent="0.2">
      <c r="A122">
        <v>1600030</v>
      </c>
      <c r="B122">
        <v>2021</v>
      </c>
      <c r="C122">
        <v>1</v>
      </c>
      <c r="D122" t="s">
        <v>428</v>
      </c>
      <c r="E122" t="s">
        <v>429</v>
      </c>
      <c r="F122" t="s">
        <v>433</v>
      </c>
      <c r="G122" t="s">
        <v>15</v>
      </c>
      <c r="H122" t="s">
        <v>15</v>
      </c>
      <c r="I122" s="5">
        <v>507960</v>
      </c>
      <c r="J122">
        <f>IFERROR(VLOOKUP(G122,'LEAID Match'!$A$2:$B$183,2,FALSE),"")</f>
        <v>1600030</v>
      </c>
      <c r="K122">
        <f t="shared" si="1"/>
        <v>9</v>
      </c>
      <c r="M122" s="5"/>
    </row>
    <row r="123" spans="1:13" x14ac:dyDescent="0.2">
      <c r="A123">
        <v>1600030</v>
      </c>
      <c r="B123">
        <v>2022</v>
      </c>
      <c r="C123">
        <v>1</v>
      </c>
      <c r="D123" t="s">
        <v>428</v>
      </c>
      <c r="E123" t="s">
        <v>429</v>
      </c>
      <c r="F123" t="s">
        <v>433</v>
      </c>
      <c r="G123" t="s">
        <v>15</v>
      </c>
      <c r="H123" t="s">
        <v>209</v>
      </c>
      <c r="I123" s="5">
        <v>532534</v>
      </c>
      <c r="J123">
        <f>IFERROR(VLOOKUP(G123,'LEAID Match'!$A$2:$B$183,2,FALSE),"")</f>
        <v>1600030</v>
      </c>
      <c r="K123">
        <f t="shared" si="1"/>
        <v>9</v>
      </c>
      <c r="M123" s="5"/>
    </row>
    <row r="124" spans="1:13" x14ac:dyDescent="0.2">
      <c r="A124">
        <v>1600030</v>
      </c>
      <c r="B124">
        <v>2023</v>
      </c>
      <c r="C124">
        <v>1</v>
      </c>
      <c r="D124" t="s">
        <v>428</v>
      </c>
      <c r="E124" t="s">
        <v>429</v>
      </c>
      <c r="F124" t="s">
        <v>433</v>
      </c>
      <c r="G124" t="s">
        <v>15</v>
      </c>
      <c r="H124" t="s">
        <v>209</v>
      </c>
      <c r="I124" s="5">
        <v>525747</v>
      </c>
      <c r="J124">
        <f>IFERROR(VLOOKUP(G124,'LEAID Match'!$A$2:$B$183,2,FALSE),"")</f>
        <v>1600030</v>
      </c>
      <c r="K124">
        <f t="shared" si="1"/>
        <v>9</v>
      </c>
      <c r="M124" s="5"/>
    </row>
    <row r="125" spans="1:13" x14ac:dyDescent="0.2">
      <c r="A125">
        <v>1600060</v>
      </c>
      <c r="B125">
        <v>2015</v>
      </c>
      <c r="C125">
        <v>4</v>
      </c>
      <c r="D125" t="s">
        <v>428</v>
      </c>
      <c r="E125" t="s">
        <v>429</v>
      </c>
      <c r="F125" t="s">
        <v>433</v>
      </c>
      <c r="G125" t="s">
        <v>4</v>
      </c>
      <c r="H125" t="s">
        <v>4</v>
      </c>
      <c r="I125" s="5">
        <v>756591</v>
      </c>
      <c r="J125">
        <f>IFERROR(VLOOKUP(G125,'LEAID Match'!$A$2:$B$183,2,FALSE),"")</f>
        <v>1600060</v>
      </c>
      <c r="K125">
        <f t="shared" si="1"/>
        <v>9</v>
      </c>
    </row>
    <row r="126" spans="1:13" x14ac:dyDescent="0.2">
      <c r="A126">
        <v>1600060</v>
      </c>
      <c r="B126">
        <v>2016</v>
      </c>
      <c r="C126">
        <v>4</v>
      </c>
      <c r="D126" t="s">
        <v>428</v>
      </c>
      <c r="E126" t="s">
        <v>429</v>
      </c>
      <c r="F126" t="s">
        <v>433</v>
      </c>
      <c r="G126" t="s">
        <v>4</v>
      </c>
      <c r="H126" t="s">
        <v>4</v>
      </c>
      <c r="I126" s="5">
        <v>751839</v>
      </c>
      <c r="J126">
        <f>IFERROR(VLOOKUP(G126,'LEAID Match'!$A$2:$B$183,2,FALSE),"")</f>
        <v>1600060</v>
      </c>
      <c r="K126">
        <f t="shared" si="1"/>
        <v>9</v>
      </c>
    </row>
    <row r="127" spans="1:13" x14ac:dyDescent="0.2">
      <c r="A127">
        <v>1600060</v>
      </c>
      <c r="B127">
        <v>2017</v>
      </c>
      <c r="C127">
        <v>4</v>
      </c>
      <c r="D127" t="s">
        <v>428</v>
      </c>
      <c r="E127" t="s">
        <v>429</v>
      </c>
      <c r="F127" t="s">
        <v>433</v>
      </c>
      <c r="G127" t="s">
        <v>4</v>
      </c>
      <c r="H127" t="s">
        <v>4</v>
      </c>
      <c r="I127" s="5">
        <v>752306</v>
      </c>
      <c r="J127">
        <f>IFERROR(VLOOKUP(G127,'LEAID Match'!$A$2:$B$183,2,FALSE),"")</f>
        <v>1600060</v>
      </c>
      <c r="K127">
        <f t="shared" si="1"/>
        <v>9</v>
      </c>
    </row>
    <row r="128" spans="1:13" x14ac:dyDescent="0.2">
      <c r="A128">
        <v>1600060</v>
      </c>
      <c r="B128">
        <v>2018</v>
      </c>
      <c r="C128">
        <v>4</v>
      </c>
      <c r="D128" t="s">
        <v>428</v>
      </c>
      <c r="E128" t="s">
        <v>429</v>
      </c>
      <c r="F128" t="s">
        <v>433</v>
      </c>
      <c r="G128" t="s">
        <v>4</v>
      </c>
      <c r="H128" t="s">
        <v>4</v>
      </c>
      <c r="I128" s="5">
        <v>798962</v>
      </c>
      <c r="J128">
        <f>IFERROR(VLOOKUP(G128,'LEAID Match'!$A$2:$B$183,2,FALSE),"")</f>
        <v>1600060</v>
      </c>
      <c r="K128">
        <f t="shared" si="1"/>
        <v>9</v>
      </c>
    </row>
    <row r="129" spans="1:11" x14ac:dyDescent="0.2">
      <c r="A129">
        <v>1600060</v>
      </c>
      <c r="B129">
        <v>2019</v>
      </c>
      <c r="C129">
        <v>4</v>
      </c>
      <c r="D129" t="s">
        <v>428</v>
      </c>
      <c r="E129" t="s">
        <v>429</v>
      </c>
      <c r="F129" t="s">
        <v>433</v>
      </c>
      <c r="G129" t="s">
        <v>4</v>
      </c>
      <c r="H129" t="s">
        <v>210</v>
      </c>
      <c r="I129" s="5">
        <v>872900</v>
      </c>
      <c r="J129">
        <f>IFERROR(VLOOKUP(G129,'LEAID Match'!$A$2:$B$183,2,FALSE),"")</f>
        <v>1600060</v>
      </c>
      <c r="K129">
        <f t="shared" si="1"/>
        <v>9</v>
      </c>
    </row>
    <row r="130" spans="1:11" x14ac:dyDescent="0.2">
      <c r="A130">
        <v>1600060</v>
      </c>
      <c r="B130">
        <v>2020</v>
      </c>
      <c r="C130">
        <v>4</v>
      </c>
      <c r="D130" t="s">
        <v>428</v>
      </c>
      <c r="E130" t="s">
        <v>429</v>
      </c>
      <c r="F130" t="s">
        <v>433</v>
      </c>
      <c r="G130" t="s">
        <v>4</v>
      </c>
      <c r="H130" t="s">
        <v>327</v>
      </c>
      <c r="I130" s="5">
        <v>959114</v>
      </c>
      <c r="J130">
        <f>IFERROR(VLOOKUP(G130,'LEAID Match'!$A$2:$B$183,2,FALSE),"")</f>
        <v>1600060</v>
      </c>
      <c r="K130">
        <f t="shared" si="1"/>
        <v>9</v>
      </c>
    </row>
    <row r="131" spans="1:11" x14ac:dyDescent="0.2">
      <c r="A131">
        <v>1600060</v>
      </c>
      <c r="B131">
        <v>2021</v>
      </c>
      <c r="C131">
        <v>4</v>
      </c>
      <c r="D131" t="s">
        <v>428</v>
      </c>
      <c r="E131" t="s">
        <v>429</v>
      </c>
      <c r="F131" t="s">
        <v>433</v>
      </c>
      <c r="G131" t="s">
        <v>4</v>
      </c>
      <c r="H131" t="s">
        <v>210</v>
      </c>
      <c r="I131" s="5">
        <v>1058806</v>
      </c>
      <c r="J131">
        <f>IFERROR(VLOOKUP(G131,'LEAID Match'!$A$2:$B$183,2,FALSE),"")</f>
        <v>1600060</v>
      </c>
      <c r="K131">
        <f t="shared" ref="K131:K194" si="2">COUNTIF($A$2:$A$1651,A131)</f>
        <v>9</v>
      </c>
    </row>
    <row r="132" spans="1:11" x14ac:dyDescent="0.2">
      <c r="A132">
        <v>1600060</v>
      </c>
      <c r="B132">
        <v>2022</v>
      </c>
      <c r="C132">
        <v>4</v>
      </c>
      <c r="D132" t="s">
        <v>428</v>
      </c>
      <c r="E132" t="s">
        <v>429</v>
      </c>
      <c r="F132" t="s">
        <v>433</v>
      </c>
      <c r="G132" t="s">
        <v>4</v>
      </c>
      <c r="H132" t="s">
        <v>210</v>
      </c>
      <c r="I132" s="5">
        <v>1093429</v>
      </c>
      <c r="J132">
        <f>IFERROR(VLOOKUP(G132,'LEAID Match'!$A$2:$B$183,2,FALSE),"")</f>
        <v>1600060</v>
      </c>
      <c r="K132">
        <f t="shared" si="2"/>
        <v>9</v>
      </c>
    </row>
    <row r="133" spans="1:11" x14ac:dyDescent="0.2">
      <c r="A133">
        <v>1600060</v>
      </c>
      <c r="B133">
        <v>2023</v>
      </c>
      <c r="C133">
        <v>4</v>
      </c>
      <c r="D133" t="s">
        <v>428</v>
      </c>
      <c r="E133" t="s">
        <v>429</v>
      </c>
      <c r="F133" t="s">
        <v>433</v>
      </c>
      <c r="G133" t="s">
        <v>4</v>
      </c>
      <c r="H133" t="s">
        <v>210</v>
      </c>
      <c r="I133" s="5">
        <v>1100071</v>
      </c>
      <c r="J133">
        <f>IFERROR(VLOOKUP(G133,'LEAID Match'!$A$2:$B$183,2,FALSE),"")</f>
        <v>1600060</v>
      </c>
      <c r="K133">
        <f t="shared" si="2"/>
        <v>9</v>
      </c>
    </row>
    <row r="134" spans="1:11" x14ac:dyDescent="0.2">
      <c r="A134">
        <v>1600090</v>
      </c>
      <c r="B134">
        <v>2015</v>
      </c>
      <c r="C134">
        <v>8</v>
      </c>
      <c r="D134" t="s">
        <v>428</v>
      </c>
      <c r="E134" t="s">
        <v>429</v>
      </c>
      <c r="F134" t="s">
        <v>433</v>
      </c>
      <c r="G134" t="s">
        <v>5</v>
      </c>
      <c r="H134" t="s">
        <v>5</v>
      </c>
      <c r="I134" s="5">
        <v>12570</v>
      </c>
      <c r="J134">
        <f>IFERROR(VLOOKUP(G134,'LEAID Match'!$A$2:$B$183,2,FALSE),"")</f>
        <v>1600090</v>
      </c>
      <c r="K134">
        <f t="shared" si="2"/>
        <v>9</v>
      </c>
    </row>
    <row r="135" spans="1:11" x14ac:dyDescent="0.2">
      <c r="A135">
        <v>1600090</v>
      </c>
      <c r="B135">
        <v>2016</v>
      </c>
      <c r="C135">
        <v>8</v>
      </c>
      <c r="D135" t="s">
        <v>428</v>
      </c>
      <c r="E135" t="s">
        <v>429</v>
      </c>
      <c r="F135" t="s">
        <v>433</v>
      </c>
      <c r="G135" t="s">
        <v>5</v>
      </c>
      <c r="H135" t="s">
        <v>5</v>
      </c>
      <c r="I135" s="5">
        <v>13343</v>
      </c>
      <c r="J135">
        <f>IFERROR(VLOOKUP(G135,'LEAID Match'!$A$2:$B$183,2,FALSE),"")</f>
        <v>1600090</v>
      </c>
      <c r="K135">
        <f t="shared" si="2"/>
        <v>9</v>
      </c>
    </row>
    <row r="136" spans="1:11" x14ac:dyDescent="0.2">
      <c r="A136">
        <v>1600090</v>
      </c>
      <c r="B136">
        <v>2017</v>
      </c>
      <c r="C136">
        <v>8</v>
      </c>
      <c r="D136" t="s">
        <v>428</v>
      </c>
      <c r="E136" t="s">
        <v>429</v>
      </c>
      <c r="F136" t="s">
        <v>433</v>
      </c>
      <c r="G136" t="s">
        <v>5</v>
      </c>
      <c r="H136" t="s">
        <v>5</v>
      </c>
      <c r="I136" s="5">
        <v>14063</v>
      </c>
      <c r="J136">
        <f>IFERROR(VLOOKUP(G136,'LEAID Match'!$A$2:$B$183,2,FALSE),"")</f>
        <v>1600090</v>
      </c>
      <c r="K136">
        <f t="shared" si="2"/>
        <v>9</v>
      </c>
    </row>
    <row r="137" spans="1:11" x14ac:dyDescent="0.2">
      <c r="A137">
        <v>1600090</v>
      </c>
      <c r="B137">
        <v>2018</v>
      </c>
      <c r="C137">
        <v>8</v>
      </c>
      <c r="D137" t="s">
        <v>428</v>
      </c>
      <c r="E137" t="s">
        <v>429</v>
      </c>
      <c r="F137" t="s">
        <v>433</v>
      </c>
      <c r="G137" t="s">
        <v>5</v>
      </c>
      <c r="H137" t="s">
        <v>5</v>
      </c>
      <c r="I137" s="5">
        <v>14181</v>
      </c>
      <c r="J137">
        <f>IFERROR(VLOOKUP(G137,'LEAID Match'!$A$2:$B$183,2,FALSE),"")</f>
        <v>1600090</v>
      </c>
      <c r="K137">
        <f t="shared" si="2"/>
        <v>9</v>
      </c>
    </row>
    <row r="138" spans="1:11" x14ac:dyDescent="0.2">
      <c r="A138">
        <v>1600090</v>
      </c>
      <c r="B138">
        <v>2019</v>
      </c>
      <c r="C138">
        <v>8</v>
      </c>
      <c r="D138" t="s">
        <v>428</v>
      </c>
      <c r="E138" t="s">
        <v>429</v>
      </c>
      <c r="F138" t="s">
        <v>433</v>
      </c>
      <c r="G138" t="s">
        <v>5</v>
      </c>
      <c r="H138" t="s">
        <v>211</v>
      </c>
      <c r="I138" s="5">
        <v>16582</v>
      </c>
      <c r="J138">
        <f>IFERROR(VLOOKUP(G138,'LEAID Match'!$A$2:$B$183,2,FALSE),"")</f>
        <v>1600090</v>
      </c>
      <c r="K138">
        <f t="shared" si="2"/>
        <v>9</v>
      </c>
    </row>
    <row r="139" spans="1:11" x14ac:dyDescent="0.2">
      <c r="A139">
        <v>1600090</v>
      </c>
      <c r="B139">
        <v>2020</v>
      </c>
      <c r="C139">
        <v>8</v>
      </c>
      <c r="D139" t="s">
        <v>428</v>
      </c>
      <c r="E139" t="s">
        <v>429</v>
      </c>
      <c r="F139" t="s">
        <v>433</v>
      </c>
      <c r="G139" t="s">
        <v>5</v>
      </c>
      <c r="H139" t="s">
        <v>211</v>
      </c>
      <c r="I139" s="5">
        <v>18522</v>
      </c>
      <c r="J139">
        <f>IFERROR(VLOOKUP(G139,'LEAID Match'!$A$2:$B$183,2,FALSE),"")</f>
        <v>1600090</v>
      </c>
      <c r="K139">
        <f t="shared" si="2"/>
        <v>9</v>
      </c>
    </row>
    <row r="140" spans="1:11" x14ac:dyDescent="0.2">
      <c r="A140">
        <v>1600090</v>
      </c>
      <c r="B140">
        <v>2021</v>
      </c>
      <c r="C140">
        <v>8</v>
      </c>
      <c r="D140" t="s">
        <v>428</v>
      </c>
      <c r="E140" t="s">
        <v>429</v>
      </c>
      <c r="F140" t="s">
        <v>433</v>
      </c>
      <c r="G140" t="s">
        <v>5</v>
      </c>
      <c r="H140" t="s">
        <v>5</v>
      </c>
      <c r="I140" s="5">
        <v>19857</v>
      </c>
      <c r="J140">
        <f>IFERROR(VLOOKUP(G140,'LEAID Match'!$A$2:$B$183,2,FALSE),"")</f>
        <v>1600090</v>
      </c>
      <c r="K140">
        <f t="shared" si="2"/>
        <v>9</v>
      </c>
    </row>
    <row r="141" spans="1:11" x14ac:dyDescent="0.2">
      <c r="A141">
        <v>1600090</v>
      </c>
      <c r="B141">
        <v>2022</v>
      </c>
      <c r="C141">
        <v>8</v>
      </c>
      <c r="D141" t="s">
        <v>428</v>
      </c>
      <c r="E141" t="s">
        <v>429</v>
      </c>
      <c r="F141" t="s">
        <v>433</v>
      </c>
      <c r="G141" t="s">
        <v>5</v>
      </c>
      <c r="H141" t="s">
        <v>211</v>
      </c>
      <c r="I141" s="5">
        <v>18652</v>
      </c>
      <c r="J141">
        <f>IFERROR(VLOOKUP(G141,'LEAID Match'!$A$2:$B$183,2,FALSE),"")</f>
        <v>1600090</v>
      </c>
      <c r="K141">
        <f t="shared" si="2"/>
        <v>9</v>
      </c>
    </row>
    <row r="142" spans="1:11" x14ac:dyDescent="0.2">
      <c r="A142">
        <v>1600090</v>
      </c>
      <c r="B142">
        <v>2023</v>
      </c>
      <c r="C142">
        <v>8</v>
      </c>
      <c r="D142" t="s">
        <v>428</v>
      </c>
      <c r="E142" t="s">
        <v>429</v>
      </c>
      <c r="F142" t="s">
        <v>433</v>
      </c>
      <c r="G142" t="s">
        <v>5</v>
      </c>
      <c r="H142" t="s">
        <v>211</v>
      </c>
      <c r="I142" s="5">
        <v>21741</v>
      </c>
      <c r="J142">
        <f>IFERROR(VLOOKUP(G142,'LEAID Match'!$A$2:$B$183,2,FALSE),"")</f>
        <v>1600090</v>
      </c>
      <c r="K142">
        <f t="shared" si="2"/>
        <v>9</v>
      </c>
    </row>
    <row r="143" spans="1:11" x14ac:dyDescent="0.2">
      <c r="A143">
        <v>1600138</v>
      </c>
      <c r="B143">
        <v>2015</v>
      </c>
      <c r="C143">
        <v>157</v>
      </c>
      <c r="D143" t="s">
        <v>428</v>
      </c>
      <c r="E143" t="s">
        <v>429</v>
      </c>
      <c r="F143" t="s">
        <v>433</v>
      </c>
      <c r="G143" t="s">
        <v>204</v>
      </c>
      <c r="H143" t="s">
        <v>94</v>
      </c>
      <c r="I143" s="5">
        <v>103505</v>
      </c>
      <c r="J143">
        <f>IFERROR(VLOOKUP(G143,'LEAID Match'!$A$2:$B$183,2,FALSE),"")</f>
        <v>1600138</v>
      </c>
      <c r="K143">
        <f t="shared" si="2"/>
        <v>9</v>
      </c>
    </row>
    <row r="144" spans="1:11" x14ac:dyDescent="0.2">
      <c r="A144">
        <v>1600138</v>
      </c>
      <c r="B144">
        <v>2016</v>
      </c>
      <c r="C144">
        <v>157</v>
      </c>
      <c r="D144" t="s">
        <v>428</v>
      </c>
      <c r="E144" t="s">
        <v>429</v>
      </c>
      <c r="F144" t="s">
        <v>433</v>
      </c>
      <c r="G144" t="s">
        <v>204</v>
      </c>
      <c r="H144" t="s">
        <v>94</v>
      </c>
      <c r="I144" s="5">
        <v>99055</v>
      </c>
      <c r="J144">
        <f>IFERROR(VLOOKUP(G144,'LEAID Match'!$A$2:$B$183,2,FALSE),"")</f>
        <v>1600138</v>
      </c>
      <c r="K144">
        <f t="shared" si="2"/>
        <v>9</v>
      </c>
    </row>
    <row r="145" spans="1:11" x14ac:dyDescent="0.2">
      <c r="A145">
        <v>1600138</v>
      </c>
      <c r="B145">
        <v>2017</v>
      </c>
      <c r="C145">
        <v>157</v>
      </c>
      <c r="D145" t="s">
        <v>428</v>
      </c>
      <c r="E145" t="s">
        <v>429</v>
      </c>
      <c r="F145" t="s">
        <v>433</v>
      </c>
      <c r="G145" t="s">
        <v>204</v>
      </c>
      <c r="H145" t="s">
        <v>94</v>
      </c>
      <c r="I145" s="5">
        <v>112780</v>
      </c>
      <c r="J145">
        <f>IFERROR(VLOOKUP(G145,'LEAID Match'!$A$2:$B$183,2,FALSE),"")</f>
        <v>1600138</v>
      </c>
      <c r="K145">
        <f t="shared" si="2"/>
        <v>9</v>
      </c>
    </row>
    <row r="146" spans="1:11" x14ac:dyDescent="0.2">
      <c r="A146">
        <v>1600138</v>
      </c>
      <c r="B146">
        <v>2018</v>
      </c>
      <c r="C146">
        <v>157</v>
      </c>
      <c r="D146" t="s">
        <v>428</v>
      </c>
      <c r="E146" t="s">
        <v>429</v>
      </c>
      <c r="F146" t="s">
        <v>433</v>
      </c>
      <c r="G146" t="s">
        <v>204</v>
      </c>
      <c r="H146" t="s">
        <v>204</v>
      </c>
      <c r="I146" s="5">
        <v>125235</v>
      </c>
      <c r="J146">
        <f>IFERROR(VLOOKUP(G146,'LEAID Match'!$A$2:$B$183,2,FALSE),"")</f>
        <v>1600138</v>
      </c>
      <c r="K146">
        <f t="shared" si="2"/>
        <v>9</v>
      </c>
    </row>
    <row r="147" spans="1:11" x14ac:dyDescent="0.2">
      <c r="A147">
        <v>1600138</v>
      </c>
      <c r="B147">
        <v>2019</v>
      </c>
      <c r="C147">
        <v>157</v>
      </c>
      <c r="D147" t="s">
        <v>428</v>
      </c>
      <c r="E147" t="s">
        <v>429</v>
      </c>
      <c r="F147" t="s">
        <v>433</v>
      </c>
      <c r="G147" t="s">
        <v>204</v>
      </c>
      <c r="H147" t="s">
        <v>304</v>
      </c>
      <c r="I147" s="5">
        <v>131298</v>
      </c>
      <c r="J147">
        <f>IFERROR(VLOOKUP(G147,'LEAID Match'!$A$2:$B$183,2,FALSE),"")</f>
        <v>1600138</v>
      </c>
      <c r="K147">
        <f t="shared" si="2"/>
        <v>9</v>
      </c>
    </row>
    <row r="148" spans="1:11" x14ac:dyDescent="0.2">
      <c r="A148">
        <v>1600138</v>
      </c>
      <c r="B148">
        <v>2020</v>
      </c>
      <c r="C148">
        <v>157</v>
      </c>
      <c r="D148" t="s">
        <v>428</v>
      </c>
      <c r="E148" t="s">
        <v>429</v>
      </c>
      <c r="F148" t="s">
        <v>433</v>
      </c>
      <c r="G148" t="s">
        <v>204</v>
      </c>
      <c r="H148" t="s">
        <v>304</v>
      </c>
      <c r="I148" s="5">
        <v>149753</v>
      </c>
      <c r="J148">
        <f>IFERROR(VLOOKUP(G148,'LEAID Match'!$A$2:$B$183,2,FALSE),"")</f>
        <v>1600138</v>
      </c>
      <c r="K148">
        <f t="shared" si="2"/>
        <v>9</v>
      </c>
    </row>
    <row r="149" spans="1:11" x14ac:dyDescent="0.2">
      <c r="A149">
        <v>1600138</v>
      </c>
      <c r="B149">
        <v>2021</v>
      </c>
      <c r="C149">
        <v>157</v>
      </c>
      <c r="D149" t="s">
        <v>428</v>
      </c>
      <c r="E149" t="s">
        <v>429</v>
      </c>
      <c r="F149" t="s">
        <v>433</v>
      </c>
      <c r="G149" t="s">
        <v>204</v>
      </c>
      <c r="H149" t="s">
        <v>204</v>
      </c>
      <c r="I149" s="5">
        <v>163818</v>
      </c>
      <c r="J149">
        <f>IFERROR(VLOOKUP(G149,'LEAID Match'!$A$2:$B$183,2,FALSE),"")</f>
        <v>1600138</v>
      </c>
      <c r="K149">
        <f t="shared" si="2"/>
        <v>9</v>
      </c>
    </row>
    <row r="150" spans="1:11" x14ac:dyDescent="0.2">
      <c r="A150">
        <v>1600138</v>
      </c>
      <c r="B150">
        <v>2022</v>
      </c>
      <c r="C150">
        <v>157</v>
      </c>
      <c r="D150" t="s">
        <v>428</v>
      </c>
      <c r="E150" t="s">
        <v>429</v>
      </c>
      <c r="F150" t="s">
        <v>433</v>
      </c>
      <c r="G150" t="s">
        <v>204</v>
      </c>
      <c r="H150" t="s">
        <v>304</v>
      </c>
      <c r="I150" s="5">
        <v>173921</v>
      </c>
      <c r="J150">
        <f>IFERROR(VLOOKUP(G150,'LEAID Match'!$A$2:$B$183,2,FALSE),"")</f>
        <v>1600138</v>
      </c>
      <c r="K150">
        <f t="shared" si="2"/>
        <v>9</v>
      </c>
    </row>
    <row r="151" spans="1:11" x14ac:dyDescent="0.2">
      <c r="A151">
        <v>1600138</v>
      </c>
      <c r="B151">
        <v>2023</v>
      </c>
      <c r="C151">
        <v>157</v>
      </c>
      <c r="D151" t="s">
        <v>428</v>
      </c>
      <c r="E151" t="s">
        <v>429</v>
      </c>
      <c r="F151" t="s">
        <v>433</v>
      </c>
      <c r="G151" t="s">
        <v>204</v>
      </c>
      <c r="H151" t="s">
        <v>304</v>
      </c>
      <c r="I151" s="5">
        <v>185527</v>
      </c>
      <c r="J151">
        <f>IFERROR(VLOOKUP(G151,'LEAID Match'!$A$2:$B$183,2,FALSE),"")</f>
        <v>1600138</v>
      </c>
      <c r="K151">
        <f t="shared" si="2"/>
        <v>9</v>
      </c>
    </row>
    <row r="152" spans="1:11" x14ac:dyDescent="0.2">
      <c r="A152">
        <v>1600139</v>
      </c>
      <c r="B152">
        <v>2015</v>
      </c>
      <c r="C152">
        <v>120</v>
      </c>
      <c r="D152" t="s">
        <v>428</v>
      </c>
      <c r="E152" t="s">
        <v>429</v>
      </c>
      <c r="F152" t="s">
        <v>433</v>
      </c>
      <c r="G152" t="s">
        <v>72</v>
      </c>
      <c r="H152" t="s">
        <v>72</v>
      </c>
      <c r="I152" s="5">
        <v>670028</v>
      </c>
      <c r="J152">
        <f>IFERROR(VLOOKUP(G152,'LEAID Match'!$A$2:$B$183,2,FALSE),"")</f>
        <v>1600139</v>
      </c>
      <c r="K152">
        <f t="shared" si="2"/>
        <v>9</v>
      </c>
    </row>
    <row r="153" spans="1:11" x14ac:dyDescent="0.2">
      <c r="A153">
        <v>1600139</v>
      </c>
      <c r="B153">
        <v>2016</v>
      </c>
      <c r="C153">
        <v>120</v>
      </c>
      <c r="D153" t="s">
        <v>428</v>
      </c>
      <c r="E153" t="s">
        <v>429</v>
      </c>
      <c r="F153" t="s">
        <v>433</v>
      </c>
      <c r="G153" t="s">
        <v>72</v>
      </c>
      <c r="H153" t="s">
        <v>72</v>
      </c>
      <c r="I153" s="5">
        <v>674772</v>
      </c>
      <c r="J153">
        <f>IFERROR(VLOOKUP(G153,'LEAID Match'!$A$2:$B$183,2,FALSE),"")</f>
        <v>1600139</v>
      </c>
      <c r="K153">
        <f t="shared" si="2"/>
        <v>9</v>
      </c>
    </row>
    <row r="154" spans="1:11" x14ac:dyDescent="0.2">
      <c r="A154">
        <v>1600139</v>
      </c>
      <c r="B154">
        <v>2017</v>
      </c>
      <c r="C154">
        <v>120</v>
      </c>
      <c r="D154" t="s">
        <v>428</v>
      </c>
      <c r="E154" t="s">
        <v>429</v>
      </c>
      <c r="F154" t="s">
        <v>433</v>
      </c>
      <c r="G154" t="s">
        <v>72</v>
      </c>
      <c r="H154" t="s">
        <v>72</v>
      </c>
      <c r="I154" s="5">
        <v>707507</v>
      </c>
      <c r="J154">
        <f>IFERROR(VLOOKUP(G154,'LEAID Match'!$A$2:$B$183,2,FALSE),"")</f>
        <v>1600139</v>
      </c>
      <c r="K154">
        <f t="shared" si="2"/>
        <v>9</v>
      </c>
    </row>
    <row r="155" spans="1:11" x14ac:dyDescent="0.2">
      <c r="A155">
        <v>1600139</v>
      </c>
      <c r="B155">
        <v>2018</v>
      </c>
      <c r="C155">
        <v>120</v>
      </c>
      <c r="D155" t="s">
        <v>428</v>
      </c>
      <c r="E155" t="s">
        <v>429</v>
      </c>
      <c r="F155" t="s">
        <v>433</v>
      </c>
      <c r="G155" t="s">
        <v>72</v>
      </c>
      <c r="H155" t="s">
        <v>72</v>
      </c>
      <c r="I155" s="5">
        <v>720950</v>
      </c>
      <c r="J155">
        <f>IFERROR(VLOOKUP(G155,'LEAID Match'!$A$2:$B$183,2,FALSE),"")</f>
        <v>1600139</v>
      </c>
      <c r="K155">
        <f t="shared" si="2"/>
        <v>9</v>
      </c>
    </row>
    <row r="156" spans="1:11" x14ac:dyDescent="0.2">
      <c r="A156">
        <v>1600139</v>
      </c>
      <c r="B156">
        <v>2019</v>
      </c>
      <c r="C156">
        <v>120</v>
      </c>
      <c r="D156" t="s">
        <v>428</v>
      </c>
      <c r="E156" t="s">
        <v>429</v>
      </c>
      <c r="F156" t="s">
        <v>433</v>
      </c>
      <c r="G156" t="s">
        <v>72</v>
      </c>
      <c r="H156" t="s">
        <v>72</v>
      </c>
      <c r="I156" s="5">
        <v>747825</v>
      </c>
      <c r="J156">
        <f>IFERROR(VLOOKUP(G156,'LEAID Match'!$A$2:$B$183,2,FALSE),"")</f>
        <v>1600139</v>
      </c>
      <c r="K156">
        <f t="shared" si="2"/>
        <v>9</v>
      </c>
    </row>
    <row r="157" spans="1:11" x14ac:dyDescent="0.2">
      <c r="A157">
        <v>1600139</v>
      </c>
      <c r="B157">
        <v>2020</v>
      </c>
      <c r="C157">
        <v>120</v>
      </c>
      <c r="D157" t="s">
        <v>428</v>
      </c>
      <c r="E157" t="s">
        <v>429</v>
      </c>
      <c r="F157" t="s">
        <v>433</v>
      </c>
      <c r="G157" t="s">
        <v>72</v>
      </c>
      <c r="H157" t="s">
        <v>72</v>
      </c>
      <c r="I157" s="5">
        <v>844468</v>
      </c>
      <c r="J157">
        <f>IFERROR(VLOOKUP(G157,'LEAID Match'!$A$2:$B$183,2,FALSE),"")</f>
        <v>1600139</v>
      </c>
      <c r="K157">
        <f t="shared" si="2"/>
        <v>9</v>
      </c>
    </row>
    <row r="158" spans="1:11" x14ac:dyDescent="0.2">
      <c r="A158">
        <v>1600139</v>
      </c>
      <c r="B158">
        <v>2021</v>
      </c>
      <c r="C158">
        <v>120</v>
      </c>
      <c r="D158" t="s">
        <v>428</v>
      </c>
      <c r="E158" t="s">
        <v>429</v>
      </c>
      <c r="F158" t="s">
        <v>433</v>
      </c>
      <c r="G158" t="s">
        <v>72</v>
      </c>
      <c r="H158" t="s">
        <v>72</v>
      </c>
      <c r="I158" s="5">
        <v>842507</v>
      </c>
      <c r="J158">
        <f>IFERROR(VLOOKUP(G158,'LEAID Match'!$A$2:$B$183,2,FALSE),"")</f>
        <v>1600139</v>
      </c>
      <c r="K158">
        <f t="shared" si="2"/>
        <v>9</v>
      </c>
    </row>
    <row r="159" spans="1:11" x14ac:dyDescent="0.2">
      <c r="A159">
        <v>1600139</v>
      </c>
      <c r="B159">
        <v>2022</v>
      </c>
      <c r="C159">
        <v>120</v>
      </c>
      <c r="D159" t="s">
        <v>428</v>
      </c>
      <c r="E159" t="s">
        <v>429</v>
      </c>
      <c r="F159" t="s">
        <v>433</v>
      </c>
      <c r="G159" t="s">
        <v>72</v>
      </c>
      <c r="H159" t="s">
        <v>72</v>
      </c>
      <c r="I159" s="5">
        <v>908424</v>
      </c>
      <c r="J159">
        <f>IFERROR(VLOOKUP(G159,'LEAID Match'!$A$2:$B$183,2,FALSE),"")</f>
        <v>1600139</v>
      </c>
      <c r="K159">
        <f t="shared" si="2"/>
        <v>9</v>
      </c>
    </row>
    <row r="160" spans="1:11" x14ac:dyDescent="0.2">
      <c r="A160">
        <v>1600139</v>
      </c>
      <c r="B160">
        <v>2023</v>
      </c>
      <c r="C160">
        <v>120</v>
      </c>
      <c r="D160" t="s">
        <v>428</v>
      </c>
      <c r="E160" t="s">
        <v>429</v>
      </c>
      <c r="F160" t="s">
        <v>433</v>
      </c>
      <c r="G160" t="s">
        <v>72</v>
      </c>
      <c r="H160" t="s">
        <v>72</v>
      </c>
      <c r="I160" s="5">
        <v>837781</v>
      </c>
      <c r="J160">
        <f>IFERROR(VLOOKUP(G160,'LEAID Match'!$A$2:$B$183,2,FALSE),"")</f>
        <v>1600139</v>
      </c>
      <c r="K160">
        <f t="shared" si="2"/>
        <v>9</v>
      </c>
    </row>
    <row r="161" spans="1:11" x14ac:dyDescent="0.2">
      <c r="A161">
        <v>1600140</v>
      </c>
      <c r="B161">
        <v>2015</v>
      </c>
      <c r="C161">
        <v>195</v>
      </c>
      <c r="D161" t="s">
        <v>428</v>
      </c>
      <c r="E161" t="s">
        <v>429</v>
      </c>
      <c r="F161" t="s">
        <v>433</v>
      </c>
      <c r="G161" t="s">
        <v>173</v>
      </c>
      <c r="H161" t="s">
        <v>173</v>
      </c>
      <c r="I161" s="5">
        <v>159478</v>
      </c>
      <c r="J161">
        <f>IFERROR(VLOOKUP(G161,'LEAID Match'!$A$2:$B$183,2,FALSE),"")</f>
        <v>1600140</v>
      </c>
      <c r="K161">
        <f t="shared" si="2"/>
        <v>9</v>
      </c>
    </row>
    <row r="162" spans="1:11" x14ac:dyDescent="0.2">
      <c r="A162">
        <v>1600140</v>
      </c>
      <c r="B162">
        <v>2016</v>
      </c>
      <c r="C162">
        <v>195</v>
      </c>
      <c r="D162" t="s">
        <v>428</v>
      </c>
      <c r="E162" t="s">
        <v>429</v>
      </c>
      <c r="F162" t="s">
        <v>433</v>
      </c>
      <c r="G162" t="s">
        <v>173</v>
      </c>
      <c r="H162" t="s">
        <v>173</v>
      </c>
      <c r="I162" s="5">
        <v>177001</v>
      </c>
      <c r="J162">
        <f>IFERROR(VLOOKUP(G162,'LEAID Match'!$A$2:$B$183,2,FALSE),"")</f>
        <v>1600140</v>
      </c>
      <c r="K162">
        <f t="shared" si="2"/>
        <v>9</v>
      </c>
    </row>
    <row r="163" spans="1:11" x14ac:dyDescent="0.2">
      <c r="A163">
        <v>1600140</v>
      </c>
      <c r="B163">
        <v>2017</v>
      </c>
      <c r="C163">
        <v>195</v>
      </c>
      <c r="D163" t="s">
        <v>428</v>
      </c>
      <c r="E163" t="s">
        <v>429</v>
      </c>
      <c r="F163" t="s">
        <v>433</v>
      </c>
      <c r="G163" t="s">
        <v>173</v>
      </c>
      <c r="H163" t="s">
        <v>173</v>
      </c>
      <c r="I163" s="5">
        <v>198391</v>
      </c>
      <c r="J163">
        <f>IFERROR(VLOOKUP(G163,'LEAID Match'!$A$2:$B$183,2,FALSE),"")</f>
        <v>1600140</v>
      </c>
      <c r="K163">
        <f t="shared" si="2"/>
        <v>9</v>
      </c>
    </row>
    <row r="164" spans="1:11" x14ac:dyDescent="0.2">
      <c r="A164">
        <v>1600140</v>
      </c>
      <c r="B164">
        <v>2018</v>
      </c>
      <c r="C164">
        <v>195</v>
      </c>
      <c r="D164" t="s">
        <v>428</v>
      </c>
      <c r="E164" t="s">
        <v>429</v>
      </c>
      <c r="F164" t="s">
        <v>433</v>
      </c>
      <c r="G164" t="s">
        <v>173</v>
      </c>
      <c r="H164" t="s">
        <v>173</v>
      </c>
      <c r="I164" s="5">
        <v>225195</v>
      </c>
      <c r="J164">
        <f>IFERROR(VLOOKUP(G164,'LEAID Match'!$A$2:$B$183,2,FALSE),"")</f>
        <v>1600140</v>
      </c>
      <c r="K164">
        <f t="shared" si="2"/>
        <v>9</v>
      </c>
    </row>
    <row r="165" spans="1:11" x14ac:dyDescent="0.2">
      <c r="A165">
        <v>1600140</v>
      </c>
      <c r="B165">
        <v>2019</v>
      </c>
      <c r="C165">
        <v>195</v>
      </c>
      <c r="D165" t="s">
        <v>428</v>
      </c>
      <c r="E165" t="s">
        <v>429</v>
      </c>
      <c r="F165" t="s">
        <v>433</v>
      </c>
      <c r="G165" t="s">
        <v>173</v>
      </c>
      <c r="H165" t="s">
        <v>173</v>
      </c>
      <c r="I165" s="5">
        <v>242864</v>
      </c>
      <c r="J165">
        <f>IFERROR(VLOOKUP(G165,'LEAID Match'!$A$2:$B$183,2,FALSE),"")</f>
        <v>1600140</v>
      </c>
      <c r="K165">
        <f t="shared" si="2"/>
        <v>9</v>
      </c>
    </row>
    <row r="166" spans="1:11" x14ac:dyDescent="0.2">
      <c r="A166">
        <v>1600140</v>
      </c>
      <c r="B166">
        <v>2020</v>
      </c>
      <c r="C166">
        <v>195</v>
      </c>
      <c r="D166" t="s">
        <v>428</v>
      </c>
      <c r="E166" t="s">
        <v>429</v>
      </c>
      <c r="F166" t="s">
        <v>433</v>
      </c>
      <c r="G166" t="s">
        <v>173</v>
      </c>
      <c r="H166" t="s">
        <v>173</v>
      </c>
      <c r="I166" s="5">
        <v>280148</v>
      </c>
      <c r="J166">
        <f>IFERROR(VLOOKUP(G166,'LEAID Match'!$A$2:$B$183,2,FALSE),"")</f>
        <v>1600140</v>
      </c>
      <c r="K166">
        <f t="shared" si="2"/>
        <v>9</v>
      </c>
    </row>
    <row r="167" spans="1:11" x14ac:dyDescent="0.2">
      <c r="A167">
        <v>1600140</v>
      </c>
      <c r="B167">
        <v>2021</v>
      </c>
      <c r="C167">
        <v>195</v>
      </c>
      <c r="D167" t="s">
        <v>428</v>
      </c>
      <c r="E167" t="s">
        <v>429</v>
      </c>
      <c r="F167" t="s">
        <v>433</v>
      </c>
      <c r="G167" t="s">
        <v>173</v>
      </c>
      <c r="H167" t="s">
        <v>173</v>
      </c>
      <c r="I167" s="5">
        <v>299551</v>
      </c>
      <c r="J167">
        <f>IFERROR(VLOOKUP(G167,'LEAID Match'!$A$2:$B$183,2,FALSE),"")</f>
        <v>1600140</v>
      </c>
      <c r="K167">
        <f t="shared" si="2"/>
        <v>9</v>
      </c>
    </row>
    <row r="168" spans="1:11" x14ac:dyDescent="0.2">
      <c r="A168">
        <v>1600140</v>
      </c>
      <c r="B168">
        <v>2022</v>
      </c>
      <c r="C168">
        <v>195</v>
      </c>
      <c r="D168" t="s">
        <v>428</v>
      </c>
      <c r="E168" t="s">
        <v>429</v>
      </c>
      <c r="F168" t="s">
        <v>433</v>
      </c>
      <c r="G168" t="s">
        <v>173</v>
      </c>
      <c r="H168" t="s">
        <v>173</v>
      </c>
      <c r="I168" s="5">
        <v>301192</v>
      </c>
      <c r="J168">
        <f>IFERROR(VLOOKUP(G168,'LEAID Match'!$A$2:$B$183,2,FALSE),"")</f>
        <v>1600140</v>
      </c>
      <c r="K168">
        <f t="shared" si="2"/>
        <v>9</v>
      </c>
    </row>
    <row r="169" spans="1:11" x14ac:dyDescent="0.2">
      <c r="A169">
        <v>1600140</v>
      </c>
      <c r="B169">
        <v>2023</v>
      </c>
      <c r="C169">
        <v>195</v>
      </c>
      <c r="D169" t="s">
        <v>428</v>
      </c>
      <c r="E169" t="s">
        <v>429</v>
      </c>
      <c r="F169" t="s">
        <v>433</v>
      </c>
      <c r="G169" t="s">
        <v>173</v>
      </c>
      <c r="H169" t="s">
        <v>173</v>
      </c>
      <c r="I169" s="5">
        <v>322880</v>
      </c>
      <c r="J169">
        <f>IFERROR(VLOOKUP(G169,'LEAID Match'!$A$2:$B$183,2,FALSE),"")</f>
        <v>1600140</v>
      </c>
      <c r="K169">
        <f t="shared" si="2"/>
        <v>9</v>
      </c>
    </row>
    <row r="170" spans="1:11" x14ac:dyDescent="0.2">
      <c r="A170">
        <v>1600141</v>
      </c>
      <c r="B170">
        <v>2015</v>
      </c>
      <c r="C170">
        <v>184</v>
      </c>
      <c r="D170" t="s">
        <v>428</v>
      </c>
      <c r="E170" t="s">
        <v>429</v>
      </c>
      <c r="F170" t="s">
        <v>433</v>
      </c>
      <c r="G170" t="s">
        <v>170</v>
      </c>
      <c r="H170" t="s">
        <v>170</v>
      </c>
      <c r="I170" s="5">
        <v>224237</v>
      </c>
      <c r="J170">
        <f>IFERROR(VLOOKUP(G170,'LEAID Match'!$A$2:$B$183,2,FALSE),"")</f>
        <v>1600141</v>
      </c>
      <c r="K170">
        <f t="shared" si="2"/>
        <v>9</v>
      </c>
    </row>
    <row r="171" spans="1:11" x14ac:dyDescent="0.2">
      <c r="A171">
        <v>1600141</v>
      </c>
      <c r="B171">
        <v>2016</v>
      </c>
      <c r="C171">
        <v>184</v>
      </c>
      <c r="D171" t="s">
        <v>428</v>
      </c>
      <c r="E171" t="s">
        <v>429</v>
      </c>
      <c r="F171" t="s">
        <v>433</v>
      </c>
      <c r="G171" t="s">
        <v>170</v>
      </c>
      <c r="H171" t="s">
        <v>170</v>
      </c>
      <c r="I171" s="5">
        <v>227150</v>
      </c>
      <c r="J171">
        <f>IFERROR(VLOOKUP(G171,'LEAID Match'!$A$2:$B$183,2,FALSE),"")</f>
        <v>1600141</v>
      </c>
      <c r="K171">
        <f t="shared" si="2"/>
        <v>9</v>
      </c>
    </row>
    <row r="172" spans="1:11" x14ac:dyDescent="0.2">
      <c r="A172">
        <v>1600141</v>
      </c>
      <c r="B172">
        <v>2017</v>
      </c>
      <c r="C172">
        <v>184</v>
      </c>
      <c r="D172" t="s">
        <v>428</v>
      </c>
      <c r="E172" t="s">
        <v>429</v>
      </c>
      <c r="F172" t="s">
        <v>433</v>
      </c>
      <c r="G172" t="s">
        <v>170</v>
      </c>
      <c r="H172" t="s">
        <v>170</v>
      </c>
      <c r="I172" s="5">
        <v>276052</v>
      </c>
      <c r="J172">
        <f>IFERROR(VLOOKUP(G172,'LEAID Match'!$A$2:$B$183,2,FALSE),"")</f>
        <v>1600141</v>
      </c>
      <c r="K172">
        <f t="shared" si="2"/>
        <v>9</v>
      </c>
    </row>
    <row r="173" spans="1:11" x14ac:dyDescent="0.2">
      <c r="A173">
        <v>1600141</v>
      </c>
      <c r="B173">
        <v>2018</v>
      </c>
      <c r="C173">
        <v>184</v>
      </c>
      <c r="D173" t="s">
        <v>428</v>
      </c>
      <c r="E173" t="s">
        <v>429</v>
      </c>
      <c r="F173" t="s">
        <v>433</v>
      </c>
      <c r="G173" t="s">
        <v>170</v>
      </c>
      <c r="H173" t="s">
        <v>170</v>
      </c>
      <c r="I173" s="5">
        <v>254390</v>
      </c>
      <c r="J173">
        <f>IFERROR(VLOOKUP(G173,'LEAID Match'!$A$2:$B$183,2,FALSE),"")</f>
        <v>1600141</v>
      </c>
      <c r="K173">
        <f t="shared" si="2"/>
        <v>9</v>
      </c>
    </row>
    <row r="174" spans="1:11" x14ac:dyDescent="0.2">
      <c r="A174">
        <v>1600141</v>
      </c>
      <c r="B174">
        <v>2019</v>
      </c>
      <c r="C174">
        <v>184</v>
      </c>
      <c r="D174" t="s">
        <v>428</v>
      </c>
      <c r="E174" t="s">
        <v>429</v>
      </c>
      <c r="F174" t="s">
        <v>433</v>
      </c>
      <c r="G174" t="s">
        <v>170</v>
      </c>
      <c r="H174" t="s">
        <v>170</v>
      </c>
      <c r="I174" s="5">
        <v>286806</v>
      </c>
      <c r="J174">
        <f>IFERROR(VLOOKUP(G174,'LEAID Match'!$A$2:$B$183,2,FALSE),"")</f>
        <v>1600141</v>
      </c>
      <c r="K174">
        <f t="shared" si="2"/>
        <v>9</v>
      </c>
    </row>
    <row r="175" spans="1:11" x14ac:dyDescent="0.2">
      <c r="A175">
        <v>1600141</v>
      </c>
      <c r="B175">
        <v>2020</v>
      </c>
      <c r="C175">
        <v>184</v>
      </c>
      <c r="D175" t="s">
        <v>428</v>
      </c>
      <c r="E175" t="s">
        <v>429</v>
      </c>
      <c r="F175" t="s">
        <v>433</v>
      </c>
      <c r="G175" t="s">
        <v>170</v>
      </c>
      <c r="H175" t="s">
        <v>170</v>
      </c>
      <c r="I175" s="5">
        <v>316403</v>
      </c>
      <c r="J175">
        <f>IFERROR(VLOOKUP(G175,'LEAID Match'!$A$2:$B$183,2,FALSE),"")</f>
        <v>1600141</v>
      </c>
      <c r="K175">
        <f t="shared" si="2"/>
        <v>9</v>
      </c>
    </row>
    <row r="176" spans="1:11" x14ac:dyDescent="0.2">
      <c r="A176">
        <v>1600141</v>
      </c>
      <c r="B176">
        <v>2021</v>
      </c>
      <c r="C176">
        <v>184</v>
      </c>
      <c r="D176" t="s">
        <v>428</v>
      </c>
      <c r="E176" t="s">
        <v>429</v>
      </c>
      <c r="F176" t="s">
        <v>433</v>
      </c>
      <c r="G176" t="s">
        <v>170</v>
      </c>
      <c r="H176" t="s">
        <v>170</v>
      </c>
      <c r="I176" s="5">
        <v>366376</v>
      </c>
      <c r="J176">
        <f>IFERROR(VLOOKUP(G176,'LEAID Match'!$A$2:$B$183,2,FALSE),"")</f>
        <v>1600141</v>
      </c>
      <c r="K176">
        <f t="shared" si="2"/>
        <v>9</v>
      </c>
    </row>
    <row r="177" spans="1:11" x14ac:dyDescent="0.2">
      <c r="A177">
        <v>1600141</v>
      </c>
      <c r="B177">
        <v>2022</v>
      </c>
      <c r="C177">
        <v>184</v>
      </c>
      <c r="D177" t="s">
        <v>428</v>
      </c>
      <c r="E177" t="s">
        <v>429</v>
      </c>
      <c r="F177" t="s">
        <v>433</v>
      </c>
      <c r="G177" t="s">
        <v>170</v>
      </c>
      <c r="H177" t="s">
        <v>170</v>
      </c>
      <c r="I177" s="5">
        <v>389187</v>
      </c>
      <c r="J177">
        <f>IFERROR(VLOOKUP(G177,'LEAID Match'!$A$2:$B$183,2,FALSE),"")</f>
        <v>1600141</v>
      </c>
      <c r="K177">
        <f t="shared" si="2"/>
        <v>9</v>
      </c>
    </row>
    <row r="178" spans="1:11" x14ac:dyDescent="0.2">
      <c r="A178">
        <v>1600141</v>
      </c>
      <c r="B178">
        <v>2023</v>
      </c>
      <c r="C178">
        <v>184</v>
      </c>
      <c r="D178" t="s">
        <v>428</v>
      </c>
      <c r="E178" t="s">
        <v>429</v>
      </c>
      <c r="F178" t="s">
        <v>433</v>
      </c>
      <c r="G178" t="s">
        <v>170</v>
      </c>
      <c r="H178" t="s">
        <v>170</v>
      </c>
      <c r="I178" s="5">
        <v>371717</v>
      </c>
      <c r="J178">
        <f>IFERROR(VLOOKUP(G178,'LEAID Match'!$A$2:$B$183,2,FALSE),"")</f>
        <v>1600141</v>
      </c>
      <c r="K178">
        <f t="shared" si="2"/>
        <v>9</v>
      </c>
    </row>
    <row r="179" spans="1:11" x14ac:dyDescent="0.2">
      <c r="A179">
        <v>1600142</v>
      </c>
      <c r="B179">
        <v>2015</v>
      </c>
      <c r="C179">
        <v>192</v>
      </c>
      <c r="D179" t="s">
        <v>428</v>
      </c>
      <c r="E179" t="s">
        <v>429</v>
      </c>
      <c r="F179" t="s">
        <v>433</v>
      </c>
      <c r="G179" t="s">
        <v>171</v>
      </c>
      <c r="H179" t="s">
        <v>171</v>
      </c>
      <c r="I179" s="5">
        <v>128981</v>
      </c>
      <c r="J179">
        <f>IFERROR(VLOOKUP(G179,'LEAID Match'!$A$2:$B$183,2,FALSE),"")</f>
        <v>1600142</v>
      </c>
      <c r="K179">
        <f t="shared" si="2"/>
        <v>9</v>
      </c>
    </row>
    <row r="180" spans="1:11" x14ac:dyDescent="0.2">
      <c r="A180">
        <v>1600142</v>
      </c>
      <c r="B180">
        <v>2016</v>
      </c>
      <c r="C180">
        <v>192</v>
      </c>
      <c r="D180" t="s">
        <v>428</v>
      </c>
      <c r="E180" t="s">
        <v>429</v>
      </c>
      <c r="F180" t="s">
        <v>433</v>
      </c>
      <c r="G180" t="s">
        <v>171</v>
      </c>
      <c r="H180" t="s">
        <v>171</v>
      </c>
      <c r="I180" s="5">
        <v>137189</v>
      </c>
      <c r="J180">
        <f>IFERROR(VLOOKUP(G180,'LEAID Match'!$A$2:$B$183,2,FALSE),"")</f>
        <v>1600142</v>
      </c>
      <c r="K180">
        <f t="shared" si="2"/>
        <v>9</v>
      </c>
    </row>
    <row r="181" spans="1:11" x14ac:dyDescent="0.2">
      <c r="A181">
        <v>1600142</v>
      </c>
      <c r="B181">
        <v>2017</v>
      </c>
      <c r="C181">
        <v>192</v>
      </c>
      <c r="D181" t="s">
        <v>428</v>
      </c>
      <c r="E181" t="s">
        <v>429</v>
      </c>
      <c r="F181" t="s">
        <v>433</v>
      </c>
      <c r="G181" t="s">
        <v>171</v>
      </c>
      <c r="H181" t="s">
        <v>171</v>
      </c>
      <c r="I181" s="5">
        <v>139313</v>
      </c>
      <c r="J181">
        <f>IFERROR(VLOOKUP(G181,'LEAID Match'!$A$2:$B$183,2,FALSE),"")</f>
        <v>1600142</v>
      </c>
      <c r="K181">
        <f t="shared" si="2"/>
        <v>9</v>
      </c>
    </row>
    <row r="182" spans="1:11" x14ac:dyDescent="0.2">
      <c r="A182">
        <v>1600142</v>
      </c>
      <c r="B182">
        <v>2018</v>
      </c>
      <c r="C182">
        <v>192</v>
      </c>
      <c r="D182" t="s">
        <v>428</v>
      </c>
      <c r="E182" t="s">
        <v>429</v>
      </c>
      <c r="F182" t="s">
        <v>433</v>
      </c>
      <c r="G182" t="s">
        <v>171</v>
      </c>
      <c r="H182" t="s">
        <v>171</v>
      </c>
      <c r="I182" s="5">
        <v>160703</v>
      </c>
      <c r="J182">
        <f>IFERROR(VLOOKUP(G182,'LEAID Match'!$A$2:$B$183,2,FALSE),"")</f>
        <v>1600142</v>
      </c>
      <c r="K182">
        <f t="shared" si="2"/>
        <v>9</v>
      </c>
    </row>
    <row r="183" spans="1:11" x14ac:dyDescent="0.2">
      <c r="A183">
        <v>1600142</v>
      </c>
      <c r="B183">
        <v>2019</v>
      </c>
      <c r="C183">
        <v>192</v>
      </c>
      <c r="D183" t="s">
        <v>428</v>
      </c>
      <c r="E183" t="s">
        <v>429</v>
      </c>
      <c r="F183" t="s">
        <v>433</v>
      </c>
      <c r="G183" t="s">
        <v>171</v>
      </c>
      <c r="H183" t="s">
        <v>171</v>
      </c>
      <c r="I183" s="5">
        <v>189118</v>
      </c>
      <c r="J183">
        <f>IFERROR(VLOOKUP(G183,'LEAID Match'!$A$2:$B$183,2,FALSE),"")</f>
        <v>1600142</v>
      </c>
      <c r="K183">
        <f t="shared" si="2"/>
        <v>9</v>
      </c>
    </row>
    <row r="184" spans="1:11" x14ac:dyDescent="0.2">
      <c r="A184">
        <v>1600142</v>
      </c>
      <c r="B184">
        <v>2020</v>
      </c>
      <c r="C184">
        <v>192</v>
      </c>
      <c r="D184" t="s">
        <v>428</v>
      </c>
      <c r="E184" t="s">
        <v>429</v>
      </c>
      <c r="F184" t="s">
        <v>433</v>
      </c>
      <c r="G184" t="s">
        <v>171</v>
      </c>
      <c r="H184" t="s">
        <v>171</v>
      </c>
      <c r="I184" s="5">
        <v>265750</v>
      </c>
      <c r="J184">
        <f>IFERROR(VLOOKUP(G184,'LEAID Match'!$A$2:$B$183,2,FALSE),"")</f>
        <v>1600142</v>
      </c>
      <c r="K184">
        <f t="shared" si="2"/>
        <v>9</v>
      </c>
    </row>
    <row r="185" spans="1:11" x14ac:dyDescent="0.2">
      <c r="A185">
        <v>1600142</v>
      </c>
      <c r="B185">
        <v>2021</v>
      </c>
      <c r="C185">
        <v>192</v>
      </c>
      <c r="D185" t="s">
        <v>428</v>
      </c>
      <c r="E185" t="s">
        <v>429</v>
      </c>
      <c r="F185" t="s">
        <v>433</v>
      </c>
      <c r="G185" t="s">
        <v>171</v>
      </c>
      <c r="H185" t="s">
        <v>171</v>
      </c>
      <c r="I185" s="5">
        <v>282951</v>
      </c>
      <c r="J185">
        <f>IFERROR(VLOOKUP(G185,'LEAID Match'!$A$2:$B$183,2,FALSE),"")</f>
        <v>1600142</v>
      </c>
      <c r="K185">
        <f t="shared" si="2"/>
        <v>9</v>
      </c>
    </row>
    <row r="186" spans="1:11" x14ac:dyDescent="0.2">
      <c r="A186">
        <v>1600142</v>
      </c>
      <c r="B186">
        <v>2022</v>
      </c>
      <c r="C186">
        <v>192</v>
      </c>
      <c r="D186" t="s">
        <v>428</v>
      </c>
      <c r="E186" t="s">
        <v>429</v>
      </c>
      <c r="F186" t="s">
        <v>433</v>
      </c>
      <c r="G186" t="s">
        <v>171</v>
      </c>
      <c r="H186" t="s">
        <v>171</v>
      </c>
      <c r="I186" s="5">
        <v>319312</v>
      </c>
      <c r="J186">
        <f>IFERROR(VLOOKUP(G186,'LEAID Match'!$A$2:$B$183,2,FALSE),"")</f>
        <v>1600142</v>
      </c>
      <c r="K186">
        <f t="shared" si="2"/>
        <v>9</v>
      </c>
    </row>
    <row r="187" spans="1:11" x14ac:dyDescent="0.2">
      <c r="A187">
        <v>1600142</v>
      </c>
      <c r="B187">
        <v>2023</v>
      </c>
      <c r="C187">
        <v>192</v>
      </c>
      <c r="D187" t="s">
        <v>428</v>
      </c>
      <c r="E187" t="s">
        <v>429</v>
      </c>
      <c r="F187" t="s">
        <v>433</v>
      </c>
      <c r="G187" t="s">
        <v>171</v>
      </c>
      <c r="H187" t="s">
        <v>171</v>
      </c>
      <c r="I187" s="5">
        <v>333965</v>
      </c>
      <c r="J187">
        <f>IFERROR(VLOOKUP(G187,'LEAID Match'!$A$2:$B$183,2,FALSE),"")</f>
        <v>1600142</v>
      </c>
      <c r="K187">
        <f t="shared" si="2"/>
        <v>9</v>
      </c>
    </row>
    <row r="188" spans="1:11" x14ac:dyDescent="0.2">
      <c r="A188">
        <v>1600143</v>
      </c>
      <c r="B188">
        <v>2015</v>
      </c>
      <c r="C188">
        <v>129</v>
      </c>
      <c r="D188" t="s">
        <v>428</v>
      </c>
      <c r="E188" t="s">
        <v>429</v>
      </c>
      <c r="F188" t="s">
        <v>433</v>
      </c>
      <c r="G188" t="s">
        <v>155</v>
      </c>
      <c r="H188" t="s">
        <v>155</v>
      </c>
      <c r="I188" s="5">
        <v>102065</v>
      </c>
      <c r="J188">
        <f>IFERROR(VLOOKUP(G188,'LEAID Match'!$A$2:$B$183,2,FALSE),"")</f>
        <v>1600143</v>
      </c>
      <c r="K188">
        <f t="shared" si="2"/>
        <v>9</v>
      </c>
    </row>
    <row r="189" spans="1:11" x14ac:dyDescent="0.2">
      <c r="A189">
        <v>1600143</v>
      </c>
      <c r="B189">
        <v>2016</v>
      </c>
      <c r="C189">
        <v>129</v>
      </c>
      <c r="D189" t="s">
        <v>428</v>
      </c>
      <c r="E189" t="s">
        <v>429</v>
      </c>
      <c r="F189" t="s">
        <v>433</v>
      </c>
      <c r="G189" t="s">
        <v>155</v>
      </c>
      <c r="H189" t="s">
        <v>155</v>
      </c>
      <c r="I189" s="5">
        <v>103844</v>
      </c>
      <c r="J189">
        <f>IFERROR(VLOOKUP(G189,'LEAID Match'!$A$2:$B$183,2,FALSE),"")</f>
        <v>1600143</v>
      </c>
      <c r="K189">
        <f t="shared" si="2"/>
        <v>9</v>
      </c>
    </row>
    <row r="190" spans="1:11" x14ac:dyDescent="0.2">
      <c r="A190">
        <v>1600143</v>
      </c>
      <c r="B190">
        <v>2017</v>
      </c>
      <c r="C190">
        <v>129</v>
      </c>
      <c r="D190" t="s">
        <v>428</v>
      </c>
      <c r="E190" t="s">
        <v>429</v>
      </c>
      <c r="F190" t="s">
        <v>433</v>
      </c>
      <c r="G190" t="s">
        <v>155</v>
      </c>
      <c r="H190" t="s">
        <v>155</v>
      </c>
      <c r="I190" s="5">
        <v>100473</v>
      </c>
      <c r="J190">
        <f>IFERROR(VLOOKUP(G190,'LEAID Match'!$A$2:$B$183,2,FALSE),"")</f>
        <v>1600143</v>
      </c>
      <c r="K190">
        <f t="shared" si="2"/>
        <v>9</v>
      </c>
    </row>
    <row r="191" spans="1:11" x14ac:dyDescent="0.2">
      <c r="A191">
        <v>1600143</v>
      </c>
      <c r="B191">
        <v>2018</v>
      </c>
      <c r="C191">
        <v>129</v>
      </c>
      <c r="D191" t="s">
        <v>428</v>
      </c>
      <c r="E191" t="s">
        <v>429</v>
      </c>
      <c r="F191" t="s">
        <v>433</v>
      </c>
      <c r="G191" t="s">
        <v>155</v>
      </c>
      <c r="H191" t="s">
        <v>155</v>
      </c>
      <c r="I191" s="5">
        <v>102639</v>
      </c>
      <c r="J191">
        <f>IFERROR(VLOOKUP(G191,'LEAID Match'!$A$2:$B$183,2,FALSE),"")</f>
        <v>1600143</v>
      </c>
      <c r="K191">
        <f t="shared" si="2"/>
        <v>9</v>
      </c>
    </row>
    <row r="192" spans="1:11" x14ac:dyDescent="0.2">
      <c r="A192">
        <v>1600143</v>
      </c>
      <c r="B192">
        <v>2019</v>
      </c>
      <c r="C192">
        <v>129</v>
      </c>
      <c r="D192" t="s">
        <v>428</v>
      </c>
      <c r="E192" t="s">
        <v>429</v>
      </c>
      <c r="F192" t="s">
        <v>433</v>
      </c>
      <c r="G192" t="s">
        <v>155</v>
      </c>
      <c r="H192" t="s">
        <v>155</v>
      </c>
      <c r="I192" s="5">
        <v>112828</v>
      </c>
      <c r="J192">
        <f>IFERROR(VLOOKUP(G192,'LEAID Match'!$A$2:$B$183,2,FALSE),"")</f>
        <v>1600143</v>
      </c>
      <c r="K192">
        <f t="shared" si="2"/>
        <v>9</v>
      </c>
    </row>
    <row r="193" spans="1:11" x14ac:dyDescent="0.2">
      <c r="A193">
        <v>1600143</v>
      </c>
      <c r="B193">
        <v>2020</v>
      </c>
      <c r="C193">
        <v>129</v>
      </c>
      <c r="D193" t="s">
        <v>428</v>
      </c>
      <c r="E193" t="s">
        <v>429</v>
      </c>
      <c r="F193" t="s">
        <v>433</v>
      </c>
      <c r="G193" t="s">
        <v>155</v>
      </c>
      <c r="H193" t="s">
        <v>155</v>
      </c>
      <c r="I193" s="5">
        <v>122847</v>
      </c>
      <c r="J193">
        <f>IFERROR(VLOOKUP(G193,'LEAID Match'!$A$2:$B$183,2,FALSE),"")</f>
        <v>1600143</v>
      </c>
      <c r="K193">
        <f t="shared" si="2"/>
        <v>9</v>
      </c>
    </row>
    <row r="194" spans="1:11" x14ac:dyDescent="0.2">
      <c r="A194">
        <v>1600143</v>
      </c>
      <c r="B194">
        <v>2021</v>
      </c>
      <c r="C194">
        <v>129</v>
      </c>
      <c r="D194" t="s">
        <v>428</v>
      </c>
      <c r="E194" t="s">
        <v>429</v>
      </c>
      <c r="F194" t="s">
        <v>433</v>
      </c>
      <c r="G194" t="s">
        <v>155</v>
      </c>
      <c r="H194" t="s">
        <v>155</v>
      </c>
      <c r="I194" s="5">
        <v>119632</v>
      </c>
      <c r="J194">
        <f>IFERROR(VLOOKUP(G194,'LEAID Match'!$A$2:$B$183,2,FALSE),"")</f>
        <v>1600143</v>
      </c>
      <c r="K194">
        <f t="shared" si="2"/>
        <v>9</v>
      </c>
    </row>
    <row r="195" spans="1:11" x14ac:dyDescent="0.2">
      <c r="A195">
        <v>1600143</v>
      </c>
      <c r="B195">
        <v>2022</v>
      </c>
      <c r="C195">
        <v>129</v>
      </c>
      <c r="D195" t="s">
        <v>428</v>
      </c>
      <c r="E195" t="s">
        <v>429</v>
      </c>
      <c r="F195" t="s">
        <v>433</v>
      </c>
      <c r="G195" t="s">
        <v>155</v>
      </c>
      <c r="H195" t="s">
        <v>155</v>
      </c>
      <c r="I195" s="5">
        <v>132783</v>
      </c>
      <c r="J195">
        <f>IFERROR(VLOOKUP(G195,'LEAID Match'!$A$2:$B$183,2,FALSE),"")</f>
        <v>1600143</v>
      </c>
      <c r="K195">
        <f t="shared" ref="K195:K258" si="3">COUNTIF($A$2:$A$1651,A195)</f>
        <v>9</v>
      </c>
    </row>
    <row r="196" spans="1:11" x14ac:dyDescent="0.2">
      <c r="A196">
        <v>1600143</v>
      </c>
      <c r="B196">
        <v>2023</v>
      </c>
      <c r="C196">
        <v>129</v>
      </c>
      <c r="D196" t="s">
        <v>428</v>
      </c>
      <c r="E196" t="s">
        <v>429</v>
      </c>
      <c r="F196" t="s">
        <v>433</v>
      </c>
      <c r="G196" t="s">
        <v>155</v>
      </c>
      <c r="H196" t="s">
        <v>155</v>
      </c>
      <c r="I196" s="5">
        <v>134421</v>
      </c>
      <c r="J196">
        <f>IFERROR(VLOOKUP(G196,'LEAID Match'!$A$2:$B$183,2,FALSE),"")</f>
        <v>1600143</v>
      </c>
      <c r="K196">
        <f t="shared" si="3"/>
        <v>9</v>
      </c>
    </row>
    <row r="197" spans="1:11" x14ac:dyDescent="0.2">
      <c r="A197">
        <v>1600144</v>
      </c>
      <c r="B197">
        <v>2015</v>
      </c>
      <c r="C197">
        <v>77</v>
      </c>
      <c r="D197" t="s">
        <v>428</v>
      </c>
      <c r="E197" t="s">
        <v>429</v>
      </c>
      <c r="F197" t="s">
        <v>433</v>
      </c>
      <c r="G197" t="s">
        <v>132</v>
      </c>
      <c r="H197" t="s">
        <v>132</v>
      </c>
      <c r="I197" s="5">
        <v>64640</v>
      </c>
      <c r="J197">
        <f>IFERROR(VLOOKUP(G197,'LEAID Match'!$A$2:$B$183,2,FALSE),"")</f>
        <v>1600144</v>
      </c>
      <c r="K197">
        <f t="shared" si="3"/>
        <v>9</v>
      </c>
    </row>
    <row r="198" spans="1:11" x14ac:dyDescent="0.2">
      <c r="A198">
        <v>1600144</v>
      </c>
      <c r="B198">
        <v>2016</v>
      </c>
      <c r="C198">
        <v>77</v>
      </c>
      <c r="D198" t="s">
        <v>428</v>
      </c>
      <c r="E198" t="s">
        <v>429</v>
      </c>
      <c r="F198" t="s">
        <v>433</v>
      </c>
      <c r="G198" t="s">
        <v>132</v>
      </c>
      <c r="H198" t="s">
        <v>132</v>
      </c>
      <c r="I198" s="5">
        <v>70812</v>
      </c>
      <c r="J198">
        <f>IFERROR(VLOOKUP(G198,'LEAID Match'!$A$2:$B$183,2,FALSE),"")</f>
        <v>1600144</v>
      </c>
      <c r="K198">
        <f t="shared" si="3"/>
        <v>9</v>
      </c>
    </row>
    <row r="199" spans="1:11" x14ac:dyDescent="0.2">
      <c r="A199">
        <v>1600144</v>
      </c>
      <c r="B199">
        <v>2017</v>
      </c>
      <c r="C199">
        <v>77</v>
      </c>
      <c r="D199" t="s">
        <v>428</v>
      </c>
      <c r="E199" t="s">
        <v>429</v>
      </c>
      <c r="F199" t="s">
        <v>433</v>
      </c>
      <c r="G199" t="s">
        <v>132</v>
      </c>
      <c r="H199" t="s">
        <v>132</v>
      </c>
      <c r="I199" s="5">
        <v>92483</v>
      </c>
      <c r="J199">
        <f>IFERROR(VLOOKUP(G199,'LEAID Match'!$A$2:$B$183,2,FALSE),"")</f>
        <v>1600144</v>
      </c>
      <c r="K199">
        <f t="shared" si="3"/>
        <v>9</v>
      </c>
    </row>
    <row r="200" spans="1:11" x14ac:dyDescent="0.2">
      <c r="A200">
        <v>1600144</v>
      </c>
      <c r="B200">
        <v>2018</v>
      </c>
      <c r="C200">
        <v>77</v>
      </c>
      <c r="D200" t="s">
        <v>428</v>
      </c>
      <c r="E200" t="s">
        <v>429</v>
      </c>
      <c r="F200" t="s">
        <v>433</v>
      </c>
      <c r="G200" t="s">
        <v>132</v>
      </c>
      <c r="H200" t="s">
        <v>132</v>
      </c>
      <c r="I200" s="5">
        <v>111534</v>
      </c>
      <c r="J200">
        <f>IFERROR(VLOOKUP(G200,'LEAID Match'!$A$2:$B$183,2,FALSE),"")</f>
        <v>1600144</v>
      </c>
      <c r="K200">
        <f t="shared" si="3"/>
        <v>9</v>
      </c>
    </row>
    <row r="201" spans="1:11" x14ac:dyDescent="0.2">
      <c r="A201">
        <v>1600144</v>
      </c>
      <c r="B201">
        <v>2019</v>
      </c>
      <c r="C201">
        <v>77</v>
      </c>
      <c r="D201" t="s">
        <v>428</v>
      </c>
      <c r="E201" t="s">
        <v>429</v>
      </c>
      <c r="F201" t="s">
        <v>433</v>
      </c>
      <c r="G201" t="s">
        <v>132</v>
      </c>
      <c r="H201" t="s">
        <v>132</v>
      </c>
      <c r="I201" s="5">
        <v>138935</v>
      </c>
      <c r="J201">
        <f>IFERROR(VLOOKUP(G201,'LEAID Match'!$A$2:$B$183,2,FALSE),"")</f>
        <v>1600144</v>
      </c>
      <c r="K201">
        <f t="shared" si="3"/>
        <v>9</v>
      </c>
    </row>
    <row r="202" spans="1:11" x14ac:dyDescent="0.2">
      <c r="A202">
        <v>1600144</v>
      </c>
      <c r="B202">
        <v>2020</v>
      </c>
      <c r="C202">
        <v>77</v>
      </c>
      <c r="D202" t="s">
        <v>428</v>
      </c>
      <c r="E202" t="s">
        <v>429</v>
      </c>
      <c r="F202" t="s">
        <v>433</v>
      </c>
      <c r="G202" t="s">
        <v>132</v>
      </c>
      <c r="H202" t="s">
        <v>132</v>
      </c>
      <c r="I202" s="5">
        <v>179811</v>
      </c>
      <c r="J202">
        <f>IFERROR(VLOOKUP(G202,'LEAID Match'!$A$2:$B$183,2,FALSE),"")</f>
        <v>1600144</v>
      </c>
      <c r="K202">
        <f t="shared" si="3"/>
        <v>9</v>
      </c>
    </row>
    <row r="203" spans="1:11" x14ac:dyDescent="0.2">
      <c r="A203">
        <v>1600144</v>
      </c>
      <c r="B203">
        <v>2021</v>
      </c>
      <c r="C203">
        <v>77</v>
      </c>
      <c r="D203" t="s">
        <v>428</v>
      </c>
      <c r="E203" t="s">
        <v>429</v>
      </c>
      <c r="F203" t="s">
        <v>433</v>
      </c>
      <c r="G203" t="s">
        <v>132</v>
      </c>
      <c r="H203" t="s">
        <v>132</v>
      </c>
      <c r="I203" s="5">
        <v>259582</v>
      </c>
      <c r="J203">
        <f>IFERROR(VLOOKUP(G203,'LEAID Match'!$A$2:$B$183,2,FALSE),"")</f>
        <v>1600144</v>
      </c>
      <c r="K203">
        <f t="shared" si="3"/>
        <v>9</v>
      </c>
    </row>
    <row r="204" spans="1:11" x14ac:dyDescent="0.2">
      <c r="A204">
        <v>1600144</v>
      </c>
      <c r="B204">
        <v>2022</v>
      </c>
      <c r="C204">
        <v>77</v>
      </c>
      <c r="D204" t="s">
        <v>428</v>
      </c>
      <c r="E204" t="s">
        <v>429</v>
      </c>
      <c r="F204" t="s">
        <v>433</v>
      </c>
      <c r="G204" t="s">
        <v>132</v>
      </c>
      <c r="H204" t="s">
        <v>132</v>
      </c>
      <c r="I204" s="5">
        <v>337817</v>
      </c>
      <c r="J204">
        <f>IFERROR(VLOOKUP(G204,'LEAID Match'!$A$2:$B$183,2,FALSE),"")</f>
        <v>1600144</v>
      </c>
      <c r="K204">
        <f t="shared" si="3"/>
        <v>9</v>
      </c>
    </row>
    <row r="205" spans="1:11" x14ac:dyDescent="0.2">
      <c r="A205">
        <v>1600144</v>
      </c>
      <c r="B205">
        <v>2023</v>
      </c>
      <c r="C205">
        <v>77</v>
      </c>
      <c r="D205" t="s">
        <v>428</v>
      </c>
      <c r="E205" t="s">
        <v>429</v>
      </c>
      <c r="F205" t="s">
        <v>433</v>
      </c>
      <c r="G205" t="s">
        <v>132</v>
      </c>
      <c r="H205" t="s">
        <v>132</v>
      </c>
      <c r="I205" s="5">
        <v>397501</v>
      </c>
      <c r="J205">
        <f>IFERROR(VLOOKUP(G205,'LEAID Match'!$A$2:$B$183,2,FALSE),"")</f>
        <v>1600144</v>
      </c>
      <c r="K205">
        <f t="shared" si="3"/>
        <v>9</v>
      </c>
    </row>
    <row r="206" spans="1:11" x14ac:dyDescent="0.2">
      <c r="A206">
        <v>1600145</v>
      </c>
      <c r="B206">
        <v>2015</v>
      </c>
      <c r="C206">
        <v>82</v>
      </c>
      <c r="D206" t="s">
        <v>428</v>
      </c>
      <c r="E206" t="s">
        <v>429</v>
      </c>
      <c r="F206" t="s">
        <v>433</v>
      </c>
      <c r="G206" t="s">
        <v>183</v>
      </c>
      <c r="H206" t="s">
        <v>142</v>
      </c>
      <c r="I206" s="5">
        <v>103421</v>
      </c>
      <c r="J206">
        <f>IFERROR(VLOOKUP(G206,'LEAID Match'!$A$2:$B$183,2,FALSE),"")</f>
        <v>1600145</v>
      </c>
      <c r="K206">
        <f t="shared" si="3"/>
        <v>9</v>
      </c>
    </row>
    <row r="207" spans="1:11" x14ac:dyDescent="0.2">
      <c r="A207">
        <v>1600145</v>
      </c>
      <c r="B207">
        <v>2016</v>
      </c>
      <c r="C207">
        <v>82</v>
      </c>
      <c r="D207" t="s">
        <v>428</v>
      </c>
      <c r="E207" t="s">
        <v>429</v>
      </c>
      <c r="F207" t="s">
        <v>433</v>
      </c>
      <c r="G207" t="s">
        <v>183</v>
      </c>
      <c r="H207" t="s">
        <v>183</v>
      </c>
      <c r="I207" s="5">
        <v>116998</v>
      </c>
      <c r="J207">
        <f>IFERROR(VLOOKUP(G207,'LEAID Match'!$A$2:$B$183,2,FALSE),"")</f>
        <v>1600145</v>
      </c>
      <c r="K207">
        <f t="shared" si="3"/>
        <v>9</v>
      </c>
    </row>
    <row r="208" spans="1:11" x14ac:dyDescent="0.2">
      <c r="A208">
        <v>1600145</v>
      </c>
      <c r="B208">
        <v>2017</v>
      </c>
      <c r="C208">
        <v>82</v>
      </c>
      <c r="D208" t="s">
        <v>428</v>
      </c>
      <c r="E208" t="s">
        <v>429</v>
      </c>
      <c r="F208" t="s">
        <v>433</v>
      </c>
      <c r="G208" t="s">
        <v>183</v>
      </c>
      <c r="H208" t="s">
        <v>183</v>
      </c>
      <c r="I208" s="5">
        <v>117885</v>
      </c>
      <c r="J208">
        <f>IFERROR(VLOOKUP(G208,'LEAID Match'!$A$2:$B$183,2,FALSE),"")</f>
        <v>1600145</v>
      </c>
      <c r="K208">
        <f t="shared" si="3"/>
        <v>9</v>
      </c>
    </row>
    <row r="209" spans="1:11" x14ac:dyDescent="0.2">
      <c r="A209">
        <v>1600145</v>
      </c>
      <c r="B209">
        <v>2018</v>
      </c>
      <c r="C209">
        <v>82</v>
      </c>
      <c r="D209" t="s">
        <v>428</v>
      </c>
      <c r="E209" t="s">
        <v>429</v>
      </c>
      <c r="F209" t="s">
        <v>433</v>
      </c>
      <c r="G209" t="s">
        <v>183</v>
      </c>
      <c r="H209" t="s">
        <v>183</v>
      </c>
      <c r="I209" s="5">
        <v>117311</v>
      </c>
      <c r="J209">
        <f>IFERROR(VLOOKUP(G209,'LEAID Match'!$A$2:$B$183,2,FALSE),"")</f>
        <v>1600145</v>
      </c>
      <c r="K209">
        <f t="shared" si="3"/>
        <v>9</v>
      </c>
    </row>
    <row r="210" spans="1:11" x14ac:dyDescent="0.2">
      <c r="A210">
        <v>1600145</v>
      </c>
      <c r="B210">
        <v>2019</v>
      </c>
      <c r="C210">
        <v>82</v>
      </c>
      <c r="D210" t="s">
        <v>428</v>
      </c>
      <c r="E210" t="s">
        <v>429</v>
      </c>
      <c r="F210" t="s">
        <v>433</v>
      </c>
      <c r="G210" t="s">
        <v>183</v>
      </c>
      <c r="H210" t="s">
        <v>183</v>
      </c>
      <c r="I210" s="5">
        <v>138029</v>
      </c>
      <c r="J210">
        <f>IFERROR(VLOOKUP(G210,'LEAID Match'!$A$2:$B$183,2,FALSE),"")</f>
        <v>1600145</v>
      </c>
      <c r="K210">
        <f t="shared" si="3"/>
        <v>9</v>
      </c>
    </row>
    <row r="211" spans="1:11" x14ac:dyDescent="0.2">
      <c r="A211">
        <v>1600145</v>
      </c>
      <c r="B211">
        <v>2020</v>
      </c>
      <c r="C211">
        <v>82</v>
      </c>
      <c r="D211" t="s">
        <v>428</v>
      </c>
      <c r="E211" t="s">
        <v>429</v>
      </c>
      <c r="F211" t="s">
        <v>433</v>
      </c>
      <c r="G211" t="s">
        <v>183</v>
      </c>
      <c r="H211" t="s">
        <v>183</v>
      </c>
      <c r="I211" s="5">
        <v>169152</v>
      </c>
      <c r="J211">
        <f>IFERROR(VLOOKUP(G211,'LEAID Match'!$A$2:$B$183,2,FALSE),"")</f>
        <v>1600145</v>
      </c>
      <c r="K211">
        <f t="shared" si="3"/>
        <v>9</v>
      </c>
    </row>
    <row r="212" spans="1:11" x14ac:dyDescent="0.2">
      <c r="A212">
        <v>1600145</v>
      </c>
      <c r="B212">
        <v>2021</v>
      </c>
      <c r="C212">
        <v>82</v>
      </c>
      <c r="D212" t="s">
        <v>428</v>
      </c>
      <c r="E212" t="s">
        <v>429</v>
      </c>
      <c r="F212" t="s">
        <v>433</v>
      </c>
      <c r="G212" t="s">
        <v>183</v>
      </c>
      <c r="H212" t="s">
        <v>183</v>
      </c>
      <c r="I212" s="5">
        <v>198793</v>
      </c>
      <c r="J212">
        <f>IFERROR(VLOOKUP(G212,'LEAID Match'!$A$2:$B$183,2,FALSE),"")</f>
        <v>1600145</v>
      </c>
      <c r="K212">
        <f t="shared" si="3"/>
        <v>9</v>
      </c>
    </row>
    <row r="213" spans="1:11" x14ac:dyDescent="0.2">
      <c r="A213">
        <v>1600145</v>
      </c>
      <c r="B213">
        <v>2022</v>
      </c>
      <c r="C213">
        <v>82</v>
      </c>
      <c r="D213" t="s">
        <v>428</v>
      </c>
      <c r="E213" t="s">
        <v>429</v>
      </c>
      <c r="F213" t="s">
        <v>433</v>
      </c>
      <c r="G213" t="s">
        <v>183</v>
      </c>
      <c r="H213" t="s">
        <v>183</v>
      </c>
      <c r="I213" s="5">
        <v>183881</v>
      </c>
      <c r="J213">
        <f>IFERROR(VLOOKUP(G213,'LEAID Match'!$A$2:$B$183,2,FALSE),"")</f>
        <v>1600145</v>
      </c>
      <c r="K213">
        <f t="shared" si="3"/>
        <v>9</v>
      </c>
    </row>
    <row r="214" spans="1:11" x14ac:dyDescent="0.2">
      <c r="A214">
        <v>1600145</v>
      </c>
      <c r="B214">
        <v>2023</v>
      </c>
      <c r="C214">
        <v>82</v>
      </c>
      <c r="D214" t="s">
        <v>428</v>
      </c>
      <c r="E214" t="s">
        <v>429</v>
      </c>
      <c r="F214" t="s">
        <v>433</v>
      </c>
      <c r="G214" t="s">
        <v>183</v>
      </c>
      <c r="H214" t="s">
        <v>183</v>
      </c>
      <c r="I214" s="5">
        <v>184437</v>
      </c>
      <c r="J214">
        <f>IFERROR(VLOOKUP(G214,'LEAID Match'!$A$2:$B$183,2,FALSE),"")</f>
        <v>1600145</v>
      </c>
      <c r="K214">
        <f t="shared" si="3"/>
        <v>9</v>
      </c>
    </row>
    <row r="215" spans="1:11" x14ac:dyDescent="0.2">
      <c r="A215">
        <v>1600146</v>
      </c>
      <c r="B215">
        <v>2015</v>
      </c>
      <c r="C215">
        <v>196</v>
      </c>
      <c r="D215" t="s">
        <v>428</v>
      </c>
      <c r="E215" t="s">
        <v>429</v>
      </c>
      <c r="F215" t="s">
        <v>433</v>
      </c>
      <c r="G215" t="s">
        <v>172</v>
      </c>
      <c r="H215" t="s">
        <v>172</v>
      </c>
      <c r="I215" s="5">
        <v>6847</v>
      </c>
      <c r="J215">
        <f>IFERROR(VLOOKUP(G215,'LEAID Match'!$A$2:$B$183,2,FALSE),"")</f>
        <v>1600146</v>
      </c>
      <c r="K215">
        <f t="shared" si="3"/>
        <v>1</v>
      </c>
    </row>
    <row r="216" spans="1:11" x14ac:dyDescent="0.2">
      <c r="A216">
        <v>1600148</v>
      </c>
      <c r="B216">
        <v>2015</v>
      </c>
      <c r="C216">
        <v>84</v>
      </c>
      <c r="D216" t="s">
        <v>428</v>
      </c>
      <c r="E216" t="s">
        <v>429</v>
      </c>
      <c r="F216" t="s">
        <v>433</v>
      </c>
      <c r="G216" t="s">
        <v>144</v>
      </c>
      <c r="H216" t="s">
        <v>144</v>
      </c>
      <c r="I216" s="5">
        <v>83084</v>
      </c>
      <c r="J216">
        <f>IFERROR(VLOOKUP(G216,'LEAID Match'!$A$2:$B$183,2,FALSE),"")</f>
        <v>1600148</v>
      </c>
      <c r="K216">
        <f t="shared" si="3"/>
        <v>9</v>
      </c>
    </row>
    <row r="217" spans="1:11" x14ac:dyDescent="0.2">
      <c r="A217">
        <v>1600148</v>
      </c>
      <c r="B217">
        <v>2016</v>
      </c>
      <c r="C217">
        <v>84</v>
      </c>
      <c r="D217" t="s">
        <v>428</v>
      </c>
      <c r="E217" t="s">
        <v>429</v>
      </c>
      <c r="F217" t="s">
        <v>433</v>
      </c>
      <c r="G217" t="s">
        <v>144</v>
      </c>
      <c r="H217" t="s">
        <v>144</v>
      </c>
      <c r="I217" s="5">
        <v>110279</v>
      </c>
      <c r="J217">
        <f>IFERROR(VLOOKUP(G217,'LEAID Match'!$A$2:$B$183,2,FALSE),"")</f>
        <v>1600148</v>
      </c>
      <c r="K217">
        <f t="shared" si="3"/>
        <v>9</v>
      </c>
    </row>
    <row r="218" spans="1:11" x14ac:dyDescent="0.2">
      <c r="A218">
        <v>1600148</v>
      </c>
      <c r="B218">
        <v>2017</v>
      </c>
      <c r="C218">
        <v>84</v>
      </c>
      <c r="D218" t="s">
        <v>428</v>
      </c>
      <c r="E218" t="s">
        <v>429</v>
      </c>
      <c r="F218" t="s">
        <v>433</v>
      </c>
      <c r="G218" t="s">
        <v>144</v>
      </c>
      <c r="H218" t="s">
        <v>144</v>
      </c>
      <c r="I218" s="5">
        <v>139896</v>
      </c>
      <c r="J218">
        <f>IFERROR(VLOOKUP(G218,'LEAID Match'!$A$2:$B$183,2,FALSE),"")</f>
        <v>1600148</v>
      </c>
      <c r="K218">
        <f t="shared" si="3"/>
        <v>9</v>
      </c>
    </row>
    <row r="219" spans="1:11" x14ac:dyDescent="0.2">
      <c r="A219">
        <v>1600148</v>
      </c>
      <c r="B219">
        <v>2018</v>
      </c>
      <c r="C219">
        <v>84</v>
      </c>
      <c r="D219" t="s">
        <v>428</v>
      </c>
      <c r="E219" t="s">
        <v>429</v>
      </c>
      <c r="F219" t="s">
        <v>433</v>
      </c>
      <c r="G219" t="s">
        <v>144</v>
      </c>
      <c r="H219" t="s">
        <v>144</v>
      </c>
      <c r="I219" s="5">
        <v>132067</v>
      </c>
      <c r="J219">
        <f>IFERROR(VLOOKUP(G219,'LEAID Match'!$A$2:$B$183,2,FALSE),"")</f>
        <v>1600148</v>
      </c>
      <c r="K219">
        <f t="shared" si="3"/>
        <v>9</v>
      </c>
    </row>
    <row r="220" spans="1:11" x14ac:dyDescent="0.2">
      <c r="A220">
        <v>1600148</v>
      </c>
      <c r="B220">
        <v>2019</v>
      </c>
      <c r="C220">
        <v>84</v>
      </c>
      <c r="D220" t="s">
        <v>428</v>
      </c>
      <c r="E220" t="s">
        <v>429</v>
      </c>
      <c r="F220" t="s">
        <v>433</v>
      </c>
      <c r="G220" t="s">
        <v>144</v>
      </c>
      <c r="H220" t="s">
        <v>144</v>
      </c>
      <c r="I220" s="5">
        <v>168939</v>
      </c>
      <c r="J220">
        <f>IFERROR(VLOOKUP(G220,'LEAID Match'!$A$2:$B$183,2,FALSE),"")</f>
        <v>1600148</v>
      </c>
      <c r="K220">
        <f t="shared" si="3"/>
        <v>9</v>
      </c>
    </row>
    <row r="221" spans="1:11" x14ac:dyDescent="0.2">
      <c r="A221">
        <v>1600148</v>
      </c>
      <c r="B221">
        <v>2020</v>
      </c>
      <c r="C221">
        <v>84</v>
      </c>
      <c r="D221" t="s">
        <v>428</v>
      </c>
      <c r="E221" t="s">
        <v>429</v>
      </c>
      <c r="F221" t="s">
        <v>433</v>
      </c>
      <c r="G221" t="s">
        <v>144</v>
      </c>
      <c r="H221" t="s">
        <v>144</v>
      </c>
      <c r="I221" s="5">
        <v>191998</v>
      </c>
      <c r="J221">
        <f>IFERROR(VLOOKUP(G221,'LEAID Match'!$A$2:$B$183,2,FALSE),"")</f>
        <v>1600148</v>
      </c>
      <c r="K221">
        <f t="shared" si="3"/>
        <v>9</v>
      </c>
    </row>
    <row r="222" spans="1:11" x14ac:dyDescent="0.2">
      <c r="A222">
        <v>1600148</v>
      </c>
      <c r="B222">
        <v>2021</v>
      </c>
      <c r="C222">
        <v>84</v>
      </c>
      <c r="D222" t="s">
        <v>428</v>
      </c>
      <c r="E222" t="s">
        <v>429</v>
      </c>
      <c r="F222" t="s">
        <v>433</v>
      </c>
      <c r="G222" t="s">
        <v>144</v>
      </c>
      <c r="H222" t="s">
        <v>144</v>
      </c>
      <c r="I222" s="5">
        <v>209892</v>
      </c>
      <c r="J222">
        <f>IFERROR(VLOOKUP(G222,'LEAID Match'!$A$2:$B$183,2,FALSE),"")</f>
        <v>1600148</v>
      </c>
      <c r="K222">
        <f t="shared" si="3"/>
        <v>9</v>
      </c>
    </row>
    <row r="223" spans="1:11" x14ac:dyDescent="0.2">
      <c r="A223">
        <v>1600148</v>
      </c>
      <c r="B223">
        <v>2022</v>
      </c>
      <c r="C223">
        <v>84</v>
      </c>
      <c r="D223" t="s">
        <v>428</v>
      </c>
      <c r="E223" t="s">
        <v>429</v>
      </c>
      <c r="F223" t="s">
        <v>433</v>
      </c>
      <c r="G223" t="s">
        <v>144</v>
      </c>
      <c r="H223" t="s">
        <v>144</v>
      </c>
      <c r="I223" s="5">
        <v>253813</v>
      </c>
      <c r="J223">
        <f>IFERROR(VLOOKUP(G223,'LEAID Match'!$A$2:$B$183,2,FALSE),"")</f>
        <v>1600148</v>
      </c>
      <c r="K223">
        <f t="shared" si="3"/>
        <v>9</v>
      </c>
    </row>
    <row r="224" spans="1:11" x14ac:dyDescent="0.2">
      <c r="A224">
        <v>1600148</v>
      </c>
      <c r="B224">
        <v>2023</v>
      </c>
      <c r="C224">
        <v>84</v>
      </c>
      <c r="D224" t="s">
        <v>428</v>
      </c>
      <c r="E224" t="s">
        <v>429</v>
      </c>
      <c r="F224" t="s">
        <v>433</v>
      </c>
      <c r="G224" t="s">
        <v>144</v>
      </c>
      <c r="H224" t="s">
        <v>144</v>
      </c>
      <c r="I224" s="5">
        <v>295620</v>
      </c>
      <c r="J224">
        <f>IFERROR(VLOOKUP(G224,'LEAID Match'!$A$2:$B$183,2,FALSE),"")</f>
        <v>1600148</v>
      </c>
      <c r="K224">
        <f t="shared" si="3"/>
        <v>9</v>
      </c>
    </row>
    <row r="225" spans="1:11" x14ac:dyDescent="0.2">
      <c r="A225">
        <v>1600149</v>
      </c>
      <c r="B225">
        <v>2015</v>
      </c>
      <c r="C225">
        <v>92</v>
      </c>
      <c r="D225" t="s">
        <v>428</v>
      </c>
      <c r="E225" t="s">
        <v>429</v>
      </c>
      <c r="F225" t="s">
        <v>433</v>
      </c>
      <c r="G225" t="s">
        <v>146</v>
      </c>
      <c r="H225" t="s">
        <v>146</v>
      </c>
      <c r="I225" s="5">
        <v>67742</v>
      </c>
      <c r="J225">
        <f>IFERROR(VLOOKUP(G225,'LEAID Match'!$A$2:$B$183,2,FALSE),"")</f>
        <v>1600149</v>
      </c>
      <c r="K225">
        <f t="shared" si="3"/>
        <v>9</v>
      </c>
    </row>
    <row r="226" spans="1:11" x14ac:dyDescent="0.2">
      <c r="A226">
        <v>1600149</v>
      </c>
      <c r="B226">
        <v>2016</v>
      </c>
      <c r="C226">
        <v>92</v>
      </c>
      <c r="D226" t="s">
        <v>428</v>
      </c>
      <c r="E226" t="s">
        <v>429</v>
      </c>
      <c r="F226" t="s">
        <v>433</v>
      </c>
      <c r="G226" t="s">
        <v>146</v>
      </c>
      <c r="H226" t="s">
        <v>146</v>
      </c>
      <c r="I226" s="5">
        <v>72296</v>
      </c>
      <c r="J226">
        <f>IFERROR(VLOOKUP(G226,'LEAID Match'!$A$2:$B$183,2,FALSE),"")</f>
        <v>1600149</v>
      </c>
      <c r="K226">
        <f t="shared" si="3"/>
        <v>9</v>
      </c>
    </row>
    <row r="227" spans="1:11" x14ac:dyDescent="0.2">
      <c r="A227">
        <v>1600149</v>
      </c>
      <c r="B227">
        <v>2017</v>
      </c>
      <c r="C227">
        <v>92</v>
      </c>
      <c r="D227" t="s">
        <v>428</v>
      </c>
      <c r="E227" t="s">
        <v>429</v>
      </c>
      <c r="F227" t="s">
        <v>433</v>
      </c>
      <c r="G227" t="s">
        <v>146</v>
      </c>
      <c r="H227" t="s">
        <v>146</v>
      </c>
      <c r="I227" s="5">
        <v>72403</v>
      </c>
      <c r="J227">
        <f>IFERROR(VLOOKUP(G227,'LEAID Match'!$A$2:$B$183,2,FALSE),"")</f>
        <v>1600149</v>
      </c>
      <c r="K227">
        <f t="shared" si="3"/>
        <v>9</v>
      </c>
    </row>
    <row r="228" spans="1:11" x14ac:dyDescent="0.2">
      <c r="A228">
        <v>1600149</v>
      </c>
      <c r="B228">
        <v>2018</v>
      </c>
      <c r="C228">
        <v>92</v>
      </c>
      <c r="D228" t="s">
        <v>428</v>
      </c>
      <c r="E228" t="s">
        <v>429</v>
      </c>
      <c r="F228" t="s">
        <v>433</v>
      </c>
      <c r="G228" t="s">
        <v>146</v>
      </c>
      <c r="H228" t="s">
        <v>146</v>
      </c>
      <c r="I228" s="5">
        <v>75826</v>
      </c>
      <c r="J228">
        <f>IFERROR(VLOOKUP(G228,'LEAID Match'!$A$2:$B$183,2,FALSE),"")</f>
        <v>1600149</v>
      </c>
      <c r="K228">
        <f t="shared" si="3"/>
        <v>9</v>
      </c>
    </row>
    <row r="229" spans="1:11" x14ac:dyDescent="0.2">
      <c r="A229">
        <v>1600149</v>
      </c>
      <c r="B229">
        <v>2019</v>
      </c>
      <c r="C229">
        <v>92</v>
      </c>
      <c r="D229" t="s">
        <v>428</v>
      </c>
      <c r="E229" t="s">
        <v>429</v>
      </c>
      <c r="F229" t="s">
        <v>433</v>
      </c>
      <c r="G229" t="s">
        <v>146</v>
      </c>
      <c r="H229" t="s">
        <v>146</v>
      </c>
      <c r="I229" s="5">
        <v>86958</v>
      </c>
      <c r="J229">
        <f>IFERROR(VLOOKUP(G229,'LEAID Match'!$A$2:$B$183,2,FALSE),"")</f>
        <v>1600149</v>
      </c>
      <c r="K229">
        <f t="shared" si="3"/>
        <v>9</v>
      </c>
    </row>
    <row r="230" spans="1:11" x14ac:dyDescent="0.2">
      <c r="A230">
        <v>1600149</v>
      </c>
      <c r="B230">
        <v>2020</v>
      </c>
      <c r="C230">
        <v>92</v>
      </c>
      <c r="D230" t="s">
        <v>428</v>
      </c>
      <c r="E230" t="s">
        <v>429</v>
      </c>
      <c r="F230" t="s">
        <v>433</v>
      </c>
      <c r="G230" t="s">
        <v>146</v>
      </c>
      <c r="H230" t="s">
        <v>146</v>
      </c>
      <c r="I230" s="5">
        <v>103945</v>
      </c>
      <c r="J230">
        <f>IFERROR(VLOOKUP(G230,'LEAID Match'!$A$2:$B$183,2,FALSE),"")</f>
        <v>1600149</v>
      </c>
      <c r="K230">
        <f t="shared" si="3"/>
        <v>9</v>
      </c>
    </row>
    <row r="231" spans="1:11" x14ac:dyDescent="0.2">
      <c r="A231">
        <v>1600149</v>
      </c>
      <c r="B231">
        <v>2021</v>
      </c>
      <c r="C231">
        <v>92</v>
      </c>
      <c r="D231" t="s">
        <v>428</v>
      </c>
      <c r="E231" t="s">
        <v>429</v>
      </c>
      <c r="F231" t="s">
        <v>433</v>
      </c>
      <c r="G231" t="s">
        <v>146</v>
      </c>
      <c r="H231" t="s">
        <v>146</v>
      </c>
      <c r="I231" s="5">
        <v>100452</v>
      </c>
      <c r="J231">
        <f>IFERROR(VLOOKUP(G231,'LEAID Match'!$A$2:$B$183,2,FALSE),"")</f>
        <v>1600149</v>
      </c>
      <c r="K231">
        <f t="shared" si="3"/>
        <v>9</v>
      </c>
    </row>
    <row r="232" spans="1:11" x14ac:dyDescent="0.2">
      <c r="A232">
        <v>1600149</v>
      </c>
      <c r="B232">
        <v>2022</v>
      </c>
      <c r="C232">
        <v>92</v>
      </c>
      <c r="D232" t="s">
        <v>428</v>
      </c>
      <c r="E232" t="s">
        <v>429</v>
      </c>
      <c r="F232" t="s">
        <v>433</v>
      </c>
      <c r="G232" t="s">
        <v>146</v>
      </c>
      <c r="H232" t="s">
        <v>146</v>
      </c>
      <c r="I232" s="5">
        <v>107145</v>
      </c>
      <c r="J232">
        <f>IFERROR(VLOOKUP(G232,'LEAID Match'!$A$2:$B$183,2,FALSE),"")</f>
        <v>1600149</v>
      </c>
      <c r="K232">
        <f t="shared" si="3"/>
        <v>9</v>
      </c>
    </row>
    <row r="233" spans="1:11" x14ac:dyDescent="0.2">
      <c r="A233">
        <v>1600149</v>
      </c>
      <c r="B233">
        <v>2023</v>
      </c>
      <c r="C233">
        <v>92</v>
      </c>
      <c r="D233" t="s">
        <v>428</v>
      </c>
      <c r="E233" t="s">
        <v>429</v>
      </c>
      <c r="F233" t="s">
        <v>433</v>
      </c>
      <c r="G233" t="s">
        <v>146</v>
      </c>
      <c r="H233" t="s">
        <v>146</v>
      </c>
      <c r="I233" s="5">
        <v>115659</v>
      </c>
      <c r="J233">
        <f>IFERROR(VLOOKUP(G233,'LEAID Match'!$A$2:$B$183,2,FALSE),"")</f>
        <v>1600149</v>
      </c>
      <c r="K233">
        <f t="shared" si="3"/>
        <v>9</v>
      </c>
    </row>
    <row r="234" spans="1:11" x14ac:dyDescent="0.2">
      <c r="A234">
        <v>1600150</v>
      </c>
      <c r="B234">
        <v>2015</v>
      </c>
      <c r="C234">
        <v>9</v>
      </c>
      <c r="D234" t="s">
        <v>428</v>
      </c>
      <c r="E234" t="s">
        <v>429</v>
      </c>
      <c r="F234" t="s">
        <v>433</v>
      </c>
      <c r="G234" t="s">
        <v>6</v>
      </c>
      <c r="H234" t="s">
        <v>6</v>
      </c>
      <c r="I234" s="5">
        <v>19381</v>
      </c>
      <c r="J234">
        <f>IFERROR(VLOOKUP(G234,'LEAID Match'!$A$2:$B$183,2,FALSE),"")</f>
        <v>1600150</v>
      </c>
      <c r="K234">
        <f t="shared" si="3"/>
        <v>9</v>
      </c>
    </row>
    <row r="235" spans="1:11" x14ac:dyDescent="0.2">
      <c r="A235">
        <v>1600150</v>
      </c>
      <c r="B235">
        <v>2016</v>
      </c>
      <c r="C235">
        <v>9</v>
      </c>
      <c r="D235" t="s">
        <v>428</v>
      </c>
      <c r="E235" t="s">
        <v>429</v>
      </c>
      <c r="F235" t="s">
        <v>433</v>
      </c>
      <c r="G235" t="s">
        <v>6</v>
      </c>
      <c r="H235" t="s">
        <v>6</v>
      </c>
      <c r="I235" s="5">
        <v>15218</v>
      </c>
      <c r="J235">
        <f>IFERROR(VLOOKUP(G235,'LEAID Match'!$A$2:$B$183,2,FALSE),"")</f>
        <v>1600150</v>
      </c>
      <c r="K235">
        <f t="shared" si="3"/>
        <v>9</v>
      </c>
    </row>
    <row r="236" spans="1:11" x14ac:dyDescent="0.2">
      <c r="A236">
        <v>1600150</v>
      </c>
      <c r="B236">
        <v>2017</v>
      </c>
      <c r="C236">
        <v>9</v>
      </c>
      <c r="D236" t="s">
        <v>428</v>
      </c>
      <c r="E236" t="s">
        <v>429</v>
      </c>
      <c r="F236" t="s">
        <v>433</v>
      </c>
      <c r="G236" t="s">
        <v>6</v>
      </c>
      <c r="H236" t="s">
        <v>6</v>
      </c>
      <c r="I236" s="5">
        <v>11171</v>
      </c>
      <c r="J236">
        <f>IFERROR(VLOOKUP(G236,'LEAID Match'!$A$2:$B$183,2,FALSE),"")</f>
        <v>1600150</v>
      </c>
      <c r="K236">
        <f t="shared" si="3"/>
        <v>9</v>
      </c>
    </row>
    <row r="237" spans="1:11" x14ac:dyDescent="0.2">
      <c r="A237">
        <v>1600150</v>
      </c>
      <c r="B237">
        <v>2018</v>
      </c>
      <c r="C237">
        <v>9</v>
      </c>
      <c r="D237" t="s">
        <v>428</v>
      </c>
      <c r="E237" t="s">
        <v>429</v>
      </c>
      <c r="F237" t="s">
        <v>433</v>
      </c>
      <c r="G237" t="s">
        <v>6</v>
      </c>
      <c r="H237" t="s">
        <v>6</v>
      </c>
      <c r="I237" s="5">
        <v>12548</v>
      </c>
      <c r="J237">
        <f>IFERROR(VLOOKUP(G237,'LEAID Match'!$A$2:$B$183,2,FALSE),"")</f>
        <v>1600150</v>
      </c>
      <c r="K237">
        <f t="shared" si="3"/>
        <v>9</v>
      </c>
    </row>
    <row r="238" spans="1:11" x14ac:dyDescent="0.2">
      <c r="A238">
        <v>1600150</v>
      </c>
      <c r="B238">
        <v>2019</v>
      </c>
      <c r="C238">
        <v>9</v>
      </c>
      <c r="D238" t="s">
        <v>428</v>
      </c>
      <c r="E238" t="s">
        <v>429</v>
      </c>
      <c r="F238" t="s">
        <v>433</v>
      </c>
      <c r="G238" t="s">
        <v>6</v>
      </c>
      <c r="H238" t="s">
        <v>212</v>
      </c>
      <c r="I238" s="5">
        <v>13758</v>
      </c>
      <c r="J238">
        <f>IFERROR(VLOOKUP(G238,'LEAID Match'!$A$2:$B$183,2,FALSE),"")</f>
        <v>1600150</v>
      </c>
      <c r="K238">
        <f t="shared" si="3"/>
        <v>9</v>
      </c>
    </row>
    <row r="239" spans="1:11" x14ac:dyDescent="0.2">
      <c r="A239">
        <v>1600150</v>
      </c>
      <c r="B239">
        <v>2020</v>
      </c>
      <c r="C239">
        <v>9</v>
      </c>
      <c r="D239" t="s">
        <v>428</v>
      </c>
      <c r="E239" t="s">
        <v>429</v>
      </c>
      <c r="F239" t="s">
        <v>433</v>
      </c>
      <c r="G239" t="s">
        <v>6</v>
      </c>
      <c r="H239" t="s">
        <v>212</v>
      </c>
      <c r="I239" s="5">
        <v>16169</v>
      </c>
      <c r="J239">
        <f>IFERROR(VLOOKUP(G239,'LEAID Match'!$A$2:$B$183,2,FALSE),"")</f>
        <v>1600150</v>
      </c>
      <c r="K239">
        <f t="shared" si="3"/>
        <v>9</v>
      </c>
    </row>
    <row r="240" spans="1:11" x14ac:dyDescent="0.2">
      <c r="A240">
        <v>1600150</v>
      </c>
      <c r="B240">
        <v>2021</v>
      </c>
      <c r="C240">
        <v>9</v>
      </c>
      <c r="D240" t="s">
        <v>428</v>
      </c>
      <c r="E240" t="s">
        <v>429</v>
      </c>
      <c r="F240" t="s">
        <v>433</v>
      </c>
      <c r="G240" t="s">
        <v>6</v>
      </c>
      <c r="H240" t="s">
        <v>6</v>
      </c>
      <c r="I240" s="5">
        <v>16724</v>
      </c>
      <c r="J240">
        <f>IFERROR(VLOOKUP(G240,'LEAID Match'!$A$2:$B$183,2,FALSE),"")</f>
        <v>1600150</v>
      </c>
      <c r="K240">
        <f t="shared" si="3"/>
        <v>9</v>
      </c>
    </row>
    <row r="241" spans="1:11" x14ac:dyDescent="0.2">
      <c r="A241">
        <v>1600150</v>
      </c>
      <c r="B241">
        <v>2022</v>
      </c>
      <c r="C241">
        <v>9</v>
      </c>
      <c r="D241" t="s">
        <v>428</v>
      </c>
      <c r="E241" t="s">
        <v>429</v>
      </c>
      <c r="F241" t="s">
        <v>433</v>
      </c>
      <c r="G241" t="s">
        <v>6</v>
      </c>
      <c r="H241" t="s">
        <v>212</v>
      </c>
      <c r="I241" s="5">
        <v>18770</v>
      </c>
      <c r="J241">
        <f>IFERROR(VLOOKUP(G241,'LEAID Match'!$A$2:$B$183,2,FALSE),"")</f>
        <v>1600150</v>
      </c>
      <c r="K241">
        <f t="shared" si="3"/>
        <v>9</v>
      </c>
    </row>
    <row r="242" spans="1:11" x14ac:dyDescent="0.2">
      <c r="A242">
        <v>1600150</v>
      </c>
      <c r="B242">
        <v>2023</v>
      </c>
      <c r="C242">
        <v>9</v>
      </c>
      <c r="D242" t="s">
        <v>428</v>
      </c>
      <c r="E242" t="s">
        <v>429</v>
      </c>
      <c r="F242" t="s">
        <v>433</v>
      </c>
      <c r="G242" t="s">
        <v>6</v>
      </c>
      <c r="H242" t="s">
        <v>212</v>
      </c>
      <c r="I242" s="5">
        <v>26545</v>
      </c>
      <c r="J242">
        <f>IFERROR(VLOOKUP(G242,'LEAID Match'!$A$2:$B$183,2,FALSE),"")</f>
        <v>1600150</v>
      </c>
      <c r="K242">
        <f t="shared" si="3"/>
        <v>9</v>
      </c>
    </row>
    <row r="243" spans="1:11" x14ac:dyDescent="0.2">
      <c r="A243">
        <v>1600151</v>
      </c>
      <c r="B243">
        <v>2015</v>
      </c>
      <c r="C243">
        <v>132</v>
      </c>
      <c r="D243" t="s">
        <v>428</v>
      </c>
      <c r="E243" t="s">
        <v>429</v>
      </c>
      <c r="F243" t="s">
        <v>433</v>
      </c>
      <c r="G243" t="s">
        <v>157</v>
      </c>
      <c r="H243" t="s">
        <v>157</v>
      </c>
      <c r="I243" s="5">
        <v>59156</v>
      </c>
      <c r="J243">
        <f>IFERROR(VLOOKUP(G243,'LEAID Match'!$A$2:$B$183,2,FALSE),"")</f>
        <v>1600151</v>
      </c>
      <c r="K243">
        <f t="shared" si="3"/>
        <v>9</v>
      </c>
    </row>
    <row r="244" spans="1:11" x14ac:dyDescent="0.2">
      <c r="A244">
        <v>1600151</v>
      </c>
      <c r="B244">
        <v>2016</v>
      </c>
      <c r="C244">
        <v>132</v>
      </c>
      <c r="D244" t="s">
        <v>428</v>
      </c>
      <c r="E244" t="s">
        <v>429</v>
      </c>
      <c r="F244" t="s">
        <v>433</v>
      </c>
      <c r="G244" t="s">
        <v>157</v>
      </c>
      <c r="H244" t="s">
        <v>157</v>
      </c>
      <c r="I244" s="5">
        <v>65300</v>
      </c>
      <c r="J244">
        <f>IFERROR(VLOOKUP(G244,'LEAID Match'!$A$2:$B$183,2,FALSE),"")</f>
        <v>1600151</v>
      </c>
      <c r="K244">
        <f t="shared" si="3"/>
        <v>9</v>
      </c>
    </row>
    <row r="245" spans="1:11" x14ac:dyDescent="0.2">
      <c r="A245">
        <v>1600151</v>
      </c>
      <c r="B245">
        <v>2017</v>
      </c>
      <c r="C245">
        <v>132</v>
      </c>
      <c r="D245" t="s">
        <v>428</v>
      </c>
      <c r="E245" t="s">
        <v>429</v>
      </c>
      <c r="F245" t="s">
        <v>433</v>
      </c>
      <c r="G245" t="s">
        <v>157</v>
      </c>
      <c r="H245" t="s">
        <v>157</v>
      </c>
      <c r="I245" s="5">
        <v>70560</v>
      </c>
      <c r="J245">
        <f>IFERROR(VLOOKUP(G245,'LEAID Match'!$A$2:$B$183,2,FALSE),"")</f>
        <v>1600151</v>
      </c>
      <c r="K245">
        <f t="shared" si="3"/>
        <v>9</v>
      </c>
    </row>
    <row r="246" spans="1:11" x14ac:dyDescent="0.2">
      <c r="A246">
        <v>1600151</v>
      </c>
      <c r="B246">
        <v>2018</v>
      </c>
      <c r="C246">
        <v>132</v>
      </c>
      <c r="D246" t="s">
        <v>428</v>
      </c>
      <c r="E246" t="s">
        <v>429</v>
      </c>
      <c r="F246" t="s">
        <v>433</v>
      </c>
      <c r="G246" t="s">
        <v>157</v>
      </c>
      <c r="H246" t="s">
        <v>157</v>
      </c>
      <c r="I246" s="5">
        <v>76377</v>
      </c>
      <c r="J246">
        <f>IFERROR(VLOOKUP(G246,'LEAID Match'!$A$2:$B$183,2,FALSE),"")</f>
        <v>1600151</v>
      </c>
      <c r="K246">
        <f t="shared" si="3"/>
        <v>9</v>
      </c>
    </row>
    <row r="247" spans="1:11" x14ac:dyDescent="0.2">
      <c r="A247">
        <v>1600151</v>
      </c>
      <c r="B247">
        <v>2019</v>
      </c>
      <c r="C247">
        <v>132</v>
      </c>
      <c r="D247" t="s">
        <v>428</v>
      </c>
      <c r="E247" t="s">
        <v>429</v>
      </c>
      <c r="F247" t="s">
        <v>433</v>
      </c>
      <c r="G247" t="s">
        <v>157</v>
      </c>
      <c r="H247" t="s">
        <v>157</v>
      </c>
      <c r="I247" s="5">
        <v>81449</v>
      </c>
      <c r="J247">
        <f>IFERROR(VLOOKUP(G247,'LEAID Match'!$A$2:$B$183,2,FALSE),"")</f>
        <v>1600151</v>
      </c>
      <c r="K247">
        <f t="shared" si="3"/>
        <v>9</v>
      </c>
    </row>
    <row r="248" spans="1:11" x14ac:dyDescent="0.2">
      <c r="A248">
        <v>1600151</v>
      </c>
      <c r="B248">
        <v>2020</v>
      </c>
      <c r="C248">
        <v>132</v>
      </c>
      <c r="D248" t="s">
        <v>428</v>
      </c>
      <c r="E248" t="s">
        <v>429</v>
      </c>
      <c r="F248" t="s">
        <v>433</v>
      </c>
      <c r="G248" t="s">
        <v>157</v>
      </c>
      <c r="H248" t="s">
        <v>157</v>
      </c>
      <c r="I248" s="5">
        <v>94964</v>
      </c>
      <c r="J248">
        <f>IFERROR(VLOOKUP(G248,'LEAID Match'!$A$2:$B$183,2,FALSE),"")</f>
        <v>1600151</v>
      </c>
      <c r="K248">
        <f t="shared" si="3"/>
        <v>9</v>
      </c>
    </row>
    <row r="249" spans="1:11" x14ac:dyDescent="0.2">
      <c r="A249">
        <v>1600151</v>
      </c>
      <c r="B249">
        <v>2021</v>
      </c>
      <c r="C249">
        <v>132</v>
      </c>
      <c r="D249" t="s">
        <v>428</v>
      </c>
      <c r="E249" t="s">
        <v>429</v>
      </c>
      <c r="F249" t="s">
        <v>433</v>
      </c>
      <c r="G249" t="s">
        <v>157</v>
      </c>
      <c r="H249" t="s">
        <v>157</v>
      </c>
      <c r="I249" s="5">
        <v>104747</v>
      </c>
      <c r="J249">
        <f>IFERROR(VLOOKUP(G249,'LEAID Match'!$A$2:$B$183,2,FALSE),"")</f>
        <v>1600151</v>
      </c>
      <c r="K249">
        <f t="shared" si="3"/>
        <v>9</v>
      </c>
    </row>
    <row r="250" spans="1:11" x14ac:dyDescent="0.2">
      <c r="A250">
        <v>1600151</v>
      </c>
      <c r="B250">
        <v>2022</v>
      </c>
      <c r="C250">
        <v>132</v>
      </c>
      <c r="D250" t="s">
        <v>428</v>
      </c>
      <c r="E250" t="s">
        <v>429</v>
      </c>
      <c r="F250" t="s">
        <v>433</v>
      </c>
      <c r="G250" t="s">
        <v>157</v>
      </c>
      <c r="H250" t="s">
        <v>157</v>
      </c>
      <c r="I250" s="5">
        <v>110276</v>
      </c>
      <c r="J250">
        <f>IFERROR(VLOOKUP(G250,'LEAID Match'!$A$2:$B$183,2,FALSE),"")</f>
        <v>1600151</v>
      </c>
      <c r="K250">
        <f t="shared" si="3"/>
        <v>9</v>
      </c>
    </row>
    <row r="251" spans="1:11" x14ac:dyDescent="0.2">
      <c r="A251">
        <v>1600151</v>
      </c>
      <c r="B251">
        <v>2023</v>
      </c>
      <c r="C251">
        <v>132</v>
      </c>
      <c r="D251" t="s">
        <v>428</v>
      </c>
      <c r="E251" t="s">
        <v>429</v>
      </c>
      <c r="F251" t="s">
        <v>433</v>
      </c>
      <c r="G251" t="s">
        <v>157</v>
      </c>
      <c r="H251" t="s">
        <v>157</v>
      </c>
      <c r="I251" s="5">
        <v>114415</v>
      </c>
      <c r="J251">
        <f>IFERROR(VLOOKUP(G251,'LEAID Match'!$A$2:$B$183,2,FALSE),"")</f>
        <v>1600151</v>
      </c>
      <c r="K251">
        <f t="shared" si="3"/>
        <v>9</v>
      </c>
    </row>
    <row r="252" spans="1:11" x14ac:dyDescent="0.2">
      <c r="A252">
        <v>1600152</v>
      </c>
      <c r="B252">
        <v>2015</v>
      </c>
      <c r="C252">
        <v>26</v>
      </c>
      <c r="D252" t="s">
        <v>428</v>
      </c>
      <c r="E252" t="s">
        <v>429</v>
      </c>
      <c r="F252" t="s">
        <v>433</v>
      </c>
      <c r="G252" t="s">
        <v>22</v>
      </c>
      <c r="H252" t="s">
        <v>22</v>
      </c>
      <c r="I252" s="5">
        <v>320390</v>
      </c>
      <c r="J252">
        <f>IFERROR(VLOOKUP(G252,'LEAID Match'!$A$2:$B$183,2,FALSE),"")</f>
        <v>1600152</v>
      </c>
      <c r="K252">
        <f t="shared" si="3"/>
        <v>9</v>
      </c>
    </row>
    <row r="253" spans="1:11" x14ac:dyDescent="0.2">
      <c r="A253">
        <v>1600152</v>
      </c>
      <c r="B253">
        <v>2016</v>
      </c>
      <c r="C253">
        <v>26</v>
      </c>
      <c r="D253" t="s">
        <v>428</v>
      </c>
      <c r="E253" t="s">
        <v>429</v>
      </c>
      <c r="F253" t="s">
        <v>433</v>
      </c>
      <c r="G253" t="s">
        <v>22</v>
      </c>
      <c r="H253" t="s">
        <v>22</v>
      </c>
      <c r="I253" s="5">
        <v>331209</v>
      </c>
      <c r="J253">
        <f>IFERROR(VLOOKUP(G253,'LEAID Match'!$A$2:$B$183,2,FALSE),"")</f>
        <v>1600152</v>
      </c>
      <c r="K253">
        <f t="shared" si="3"/>
        <v>9</v>
      </c>
    </row>
    <row r="254" spans="1:11" x14ac:dyDescent="0.2">
      <c r="A254">
        <v>1600152</v>
      </c>
      <c r="B254">
        <v>2017</v>
      </c>
      <c r="C254">
        <v>26</v>
      </c>
      <c r="D254" t="s">
        <v>428</v>
      </c>
      <c r="E254" t="s">
        <v>429</v>
      </c>
      <c r="F254" t="s">
        <v>433</v>
      </c>
      <c r="G254" t="s">
        <v>22</v>
      </c>
      <c r="H254" t="s">
        <v>22</v>
      </c>
      <c r="I254" s="5">
        <v>334580</v>
      </c>
      <c r="J254">
        <f>IFERROR(VLOOKUP(G254,'LEAID Match'!$A$2:$B$183,2,FALSE),"")</f>
        <v>1600152</v>
      </c>
      <c r="K254">
        <f t="shared" si="3"/>
        <v>9</v>
      </c>
    </row>
    <row r="255" spans="1:11" x14ac:dyDescent="0.2">
      <c r="A255">
        <v>1600152</v>
      </c>
      <c r="B255">
        <v>2018</v>
      </c>
      <c r="C255">
        <v>26</v>
      </c>
      <c r="D255" t="s">
        <v>428</v>
      </c>
      <c r="E255" t="s">
        <v>429</v>
      </c>
      <c r="F255" t="s">
        <v>433</v>
      </c>
      <c r="G255" t="s">
        <v>22</v>
      </c>
      <c r="H255" t="s">
        <v>22</v>
      </c>
      <c r="I255" s="5">
        <v>346581</v>
      </c>
      <c r="J255">
        <f>IFERROR(VLOOKUP(G255,'LEAID Match'!$A$2:$B$183,2,FALSE),"")</f>
        <v>1600152</v>
      </c>
      <c r="K255">
        <f t="shared" si="3"/>
        <v>9</v>
      </c>
    </row>
    <row r="256" spans="1:11" x14ac:dyDescent="0.2">
      <c r="A256">
        <v>1600152</v>
      </c>
      <c r="B256">
        <v>2019</v>
      </c>
      <c r="C256">
        <v>26</v>
      </c>
      <c r="D256" t="s">
        <v>428</v>
      </c>
      <c r="E256" t="s">
        <v>429</v>
      </c>
      <c r="F256" t="s">
        <v>433</v>
      </c>
      <c r="G256" t="s">
        <v>22</v>
      </c>
      <c r="H256" t="s">
        <v>225</v>
      </c>
      <c r="I256" s="5">
        <v>353875</v>
      </c>
      <c r="J256">
        <f>IFERROR(VLOOKUP(G256,'LEAID Match'!$A$2:$B$183,2,FALSE),"")</f>
        <v>1600152</v>
      </c>
      <c r="K256">
        <f t="shared" si="3"/>
        <v>9</v>
      </c>
    </row>
    <row r="257" spans="1:11" x14ac:dyDescent="0.2">
      <c r="A257">
        <v>1600152</v>
      </c>
      <c r="B257">
        <v>2020</v>
      </c>
      <c r="C257">
        <v>26</v>
      </c>
      <c r="D257" t="s">
        <v>428</v>
      </c>
      <c r="E257" t="s">
        <v>429</v>
      </c>
      <c r="F257" t="s">
        <v>433</v>
      </c>
      <c r="G257" t="s">
        <v>22</v>
      </c>
      <c r="H257" t="s">
        <v>330</v>
      </c>
      <c r="I257" s="5">
        <v>399588</v>
      </c>
      <c r="J257">
        <f>IFERROR(VLOOKUP(G257,'LEAID Match'!$A$2:$B$183,2,FALSE),"")</f>
        <v>1600152</v>
      </c>
      <c r="K257">
        <f t="shared" si="3"/>
        <v>9</v>
      </c>
    </row>
    <row r="258" spans="1:11" x14ac:dyDescent="0.2">
      <c r="A258">
        <v>1600152</v>
      </c>
      <c r="B258">
        <v>2021</v>
      </c>
      <c r="C258">
        <v>26</v>
      </c>
      <c r="D258" t="s">
        <v>428</v>
      </c>
      <c r="E258" t="s">
        <v>429</v>
      </c>
      <c r="F258" t="s">
        <v>433</v>
      </c>
      <c r="G258" t="s">
        <v>22</v>
      </c>
      <c r="H258" t="s">
        <v>225</v>
      </c>
      <c r="I258" s="5">
        <v>415944</v>
      </c>
      <c r="J258">
        <f>IFERROR(VLOOKUP(G258,'LEAID Match'!$A$2:$B$183,2,FALSE),"")</f>
        <v>1600152</v>
      </c>
      <c r="K258">
        <f t="shared" si="3"/>
        <v>9</v>
      </c>
    </row>
    <row r="259" spans="1:11" x14ac:dyDescent="0.2">
      <c r="A259">
        <v>1600152</v>
      </c>
      <c r="B259">
        <v>2022</v>
      </c>
      <c r="C259">
        <v>26</v>
      </c>
      <c r="D259" t="s">
        <v>428</v>
      </c>
      <c r="E259" t="s">
        <v>429</v>
      </c>
      <c r="F259" t="s">
        <v>433</v>
      </c>
      <c r="G259" t="s">
        <v>22</v>
      </c>
      <c r="H259" t="s">
        <v>225</v>
      </c>
      <c r="I259" s="5">
        <v>430607</v>
      </c>
      <c r="J259">
        <f>IFERROR(VLOOKUP(G259,'LEAID Match'!$A$2:$B$183,2,FALSE),"")</f>
        <v>1600152</v>
      </c>
      <c r="K259">
        <f t="shared" ref="K259:K322" si="4">COUNTIF($A$2:$A$1651,A259)</f>
        <v>9</v>
      </c>
    </row>
    <row r="260" spans="1:11" x14ac:dyDescent="0.2">
      <c r="A260">
        <v>1600152</v>
      </c>
      <c r="B260">
        <v>2023</v>
      </c>
      <c r="C260">
        <v>26</v>
      </c>
      <c r="D260" t="s">
        <v>428</v>
      </c>
      <c r="E260" t="s">
        <v>429</v>
      </c>
      <c r="F260" t="s">
        <v>433</v>
      </c>
      <c r="G260" t="s">
        <v>22</v>
      </c>
      <c r="H260" t="s">
        <v>225</v>
      </c>
      <c r="I260" s="5">
        <v>418921</v>
      </c>
      <c r="J260">
        <f>IFERROR(VLOOKUP(G260,'LEAID Match'!$A$2:$B$183,2,FALSE),"")</f>
        <v>1600152</v>
      </c>
      <c r="K260">
        <f t="shared" si="4"/>
        <v>9</v>
      </c>
    </row>
    <row r="261" spans="1:11" x14ac:dyDescent="0.2">
      <c r="A261">
        <v>1600153</v>
      </c>
      <c r="B261">
        <v>2015</v>
      </c>
      <c r="C261">
        <v>13</v>
      </c>
      <c r="D261" t="s">
        <v>428</v>
      </c>
      <c r="E261" t="s">
        <v>429</v>
      </c>
      <c r="F261" t="s">
        <v>433</v>
      </c>
      <c r="G261" t="s">
        <v>125</v>
      </c>
      <c r="H261" t="s">
        <v>125</v>
      </c>
      <c r="I261" s="5">
        <v>94750</v>
      </c>
      <c r="J261">
        <f>IFERROR(VLOOKUP(G261,'LEAID Match'!$A$2:$B$183,2,FALSE),"")</f>
        <v>1600153</v>
      </c>
      <c r="K261">
        <f t="shared" si="4"/>
        <v>9</v>
      </c>
    </row>
    <row r="262" spans="1:11" x14ac:dyDescent="0.2">
      <c r="A262">
        <v>1600153</v>
      </c>
      <c r="B262">
        <v>2016</v>
      </c>
      <c r="C262">
        <v>13</v>
      </c>
      <c r="D262" t="s">
        <v>428</v>
      </c>
      <c r="E262" t="s">
        <v>429</v>
      </c>
      <c r="F262" t="s">
        <v>433</v>
      </c>
      <c r="G262" t="s">
        <v>125</v>
      </c>
      <c r="H262" t="s">
        <v>175</v>
      </c>
      <c r="I262" s="5">
        <v>134289</v>
      </c>
      <c r="J262">
        <f>IFERROR(VLOOKUP(G262,'LEAID Match'!$A$2:$B$183,2,FALSE),"")</f>
        <v>1600153</v>
      </c>
      <c r="K262">
        <f t="shared" si="4"/>
        <v>9</v>
      </c>
    </row>
    <row r="263" spans="1:11" x14ac:dyDescent="0.2">
      <c r="A263">
        <v>1600153</v>
      </c>
      <c r="B263">
        <v>2017</v>
      </c>
      <c r="C263">
        <v>13</v>
      </c>
      <c r="D263" t="s">
        <v>428</v>
      </c>
      <c r="E263" t="s">
        <v>429</v>
      </c>
      <c r="F263" t="s">
        <v>433</v>
      </c>
      <c r="G263" t="s">
        <v>125</v>
      </c>
      <c r="H263" t="s">
        <v>175</v>
      </c>
      <c r="I263" s="5">
        <v>160951</v>
      </c>
      <c r="J263">
        <f>IFERROR(VLOOKUP(G263,'LEAID Match'!$A$2:$B$183,2,FALSE),"")</f>
        <v>1600153</v>
      </c>
      <c r="K263">
        <f t="shared" si="4"/>
        <v>9</v>
      </c>
    </row>
    <row r="264" spans="1:11" x14ac:dyDescent="0.2">
      <c r="A264">
        <v>1600153</v>
      </c>
      <c r="B264">
        <v>2018</v>
      </c>
      <c r="C264">
        <v>13</v>
      </c>
      <c r="D264" t="s">
        <v>428</v>
      </c>
      <c r="E264" t="s">
        <v>429</v>
      </c>
      <c r="F264" t="s">
        <v>433</v>
      </c>
      <c r="G264" t="s">
        <v>125</v>
      </c>
      <c r="H264" t="s">
        <v>125</v>
      </c>
      <c r="I264" s="5">
        <v>202198</v>
      </c>
      <c r="J264">
        <f>IFERROR(VLOOKUP(G264,'LEAID Match'!$A$2:$B$183,2,FALSE),"")</f>
        <v>1600153</v>
      </c>
      <c r="K264">
        <f t="shared" si="4"/>
        <v>9</v>
      </c>
    </row>
    <row r="265" spans="1:11" x14ac:dyDescent="0.2">
      <c r="A265">
        <v>1600153</v>
      </c>
      <c r="B265">
        <v>2019</v>
      </c>
      <c r="C265">
        <v>13</v>
      </c>
      <c r="D265" t="s">
        <v>428</v>
      </c>
      <c r="E265" t="s">
        <v>429</v>
      </c>
      <c r="F265" t="s">
        <v>433</v>
      </c>
      <c r="G265" t="s">
        <v>125</v>
      </c>
      <c r="H265" t="s">
        <v>214</v>
      </c>
      <c r="I265" s="5">
        <v>202916</v>
      </c>
      <c r="J265">
        <f>IFERROR(VLOOKUP(G265,'LEAID Match'!$A$2:$B$183,2,FALSE),"")</f>
        <v>1600153</v>
      </c>
      <c r="K265">
        <f t="shared" si="4"/>
        <v>9</v>
      </c>
    </row>
    <row r="266" spans="1:11" x14ac:dyDescent="0.2">
      <c r="A266">
        <v>1600153</v>
      </c>
      <c r="B266">
        <v>2020</v>
      </c>
      <c r="C266">
        <v>13</v>
      </c>
      <c r="D266" t="s">
        <v>428</v>
      </c>
      <c r="E266" t="s">
        <v>429</v>
      </c>
      <c r="F266" t="s">
        <v>433</v>
      </c>
      <c r="G266" t="s">
        <v>125</v>
      </c>
      <c r="H266" t="s">
        <v>214</v>
      </c>
      <c r="I266" s="5">
        <v>223712</v>
      </c>
      <c r="J266">
        <f>IFERROR(VLOOKUP(G266,'LEAID Match'!$A$2:$B$183,2,FALSE),"")</f>
        <v>1600153</v>
      </c>
      <c r="K266">
        <f t="shared" si="4"/>
        <v>9</v>
      </c>
    </row>
    <row r="267" spans="1:11" x14ac:dyDescent="0.2">
      <c r="A267">
        <v>1600153</v>
      </c>
      <c r="B267">
        <v>2021</v>
      </c>
      <c r="C267">
        <v>13</v>
      </c>
      <c r="D267" t="s">
        <v>428</v>
      </c>
      <c r="E267" t="s">
        <v>429</v>
      </c>
      <c r="F267" t="s">
        <v>433</v>
      </c>
      <c r="G267" t="s">
        <v>125</v>
      </c>
      <c r="H267" t="s">
        <v>214</v>
      </c>
      <c r="I267" s="5">
        <v>209174</v>
      </c>
      <c r="J267">
        <f>IFERROR(VLOOKUP(G267,'LEAID Match'!$A$2:$B$183,2,FALSE),"")</f>
        <v>1600153</v>
      </c>
      <c r="K267">
        <f t="shared" si="4"/>
        <v>9</v>
      </c>
    </row>
    <row r="268" spans="1:11" x14ac:dyDescent="0.2">
      <c r="A268">
        <v>1600153</v>
      </c>
      <c r="B268">
        <v>2022</v>
      </c>
      <c r="C268">
        <v>13</v>
      </c>
      <c r="D268" t="s">
        <v>428</v>
      </c>
      <c r="E268" t="s">
        <v>429</v>
      </c>
      <c r="F268" t="s">
        <v>433</v>
      </c>
      <c r="G268" t="s">
        <v>125</v>
      </c>
      <c r="H268" t="s">
        <v>214</v>
      </c>
      <c r="I268" s="5">
        <v>189821</v>
      </c>
      <c r="J268">
        <f>IFERROR(VLOOKUP(G268,'LEAID Match'!$A$2:$B$183,2,FALSE),"")</f>
        <v>1600153</v>
      </c>
      <c r="K268">
        <f t="shared" si="4"/>
        <v>9</v>
      </c>
    </row>
    <row r="269" spans="1:11" x14ac:dyDescent="0.2">
      <c r="A269">
        <v>1600153</v>
      </c>
      <c r="B269">
        <v>2023</v>
      </c>
      <c r="C269">
        <v>13</v>
      </c>
      <c r="D269" t="s">
        <v>428</v>
      </c>
      <c r="E269" t="s">
        <v>429</v>
      </c>
      <c r="F269" t="s">
        <v>433</v>
      </c>
      <c r="G269" t="s">
        <v>125</v>
      </c>
      <c r="H269" t="s">
        <v>214</v>
      </c>
      <c r="I269" s="5">
        <v>196184</v>
      </c>
      <c r="J269">
        <f>IFERROR(VLOOKUP(G269,'LEAID Match'!$A$2:$B$183,2,FALSE),"")</f>
        <v>1600153</v>
      </c>
      <c r="K269">
        <f t="shared" si="4"/>
        <v>9</v>
      </c>
    </row>
    <row r="270" spans="1:11" x14ac:dyDescent="0.2">
      <c r="A270">
        <v>1600154</v>
      </c>
      <c r="B270">
        <v>2015</v>
      </c>
      <c r="C270">
        <v>114</v>
      </c>
      <c r="D270" t="s">
        <v>428</v>
      </c>
      <c r="E270" t="s">
        <v>429</v>
      </c>
      <c r="F270" t="s">
        <v>433</v>
      </c>
      <c r="G270" t="s">
        <v>152</v>
      </c>
      <c r="H270" t="s">
        <v>152</v>
      </c>
      <c r="I270" s="5">
        <v>53567</v>
      </c>
      <c r="J270">
        <f>IFERROR(VLOOKUP(G270,'LEAID Match'!$A$2:$B$183,2,FALSE),"")</f>
        <v>1600154</v>
      </c>
      <c r="K270">
        <f t="shared" si="4"/>
        <v>9</v>
      </c>
    </row>
    <row r="271" spans="1:11" x14ac:dyDescent="0.2">
      <c r="A271">
        <v>1600154</v>
      </c>
      <c r="B271">
        <v>2016</v>
      </c>
      <c r="C271">
        <v>114</v>
      </c>
      <c r="D271" t="s">
        <v>428</v>
      </c>
      <c r="E271" t="s">
        <v>429</v>
      </c>
      <c r="F271" t="s">
        <v>433</v>
      </c>
      <c r="G271" t="s">
        <v>152</v>
      </c>
      <c r="H271" t="s">
        <v>152</v>
      </c>
      <c r="I271" s="5">
        <v>67729</v>
      </c>
      <c r="J271">
        <f>IFERROR(VLOOKUP(G271,'LEAID Match'!$A$2:$B$183,2,FALSE),"")</f>
        <v>1600154</v>
      </c>
      <c r="K271">
        <f t="shared" si="4"/>
        <v>9</v>
      </c>
    </row>
    <row r="272" spans="1:11" x14ac:dyDescent="0.2">
      <c r="A272">
        <v>1600154</v>
      </c>
      <c r="B272">
        <v>2017</v>
      </c>
      <c r="C272">
        <v>114</v>
      </c>
      <c r="D272" t="s">
        <v>428</v>
      </c>
      <c r="E272" t="s">
        <v>429</v>
      </c>
      <c r="F272" t="s">
        <v>433</v>
      </c>
      <c r="G272" t="s">
        <v>152</v>
      </c>
      <c r="H272" t="s">
        <v>152</v>
      </c>
      <c r="I272" s="5">
        <v>71726</v>
      </c>
      <c r="J272">
        <f>IFERROR(VLOOKUP(G272,'LEAID Match'!$A$2:$B$183,2,FALSE),"")</f>
        <v>1600154</v>
      </c>
      <c r="K272">
        <f t="shared" si="4"/>
        <v>9</v>
      </c>
    </row>
    <row r="273" spans="1:11" x14ac:dyDescent="0.2">
      <c r="A273">
        <v>1600154</v>
      </c>
      <c r="B273">
        <v>2018</v>
      </c>
      <c r="C273">
        <v>114</v>
      </c>
      <c r="D273" t="s">
        <v>428</v>
      </c>
      <c r="E273" t="s">
        <v>429</v>
      </c>
      <c r="F273" t="s">
        <v>433</v>
      </c>
      <c r="G273" t="s">
        <v>152</v>
      </c>
      <c r="H273" t="s">
        <v>152</v>
      </c>
      <c r="I273" s="5">
        <v>75491</v>
      </c>
      <c r="J273">
        <f>IFERROR(VLOOKUP(G273,'LEAID Match'!$A$2:$B$183,2,FALSE),"")</f>
        <v>1600154</v>
      </c>
      <c r="K273">
        <f t="shared" si="4"/>
        <v>9</v>
      </c>
    </row>
    <row r="274" spans="1:11" x14ac:dyDescent="0.2">
      <c r="A274">
        <v>1600154</v>
      </c>
      <c r="B274">
        <v>2019</v>
      </c>
      <c r="C274">
        <v>114</v>
      </c>
      <c r="D274" t="s">
        <v>428</v>
      </c>
      <c r="E274" t="s">
        <v>429</v>
      </c>
      <c r="F274" t="s">
        <v>433</v>
      </c>
      <c r="G274" t="s">
        <v>152</v>
      </c>
      <c r="H274" t="s">
        <v>152</v>
      </c>
      <c r="I274" s="5">
        <v>86596</v>
      </c>
      <c r="J274">
        <f>IFERROR(VLOOKUP(G274,'LEAID Match'!$A$2:$B$183,2,FALSE),"")</f>
        <v>1600154</v>
      </c>
      <c r="K274">
        <f t="shared" si="4"/>
        <v>9</v>
      </c>
    </row>
    <row r="275" spans="1:11" x14ac:dyDescent="0.2">
      <c r="A275">
        <v>1600154</v>
      </c>
      <c r="B275">
        <v>2020</v>
      </c>
      <c r="C275">
        <v>114</v>
      </c>
      <c r="D275" t="s">
        <v>428</v>
      </c>
      <c r="E275" t="s">
        <v>429</v>
      </c>
      <c r="F275" t="s">
        <v>433</v>
      </c>
      <c r="G275" t="s">
        <v>152</v>
      </c>
      <c r="H275" t="s">
        <v>152</v>
      </c>
      <c r="I275" s="5">
        <v>103413</v>
      </c>
      <c r="J275">
        <f>IFERROR(VLOOKUP(G275,'LEAID Match'!$A$2:$B$183,2,FALSE),"")</f>
        <v>1600154</v>
      </c>
      <c r="K275">
        <f t="shared" si="4"/>
        <v>9</v>
      </c>
    </row>
    <row r="276" spans="1:11" x14ac:dyDescent="0.2">
      <c r="A276">
        <v>1600154</v>
      </c>
      <c r="B276">
        <v>2021</v>
      </c>
      <c r="C276">
        <v>114</v>
      </c>
      <c r="D276" t="s">
        <v>428</v>
      </c>
      <c r="E276" t="s">
        <v>429</v>
      </c>
      <c r="F276" t="s">
        <v>433</v>
      </c>
      <c r="G276" t="s">
        <v>152</v>
      </c>
      <c r="H276" t="s">
        <v>152</v>
      </c>
      <c r="I276" s="5">
        <v>124341</v>
      </c>
      <c r="J276">
        <f>IFERROR(VLOOKUP(G276,'LEAID Match'!$A$2:$B$183,2,FALSE),"")</f>
        <v>1600154</v>
      </c>
      <c r="K276">
        <f t="shared" si="4"/>
        <v>9</v>
      </c>
    </row>
    <row r="277" spans="1:11" x14ac:dyDescent="0.2">
      <c r="A277">
        <v>1600154</v>
      </c>
      <c r="B277">
        <v>2022</v>
      </c>
      <c r="C277">
        <v>114</v>
      </c>
      <c r="D277" t="s">
        <v>428</v>
      </c>
      <c r="E277" t="s">
        <v>429</v>
      </c>
      <c r="F277" t="s">
        <v>433</v>
      </c>
      <c r="G277" t="s">
        <v>152</v>
      </c>
      <c r="H277" t="s">
        <v>152</v>
      </c>
      <c r="I277" s="5">
        <v>102024</v>
      </c>
      <c r="J277">
        <f>IFERROR(VLOOKUP(G277,'LEAID Match'!$A$2:$B$183,2,FALSE),"")</f>
        <v>1600154</v>
      </c>
      <c r="K277">
        <f t="shared" si="4"/>
        <v>9</v>
      </c>
    </row>
    <row r="278" spans="1:11" x14ac:dyDescent="0.2">
      <c r="A278">
        <v>1600154</v>
      </c>
      <c r="B278">
        <v>2023</v>
      </c>
      <c r="C278">
        <v>114</v>
      </c>
      <c r="D278" t="s">
        <v>428</v>
      </c>
      <c r="E278" t="s">
        <v>429</v>
      </c>
      <c r="F278" t="s">
        <v>433</v>
      </c>
      <c r="G278" t="s">
        <v>152</v>
      </c>
      <c r="H278" t="s">
        <v>152</v>
      </c>
      <c r="I278" s="5">
        <v>83731</v>
      </c>
      <c r="J278">
        <f>IFERROR(VLOOKUP(G278,'LEAID Match'!$A$2:$B$183,2,FALSE),"")</f>
        <v>1600154</v>
      </c>
      <c r="K278">
        <f t="shared" si="4"/>
        <v>9</v>
      </c>
    </row>
    <row r="279" spans="1:11" x14ac:dyDescent="0.2">
      <c r="A279">
        <v>1600155</v>
      </c>
      <c r="B279">
        <v>2015</v>
      </c>
      <c r="C279">
        <v>6</v>
      </c>
      <c r="D279" t="s">
        <v>428</v>
      </c>
      <c r="E279" t="s">
        <v>429</v>
      </c>
      <c r="F279" t="s">
        <v>433</v>
      </c>
      <c r="G279" t="s">
        <v>122</v>
      </c>
      <c r="H279" t="s">
        <v>122</v>
      </c>
      <c r="I279" s="5">
        <v>122581</v>
      </c>
      <c r="J279">
        <f>IFERROR(VLOOKUP(G279,'LEAID Match'!$A$2:$B$183,2,FALSE),"")</f>
        <v>1600155</v>
      </c>
      <c r="K279">
        <f t="shared" si="4"/>
        <v>9</v>
      </c>
    </row>
    <row r="280" spans="1:11" x14ac:dyDescent="0.2">
      <c r="A280">
        <v>1600155</v>
      </c>
      <c r="B280">
        <v>2016</v>
      </c>
      <c r="C280">
        <v>6</v>
      </c>
      <c r="D280" t="s">
        <v>428</v>
      </c>
      <c r="E280" t="s">
        <v>429</v>
      </c>
      <c r="F280" t="s">
        <v>433</v>
      </c>
      <c r="G280" t="s">
        <v>122</v>
      </c>
      <c r="H280" t="s">
        <v>122</v>
      </c>
      <c r="I280" s="5">
        <v>165327</v>
      </c>
      <c r="J280">
        <f>IFERROR(VLOOKUP(G280,'LEAID Match'!$A$2:$B$183,2,FALSE),"")</f>
        <v>1600155</v>
      </c>
      <c r="K280">
        <f t="shared" si="4"/>
        <v>9</v>
      </c>
    </row>
    <row r="281" spans="1:11" x14ac:dyDescent="0.2">
      <c r="A281">
        <v>1600155</v>
      </c>
      <c r="B281">
        <v>2017</v>
      </c>
      <c r="C281">
        <v>6</v>
      </c>
      <c r="D281" t="s">
        <v>428</v>
      </c>
      <c r="E281" t="s">
        <v>429</v>
      </c>
      <c r="F281" t="s">
        <v>433</v>
      </c>
      <c r="G281" t="s">
        <v>122</v>
      </c>
      <c r="H281" t="s">
        <v>122</v>
      </c>
      <c r="I281" s="5">
        <v>184714</v>
      </c>
      <c r="J281">
        <f>IFERROR(VLOOKUP(G281,'LEAID Match'!$A$2:$B$183,2,FALSE),"")</f>
        <v>1600155</v>
      </c>
      <c r="K281">
        <f t="shared" si="4"/>
        <v>9</v>
      </c>
    </row>
    <row r="282" spans="1:11" x14ac:dyDescent="0.2">
      <c r="A282">
        <v>1600155</v>
      </c>
      <c r="B282">
        <v>2018</v>
      </c>
      <c r="C282">
        <v>6</v>
      </c>
      <c r="D282" t="s">
        <v>428</v>
      </c>
      <c r="E282" t="s">
        <v>429</v>
      </c>
      <c r="F282" t="s">
        <v>433</v>
      </c>
      <c r="G282" t="s">
        <v>122</v>
      </c>
      <c r="H282" t="s">
        <v>122</v>
      </c>
      <c r="I282" s="5">
        <v>200792</v>
      </c>
      <c r="J282">
        <f>IFERROR(VLOOKUP(G282,'LEAID Match'!$A$2:$B$183,2,FALSE),"")</f>
        <v>1600155</v>
      </c>
      <c r="K282">
        <f t="shared" si="4"/>
        <v>9</v>
      </c>
    </row>
    <row r="283" spans="1:11" x14ac:dyDescent="0.2">
      <c r="A283">
        <v>1600155</v>
      </c>
      <c r="B283">
        <v>2019</v>
      </c>
      <c r="C283">
        <v>6</v>
      </c>
      <c r="D283" t="s">
        <v>428</v>
      </c>
      <c r="E283" t="s">
        <v>429</v>
      </c>
      <c r="F283" t="s">
        <v>433</v>
      </c>
      <c r="G283" t="s">
        <v>122</v>
      </c>
      <c r="H283" t="s">
        <v>122</v>
      </c>
      <c r="I283" s="5">
        <v>217150</v>
      </c>
      <c r="J283">
        <f>IFERROR(VLOOKUP(G283,'LEAID Match'!$A$2:$B$183,2,FALSE),"")</f>
        <v>1600155</v>
      </c>
      <c r="K283">
        <f t="shared" si="4"/>
        <v>9</v>
      </c>
    </row>
    <row r="284" spans="1:11" x14ac:dyDescent="0.2">
      <c r="A284">
        <v>1600155</v>
      </c>
      <c r="B284">
        <v>2020</v>
      </c>
      <c r="C284">
        <v>6</v>
      </c>
      <c r="D284" t="s">
        <v>428</v>
      </c>
      <c r="E284" t="s">
        <v>429</v>
      </c>
      <c r="F284" t="s">
        <v>433</v>
      </c>
      <c r="G284" t="s">
        <v>122</v>
      </c>
      <c r="H284" t="s">
        <v>122</v>
      </c>
      <c r="I284" s="5">
        <v>269235</v>
      </c>
      <c r="J284">
        <f>IFERROR(VLOOKUP(G284,'LEAID Match'!$A$2:$B$183,2,FALSE),"")</f>
        <v>1600155</v>
      </c>
      <c r="K284">
        <f t="shared" si="4"/>
        <v>9</v>
      </c>
    </row>
    <row r="285" spans="1:11" x14ac:dyDescent="0.2">
      <c r="A285">
        <v>1600155</v>
      </c>
      <c r="B285">
        <v>2021</v>
      </c>
      <c r="C285">
        <v>6</v>
      </c>
      <c r="D285" t="s">
        <v>428</v>
      </c>
      <c r="E285" t="s">
        <v>429</v>
      </c>
      <c r="F285" t="s">
        <v>433</v>
      </c>
      <c r="G285" t="s">
        <v>122</v>
      </c>
      <c r="H285" t="s">
        <v>122</v>
      </c>
      <c r="I285" s="5">
        <v>275611</v>
      </c>
      <c r="J285">
        <f>IFERROR(VLOOKUP(G285,'LEAID Match'!$A$2:$B$183,2,FALSE),"")</f>
        <v>1600155</v>
      </c>
      <c r="K285">
        <f t="shared" si="4"/>
        <v>9</v>
      </c>
    </row>
    <row r="286" spans="1:11" x14ac:dyDescent="0.2">
      <c r="A286">
        <v>1600155</v>
      </c>
      <c r="B286">
        <v>2022</v>
      </c>
      <c r="C286">
        <v>6</v>
      </c>
      <c r="D286" t="s">
        <v>428</v>
      </c>
      <c r="E286" t="s">
        <v>429</v>
      </c>
      <c r="F286" t="s">
        <v>433</v>
      </c>
      <c r="G286" t="s">
        <v>122</v>
      </c>
      <c r="H286" t="s">
        <v>122</v>
      </c>
      <c r="I286" s="5">
        <v>323440</v>
      </c>
      <c r="J286">
        <f>IFERROR(VLOOKUP(G286,'LEAID Match'!$A$2:$B$183,2,FALSE),"")</f>
        <v>1600155</v>
      </c>
      <c r="K286">
        <f t="shared" si="4"/>
        <v>9</v>
      </c>
    </row>
    <row r="287" spans="1:11" x14ac:dyDescent="0.2">
      <c r="A287">
        <v>1600155</v>
      </c>
      <c r="B287">
        <v>2023</v>
      </c>
      <c r="C287">
        <v>6</v>
      </c>
      <c r="D287" t="s">
        <v>428</v>
      </c>
      <c r="E287" t="s">
        <v>429</v>
      </c>
      <c r="F287" t="s">
        <v>433</v>
      </c>
      <c r="G287" t="s">
        <v>122</v>
      </c>
      <c r="H287" t="s">
        <v>122</v>
      </c>
      <c r="I287" s="5">
        <v>29503</v>
      </c>
      <c r="J287">
        <f>IFERROR(VLOOKUP(G287,'LEAID Match'!$A$2:$B$183,2,FALSE),"")</f>
        <v>1600155</v>
      </c>
      <c r="K287">
        <f t="shared" si="4"/>
        <v>9</v>
      </c>
    </row>
    <row r="288" spans="1:11" x14ac:dyDescent="0.2">
      <c r="A288">
        <v>1600156</v>
      </c>
      <c r="B288">
        <v>2015</v>
      </c>
      <c r="C288">
        <v>156</v>
      </c>
      <c r="D288" t="s">
        <v>428</v>
      </c>
      <c r="E288" t="s">
        <v>429</v>
      </c>
      <c r="F288" t="s">
        <v>433</v>
      </c>
      <c r="G288" t="s">
        <v>161</v>
      </c>
      <c r="H288" t="s">
        <v>161</v>
      </c>
      <c r="I288" s="5">
        <v>317162</v>
      </c>
      <c r="J288">
        <f>IFERROR(VLOOKUP(G288,'LEAID Match'!$A$2:$B$183,2,FALSE),"")</f>
        <v>1600156</v>
      </c>
      <c r="K288">
        <f t="shared" si="4"/>
        <v>9</v>
      </c>
    </row>
    <row r="289" spans="1:11" x14ac:dyDescent="0.2">
      <c r="A289">
        <v>1600156</v>
      </c>
      <c r="B289">
        <v>2016</v>
      </c>
      <c r="C289">
        <v>156</v>
      </c>
      <c r="D289" t="s">
        <v>428</v>
      </c>
      <c r="E289" t="s">
        <v>429</v>
      </c>
      <c r="F289" t="s">
        <v>433</v>
      </c>
      <c r="G289" t="s">
        <v>161</v>
      </c>
      <c r="H289" t="s">
        <v>161</v>
      </c>
      <c r="I289" s="5">
        <v>352028</v>
      </c>
      <c r="J289">
        <f>IFERROR(VLOOKUP(G289,'LEAID Match'!$A$2:$B$183,2,FALSE),"")</f>
        <v>1600156</v>
      </c>
      <c r="K289">
        <f t="shared" si="4"/>
        <v>9</v>
      </c>
    </row>
    <row r="290" spans="1:11" x14ac:dyDescent="0.2">
      <c r="A290">
        <v>1600156</v>
      </c>
      <c r="B290">
        <v>2017</v>
      </c>
      <c r="C290">
        <v>156</v>
      </c>
      <c r="D290" t="s">
        <v>428</v>
      </c>
      <c r="E290" t="s">
        <v>429</v>
      </c>
      <c r="F290" t="s">
        <v>433</v>
      </c>
      <c r="G290" t="s">
        <v>161</v>
      </c>
      <c r="H290" t="s">
        <v>161</v>
      </c>
      <c r="I290" s="5">
        <v>397404</v>
      </c>
      <c r="J290">
        <f>IFERROR(VLOOKUP(G290,'LEAID Match'!$A$2:$B$183,2,FALSE),"")</f>
        <v>1600156</v>
      </c>
      <c r="K290">
        <f t="shared" si="4"/>
        <v>9</v>
      </c>
    </row>
    <row r="291" spans="1:11" x14ac:dyDescent="0.2">
      <c r="A291">
        <v>1600156</v>
      </c>
      <c r="B291">
        <v>2018</v>
      </c>
      <c r="C291">
        <v>156</v>
      </c>
      <c r="D291" t="s">
        <v>428</v>
      </c>
      <c r="E291" t="s">
        <v>429</v>
      </c>
      <c r="F291" t="s">
        <v>433</v>
      </c>
      <c r="G291" t="s">
        <v>161</v>
      </c>
      <c r="H291" t="s">
        <v>161</v>
      </c>
      <c r="I291" s="5">
        <v>438954</v>
      </c>
      <c r="J291">
        <f>IFERROR(VLOOKUP(G291,'LEAID Match'!$A$2:$B$183,2,FALSE),"")</f>
        <v>1600156</v>
      </c>
      <c r="K291">
        <f t="shared" si="4"/>
        <v>9</v>
      </c>
    </row>
    <row r="292" spans="1:11" x14ac:dyDescent="0.2">
      <c r="A292">
        <v>1600156</v>
      </c>
      <c r="B292">
        <v>2019</v>
      </c>
      <c r="C292">
        <v>156</v>
      </c>
      <c r="D292" t="s">
        <v>428</v>
      </c>
      <c r="E292" t="s">
        <v>429</v>
      </c>
      <c r="F292" t="s">
        <v>433</v>
      </c>
      <c r="G292" t="s">
        <v>161</v>
      </c>
      <c r="H292" t="s">
        <v>161</v>
      </c>
      <c r="I292" s="5">
        <v>465008</v>
      </c>
      <c r="J292">
        <f>IFERROR(VLOOKUP(G292,'LEAID Match'!$A$2:$B$183,2,FALSE),"")</f>
        <v>1600156</v>
      </c>
      <c r="K292">
        <f t="shared" si="4"/>
        <v>9</v>
      </c>
    </row>
    <row r="293" spans="1:11" x14ac:dyDescent="0.2">
      <c r="A293">
        <v>1600156</v>
      </c>
      <c r="B293">
        <v>2020</v>
      </c>
      <c r="C293">
        <v>156</v>
      </c>
      <c r="D293" t="s">
        <v>428</v>
      </c>
      <c r="E293" t="s">
        <v>429</v>
      </c>
      <c r="F293" t="s">
        <v>433</v>
      </c>
      <c r="G293" t="s">
        <v>161</v>
      </c>
      <c r="H293" t="s">
        <v>369</v>
      </c>
      <c r="I293" s="5">
        <v>519459</v>
      </c>
      <c r="J293">
        <f>IFERROR(VLOOKUP(G293,'LEAID Match'!$A$2:$B$183,2,FALSE),"")</f>
        <v>1600156</v>
      </c>
      <c r="K293">
        <f t="shared" si="4"/>
        <v>9</v>
      </c>
    </row>
    <row r="294" spans="1:11" x14ac:dyDescent="0.2">
      <c r="A294">
        <v>1600156</v>
      </c>
      <c r="B294">
        <v>2021</v>
      </c>
      <c r="C294">
        <v>156</v>
      </c>
      <c r="D294" t="s">
        <v>428</v>
      </c>
      <c r="E294" t="s">
        <v>429</v>
      </c>
      <c r="F294" t="s">
        <v>433</v>
      </c>
      <c r="G294" t="s">
        <v>161</v>
      </c>
      <c r="H294" t="s">
        <v>161</v>
      </c>
      <c r="I294" s="5">
        <v>573994</v>
      </c>
      <c r="J294">
        <f>IFERROR(VLOOKUP(G294,'LEAID Match'!$A$2:$B$183,2,FALSE),"")</f>
        <v>1600156</v>
      </c>
      <c r="K294">
        <f t="shared" si="4"/>
        <v>9</v>
      </c>
    </row>
    <row r="295" spans="1:11" x14ac:dyDescent="0.2">
      <c r="A295">
        <v>1600156</v>
      </c>
      <c r="B295">
        <v>2022</v>
      </c>
      <c r="C295">
        <v>156</v>
      </c>
      <c r="D295" t="s">
        <v>428</v>
      </c>
      <c r="E295" t="s">
        <v>429</v>
      </c>
      <c r="F295" t="s">
        <v>433</v>
      </c>
      <c r="G295" t="s">
        <v>161</v>
      </c>
      <c r="H295" t="s">
        <v>161</v>
      </c>
      <c r="I295" s="5">
        <v>610688</v>
      </c>
      <c r="J295">
        <f>IFERROR(VLOOKUP(G295,'LEAID Match'!$A$2:$B$183,2,FALSE),"")</f>
        <v>1600156</v>
      </c>
      <c r="K295">
        <f t="shared" si="4"/>
        <v>9</v>
      </c>
    </row>
    <row r="296" spans="1:11" x14ac:dyDescent="0.2">
      <c r="A296">
        <v>1600156</v>
      </c>
      <c r="B296">
        <v>2023</v>
      </c>
      <c r="C296">
        <v>156</v>
      </c>
      <c r="D296" t="s">
        <v>428</v>
      </c>
      <c r="E296" t="s">
        <v>429</v>
      </c>
      <c r="F296" t="s">
        <v>433</v>
      </c>
      <c r="G296" t="s">
        <v>161</v>
      </c>
      <c r="H296" t="s">
        <v>161</v>
      </c>
      <c r="I296" s="5">
        <v>630636</v>
      </c>
      <c r="J296">
        <f>IFERROR(VLOOKUP(G296,'LEAID Match'!$A$2:$B$183,2,FALSE),"")</f>
        <v>1600156</v>
      </c>
      <c r="K296">
        <f t="shared" si="4"/>
        <v>9</v>
      </c>
    </row>
    <row r="297" spans="1:11" x14ac:dyDescent="0.2">
      <c r="A297">
        <v>1600157</v>
      </c>
      <c r="B297">
        <v>2015</v>
      </c>
      <c r="C297">
        <v>174</v>
      </c>
      <c r="D297" t="s">
        <v>428</v>
      </c>
      <c r="E297" t="s">
        <v>429</v>
      </c>
      <c r="F297" t="s">
        <v>433</v>
      </c>
      <c r="G297" t="s">
        <v>166</v>
      </c>
      <c r="H297" t="s">
        <v>166</v>
      </c>
      <c r="I297" s="5">
        <v>85066</v>
      </c>
      <c r="J297">
        <f>IFERROR(VLOOKUP(G297,'LEAID Match'!$A$2:$B$183,2,FALSE),"")</f>
        <v>1600157</v>
      </c>
      <c r="K297">
        <f t="shared" si="4"/>
        <v>9</v>
      </c>
    </row>
    <row r="298" spans="1:11" x14ac:dyDescent="0.2">
      <c r="A298">
        <v>1600157</v>
      </c>
      <c r="B298">
        <v>2016</v>
      </c>
      <c r="C298">
        <v>174</v>
      </c>
      <c r="D298" t="s">
        <v>428</v>
      </c>
      <c r="E298" t="s">
        <v>429</v>
      </c>
      <c r="F298" t="s">
        <v>433</v>
      </c>
      <c r="G298" t="s">
        <v>166</v>
      </c>
      <c r="H298" t="s">
        <v>166</v>
      </c>
      <c r="I298" s="5">
        <v>96747</v>
      </c>
      <c r="J298">
        <f>IFERROR(VLOOKUP(G298,'LEAID Match'!$A$2:$B$183,2,FALSE),"")</f>
        <v>1600157</v>
      </c>
      <c r="K298">
        <f t="shared" si="4"/>
        <v>9</v>
      </c>
    </row>
    <row r="299" spans="1:11" x14ac:dyDescent="0.2">
      <c r="A299">
        <v>1600157</v>
      </c>
      <c r="B299">
        <v>2017</v>
      </c>
      <c r="C299">
        <v>174</v>
      </c>
      <c r="D299" t="s">
        <v>428</v>
      </c>
      <c r="E299" t="s">
        <v>429</v>
      </c>
      <c r="F299" t="s">
        <v>433</v>
      </c>
      <c r="G299" t="s">
        <v>166</v>
      </c>
      <c r="H299" t="s">
        <v>166</v>
      </c>
      <c r="I299" s="5">
        <v>119823</v>
      </c>
      <c r="J299">
        <f>IFERROR(VLOOKUP(G299,'LEAID Match'!$A$2:$B$183,2,FALSE),"")</f>
        <v>1600157</v>
      </c>
      <c r="K299">
        <f t="shared" si="4"/>
        <v>9</v>
      </c>
    </row>
    <row r="300" spans="1:11" x14ac:dyDescent="0.2">
      <c r="A300">
        <v>1600157</v>
      </c>
      <c r="B300">
        <v>2018</v>
      </c>
      <c r="C300">
        <v>174</v>
      </c>
      <c r="D300" t="s">
        <v>428</v>
      </c>
      <c r="E300" t="s">
        <v>429</v>
      </c>
      <c r="F300" t="s">
        <v>433</v>
      </c>
      <c r="G300" t="s">
        <v>166</v>
      </c>
      <c r="H300" t="s">
        <v>166</v>
      </c>
      <c r="I300" s="5">
        <v>138991</v>
      </c>
      <c r="J300">
        <f>IFERROR(VLOOKUP(G300,'LEAID Match'!$A$2:$B$183,2,FALSE),"")</f>
        <v>1600157</v>
      </c>
      <c r="K300">
        <f t="shared" si="4"/>
        <v>9</v>
      </c>
    </row>
    <row r="301" spans="1:11" x14ac:dyDescent="0.2">
      <c r="A301">
        <v>1600157</v>
      </c>
      <c r="B301">
        <v>2019</v>
      </c>
      <c r="C301">
        <v>174</v>
      </c>
      <c r="D301" t="s">
        <v>428</v>
      </c>
      <c r="E301" t="s">
        <v>429</v>
      </c>
      <c r="F301" t="s">
        <v>433</v>
      </c>
      <c r="G301" t="s">
        <v>166</v>
      </c>
      <c r="H301" t="s">
        <v>166</v>
      </c>
      <c r="I301" s="5">
        <v>155215</v>
      </c>
      <c r="J301">
        <f>IFERROR(VLOOKUP(G301,'LEAID Match'!$A$2:$B$183,2,FALSE),"")</f>
        <v>1600157</v>
      </c>
      <c r="K301">
        <f t="shared" si="4"/>
        <v>9</v>
      </c>
    </row>
    <row r="302" spans="1:11" x14ac:dyDescent="0.2">
      <c r="A302">
        <v>1600157</v>
      </c>
      <c r="B302">
        <v>2020</v>
      </c>
      <c r="C302">
        <v>174</v>
      </c>
      <c r="D302" t="s">
        <v>428</v>
      </c>
      <c r="E302" t="s">
        <v>429</v>
      </c>
      <c r="F302" t="s">
        <v>433</v>
      </c>
      <c r="G302" t="s">
        <v>166</v>
      </c>
      <c r="H302" t="s">
        <v>166</v>
      </c>
      <c r="I302" s="5">
        <v>142010</v>
      </c>
      <c r="J302">
        <f>IFERROR(VLOOKUP(G302,'LEAID Match'!$A$2:$B$183,2,FALSE),"")</f>
        <v>1600157</v>
      </c>
      <c r="K302">
        <f t="shared" si="4"/>
        <v>9</v>
      </c>
    </row>
    <row r="303" spans="1:11" x14ac:dyDescent="0.2">
      <c r="A303">
        <v>1600157</v>
      </c>
      <c r="B303">
        <v>2021</v>
      </c>
      <c r="C303">
        <v>174</v>
      </c>
      <c r="D303" t="s">
        <v>428</v>
      </c>
      <c r="E303" t="s">
        <v>429</v>
      </c>
      <c r="F303" t="s">
        <v>433</v>
      </c>
      <c r="G303" t="s">
        <v>166</v>
      </c>
      <c r="H303" t="s">
        <v>166</v>
      </c>
      <c r="I303" s="5">
        <v>115644</v>
      </c>
      <c r="J303">
        <f>IFERROR(VLOOKUP(G303,'LEAID Match'!$A$2:$B$183,2,FALSE),"")</f>
        <v>1600157</v>
      </c>
      <c r="K303">
        <f t="shared" si="4"/>
        <v>9</v>
      </c>
    </row>
    <row r="304" spans="1:11" x14ac:dyDescent="0.2">
      <c r="A304">
        <v>1600157</v>
      </c>
      <c r="B304">
        <v>2022</v>
      </c>
      <c r="C304">
        <v>174</v>
      </c>
      <c r="D304" t="s">
        <v>428</v>
      </c>
      <c r="E304" t="s">
        <v>429</v>
      </c>
      <c r="F304" t="s">
        <v>433</v>
      </c>
      <c r="G304" t="s">
        <v>166</v>
      </c>
      <c r="H304" t="s">
        <v>166</v>
      </c>
      <c r="I304" s="5">
        <v>127793</v>
      </c>
      <c r="J304">
        <f>IFERROR(VLOOKUP(G304,'LEAID Match'!$A$2:$B$183,2,FALSE),"")</f>
        <v>1600157</v>
      </c>
      <c r="K304">
        <f t="shared" si="4"/>
        <v>9</v>
      </c>
    </row>
    <row r="305" spans="1:11" x14ac:dyDescent="0.2">
      <c r="A305">
        <v>1600157</v>
      </c>
      <c r="B305">
        <v>2023</v>
      </c>
      <c r="C305">
        <v>174</v>
      </c>
      <c r="D305" t="s">
        <v>428</v>
      </c>
      <c r="E305" t="s">
        <v>429</v>
      </c>
      <c r="F305" t="s">
        <v>433</v>
      </c>
      <c r="G305" t="s">
        <v>166</v>
      </c>
      <c r="H305" t="s">
        <v>166</v>
      </c>
      <c r="I305" s="5">
        <v>131101</v>
      </c>
      <c r="J305">
        <f>IFERROR(VLOOKUP(G305,'LEAID Match'!$A$2:$B$183,2,FALSE),"")</f>
        <v>1600157</v>
      </c>
      <c r="K305">
        <f t="shared" si="4"/>
        <v>9</v>
      </c>
    </row>
    <row r="306" spans="1:11" x14ac:dyDescent="0.2">
      <c r="A306">
        <v>1600158</v>
      </c>
      <c r="B306">
        <v>2015</v>
      </c>
      <c r="C306">
        <v>99</v>
      </c>
      <c r="D306" t="s">
        <v>428</v>
      </c>
      <c r="E306" t="s">
        <v>429</v>
      </c>
      <c r="F306" t="s">
        <v>433</v>
      </c>
      <c r="G306" t="s">
        <v>148</v>
      </c>
      <c r="H306" t="s">
        <v>148</v>
      </c>
      <c r="I306" s="5">
        <v>74297</v>
      </c>
      <c r="J306">
        <f>IFERROR(VLOOKUP(G306,'LEAID Match'!$A$2:$B$183,2,FALSE),"")</f>
        <v>1600158</v>
      </c>
      <c r="K306">
        <f t="shared" si="4"/>
        <v>9</v>
      </c>
    </row>
    <row r="307" spans="1:11" x14ac:dyDescent="0.2">
      <c r="A307">
        <v>1600158</v>
      </c>
      <c r="B307">
        <v>2016</v>
      </c>
      <c r="C307">
        <v>99</v>
      </c>
      <c r="D307" t="s">
        <v>428</v>
      </c>
      <c r="E307" t="s">
        <v>429</v>
      </c>
      <c r="F307" t="s">
        <v>433</v>
      </c>
      <c r="G307" t="s">
        <v>148</v>
      </c>
      <c r="H307" t="s">
        <v>148</v>
      </c>
      <c r="I307" s="5">
        <v>77730</v>
      </c>
      <c r="J307">
        <f>IFERROR(VLOOKUP(G307,'LEAID Match'!$A$2:$B$183,2,FALSE),"")</f>
        <v>1600158</v>
      </c>
      <c r="K307">
        <f t="shared" si="4"/>
        <v>9</v>
      </c>
    </row>
    <row r="308" spans="1:11" x14ac:dyDescent="0.2">
      <c r="A308">
        <v>1600158</v>
      </c>
      <c r="B308">
        <v>2017</v>
      </c>
      <c r="C308">
        <v>99</v>
      </c>
      <c r="D308" t="s">
        <v>428</v>
      </c>
      <c r="E308" t="s">
        <v>429</v>
      </c>
      <c r="F308" t="s">
        <v>433</v>
      </c>
      <c r="G308" t="s">
        <v>148</v>
      </c>
      <c r="H308" t="s">
        <v>148</v>
      </c>
      <c r="I308" s="5">
        <v>87101</v>
      </c>
      <c r="J308">
        <f>IFERROR(VLOOKUP(G308,'LEAID Match'!$A$2:$B$183,2,FALSE),"")</f>
        <v>1600158</v>
      </c>
      <c r="K308">
        <f t="shared" si="4"/>
        <v>9</v>
      </c>
    </row>
    <row r="309" spans="1:11" x14ac:dyDescent="0.2">
      <c r="A309">
        <v>1600158</v>
      </c>
      <c r="B309">
        <v>2018</v>
      </c>
      <c r="C309">
        <v>99</v>
      </c>
      <c r="D309" t="s">
        <v>428</v>
      </c>
      <c r="E309" t="s">
        <v>429</v>
      </c>
      <c r="F309" t="s">
        <v>433</v>
      </c>
      <c r="G309" t="s">
        <v>148</v>
      </c>
      <c r="H309" t="s">
        <v>148</v>
      </c>
      <c r="I309" s="5">
        <v>90267</v>
      </c>
      <c r="J309">
        <f>IFERROR(VLOOKUP(G309,'LEAID Match'!$A$2:$B$183,2,FALSE),"")</f>
        <v>1600158</v>
      </c>
      <c r="K309">
        <f t="shared" si="4"/>
        <v>9</v>
      </c>
    </row>
    <row r="310" spans="1:11" x14ac:dyDescent="0.2">
      <c r="A310">
        <v>1600158</v>
      </c>
      <c r="B310">
        <v>2019</v>
      </c>
      <c r="C310">
        <v>99</v>
      </c>
      <c r="D310" t="s">
        <v>428</v>
      </c>
      <c r="E310" t="s">
        <v>429</v>
      </c>
      <c r="F310" t="s">
        <v>433</v>
      </c>
      <c r="G310" t="s">
        <v>148</v>
      </c>
      <c r="H310" t="s">
        <v>148</v>
      </c>
      <c r="I310" s="5">
        <v>91903</v>
      </c>
      <c r="J310">
        <f>IFERROR(VLOOKUP(G310,'LEAID Match'!$A$2:$B$183,2,FALSE),"")</f>
        <v>1600158</v>
      </c>
      <c r="K310">
        <f t="shared" si="4"/>
        <v>9</v>
      </c>
    </row>
    <row r="311" spans="1:11" x14ac:dyDescent="0.2">
      <c r="A311">
        <v>1600158</v>
      </c>
      <c r="B311">
        <v>2020</v>
      </c>
      <c r="C311">
        <v>99</v>
      </c>
      <c r="D311" t="s">
        <v>428</v>
      </c>
      <c r="E311" t="s">
        <v>429</v>
      </c>
      <c r="F311" t="s">
        <v>433</v>
      </c>
      <c r="G311" t="s">
        <v>148</v>
      </c>
      <c r="H311" t="s">
        <v>148</v>
      </c>
      <c r="I311" s="5">
        <v>135665</v>
      </c>
      <c r="J311">
        <f>IFERROR(VLOOKUP(G311,'LEAID Match'!$A$2:$B$183,2,FALSE),"")</f>
        <v>1600158</v>
      </c>
      <c r="K311">
        <f t="shared" si="4"/>
        <v>9</v>
      </c>
    </row>
    <row r="312" spans="1:11" x14ac:dyDescent="0.2">
      <c r="A312">
        <v>1600158</v>
      </c>
      <c r="B312">
        <v>2021</v>
      </c>
      <c r="C312">
        <v>99</v>
      </c>
      <c r="D312" t="s">
        <v>428</v>
      </c>
      <c r="E312" t="s">
        <v>429</v>
      </c>
      <c r="F312" t="s">
        <v>433</v>
      </c>
      <c r="G312" t="s">
        <v>148</v>
      </c>
      <c r="H312" t="s">
        <v>148</v>
      </c>
      <c r="I312" s="5">
        <v>137942</v>
      </c>
      <c r="J312">
        <f>IFERROR(VLOOKUP(G312,'LEAID Match'!$A$2:$B$183,2,FALSE),"")</f>
        <v>1600158</v>
      </c>
      <c r="K312">
        <f t="shared" si="4"/>
        <v>9</v>
      </c>
    </row>
    <row r="313" spans="1:11" x14ac:dyDescent="0.2">
      <c r="A313">
        <v>1600158</v>
      </c>
      <c r="B313">
        <v>2022</v>
      </c>
      <c r="C313">
        <v>99</v>
      </c>
      <c r="D313" t="s">
        <v>428</v>
      </c>
      <c r="E313" t="s">
        <v>429</v>
      </c>
      <c r="F313" t="s">
        <v>433</v>
      </c>
      <c r="G313" t="s">
        <v>148</v>
      </c>
      <c r="H313" t="s">
        <v>148</v>
      </c>
      <c r="I313" s="5">
        <v>142328</v>
      </c>
      <c r="J313">
        <f>IFERROR(VLOOKUP(G313,'LEAID Match'!$A$2:$B$183,2,FALSE),"")</f>
        <v>1600158</v>
      </c>
      <c r="K313">
        <f t="shared" si="4"/>
        <v>9</v>
      </c>
    </row>
    <row r="314" spans="1:11" x14ac:dyDescent="0.2">
      <c r="A314">
        <v>1600158</v>
      </c>
      <c r="B314">
        <v>2023</v>
      </c>
      <c r="C314">
        <v>99</v>
      </c>
      <c r="D314" t="s">
        <v>428</v>
      </c>
      <c r="E314" t="s">
        <v>429</v>
      </c>
      <c r="F314" t="s">
        <v>433</v>
      </c>
      <c r="G314" t="s">
        <v>148</v>
      </c>
      <c r="H314" t="s">
        <v>148</v>
      </c>
      <c r="I314" s="5">
        <v>160964</v>
      </c>
      <c r="J314">
        <f>IFERROR(VLOOKUP(G314,'LEAID Match'!$A$2:$B$183,2,FALSE),"")</f>
        <v>1600158</v>
      </c>
      <c r="K314">
        <f t="shared" si="4"/>
        <v>9</v>
      </c>
    </row>
    <row r="315" spans="1:11" x14ac:dyDescent="0.2">
      <c r="A315">
        <v>1600159</v>
      </c>
      <c r="B315">
        <v>2015</v>
      </c>
      <c r="C315">
        <v>72</v>
      </c>
      <c r="D315" t="s">
        <v>428</v>
      </c>
      <c r="E315" t="s">
        <v>429</v>
      </c>
      <c r="F315" t="s">
        <v>433</v>
      </c>
      <c r="G315" t="s">
        <v>130</v>
      </c>
      <c r="H315" t="s">
        <v>130</v>
      </c>
      <c r="I315" s="5">
        <v>68121</v>
      </c>
      <c r="J315">
        <f>IFERROR(VLOOKUP(G315,'LEAID Match'!$A$2:$B$183,2,FALSE),"")</f>
        <v>1600159</v>
      </c>
      <c r="K315">
        <f t="shared" si="4"/>
        <v>9</v>
      </c>
    </row>
    <row r="316" spans="1:11" x14ac:dyDescent="0.2">
      <c r="A316">
        <v>1600159</v>
      </c>
      <c r="B316">
        <v>2016</v>
      </c>
      <c r="C316">
        <v>72</v>
      </c>
      <c r="D316" t="s">
        <v>428</v>
      </c>
      <c r="E316" t="s">
        <v>429</v>
      </c>
      <c r="F316" t="s">
        <v>433</v>
      </c>
      <c r="G316" t="s">
        <v>130</v>
      </c>
      <c r="H316" t="s">
        <v>130</v>
      </c>
      <c r="I316" s="5">
        <v>76979</v>
      </c>
      <c r="J316">
        <f>IFERROR(VLOOKUP(G316,'LEAID Match'!$A$2:$B$183,2,FALSE),"")</f>
        <v>1600159</v>
      </c>
      <c r="K316">
        <f t="shared" si="4"/>
        <v>9</v>
      </c>
    </row>
    <row r="317" spans="1:11" x14ac:dyDescent="0.2">
      <c r="A317">
        <v>1600159</v>
      </c>
      <c r="B317">
        <v>2017</v>
      </c>
      <c r="C317">
        <v>72</v>
      </c>
      <c r="D317" t="s">
        <v>428</v>
      </c>
      <c r="E317" t="s">
        <v>429</v>
      </c>
      <c r="F317" t="s">
        <v>433</v>
      </c>
      <c r="G317" t="s">
        <v>130</v>
      </c>
      <c r="H317" t="s">
        <v>130</v>
      </c>
      <c r="I317" s="5">
        <v>83049</v>
      </c>
      <c r="J317">
        <f>IFERROR(VLOOKUP(G317,'LEAID Match'!$A$2:$B$183,2,FALSE),"")</f>
        <v>1600159</v>
      </c>
      <c r="K317">
        <f t="shared" si="4"/>
        <v>9</v>
      </c>
    </row>
    <row r="318" spans="1:11" x14ac:dyDescent="0.2">
      <c r="A318">
        <v>1600159</v>
      </c>
      <c r="B318">
        <v>2018</v>
      </c>
      <c r="C318">
        <v>72</v>
      </c>
      <c r="D318" t="s">
        <v>428</v>
      </c>
      <c r="E318" t="s">
        <v>429</v>
      </c>
      <c r="F318" t="s">
        <v>433</v>
      </c>
      <c r="G318" t="s">
        <v>130</v>
      </c>
      <c r="H318" t="s">
        <v>130</v>
      </c>
      <c r="I318" s="5">
        <v>84923</v>
      </c>
      <c r="J318">
        <f>IFERROR(VLOOKUP(G318,'LEAID Match'!$A$2:$B$183,2,FALSE),"")</f>
        <v>1600159</v>
      </c>
      <c r="K318">
        <f t="shared" si="4"/>
        <v>9</v>
      </c>
    </row>
    <row r="319" spans="1:11" x14ac:dyDescent="0.2">
      <c r="A319">
        <v>1600159</v>
      </c>
      <c r="B319">
        <v>2019</v>
      </c>
      <c r="C319">
        <v>72</v>
      </c>
      <c r="D319" t="s">
        <v>428</v>
      </c>
      <c r="E319" t="s">
        <v>429</v>
      </c>
      <c r="F319" t="s">
        <v>433</v>
      </c>
      <c r="G319" t="s">
        <v>130</v>
      </c>
      <c r="H319" t="s">
        <v>130</v>
      </c>
      <c r="I319" s="5">
        <v>98978</v>
      </c>
      <c r="J319">
        <f>IFERROR(VLOOKUP(G319,'LEAID Match'!$A$2:$B$183,2,FALSE),"")</f>
        <v>1600159</v>
      </c>
      <c r="K319">
        <f t="shared" si="4"/>
        <v>9</v>
      </c>
    </row>
    <row r="320" spans="1:11" x14ac:dyDescent="0.2">
      <c r="A320">
        <v>1600159</v>
      </c>
      <c r="B320">
        <v>2020</v>
      </c>
      <c r="C320">
        <v>72</v>
      </c>
      <c r="D320" t="s">
        <v>428</v>
      </c>
      <c r="E320" t="s">
        <v>429</v>
      </c>
      <c r="F320" t="s">
        <v>433</v>
      </c>
      <c r="G320" t="s">
        <v>130</v>
      </c>
      <c r="H320" t="s">
        <v>130</v>
      </c>
      <c r="I320" s="5">
        <v>112844</v>
      </c>
      <c r="J320">
        <f>IFERROR(VLOOKUP(G320,'LEAID Match'!$A$2:$B$183,2,FALSE),"")</f>
        <v>1600159</v>
      </c>
      <c r="K320">
        <f t="shared" si="4"/>
        <v>9</v>
      </c>
    </row>
    <row r="321" spans="1:11" x14ac:dyDescent="0.2">
      <c r="A321">
        <v>1600159</v>
      </c>
      <c r="B321">
        <v>2021</v>
      </c>
      <c r="C321">
        <v>72</v>
      </c>
      <c r="D321" t="s">
        <v>428</v>
      </c>
      <c r="E321" t="s">
        <v>429</v>
      </c>
      <c r="F321" t="s">
        <v>433</v>
      </c>
      <c r="G321" t="s">
        <v>130</v>
      </c>
      <c r="H321" t="s">
        <v>130</v>
      </c>
      <c r="I321" s="5">
        <v>101001</v>
      </c>
      <c r="J321">
        <f>IFERROR(VLOOKUP(G321,'LEAID Match'!$A$2:$B$183,2,FALSE),"")</f>
        <v>1600159</v>
      </c>
      <c r="K321">
        <f t="shared" si="4"/>
        <v>9</v>
      </c>
    </row>
    <row r="322" spans="1:11" x14ac:dyDescent="0.2">
      <c r="A322">
        <v>1600159</v>
      </c>
      <c r="B322">
        <v>2022</v>
      </c>
      <c r="C322">
        <v>72</v>
      </c>
      <c r="D322" t="s">
        <v>428</v>
      </c>
      <c r="E322" t="s">
        <v>429</v>
      </c>
      <c r="F322" t="s">
        <v>433</v>
      </c>
      <c r="G322" t="s">
        <v>130</v>
      </c>
      <c r="H322" t="s">
        <v>130</v>
      </c>
      <c r="I322" s="5">
        <v>131465</v>
      </c>
      <c r="J322">
        <f>IFERROR(VLOOKUP(G322,'LEAID Match'!$A$2:$B$183,2,FALSE),"")</f>
        <v>1600159</v>
      </c>
      <c r="K322">
        <f t="shared" si="4"/>
        <v>9</v>
      </c>
    </row>
    <row r="323" spans="1:11" x14ac:dyDescent="0.2">
      <c r="A323">
        <v>1600159</v>
      </c>
      <c r="B323">
        <v>2023</v>
      </c>
      <c r="C323">
        <v>72</v>
      </c>
      <c r="D323" t="s">
        <v>428</v>
      </c>
      <c r="E323" t="s">
        <v>429</v>
      </c>
      <c r="F323" t="s">
        <v>433</v>
      </c>
      <c r="G323" t="s">
        <v>130</v>
      </c>
      <c r="H323" t="s">
        <v>130</v>
      </c>
      <c r="I323" s="5">
        <v>116853</v>
      </c>
      <c r="J323">
        <f>IFERROR(VLOOKUP(G323,'LEAID Match'!$A$2:$B$183,2,FALSE),"")</f>
        <v>1600159</v>
      </c>
      <c r="K323">
        <f t="shared" ref="K323:K386" si="5">COUNTIF($A$2:$A$1651,A323)</f>
        <v>9</v>
      </c>
    </row>
    <row r="324" spans="1:11" x14ac:dyDescent="0.2">
      <c r="A324">
        <v>1600160</v>
      </c>
      <c r="B324">
        <v>2015</v>
      </c>
      <c r="C324">
        <v>167</v>
      </c>
      <c r="D324" t="s">
        <v>428</v>
      </c>
      <c r="E324" t="s">
        <v>429</v>
      </c>
      <c r="F324" t="s">
        <v>433</v>
      </c>
      <c r="G324" t="s">
        <v>163</v>
      </c>
      <c r="H324" t="s">
        <v>163</v>
      </c>
      <c r="I324" s="5">
        <v>90903</v>
      </c>
      <c r="J324">
        <f>IFERROR(VLOOKUP(G324,'LEAID Match'!$A$2:$B$183,2,FALSE),"")</f>
        <v>1600160</v>
      </c>
      <c r="K324">
        <f t="shared" si="5"/>
        <v>9</v>
      </c>
    </row>
    <row r="325" spans="1:11" x14ac:dyDescent="0.2">
      <c r="A325">
        <v>1600160</v>
      </c>
      <c r="B325">
        <v>2016</v>
      </c>
      <c r="C325">
        <v>167</v>
      </c>
      <c r="D325" t="s">
        <v>428</v>
      </c>
      <c r="E325" t="s">
        <v>429</v>
      </c>
      <c r="F325" t="s">
        <v>433</v>
      </c>
      <c r="G325" t="s">
        <v>163</v>
      </c>
      <c r="H325" t="s">
        <v>163</v>
      </c>
      <c r="I325" s="5">
        <v>110344</v>
      </c>
      <c r="J325">
        <f>IFERROR(VLOOKUP(G325,'LEAID Match'!$A$2:$B$183,2,FALSE),"")</f>
        <v>1600160</v>
      </c>
      <c r="K325">
        <f t="shared" si="5"/>
        <v>9</v>
      </c>
    </row>
    <row r="326" spans="1:11" x14ac:dyDescent="0.2">
      <c r="A326">
        <v>1600160</v>
      </c>
      <c r="B326">
        <v>2017</v>
      </c>
      <c r="C326">
        <v>167</v>
      </c>
      <c r="D326" t="s">
        <v>428</v>
      </c>
      <c r="E326" t="s">
        <v>429</v>
      </c>
      <c r="F326" t="s">
        <v>433</v>
      </c>
      <c r="G326" t="s">
        <v>163</v>
      </c>
      <c r="H326" t="s">
        <v>163</v>
      </c>
      <c r="I326" s="5">
        <v>146793</v>
      </c>
      <c r="J326">
        <f>IFERROR(VLOOKUP(G326,'LEAID Match'!$A$2:$B$183,2,FALSE),"")</f>
        <v>1600160</v>
      </c>
      <c r="K326">
        <f t="shared" si="5"/>
        <v>9</v>
      </c>
    </row>
    <row r="327" spans="1:11" x14ac:dyDescent="0.2">
      <c r="A327">
        <v>1600160</v>
      </c>
      <c r="B327">
        <v>2018</v>
      </c>
      <c r="C327">
        <v>167</v>
      </c>
      <c r="D327" t="s">
        <v>428</v>
      </c>
      <c r="E327" t="s">
        <v>429</v>
      </c>
      <c r="F327" t="s">
        <v>433</v>
      </c>
      <c r="G327" t="s">
        <v>163</v>
      </c>
      <c r="H327" t="s">
        <v>163</v>
      </c>
      <c r="I327" s="5">
        <v>142420</v>
      </c>
      <c r="J327">
        <f>IFERROR(VLOOKUP(G327,'LEAID Match'!$A$2:$B$183,2,FALSE),"")</f>
        <v>1600160</v>
      </c>
      <c r="K327">
        <f t="shared" si="5"/>
        <v>9</v>
      </c>
    </row>
    <row r="328" spans="1:11" x14ac:dyDescent="0.2">
      <c r="A328">
        <v>1600160</v>
      </c>
      <c r="B328">
        <v>2019</v>
      </c>
      <c r="C328">
        <v>167</v>
      </c>
      <c r="D328" t="s">
        <v>428</v>
      </c>
      <c r="E328" t="s">
        <v>429</v>
      </c>
      <c r="F328" t="s">
        <v>433</v>
      </c>
      <c r="G328" t="s">
        <v>163</v>
      </c>
      <c r="H328" t="s">
        <v>163</v>
      </c>
      <c r="I328" s="5">
        <v>168684</v>
      </c>
      <c r="J328">
        <f>IFERROR(VLOOKUP(G328,'LEAID Match'!$A$2:$B$183,2,FALSE),"")</f>
        <v>1600160</v>
      </c>
      <c r="K328">
        <f t="shared" si="5"/>
        <v>9</v>
      </c>
    </row>
    <row r="329" spans="1:11" x14ac:dyDescent="0.2">
      <c r="A329">
        <v>1600160</v>
      </c>
      <c r="B329">
        <v>2020</v>
      </c>
      <c r="C329">
        <v>167</v>
      </c>
      <c r="D329" t="s">
        <v>428</v>
      </c>
      <c r="E329" t="s">
        <v>429</v>
      </c>
      <c r="F329" t="s">
        <v>433</v>
      </c>
      <c r="G329" t="s">
        <v>375</v>
      </c>
      <c r="H329" t="s">
        <v>375</v>
      </c>
      <c r="I329" s="5">
        <v>204491</v>
      </c>
      <c r="J329">
        <f>IFERROR(VLOOKUP(G329,'LEAID Match'!$A$2:$B$183,2,FALSE),"")</f>
        <v>1600160</v>
      </c>
      <c r="K329">
        <f t="shared" si="5"/>
        <v>9</v>
      </c>
    </row>
    <row r="330" spans="1:11" x14ac:dyDescent="0.2">
      <c r="A330">
        <v>1600160</v>
      </c>
      <c r="B330">
        <v>2021</v>
      </c>
      <c r="C330">
        <v>167</v>
      </c>
      <c r="D330" t="s">
        <v>428</v>
      </c>
      <c r="E330" t="s">
        <v>429</v>
      </c>
      <c r="F330" t="s">
        <v>433</v>
      </c>
      <c r="G330" t="s">
        <v>163</v>
      </c>
      <c r="H330" t="s">
        <v>163</v>
      </c>
      <c r="I330" s="5">
        <v>225401</v>
      </c>
      <c r="J330">
        <f>IFERROR(VLOOKUP(G330,'LEAID Match'!$A$2:$B$183,2,FALSE),"")</f>
        <v>1600160</v>
      </c>
      <c r="K330">
        <f t="shared" si="5"/>
        <v>9</v>
      </c>
    </row>
    <row r="331" spans="1:11" x14ac:dyDescent="0.2">
      <c r="A331">
        <v>1600160</v>
      </c>
      <c r="B331">
        <v>2022</v>
      </c>
      <c r="C331">
        <v>167</v>
      </c>
      <c r="D331" t="s">
        <v>428</v>
      </c>
      <c r="E331" t="s">
        <v>429</v>
      </c>
      <c r="F331" t="s">
        <v>433</v>
      </c>
      <c r="G331" t="s">
        <v>163</v>
      </c>
      <c r="H331" t="s">
        <v>163</v>
      </c>
      <c r="I331" s="5">
        <v>265614</v>
      </c>
      <c r="J331">
        <f>IFERROR(VLOOKUP(G331,'LEAID Match'!$A$2:$B$183,2,FALSE),"")</f>
        <v>1600160</v>
      </c>
      <c r="K331">
        <f t="shared" si="5"/>
        <v>9</v>
      </c>
    </row>
    <row r="332" spans="1:11" x14ac:dyDescent="0.2">
      <c r="A332">
        <v>1600160</v>
      </c>
      <c r="B332">
        <v>2023</v>
      </c>
      <c r="C332">
        <v>167</v>
      </c>
      <c r="D332" t="s">
        <v>428</v>
      </c>
      <c r="E332" t="s">
        <v>429</v>
      </c>
      <c r="F332" t="s">
        <v>433</v>
      </c>
      <c r="G332" t="s">
        <v>163</v>
      </c>
      <c r="H332" t="s">
        <v>163</v>
      </c>
      <c r="I332" s="5">
        <v>291904</v>
      </c>
      <c r="J332">
        <f>IFERROR(VLOOKUP(G332,'LEAID Match'!$A$2:$B$183,2,FALSE),"")</f>
        <v>1600160</v>
      </c>
      <c r="K332">
        <f t="shared" si="5"/>
        <v>9</v>
      </c>
    </row>
    <row r="333" spans="1:11" x14ac:dyDescent="0.2">
      <c r="A333">
        <v>1600161</v>
      </c>
      <c r="B333">
        <v>2015</v>
      </c>
      <c r="C333">
        <v>73</v>
      </c>
      <c r="D333" t="s">
        <v>428</v>
      </c>
      <c r="E333" t="s">
        <v>429</v>
      </c>
      <c r="F333" t="s">
        <v>433</v>
      </c>
      <c r="G333" t="s">
        <v>131</v>
      </c>
      <c r="H333" t="s">
        <v>131</v>
      </c>
      <c r="I333" s="5">
        <v>138269</v>
      </c>
      <c r="J333">
        <f>IFERROR(VLOOKUP(G333,'LEAID Match'!$A$2:$B$183,2,FALSE),"")</f>
        <v>1600161</v>
      </c>
      <c r="K333">
        <f t="shared" si="5"/>
        <v>9</v>
      </c>
    </row>
    <row r="334" spans="1:11" x14ac:dyDescent="0.2">
      <c r="A334">
        <v>1600161</v>
      </c>
      <c r="B334">
        <v>2016</v>
      </c>
      <c r="C334">
        <v>73</v>
      </c>
      <c r="D334" t="s">
        <v>428</v>
      </c>
      <c r="E334" t="s">
        <v>429</v>
      </c>
      <c r="F334" t="s">
        <v>433</v>
      </c>
      <c r="G334" t="s">
        <v>131</v>
      </c>
      <c r="H334" t="s">
        <v>131</v>
      </c>
      <c r="I334" s="5">
        <v>143022</v>
      </c>
      <c r="J334">
        <f>IFERROR(VLOOKUP(G334,'LEAID Match'!$A$2:$B$183,2,FALSE),"")</f>
        <v>1600161</v>
      </c>
      <c r="K334">
        <f t="shared" si="5"/>
        <v>9</v>
      </c>
    </row>
    <row r="335" spans="1:11" x14ac:dyDescent="0.2">
      <c r="A335">
        <v>1600161</v>
      </c>
      <c r="B335">
        <v>2017</v>
      </c>
      <c r="C335">
        <v>73</v>
      </c>
      <c r="D335" t="s">
        <v>428</v>
      </c>
      <c r="E335" t="s">
        <v>429</v>
      </c>
      <c r="F335" t="s">
        <v>433</v>
      </c>
      <c r="G335" t="s">
        <v>131</v>
      </c>
      <c r="H335" t="s">
        <v>131</v>
      </c>
      <c r="I335" s="5">
        <v>156408</v>
      </c>
      <c r="J335">
        <f>IFERROR(VLOOKUP(G335,'LEAID Match'!$A$2:$B$183,2,FALSE),"")</f>
        <v>1600161</v>
      </c>
      <c r="K335">
        <f t="shared" si="5"/>
        <v>9</v>
      </c>
    </row>
    <row r="336" spans="1:11" x14ac:dyDescent="0.2">
      <c r="A336">
        <v>1600161</v>
      </c>
      <c r="B336">
        <v>2018</v>
      </c>
      <c r="C336">
        <v>73</v>
      </c>
      <c r="D336" t="s">
        <v>428</v>
      </c>
      <c r="E336" t="s">
        <v>429</v>
      </c>
      <c r="F336" t="s">
        <v>433</v>
      </c>
      <c r="G336" t="s">
        <v>131</v>
      </c>
      <c r="H336" t="s">
        <v>131</v>
      </c>
      <c r="I336" s="5">
        <v>175416</v>
      </c>
      <c r="J336">
        <f>IFERROR(VLOOKUP(G336,'LEAID Match'!$A$2:$B$183,2,FALSE),"")</f>
        <v>1600161</v>
      </c>
      <c r="K336">
        <f t="shared" si="5"/>
        <v>9</v>
      </c>
    </row>
    <row r="337" spans="1:11" x14ac:dyDescent="0.2">
      <c r="A337">
        <v>1600161</v>
      </c>
      <c r="B337">
        <v>2019</v>
      </c>
      <c r="C337">
        <v>73</v>
      </c>
      <c r="D337" t="s">
        <v>428</v>
      </c>
      <c r="E337" t="s">
        <v>429</v>
      </c>
      <c r="F337" t="s">
        <v>433</v>
      </c>
      <c r="G337" t="s">
        <v>131</v>
      </c>
      <c r="H337" t="s">
        <v>131</v>
      </c>
      <c r="I337" s="5">
        <v>177441</v>
      </c>
      <c r="J337">
        <f>IFERROR(VLOOKUP(G337,'LEAID Match'!$A$2:$B$183,2,FALSE),"")</f>
        <v>1600161</v>
      </c>
      <c r="K337">
        <f t="shared" si="5"/>
        <v>9</v>
      </c>
    </row>
    <row r="338" spans="1:11" x14ac:dyDescent="0.2">
      <c r="A338">
        <v>1600161</v>
      </c>
      <c r="B338">
        <v>2020</v>
      </c>
      <c r="C338">
        <v>73</v>
      </c>
      <c r="D338" t="s">
        <v>428</v>
      </c>
      <c r="E338" t="s">
        <v>429</v>
      </c>
      <c r="F338" t="s">
        <v>433</v>
      </c>
      <c r="G338" t="s">
        <v>131</v>
      </c>
      <c r="H338" t="s">
        <v>131</v>
      </c>
      <c r="I338" s="5">
        <v>196841</v>
      </c>
      <c r="J338">
        <f>IFERROR(VLOOKUP(G338,'LEAID Match'!$A$2:$B$183,2,FALSE),"")</f>
        <v>1600161</v>
      </c>
      <c r="K338">
        <f t="shared" si="5"/>
        <v>9</v>
      </c>
    </row>
    <row r="339" spans="1:11" x14ac:dyDescent="0.2">
      <c r="A339">
        <v>1600161</v>
      </c>
      <c r="B339">
        <v>2021</v>
      </c>
      <c r="C339">
        <v>73</v>
      </c>
      <c r="D339" t="s">
        <v>428</v>
      </c>
      <c r="E339" t="s">
        <v>429</v>
      </c>
      <c r="F339" t="s">
        <v>433</v>
      </c>
      <c r="G339" t="s">
        <v>131</v>
      </c>
      <c r="H339" t="s">
        <v>131</v>
      </c>
      <c r="I339" s="5">
        <v>208935</v>
      </c>
      <c r="J339">
        <f>IFERROR(VLOOKUP(G339,'LEAID Match'!$A$2:$B$183,2,FALSE),"")</f>
        <v>1600161</v>
      </c>
      <c r="K339">
        <f t="shared" si="5"/>
        <v>9</v>
      </c>
    </row>
    <row r="340" spans="1:11" x14ac:dyDescent="0.2">
      <c r="A340">
        <v>1600161</v>
      </c>
      <c r="B340">
        <v>2022</v>
      </c>
      <c r="C340">
        <v>73</v>
      </c>
      <c r="D340" t="s">
        <v>428</v>
      </c>
      <c r="E340" t="s">
        <v>429</v>
      </c>
      <c r="F340" t="s">
        <v>433</v>
      </c>
      <c r="G340" t="s">
        <v>131</v>
      </c>
      <c r="H340" t="s">
        <v>131</v>
      </c>
      <c r="I340" s="5">
        <v>222713</v>
      </c>
      <c r="J340">
        <f>IFERROR(VLOOKUP(G340,'LEAID Match'!$A$2:$B$183,2,FALSE),"")</f>
        <v>1600161</v>
      </c>
      <c r="K340">
        <f t="shared" si="5"/>
        <v>9</v>
      </c>
    </row>
    <row r="341" spans="1:11" x14ac:dyDescent="0.2">
      <c r="A341">
        <v>1600161</v>
      </c>
      <c r="B341">
        <v>2023</v>
      </c>
      <c r="C341">
        <v>73</v>
      </c>
      <c r="D341" t="s">
        <v>428</v>
      </c>
      <c r="E341" t="s">
        <v>429</v>
      </c>
      <c r="F341" t="s">
        <v>433</v>
      </c>
      <c r="G341" t="s">
        <v>131</v>
      </c>
      <c r="H341" t="s">
        <v>131</v>
      </c>
      <c r="I341" s="5">
        <v>243541</v>
      </c>
      <c r="J341">
        <f>IFERROR(VLOOKUP(G341,'LEAID Match'!$A$2:$B$183,2,FALSE),"")</f>
        <v>1600161</v>
      </c>
      <c r="K341">
        <f t="shared" si="5"/>
        <v>9</v>
      </c>
    </row>
    <row r="342" spans="1:11" x14ac:dyDescent="0.2">
      <c r="A342">
        <v>1600162</v>
      </c>
      <c r="B342">
        <v>2015</v>
      </c>
      <c r="C342">
        <v>5</v>
      </c>
      <c r="D342" t="s">
        <v>428</v>
      </c>
      <c r="E342" t="s">
        <v>429</v>
      </c>
      <c r="F342" t="s">
        <v>433</v>
      </c>
      <c r="G342" t="s">
        <v>121</v>
      </c>
      <c r="H342" t="s">
        <v>121</v>
      </c>
      <c r="I342" s="5">
        <v>74811</v>
      </c>
      <c r="J342">
        <f>IFERROR(VLOOKUP(G342,'LEAID Match'!$A$2:$B$183,2,FALSE),"")</f>
        <v>1600162</v>
      </c>
      <c r="K342">
        <f t="shared" si="5"/>
        <v>9</v>
      </c>
    </row>
    <row r="343" spans="1:11" x14ac:dyDescent="0.2">
      <c r="A343">
        <v>1600162</v>
      </c>
      <c r="B343">
        <v>2016</v>
      </c>
      <c r="C343">
        <v>5</v>
      </c>
      <c r="D343" t="s">
        <v>428</v>
      </c>
      <c r="E343" t="s">
        <v>429</v>
      </c>
      <c r="F343" t="s">
        <v>433</v>
      </c>
      <c r="G343" t="s">
        <v>121</v>
      </c>
      <c r="H343" t="s">
        <v>121</v>
      </c>
      <c r="I343" s="5">
        <v>78023</v>
      </c>
      <c r="J343">
        <f>IFERROR(VLOOKUP(G343,'LEAID Match'!$A$2:$B$183,2,FALSE),"")</f>
        <v>1600162</v>
      </c>
      <c r="K343">
        <f t="shared" si="5"/>
        <v>9</v>
      </c>
    </row>
    <row r="344" spans="1:11" x14ac:dyDescent="0.2">
      <c r="A344">
        <v>1600162</v>
      </c>
      <c r="B344">
        <v>2017</v>
      </c>
      <c r="C344">
        <v>5</v>
      </c>
      <c r="D344" t="s">
        <v>428</v>
      </c>
      <c r="E344" t="s">
        <v>429</v>
      </c>
      <c r="F344" t="s">
        <v>433</v>
      </c>
      <c r="G344" t="s">
        <v>121</v>
      </c>
      <c r="H344" t="s">
        <v>121</v>
      </c>
      <c r="I344" s="5">
        <v>102145</v>
      </c>
      <c r="J344">
        <f>IFERROR(VLOOKUP(G344,'LEAID Match'!$A$2:$B$183,2,FALSE),"")</f>
        <v>1600162</v>
      </c>
      <c r="K344">
        <f t="shared" si="5"/>
        <v>9</v>
      </c>
    </row>
    <row r="345" spans="1:11" x14ac:dyDescent="0.2">
      <c r="A345">
        <v>1600162</v>
      </c>
      <c r="B345">
        <v>2018</v>
      </c>
      <c r="C345">
        <v>5</v>
      </c>
      <c r="D345" t="s">
        <v>428</v>
      </c>
      <c r="E345" t="s">
        <v>429</v>
      </c>
      <c r="F345" t="s">
        <v>433</v>
      </c>
      <c r="G345" t="s">
        <v>121</v>
      </c>
      <c r="H345" t="s">
        <v>121</v>
      </c>
      <c r="I345" s="5">
        <v>126754</v>
      </c>
      <c r="J345">
        <f>IFERROR(VLOOKUP(G345,'LEAID Match'!$A$2:$B$183,2,FALSE),"")</f>
        <v>1600162</v>
      </c>
      <c r="K345">
        <f t="shared" si="5"/>
        <v>9</v>
      </c>
    </row>
    <row r="346" spans="1:11" x14ac:dyDescent="0.2">
      <c r="A346">
        <v>1600162</v>
      </c>
      <c r="B346">
        <v>2019</v>
      </c>
      <c r="C346">
        <v>5</v>
      </c>
      <c r="D346" t="s">
        <v>428</v>
      </c>
      <c r="E346" t="s">
        <v>429</v>
      </c>
      <c r="F346" t="s">
        <v>433</v>
      </c>
      <c r="G346" t="s">
        <v>121</v>
      </c>
      <c r="H346" t="s">
        <v>121</v>
      </c>
      <c r="I346" s="5">
        <v>144780</v>
      </c>
      <c r="J346">
        <f>IFERROR(VLOOKUP(G346,'LEAID Match'!$A$2:$B$183,2,FALSE),"")</f>
        <v>1600162</v>
      </c>
      <c r="K346">
        <f t="shared" si="5"/>
        <v>9</v>
      </c>
    </row>
    <row r="347" spans="1:11" x14ac:dyDescent="0.2">
      <c r="A347">
        <v>1600162</v>
      </c>
      <c r="B347">
        <v>2020</v>
      </c>
      <c r="C347">
        <v>5</v>
      </c>
      <c r="D347" t="s">
        <v>428</v>
      </c>
      <c r="E347" t="s">
        <v>429</v>
      </c>
      <c r="F347" t="s">
        <v>433</v>
      </c>
      <c r="G347" t="s">
        <v>121</v>
      </c>
      <c r="H347" t="s">
        <v>121</v>
      </c>
      <c r="I347" s="5">
        <v>169976</v>
      </c>
      <c r="J347">
        <f>IFERROR(VLOOKUP(G347,'LEAID Match'!$A$2:$B$183,2,FALSE),"")</f>
        <v>1600162</v>
      </c>
      <c r="K347">
        <f t="shared" si="5"/>
        <v>9</v>
      </c>
    </row>
    <row r="348" spans="1:11" x14ac:dyDescent="0.2">
      <c r="A348">
        <v>1600162</v>
      </c>
      <c r="B348">
        <v>2021</v>
      </c>
      <c r="C348">
        <v>5</v>
      </c>
      <c r="D348" t="s">
        <v>428</v>
      </c>
      <c r="E348" t="s">
        <v>429</v>
      </c>
      <c r="F348" t="s">
        <v>433</v>
      </c>
      <c r="G348" t="s">
        <v>121</v>
      </c>
      <c r="H348" t="s">
        <v>121</v>
      </c>
      <c r="I348" s="5">
        <v>198723</v>
      </c>
      <c r="J348">
        <f>IFERROR(VLOOKUP(G348,'LEAID Match'!$A$2:$B$183,2,FALSE),"")</f>
        <v>1600162</v>
      </c>
      <c r="K348">
        <f t="shared" si="5"/>
        <v>9</v>
      </c>
    </row>
    <row r="349" spans="1:11" x14ac:dyDescent="0.2">
      <c r="A349">
        <v>1600162</v>
      </c>
      <c r="B349">
        <v>2022</v>
      </c>
      <c r="C349">
        <v>5</v>
      </c>
      <c r="D349" t="s">
        <v>428</v>
      </c>
      <c r="E349" t="s">
        <v>429</v>
      </c>
      <c r="F349" t="s">
        <v>433</v>
      </c>
      <c r="G349" t="s">
        <v>121</v>
      </c>
      <c r="H349" t="s">
        <v>121</v>
      </c>
      <c r="I349" s="5">
        <v>216358</v>
      </c>
      <c r="J349">
        <f>IFERROR(VLOOKUP(G349,'LEAID Match'!$A$2:$B$183,2,FALSE),"")</f>
        <v>1600162</v>
      </c>
      <c r="K349">
        <f t="shared" si="5"/>
        <v>9</v>
      </c>
    </row>
    <row r="350" spans="1:11" x14ac:dyDescent="0.2">
      <c r="A350">
        <v>1600162</v>
      </c>
      <c r="B350">
        <v>2023</v>
      </c>
      <c r="C350">
        <v>5</v>
      </c>
      <c r="D350" t="s">
        <v>428</v>
      </c>
      <c r="E350" t="s">
        <v>429</v>
      </c>
      <c r="F350" t="s">
        <v>433</v>
      </c>
      <c r="G350" t="s">
        <v>121</v>
      </c>
      <c r="H350" t="s">
        <v>121</v>
      </c>
      <c r="I350" s="5">
        <v>229138</v>
      </c>
      <c r="J350">
        <f>IFERROR(VLOOKUP(G350,'LEAID Match'!$A$2:$B$183,2,FALSE),"")</f>
        <v>1600162</v>
      </c>
      <c r="K350">
        <f t="shared" si="5"/>
        <v>9</v>
      </c>
    </row>
    <row r="351" spans="1:11" x14ac:dyDescent="0.2">
      <c r="A351">
        <v>1600163</v>
      </c>
      <c r="B351">
        <v>2015</v>
      </c>
      <c r="C351">
        <v>32</v>
      </c>
      <c r="D351" t="s">
        <v>428</v>
      </c>
      <c r="E351" t="s">
        <v>429</v>
      </c>
      <c r="F351" t="s">
        <v>433</v>
      </c>
      <c r="G351" t="s">
        <v>126</v>
      </c>
      <c r="H351" t="s">
        <v>126</v>
      </c>
      <c r="I351" s="5">
        <v>47612</v>
      </c>
      <c r="J351">
        <f>IFERROR(VLOOKUP(G351,'LEAID Match'!$A$2:$B$183,2,FALSE),"")</f>
        <v>1600163</v>
      </c>
      <c r="K351">
        <f t="shared" si="5"/>
        <v>9</v>
      </c>
    </row>
    <row r="352" spans="1:11" x14ac:dyDescent="0.2">
      <c r="A352">
        <v>1600163</v>
      </c>
      <c r="B352">
        <v>2016</v>
      </c>
      <c r="C352">
        <v>32</v>
      </c>
      <c r="D352" t="s">
        <v>428</v>
      </c>
      <c r="E352" t="s">
        <v>429</v>
      </c>
      <c r="F352" t="s">
        <v>433</v>
      </c>
      <c r="G352" t="s">
        <v>126</v>
      </c>
      <c r="H352" t="s">
        <v>126</v>
      </c>
      <c r="I352" s="5">
        <v>59864</v>
      </c>
      <c r="J352">
        <f>IFERROR(VLOOKUP(G352,'LEAID Match'!$A$2:$B$183,2,FALSE),"")</f>
        <v>1600163</v>
      </c>
      <c r="K352">
        <f t="shared" si="5"/>
        <v>9</v>
      </c>
    </row>
    <row r="353" spans="1:11" x14ac:dyDescent="0.2">
      <c r="A353">
        <v>1600163</v>
      </c>
      <c r="B353">
        <v>2017</v>
      </c>
      <c r="C353">
        <v>32</v>
      </c>
      <c r="D353" t="s">
        <v>428</v>
      </c>
      <c r="E353" t="s">
        <v>429</v>
      </c>
      <c r="F353" t="s">
        <v>433</v>
      </c>
      <c r="G353" t="s">
        <v>126</v>
      </c>
      <c r="H353" t="s">
        <v>126</v>
      </c>
      <c r="I353" s="5">
        <v>72091</v>
      </c>
      <c r="J353">
        <f>IFERROR(VLOOKUP(G353,'LEAID Match'!$A$2:$B$183,2,FALSE),"")</f>
        <v>1600163</v>
      </c>
      <c r="K353">
        <f t="shared" si="5"/>
        <v>9</v>
      </c>
    </row>
    <row r="354" spans="1:11" x14ac:dyDescent="0.2">
      <c r="A354">
        <v>1600163</v>
      </c>
      <c r="B354">
        <v>2018</v>
      </c>
      <c r="C354">
        <v>32</v>
      </c>
      <c r="D354" t="s">
        <v>428</v>
      </c>
      <c r="E354" t="s">
        <v>429</v>
      </c>
      <c r="F354" t="s">
        <v>433</v>
      </c>
      <c r="G354" t="s">
        <v>126</v>
      </c>
      <c r="H354" t="s">
        <v>126</v>
      </c>
      <c r="I354" s="5">
        <v>96117</v>
      </c>
      <c r="J354">
        <f>IFERROR(VLOOKUP(G354,'LEAID Match'!$A$2:$B$183,2,FALSE),"")</f>
        <v>1600163</v>
      </c>
      <c r="K354">
        <f t="shared" si="5"/>
        <v>9</v>
      </c>
    </row>
    <row r="355" spans="1:11" x14ac:dyDescent="0.2">
      <c r="A355">
        <v>1600163</v>
      </c>
      <c r="B355">
        <v>2019</v>
      </c>
      <c r="C355">
        <v>32</v>
      </c>
      <c r="D355" t="s">
        <v>428</v>
      </c>
      <c r="E355" t="s">
        <v>429</v>
      </c>
      <c r="F355" t="s">
        <v>433</v>
      </c>
      <c r="G355" t="s">
        <v>126</v>
      </c>
      <c r="H355" t="s">
        <v>126</v>
      </c>
      <c r="I355" s="5">
        <v>105463</v>
      </c>
      <c r="J355">
        <f>IFERROR(VLOOKUP(G355,'LEAID Match'!$A$2:$B$183,2,FALSE),"")</f>
        <v>1600163</v>
      </c>
      <c r="K355">
        <f t="shared" si="5"/>
        <v>9</v>
      </c>
    </row>
    <row r="356" spans="1:11" x14ac:dyDescent="0.2">
      <c r="A356">
        <v>1600163</v>
      </c>
      <c r="B356">
        <v>2020</v>
      </c>
      <c r="C356">
        <v>32</v>
      </c>
      <c r="D356" t="s">
        <v>428</v>
      </c>
      <c r="E356" t="s">
        <v>429</v>
      </c>
      <c r="F356" t="s">
        <v>433</v>
      </c>
      <c r="G356" t="s">
        <v>126</v>
      </c>
      <c r="H356" t="s">
        <v>126</v>
      </c>
      <c r="I356" s="5">
        <v>110588</v>
      </c>
      <c r="J356">
        <f>IFERROR(VLOOKUP(G356,'LEAID Match'!$A$2:$B$183,2,FALSE),"")</f>
        <v>1600163</v>
      </c>
      <c r="K356">
        <f t="shared" si="5"/>
        <v>9</v>
      </c>
    </row>
    <row r="357" spans="1:11" x14ac:dyDescent="0.2">
      <c r="A357">
        <v>1600163</v>
      </c>
      <c r="B357">
        <v>2021</v>
      </c>
      <c r="C357">
        <v>32</v>
      </c>
      <c r="D357" t="s">
        <v>428</v>
      </c>
      <c r="E357" t="s">
        <v>429</v>
      </c>
      <c r="F357" t="s">
        <v>433</v>
      </c>
      <c r="G357" t="s">
        <v>126</v>
      </c>
      <c r="H357" t="s">
        <v>126</v>
      </c>
      <c r="I357" s="5">
        <v>93619</v>
      </c>
      <c r="J357">
        <f>IFERROR(VLOOKUP(G357,'LEAID Match'!$A$2:$B$183,2,FALSE),"")</f>
        <v>1600163</v>
      </c>
      <c r="K357">
        <f t="shared" si="5"/>
        <v>9</v>
      </c>
    </row>
    <row r="358" spans="1:11" x14ac:dyDescent="0.2">
      <c r="A358">
        <v>1600163</v>
      </c>
      <c r="B358">
        <v>2022</v>
      </c>
      <c r="C358">
        <v>32</v>
      </c>
      <c r="D358" t="s">
        <v>428</v>
      </c>
      <c r="E358" t="s">
        <v>429</v>
      </c>
      <c r="F358" t="s">
        <v>433</v>
      </c>
      <c r="G358" t="s">
        <v>126</v>
      </c>
      <c r="H358" t="s">
        <v>126</v>
      </c>
      <c r="I358" s="5">
        <v>120392</v>
      </c>
      <c r="J358">
        <f>IFERROR(VLOOKUP(G358,'LEAID Match'!$A$2:$B$183,2,FALSE),"")</f>
        <v>1600163</v>
      </c>
      <c r="K358">
        <f t="shared" si="5"/>
        <v>9</v>
      </c>
    </row>
    <row r="359" spans="1:11" x14ac:dyDescent="0.2">
      <c r="A359">
        <v>1600163</v>
      </c>
      <c r="B359">
        <v>2023</v>
      </c>
      <c r="C359">
        <v>32</v>
      </c>
      <c r="D359" t="s">
        <v>428</v>
      </c>
      <c r="E359" t="s">
        <v>429</v>
      </c>
      <c r="F359" t="s">
        <v>433</v>
      </c>
      <c r="G359" t="s">
        <v>126</v>
      </c>
      <c r="H359" t="s">
        <v>126</v>
      </c>
      <c r="I359" s="5">
        <v>122029</v>
      </c>
      <c r="J359">
        <f>IFERROR(VLOOKUP(G359,'LEAID Match'!$A$2:$B$183,2,FALSE),"")</f>
        <v>1600163</v>
      </c>
      <c r="K359">
        <f t="shared" si="5"/>
        <v>9</v>
      </c>
    </row>
    <row r="360" spans="1:11" x14ac:dyDescent="0.2">
      <c r="A360">
        <v>1600164</v>
      </c>
      <c r="B360">
        <v>2015</v>
      </c>
      <c r="C360">
        <v>197</v>
      </c>
      <c r="D360" t="s">
        <v>428</v>
      </c>
      <c r="E360" t="s">
        <v>429</v>
      </c>
      <c r="F360" t="s">
        <v>433</v>
      </c>
      <c r="G360" t="s">
        <v>156</v>
      </c>
      <c r="H360" t="s">
        <v>156</v>
      </c>
      <c r="I360" s="5">
        <v>19771</v>
      </c>
      <c r="J360">
        <f>IFERROR(VLOOKUP(G360,'LEAID Match'!$A$2:$B$183,2,FALSE),"")</f>
        <v>1600164</v>
      </c>
      <c r="K360">
        <f t="shared" si="5"/>
        <v>1</v>
      </c>
    </row>
    <row r="361" spans="1:11" x14ac:dyDescent="0.2">
      <c r="A361">
        <v>1600165</v>
      </c>
      <c r="B361">
        <v>2015</v>
      </c>
      <c r="C361">
        <v>159</v>
      </c>
      <c r="D361" t="s">
        <v>428</v>
      </c>
      <c r="E361" t="s">
        <v>429</v>
      </c>
      <c r="F361" t="s">
        <v>433</v>
      </c>
      <c r="G361" t="s">
        <v>162</v>
      </c>
      <c r="H361" t="s">
        <v>162</v>
      </c>
      <c r="I361" s="5">
        <v>199692</v>
      </c>
      <c r="J361">
        <f>IFERROR(VLOOKUP(G361,'LEAID Match'!$A$2:$B$183,2,FALSE),"")</f>
        <v>1600165</v>
      </c>
      <c r="K361">
        <f t="shared" si="5"/>
        <v>9</v>
      </c>
    </row>
    <row r="362" spans="1:11" x14ac:dyDescent="0.2">
      <c r="A362">
        <v>1600165</v>
      </c>
      <c r="B362">
        <v>2016</v>
      </c>
      <c r="C362">
        <v>159</v>
      </c>
      <c r="D362" t="s">
        <v>428</v>
      </c>
      <c r="E362" t="s">
        <v>429</v>
      </c>
      <c r="F362" t="s">
        <v>433</v>
      </c>
      <c r="G362" t="s">
        <v>162</v>
      </c>
      <c r="H362" t="s">
        <v>162</v>
      </c>
      <c r="I362" s="5">
        <v>208916</v>
      </c>
      <c r="J362">
        <f>IFERROR(VLOOKUP(G362,'LEAID Match'!$A$2:$B$183,2,FALSE),"")</f>
        <v>1600165</v>
      </c>
      <c r="K362">
        <f t="shared" si="5"/>
        <v>9</v>
      </c>
    </row>
    <row r="363" spans="1:11" x14ac:dyDescent="0.2">
      <c r="A363">
        <v>1600165</v>
      </c>
      <c r="B363">
        <v>2017</v>
      </c>
      <c r="C363">
        <v>159</v>
      </c>
      <c r="D363" t="s">
        <v>428</v>
      </c>
      <c r="E363" t="s">
        <v>429</v>
      </c>
      <c r="F363" t="s">
        <v>433</v>
      </c>
      <c r="G363" t="s">
        <v>162</v>
      </c>
      <c r="H363" t="s">
        <v>162</v>
      </c>
      <c r="I363" s="5">
        <v>222842</v>
      </c>
      <c r="J363">
        <f>IFERROR(VLOOKUP(G363,'LEAID Match'!$A$2:$B$183,2,FALSE),"")</f>
        <v>1600165</v>
      </c>
      <c r="K363">
        <f t="shared" si="5"/>
        <v>9</v>
      </c>
    </row>
    <row r="364" spans="1:11" x14ac:dyDescent="0.2">
      <c r="A364">
        <v>1600165</v>
      </c>
      <c r="B364">
        <v>2018</v>
      </c>
      <c r="C364">
        <v>159</v>
      </c>
      <c r="D364" t="s">
        <v>428</v>
      </c>
      <c r="E364" t="s">
        <v>429</v>
      </c>
      <c r="F364" t="s">
        <v>433</v>
      </c>
      <c r="G364" t="s">
        <v>162</v>
      </c>
      <c r="H364" t="s">
        <v>162</v>
      </c>
      <c r="I364" s="5">
        <v>234430</v>
      </c>
      <c r="J364">
        <f>IFERROR(VLOOKUP(G364,'LEAID Match'!$A$2:$B$183,2,FALSE),"")</f>
        <v>1600165</v>
      </c>
      <c r="K364">
        <f t="shared" si="5"/>
        <v>9</v>
      </c>
    </row>
    <row r="365" spans="1:11" x14ac:dyDescent="0.2">
      <c r="A365">
        <v>1600165</v>
      </c>
      <c r="B365">
        <v>2019</v>
      </c>
      <c r="C365">
        <v>159</v>
      </c>
      <c r="D365" t="s">
        <v>428</v>
      </c>
      <c r="E365" t="s">
        <v>429</v>
      </c>
      <c r="F365" t="s">
        <v>433</v>
      </c>
      <c r="G365" t="s">
        <v>162</v>
      </c>
      <c r="H365" t="s">
        <v>162</v>
      </c>
      <c r="I365" s="5">
        <v>179123</v>
      </c>
      <c r="J365">
        <f>IFERROR(VLOOKUP(G365,'LEAID Match'!$A$2:$B$183,2,FALSE),"")</f>
        <v>1600165</v>
      </c>
      <c r="K365">
        <f t="shared" si="5"/>
        <v>9</v>
      </c>
    </row>
    <row r="366" spans="1:11" x14ac:dyDescent="0.2">
      <c r="A366">
        <v>1600165</v>
      </c>
      <c r="B366">
        <v>2020</v>
      </c>
      <c r="C366">
        <v>159</v>
      </c>
      <c r="D366" t="s">
        <v>428</v>
      </c>
      <c r="E366" t="s">
        <v>429</v>
      </c>
      <c r="F366" t="s">
        <v>433</v>
      </c>
      <c r="G366" t="s">
        <v>162</v>
      </c>
      <c r="H366" t="s">
        <v>162</v>
      </c>
      <c r="I366" s="5">
        <v>190089</v>
      </c>
      <c r="J366">
        <f>IFERROR(VLOOKUP(G366,'LEAID Match'!$A$2:$B$183,2,FALSE),"")</f>
        <v>1600165</v>
      </c>
      <c r="K366">
        <f t="shared" si="5"/>
        <v>9</v>
      </c>
    </row>
    <row r="367" spans="1:11" x14ac:dyDescent="0.2">
      <c r="A367">
        <v>1600165</v>
      </c>
      <c r="B367">
        <v>2021</v>
      </c>
      <c r="C367">
        <v>159</v>
      </c>
      <c r="D367" t="s">
        <v>428</v>
      </c>
      <c r="E367" t="s">
        <v>429</v>
      </c>
      <c r="F367" t="s">
        <v>433</v>
      </c>
      <c r="G367" t="s">
        <v>162</v>
      </c>
      <c r="H367" t="s">
        <v>162</v>
      </c>
      <c r="I367" s="5">
        <v>198624</v>
      </c>
      <c r="J367">
        <f>IFERROR(VLOOKUP(G367,'LEAID Match'!$A$2:$B$183,2,FALSE),"")</f>
        <v>1600165</v>
      </c>
      <c r="K367">
        <f t="shared" si="5"/>
        <v>9</v>
      </c>
    </row>
    <row r="368" spans="1:11" x14ac:dyDescent="0.2">
      <c r="A368">
        <v>1600165</v>
      </c>
      <c r="B368">
        <v>2022</v>
      </c>
      <c r="C368">
        <v>159</v>
      </c>
      <c r="D368" t="s">
        <v>428</v>
      </c>
      <c r="E368" t="s">
        <v>429</v>
      </c>
      <c r="F368" t="s">
        <v>433</v>
      </c>
      <c r="G368" t="s">
        <v>162</v>
      </c>
      <c r="H368" t="s">
        <v>162</v>
      </c>
      <c r="I368" s="5">
        <v>201059</v>
      </c>
      <c r="J368">
        <f>IFERROR(VLOOKUP(G368,'LEAID Match'!$A$2:$B$183,2,FALSE),"")</f>
        <v>1600165</v>
      </c>
      <c r="K368">
        <f t="shared" si="5"/>
        <v>9</v>
      </c>
    </row>
    <row r="369" spans="1:11" x14ac:dyDescent="0.2">
      <c r="A369">
        <v>1600165</v>
      </c>
      <c r="B369">
        <v>2023</v>
      </c>
      <c r="C369">
        <v>159</v>
      </c>
      <c r="D369" t="s">
        <v>428</v>
      </c>
      <c r="E369" t="s">
        <v>429</v>
      </c>
      <c r="F369" t="s">
        <v>433</v>
      </c>
      <c r="G369" t="s">
        <v>162</v>
      </c>
      <c r="H369" t="s">
        <v>162</v>
      </c>
      <c r="I369" s="5">
        <v>203783</v>
      </c>
      <c r="J369">
        <f>IFERROR(VLOOKUP(G369,'LEAID Match'!$A$2:$B$183,2,FALSE),"")</f>
        <v>1600165</v>
      </c>
      <c r="K369">
        <f t="shared" si="5"/>
        <v>9</v>
      </c>
    </row>
    <row r="370" spans="1:11" x14ac:dyDescent="0.2">
      <c r="A370">
        <v>1600166</v>
      </c>
      <c r="B370">
        <v>2015</v>
      </c>
      <c r="C370">
        <v>170</v>
      </c>
      <c r="D370" t="s">
        <v>428</v>
      </c>
      <c r="E370" t="s">
        <v>429</v>
      </c>
      <c r="F370" t="s">
        <v>433</v>
      </c>
      <c r="G370" t="s">
        <v>164</v>
      </c>
      <c r="H370" t="s">
        <v>164</v>
      </c>
      <c r="I370" s="5">
        <v>60095</v>
      </c>
      <c r="J370">
        <f>IFERROR(VLOOKUP(G370,'LEAID Match'!$A$2:$B$183,2,FALSE),"")</f>
        <v>1600166</v>
      </c>
      <c r="K370">
        <f t="shared" si="5"/>
        <v>9</v>
      </c>
    </row>
    <row r="371" spans="1:11" x14ac:dyDescent="0.2">
      <c r="A371">
        <v>1600166</v>
      </c>
      <c r="B371">
        <v>2016</v>
      </c>
      <c r="C371">
        <v>170</v>
      </c>
      <c r="D371" t="s">
        <v>428</v>
      </c>
      <c r="E371" t="s">
        <v>429</v>
      </c>
      <c r="F371" t="s">
        <v>433</v>
      </c>
      <c r="G371" t="s">
        <v>164</v>
      </c>
      <c r="H371" t="s">
        <v>164</v>
      </c>
      <c r="I371" s="5">
        <v>55858</v>
      </c>
      <c r="J371">
        <f>IFERROR(VLOOKUP(G371,'LEAID Match'!$A$2:$B$183,2,FALSE),"")</f>
        <v>1600166</v>
      </c>
      <c r="K371">
        <f t="shared" si="5"/>
        <v>9</v>
      </c>
    </row>
    <row r="372" spans="1:11" x14ac:dyDescent="0.2">
      <c r="A372">
        <v>1600166</v>
      </c>
      <c r="B372">
        <v>2017</v>
      </c>
      <c r="C372">
        <v>170</v>
      </c>
      <c r="D372" t="s">
        <v>428</v>
      </c>
      <c r="E372" t="s">
        <v>429</v>
      </c>
      <c r="F372" t="s">
        <v>433</v>
      </c>
      <c r="G372" t="s">
        <v>164</v>
      </c>
      <c r="H372" t="s">
        <v>164</v>
      </c>
      <c r="I372" s="5">
        <v>67537</v>
      </c>
      <c r="J372">
        <f>IFERROR(VLOOKUP(G372,'LEAID Match'!$A$2:$B$183,2,FALSE),"")</f>
        <v>1600166</v>
      </c>
      <c r="K372">
        <f t="shared" si="5"/>
        <v>9</v>
      </c>
    </row>
    <row r="373" spans="1:11" x14ac:dyDescent="0.2">
      <c r="A373">
        <v>1600166</v>
      </c>
      <c r="B373">
        <v>2018</v>
      </c>
      <c r="C373">
        <v>170</v>
      </c>
      <c r="D373" t="s">
        <v>428</v>
      </c>
      <c r="E373" t="s">
        <v>429</v>
      </c>
      <c r="F373" t="s">
        <v>433</v>
      </c>
      <c r="G373" t="s">
        <v>164</v>
      </c>
      <c r="H373" t="s">
        <v>164</v>
      </c>
      <c r="I373" s="5">
        <v>65558</v>
      </c>
      <c r="J373">
        <f>IFERROR(VLOOKUP(G373,'LEAID Match'!$A$2:$B$183,2,FALSE),"")</f>
        <v>1600166</v>
      </c>
      <c r="K373">
        <f t="shared" si="5"/>
        <v>9</v>
      </c>
    </row>
    <row r="374" spans="1:11" x14ac:dyDescent="0.2">
      <c r="A374">
        <v>1600166</v>
      </c>
      <c r="B374">
        <v>2019</v>
      </c>
      <c r="C374">
        <v>170</v>
      </c>
      <c r="D374" t="s">
        <v>428</v>
      </c>
      <c r="E374" t="s">
        <v>429</v>
      </c>
      <c r="F374" t="s">
        <v>433</v>
      </c>
      <c r="G374" t="s">
        <v>164</v>
      </c>
      <c r="H374" t="s">
        <v>164</v>
      </c>
      <c r="I374" s="5">
        <v>61856</v>
      </c>
      <c r="J374">
        <f>IFERROR(VLOOKUP(G374,'LEAID Match'!$A$2:$B$183,2,FALSE),"")</f>
        <v>1600166</v>
      </c>
      <c r="K374">
        <f t="shared" si="5"/>
        <v>9</v>
      </c>
    </row>
    <row r="375" spans="1:11" x14ac:dyDescent="0.2">
      <c r="A375">
        <v>1600166</v>
      </c>
      <c r="B375">
        <v>2020</v>
      </c>
      <c r="C375">
        <v>170</v>
      </c>
      <c r="D375" t="s">
        <v>428</v>
      </c>
      <c r="E375" t="s">
        <v>429</v>
      </c>
      <c r="F375" t="s">
        <v>433</v>
      </c>
      <c r="G375" t="s">
        <v>164</v>
      </c>
      <c r="H375" t="s">
        <v>164</v>
      </c>
      <c r="I375" s="5">
        <v>63075</v>
      </c>
      <c r="J375">
        <f>IFERROR(VLOOKUP(G375,'LEAID Match'!$A$2:$B$183,2,FALSE),"")</f>
        <v>1600166</v>
      </c>
      <c r="K375">
        <f t="shared" si="5"/>
        <v>9</v>
      </c>
    </row>
    <row r="376" spans="1:11" x14ac:dyDescent="0.2">
      <c r="A376">
        <v>1600166</v>
      </c>
      <c r="B376">
        <v>2021</v>
      </c>
      <c r="C376">
        <v>170</v>
      </c>
      <c r="D376" t="s">
        <v>428</v>
      </c>
      <c r="E376" t="s">
        <v>429</v>
      </c>
      <c r="F376" t="s">
        <v>433</v>
      </c>
      <c r="G376" t="s">
        <v>164</v>
      </c>
      <c r="H376" t="s">
        <v>164</v>
      </c>
      <c r="I376" s="5">
        <v>69170</v>
      </c>
      <c r="J376">
        <f>IFERROR(VLOOKUP(G376,'LEAID Match'!$A$2:$B$183,2,FALSE),"")</f>
        <v>1600166</v>
      </c>
      <c r="K376">
        <f t="shared" si="5"/>
        <v>9</v>
      </c>
    </row>
    <row r="377" spans="1:11" x14ac:dyDescent="0.2">
      <c r="A377">
        <v>1600166</v>
      </c>
      <c r="B377">
        <v>2022</v>
      </c>
      <c r="C377">
        <v>170</v>
      </c>
      <c r="D377" t="s">
        <v>428</v>
      </c>
      <c r="E377" t="s">
        <v>429</v>
      </c>
      <c r="F377" t="s">
        <v>433</v>
      </c>
      <c r="G377" t="s">
        <v>164</v>
      </c>
      <c r="H377" t="s">
        <v>164</v>
      </c>
      <c r="I377" s="5">
        <v>81089</v>
      </c>
      <c r="J377">
        <f>IFERROR(VLOOKUP(G377,'LEAID Match'!$A$2:$B$183,2,FALSE),"")</f>
        <v>1600166</v>
      </c>
      <c r="K377">
        <f t="shared" si="5"/>
        <v>9</v>
      </c>
    </row>
    <row r="378" spans="1:11" x14ac:dyDescent="0.2">
      <c r="A378">
        <v>1600166</v>
      </c>
      <c r="B378">
        <v>2023</v>
      </c>
      <c r="C378">
        <v>170</v>
      </c>
      <c r="D378" t="s">
        <v>428</v>
      </c>
      <c r="E378" t="s">
        <v>429</v>
      </c>
      <c r="F378" t="s">
        <v>433</v>
      </c>
      <c r="G378" t="s">
        <v>164</v>
      </c>
      <c r="H378" t="s">
        <v>164</v>
      </c>
      <c r="I378" s="5">
        <v>75443</v>
      </c>
      <c r="J378">
        <f>IFERROR(VLOOKUP(G378,'LEAID Match'!$A$2:$B$183,2,FALSE),"")</f>
        <v>1600166</v>
      </c>
      <c r="K378">
        <f t="shared" si="5"/>
        <v>9</v>
      </c>
    </row>
    <row r="379" spans="1:11" x14ac:dyDescent="0.2">
      <c r="A379">
        <v>1600167</v>
      </c>
      <c r="B379">
        <v>2015</v>
      </c>
      <c r="C379">
        <v>94</v>
      </c>
      <c r="D379" t="s">
        <v>428</v>
      </c>
      <c r="E379" t="s">
        <v>429</v>
      </c>
      <c r="F379" t="s">
        <v>433</v>
      </c>
      <c r="G379" t="s">
        <v>147</v>
      </c>
      <c r="H379" t="s">
        <v>147</v>
      </c>
      <c r="I379" s="5">
        <v>68947</v>
      </c>
      <c r="J379">
        <f>IFERROR(VLOOKUP(G379,'LEAID Match'!$A$2:$B$183,2,FALSE),"")</f>
        <v>1600167</v>
      </c>
      <c r="K379">
        <f t="shared" si="5"/>
        <v>9</v>
      </c>
    </row>
    <row r="380" spans="1:11" x14ac:dyDescent="0.2">
      <c r="A380">
        <v>1600167</v>
      </c>
      <c r="B380">
        <v>2016</v>
      </c>
      <c r="C380">
        <v>94</v>
      </c>
      <c r="D380" t="s">
        <v>428</v>
      </c>
      <c r="E380" t="s">
        <v>429</v>
      </c>
      <c r="F380" t="s">
        <v>433</v>
      </c>
      <c r="G380" t="s">
        <v>147</v>
      </c>
      <c r="H380" t="s">
        <v>147</v>
      </c>
      <c r="I380" s="5">
        <v>72089</v>
      </c>
      <c r="J380">
        <f>IFERROR(VLOOKUP(G380,'LEAID Match'!$A$2:$B$183,2,FALSE),"")</f>
        <v>1600167</v>
      </c>
      <c r="K380">
        <f t="shared" si="5"/>
        <v>9</v>
      </c>
    </row>
    <row r="381" spans="1:11" x14ac:dyDescent="0.2">
      <c r="A381">
        <v>1600167</v>
      </c>
      <c r="B381">
        <v>2017</v>
      </c>
      <c r="C381">
        <v>94</v>
      </c>
      <c r="D381" t="s">
        <v>428</v>
      </c>
      <c r="E381" t="s">
        <v>429</v>
      </c>
      <c r="F381" t="s">
        <v>433</v>
      </c>
      <c r="G381" t="s">
        <v>147</v>
      </c>
      <c r="H381" t="s">
        <v>147</v>
      </c>
      <c r="I381" s="5">
        <v>82211</v>
      </c>
      <c r="J381">
        <f>IFERROR(VLOOKUP(G381,'LEAID Match'!$A$2:$B$183,2,FALSE),"")</f>
        <v>1600167</v>
      </c>
      <c r="K381">
        <f t="shared" si="5"/>
        <v>9</v>
      </c>
    </row>
    <row r="382" spans="1:11" x14ac:dyDescent="0.2">
      <c r="A382">
        <v>1600167</v>
      </c>
      <c r="B382">
        <v>2018</v>
      </c>
      <c r="C382">
        <v>94</v>
      </c>
      <c r="D382" t="s">
        <v>428</v>
      </c>
      <c r="E382" t="s">
        <v>429</v>
      </c>
      <c r="F382" t="s">
        <v>433</v>
      </c>
      <c r="G382" t="s">
        <v>147</v>
      </c>
      <c r="H382" t="s">
        <v>147</v>
      </c>
      <c r="I382" s="5">
        <v>82452</v>
      </c>
      <c r="J382">
        <f>IFERROR(VLOOKUP(G382,'LEAID Match'!$A$2:$B$183,2,FALSE),"")</f>
        <v>1600167</v>
      </c>
      <c r="K382">
        <f t="shared" si="5"/>
        <v>9</v>
      </c>
    </row>
    <row r="383" spans="1:11" x14ac:dyDescent="0.2">
      <c r="A383">
        <v>1600167</v>
      </c>
      <c r="B383">
        <v>2019</v>
      </c>
      <c r="C383">
        <v>94</v>
      </c>
      <c r="D383" t="s">
        <v>428</v>
      </c>
      <c r="E383" t="s">
        <v>429</v>
      </c>
      <c r="F383" t="s">
        <v>433</v>
      </c>
      <c r="G383" t="s">
        <v>147</v>
      </c>
      <c r="H383" t="s">
        <v>147</v>
      </c>
      <c r="I383" s="5">
        <v>86283</v>
      </c>
      <c r="J383">
        <f>IFERROR(VLOOKUP(G383,'LEAID Match'!$A$2:$B$183,2,FALSE),"")</f>
        <v>1600167</v>
      </c>
      <c r="K383">
        <f t="shared" si="5"/>
        <v>9</v>
      </c>
    </row>
    <row r="384" spans="1:11" x14ac:dyDescent="0.2">
      <c r="A384">
        <v>1600167</v>
      </c>
      <c r="B384">
        <v>2020</v>
      </c>
      <c r="C384">
        <v>94</v>
      </c>
      <c r="D384" t="s">
        <v>428</v>
      </c>
      <c r="E384" t="s">
        <v>429</v>
      </c>
      <c r="F384" t="s">
        <v>433</v>
      </c>
      <c r="G384" t="s">
        <v>147</v>
      </c>
      <c r="H384" t="s">
        <v>147</v>
      </c>
      <c r="I384" s="5">
        <v>99948</v>
      </c>
      <c r="J384">
        <f>IFERROR(VLOOKUP(G384,'LEAID Match'!$A$2:$B$183,2,FALSE),"")</f>
        <v>1600167</v>
      </c>
      <c r="K384">
        <f t="shared" si="5"/>
        <v>9</v>
      </c>
    </row>
    <row r="385" spans="1:11" x14ac:dyDescent="0.2">
      <c r="A385">
        <v>1600167</v>
      </c>
      <c r="B385">
        <v>2021</v>
      </c>
      <c r="C385">
        <v>94</v>
      </c>
      <c r="D385" t="s">
        <v>428</v>
      </c>
      <c r="E385" t="s">
        <v>429</v>
      </c>
      <c r="F385" t="s">
        <v>433</v>
      </c>
      <c r="G385" t="s">
        <v>147</v>
      </c>
      <c r="H385" t="s">
        <v>147</v>
      </c>
      <c r="I385" s="5">
        <v>99771</v>
      </c>
      <c r="J385">
        <f>IFERROR(VLOOKUP(G385,'LEAID Match'!$A$2:$B$183,2,FALSE),"")</f>
        <v>1600167</v>
      </c>
      <c r="K385">
        <f t="shared" si="5"/>
        <v>9</v>
      </c>
    </row>
    <row r="386" spans="1:11" x14ac:dyDescent="0.2">
      <c r="A386">
        <v>1600167</v>
      </c>
      <c r="B386">
        <v>2022</v>
      </c>
      <c r="C386">
        <v>94</v>
      </c>
      <c r="D386" t="s">
        <v>428</v>
      </c>
      <c r="E386" t="s">
        <v>429</v>
      </c>
      <c r="F386" t="s">
        <v>433</v>
      </c>
      <c r="G386" t="s">
        <v>147</v>
      </c>
      <c r="H386" t="s">
        <v>147</v>
      </c>
      <c r="I386" s="5">
        <v>104534</v>
      </c>
      <c r="J386">
        <f>IFERROR(VLOOKUP(G386,'LEAID Match'!$A$2:$B$183,2,FALSE),"")</f>
        <v>1600167</v>
      </c>
      <c r="K386">
        <f t="shared" si="5"/>
        <v>9</v>
      </c>
    </row>
    <row r="387" spans="1:11" x14ac:dyDescent="0.2">
      <c r="A387">
        <v>1600167</v>
      </c>
      <c r="B387">
        <v>2023</v>
      </c>
      <c r="C387">
        <v>94</v>
      </c>
      <c r="D387" t="s">
        <v>428</v>
      </c>
      <c r="E387" t="s">
        <v>429</v>
      </c>
      <c r="F387" t="s">
        <v>433</v>
      </c>
      <c r="G387" t="s">
        <v>147</v>
      </c>
      <c r="H387" t="s">
        <v>147</v>
      </c>
      <c r="I387" s="5">
        <v>125523</v>
      </c>
      <c r="J387">
        <f>IFERROR(VLOOKUP(G387,'LEAID Match'!$A$2:$B$183,2,FALSE),"")</f>
        <v>1600167</v>
      </c>
      <c r="K387">
        <f t="shared" ref="K387:K450" si="6">COUNTIF($A$2:$A$1651,A387)</f>
        <v>9</v>
      </c>
    </row>
    <row r="388" spans="1:11" x14ac:dyDescent="0.2">
      <c r="A388">
        <v>1600169</v>
      </c>
      <c r="B388">
        <v>2015</v>
      </c>
      <c r="C388">
        <v>12</v>
      </c>
      <c r="D388" t="s">
        <v>428</v>
      </c>
      <c r="E388" t="s">
        <v>429</v>
      </c>
      <c r="F388" t="s">
        <v>433</v>
      </c>
      <c r="G388" t="s">
        <v>124</v>
      </c>
      <c r="H388" t="s">
        <v>124</v>
      </c>
      <c r="I388" s="5">
        <v>39199</v>
      </c>
      <c r="J388">
        <f>IFERROR(VLOOKUP(G388,'LEAID Match'!$A$2:$B$183,2,FALSE),"")</f>
        <v>1600169</v>
      </c>
      <c r="K388">
        <f t="shared" si="6"/>
        <v>9</v>
      </c>
    </row>
    <row r="389" spans="1:11" x14ac:dyDescent="0.2">
      <c r="A389">
        <v>1600169</v>
      </c>
      <c r="B389">
        <v>2016</v>
      </c>
      <c r="C389">
        <v>12</v>
      </c>
      <c r="D389" t="s">
        <v>428</v>
      </c>
      <c r="E389" t="s">
        <v>429</v>
      </c>
      <c r="F389" t="s">
        <v>433</v>
      </c>
      <c r="G389" t="s">
        <v>124</v>
      </c>
      <c r="H389" t="s">
        <v>124</v>
      </c>
      <c r="I389" s="5">
        <v>47567</v>
      </c>
      <c r="J389">
        <f>IFERROR(VLOOKUP(G389,'LEAID Match'!$A$2:$B$183,2,FALSE),"")</f>
        <v>1600169</v>
      </c>
      <c r="K389">
        <f t="shared" si="6"/>
        <v>9</v>
      </c>
    </row>
    <row r="390" spans="1:11" x14ac:dyDescent="0.2">
      <c r="A390">
        <v>1600169</v>
      </c>
      <c r="B390">
        <v>2017</v>
      </c>
      <c r="C390">
        <v>12</v>
      </c>
      <c r="D390" t="s">
        <v>428</v>
      </c>
      <c r="E390" t="s">
        <v>429</v>
      </c>
      <c r="F390" t="s">
        <v>433</v>
      </c>
      <c r="G390" t="s">
        <v>124</v>
      </c>
      <c r="H390" t="s">
        <v>124</v>
      </c>
      <c r="I390" s="5">
        <v>49117</v>
      </c>
      <c r="J390">
        <f>IFERROR(VLOOKUP(G390,'LEAID Match'!$A$2:$B$183,2,FALSE),"")</f>
        <v>1600169</v>
      </c>
      <c r="K390">
        <f t="shared" si="6"/>
        <v>9</v>
      </c>
    </row>
    <row r="391" spans="1:11" x14ac:dyDescent="0.2">
      <c r="A391">
        <v>1600169</v>
      </c>
      <c r="B391">
        <v>2018</v>
      </c>
      <c r="C391">
        <v>12</v>
      </c>
      <c r="D391" t="s">
        <v>428</v>
      </c>
      <c r="E391" t="s">
        <v>429</v>
      </c>
      <c r="F391" t="s">
        <v>433</v>
      </c>
      <c r="G391" t="s">
        <v>124</v>
      </c>
      <c r="H391" t="s">
        <v>124</v>
      </c>
      <c r="I391" s="5">
        <v>77242</v>
      </c>
      <c r="J391">
        <f>IFERROR(VLOOKUP(G391,'LEAID Match'!$A$2:$B$183,2,FALSE),"")</f>
        <v>1600169</v>
      </c>
      <c r="K391">
        <f t="shared" si="6"/>
        <v>9</v>
      </c>
    </row>
    <row r="392" spans="1:11" x14ac:dyDescent="0.2">
      <c r="A392">
        <v>1600169</v>
      </c>
      <c r="B392">
        <v>2019</v>
      </c>
      <c r="C392">
        <v>12</v>
      </c>
      <c r="D392" t="s">
        <v>428</v>
      </c>
      <c r="E392" t="s">
        <v>429</v>
      </c>
      <c r="F392" t="s">
        <v>433</v>
      </c>
      <c r="G392" t="s">
        <v>124</v>
      </c>
      <c r="H392" t="s">
        <v>124</v>
      </c>
      <c r="I392" s="5">
        <v>89254</v>
      </c>
      <c r="J392">
        <f>IFERROR(VLOOKUP(G392,'LEAID Match'!$A$2:$B$183,2,FALSE),"")</f>
        <v>1600169</v>
      </c>
      <c r="K392">
        <f t="shared" si="6"/>
        <v>9</v>
      </c>
    </row>
    <row r="393" spans="1:11" x14ac:dyDescent="0.2">
      <c r="A393">
        <v>1600169</v>
      </c>
      <c r="B393">
        <v>2020</v>
      </c>
      <c r="C393">
        <v>12</v>
      </c>
      <c r="D393" t="s">
        <v>428</v>
      </c>
      <c r="E393" t="s">
        <v>429</v>
      </c>
      <c r="F393" t="s">
        <v>433</v>
      </c>
      <c r="G393" t="s">
        <v>124</v>
      </c>
      <c r="H393" t="s">
        <v>124</v>
      </c>
      <c r="I393" s="5">
        <v>94460</v>
      </c>
      <c r="J393">
        <f>IFERROR(VLOOKUP(G393,'LEAID Match'!$A$2:$B$183,2,FALSE),"")</f>
        <v>1600169</v>
      </c>
      <c r="K393">
        <f t="shared" si="6"/>
        <v>9</v>
      </c>
    </row>
    <row r="394" spans="1:11" x14ac:dyDescent="0.2">
      <c r="A394">
        <v>1600169</v>
      </c>
      <c r="B394">
        <v>2021</v>
      </c>
      <c r="C394">
        <v>12</v>
      </c>
      <c r="D394" t="s">
        <v>428</v>
      </c>
      <c r="E394" t="s">
        <v>429</v>
      </c>
      <c r="F394" t="s">
        <v>433</v>
      </c>
      <c r="G394" t="s">
        <v>124</v>
      </c>
      <c r="H394" t="s">
        <v>124</v>
      </c>
      <c r="I394" s="5">
        <v>94295</v>
      </c>
      <c r="J394">
        <f>IFERROR(VLOOKUP(G394,'LEAID Match'!$A$2:$B$183,2,FALSE),"")</f>
        <v>1600169</v>
      </c>
      <c r="K394">
        <f t="shared" si="6"/>
        <v>9</v>
      </c>
    </row>
    <row r="395" spans="1:11" x14ac:dyDescent="0.2">
      <c r="A395">
        <v>1600169</v>
      </c>
      <c r="B395">
        <v>2022</v>
      </c>
      <c r="C395">
        <v>12</v>
      </c>
      <c r="D395" t="s">
        <v>428</v>
      </c>
      <c r="E395" t="s">
        <v>429</v>
      </c>
      <c r="F395" t="s">
        <v>433</v>
      </c>
      <c r="G395" t="s">
        <v>124</v>
      </c>
      <c r="H395" t="s">
        <v>124</v>
      </c>
      <c r="I395" s="5">
        <v>87725</v>
      </c>
      <c r="J395">
        <f>IFERROR(VLOOKUP(G395,'LEAID Match'!$A$2:$B$183,2,FALSE),"")</f>
        <v>1600169</v>
      </c>
      <c r="K395">
        <f t="shared" si="6"/>
        <v>9</v>
      </c>
    </row>
    <row r="396" spans="1:11" x14ac:dyDescent="0.2">
      <c r="A396">
        <v>1600169</v>
      </c>
      <c r="B396">
        <v>2023</v>
      </c>
      <c r="C396">
        <v>12</v>
      </c>
      <c r="D396" t="s">
        <v>428</v>
      </c>
      <c r="E396" t="s">
        <v>429</v>
      </c>
      <c r="F396" t="s">
        <v>433</v>
      </c>
      <c r="G396" t="s">
        <v>124</v>
      </c>
      <c r="H396" t="s">
        <v>124</v>
      </c>
      <c r="I396" s="5">
        <v>96489</v>
      </c>
      <c r="J396">
        <f>IFERROR(VLOOKUP(G396,'LEAID Match'!$A$2:$B$183,2,FALSE),"")</f>
        <v>1600169</v>
      </c>
      <c r="K396">
        <f t="shared" si="6"/>
        <v>9</v>
      </c>
    </row>
    <row r="397" spans="1:11" x14ac:dyDescent="0.2">
      <c r="A397">
        <v>1600170</v>
      </c>
      <c r="B397">
        <v>2015</v>
      </c>
      <c r="C397">
        <v>180</v>
      </c>
      <c r="D397" t="s">
        <v>428</v>
      </c>
      <c r="E397" t="s">
        <v>429</v>
      </c>
      <c r="F397" t="s">
        <v>433</v>
      </c>
      <c r="G397" t="s">
        <v>168</v>
      </c>
      <c r="H397" t="s">
        <v>168</v>
      </c>
      <c r="I397" s="5">
        <v>44892</v>
      </c>
      <c r="J397">
        <f>IFERROR(VLOOKUP(G397,'LEAID Match'!$A$2:$B$183,2,FALSE),"")</f>
        <v>1600170</v>
      </c>
      <c r="K397">
        <f t="shared" si="6"/>
        <v>9</v>
      </c>
    </row>
    <row r="398" spans="1:11" x14ac:dyDescent="0.2">
      <c r="A398">
        <v>1600170</v>
      </c>
      <c r="B398">
        <v>2016</v>
      </c>
      <c r="C398">
        <v>180</v>
      </c>
      <c r="D398" t="s">
        <v>428</v>
      </c>
      <c r="E398" t="s">
        <v>429</v>
      </c>
      <c r="F398" t="s">
        <v>433</v>
      </c>
      <c r="G398" t="s">
        <v>168</v>
      </c>
      <c r="H398" t="s">
        <v>168</v>
      </c>
      <c r="I398" s="5">
        <v>50461</v>
      </c>
      <c r="J398">
        <f>IFERROR(VLOOKUP(G398,'LEAID Match'!$A$2:$B$183,2,FALSE),"")</f>
        <v>1600170</v>
      </c>
      <c r="K398">
        <f t="shared" si="6"/>
        <v>9</v>
      </c>
    </row>
    <row r="399" spans="1:11" x14ac:dyDescent="0.2">
      <c r="A399">
        <v>1600170</v>
      </c>
      <c r="B399">
        <v>2017</v>
      </c>
      <c r="C399">
        <v>180</v>
      </c>
      <c r="D399" t="s">
        <v>428</v>
      </c>
      <c r="E399" t="s">
        <v>429</v>
      </c>
      <c r="F399" t="s">
        <v>433</v>
      </c>
      <c r="G399" t="s">
        <v>168</v>
      </c>
      <c r="H399" t="s">
        <v>168</v>
      </c>
      <c r="I399" s="5">
        <v>57055</v>
      </c>
      <c r="J399">
        <f>IFERROR(VLOOKUP(G399,'LEAID Match'!$A$2:$B$183,2,FALSE),"")</f>
        <v>1600170</v>
      </c>
      <c r="K399">
        <f t="shared" si="6"/>
        <v>9</v>
      </c>
    </row>
    <row r="400" spans="1:11" x14ac:dyDescent="0.2">
      <c r="A400">
        <v>1600170</v>
      </c>
      <c r="B400">
        <v>2018</v>
      </c>
      <c r="C400">
        <v>180</v>
      </c>
      <c r="D400" t="s">
        <v>428</v>
      </c>
      <c r="E400" t="s">
        <v>429</v>
      </c>
      <c r="F400" t="s">
        <v>433</v>
      </c>
      <c r="G400" t="s">
        <v>168</v>
      </c>
      <c r="H400" t="s">
        <v>168</v>
      </c>
      <c r="I400" s="5">
        <v>61334</v>
      </c>
      <c r="J400">
        <f>IFERROR(VLOOKUP(G400,'LEAID Match'!$A$2:$B$183,2,FALSE),"")</f>
        <v>1600170</v>
      </c>
      <c r="K400">
        <f t="shared" si="6"/>
        <v>9</v>
      </c>
    </row>
    <row r="401" spans="1:11" x14ac:dyDescent="0.2">
      <c r="A401">
        <v>1600170</v>
      </c>
      <c r="B401">
        <v>2019</v>
      </c>
      <c r="C401">
        <v>180</v>
      </c>
      <c r="D401" t="s">
        <v>428</v>
      </c>
      <c r="E401" t="s">
        <v>429</v>
      </c>
      <c r="F401" t="s">
        <v>433</v>
      </c>
      <c r="G401" t="s">
        <v>168</v>
      </c>
      <c r="H401" t="s">
        <v>168</v>
      </c>
      <c r="I401" s="5">
        <v>53576</v>
      </c>
      <c r="J401">
        <f>IFERROR(VLOOKUP(G401,'LEAID Match'!$A$2:$B$183,2,FALSE),"")</f>
        <v>1600170</v>
      </c>
      <c r="K401">
        <f t="shared" si="6"/>
        <v>9</v>
      </c>
    </row>
    <row r="402" spans="1:11" x14ac:dyDescent="0.2">
      <c r="A402">
        <v>1600170</v>
      </c>
      <c r="B402">
        <v>2020</v>
      </c>
      <c r="C402">
        <v>180</v>
      </c>
      <c r="D402" t="s">
        <v>428</v>
      </c>
      <c r="E402" t="s">
        <v>429</v>
      </c>
      <c r="F402" t="s">
        <v>433</v>
      </c>
      <c r="G402" t="s">
        <v>168</v>
      </c>
      <c r="H402" t="s">
        <v>381</v>
      </c>
      <c r="I402" s="5">
        <v>32063</v>
      </c>
      <c r="J402">
        <f>IFERROR(VLOOKUP(G402,'LEAID Match'!$A$2:$B$183,2,FALSE),"")</f>
        <v>1600170</v>
      </c>
      <c r="K402">
        <f t="shared" si="6"/>
        <v>9</v>
      </c>
    </row>
    <row r="403" spans="1:11" x14ac:dyDescent="0.2">
      <c r="A403">
        <v>1600170</v>
      </c>
      <c r="B403">
        <v>2021</v>
      </c>
      <c r="C403">
        <v>180</v>
      </c>
      <c r="D403" t="s">
        <v>428</v>
      </c>
      <c r="E403" t="s">
        <v>429</v>
      </c>
      <c r="F403" t="s">
        <v>433</v>
      </c>
      <c r="G403" t="s">
        <v>168</v>
      </c>
      <c r="H403" t="s">
        <v>381</v>
      </c>
      <c r="I403" s="5">
        <v>32567</v>
      </c>
      <c r="J403">
        <f>IFERROR(VLOOKUP(G403,'LEAID Match'!$A$2:$B$183,2,FALSE),"")</f>
        <v>1600170</v>
      </c>
      <c r="K403">
        <f t="shared" si="6"/>
        <v>9</v>
      </c>
    </row>
    <row r="404" spans="1:11" x14ac:dyDescent="0.2">
      <c r="A404">
        <v>1600170</v>
      </c>
      <c r="B404">
        <v>2022</v>
      </c>
      <c r="C404">
        <v>180</v>
      </c>
      <c r="D404" t="s">
        <v>428</v>
      </c>
      <c r="E404" t="s">
        <v>429</v>
      </c>
      <c r="F404" t="s">
        <v>433</v>
      </c>
      <c r="G404" t="s">
        <v>168</v>
      </c>
      <c r="H404" t="s">
        <v>381</v>
      </c>
      <c r="I404" s="5">
        <v>35590</v>
      </c>
      <c r="J404">
        <f>IFERROR(VLOOKUP(G404,'LEAID Match'!$A$2:$B$183,2,FALSE),"")</f>
        <v>1600170</v>
      </c>
      <c r="K404">
        <f t="shared" si="6"/>
        <v>9</v>
      </c>
    </row>
    <row r="405" spans="1:11" x14ac:dyDescent="0.2">
      <c r="A405">
        <v>1600170</v>
      </c>
      <c r="B405">
        <v>2023</v>
      </c>
      <c r="C405">
        <v>180</v>
      </c>
      <c r="D405" t="s">
        <v>428</v>
      </c>
      <c r="E405" t="s">
        <v>429</v>
      </c>
      <c r="F405" t="s">
        <v>433</v>
      </c>
      <c r="G405" t="s">
        <v>168</v>
      </c>
      <c r="H405" t="s">
        <v>381</v>
      </c>
      <c r="I405" s="5">
        <v>40997</v>
      </c>
      <c r="J405">
        <f>IFERROR(VLOOKUP(G405,'LEAID Match'!$A$2:$B$183,2,FALSE),"")</f>
        <v>1600170</v>
      </c>
      <c r="K405">
        <f t="shared" si="6"/>
        <v>9</v>
      </c>
    </row>
    <row r="406" spans="1:11" x14ac:dyDescent="0.2">
      <c r="A406">
        <v>1600171</v>
      </c>
      <c r="B406">
        <v>2015</v>
      </c>
      <c r="C406">
        <v>80</v>
      </c>
      <c r="D406" t="s">
        <v>428</v>
      </c>
      <c r="E406" t="s">
        <v>429</v>
      </c>
      <c r="F406" t="s">
        <v>433</v>
      </c>
      <c r="G406" t="s">
        <v>137</v>
      </c>
      <c r="H406" t="s">
        <v>137</v>
      </c>
      <c r="I406" s="5">
        <v>25046</v>
      </c>
      <c r="J406">
        <f>IFERROR(VLOOKUP(G406,'LEAID Match'!$A$2:$B$183,2,FALSE),"")</f>
        <v>1600171</v>
      </c>
      <c r="K406">
        <f t="shared" si="6"/>
        <v>9</v>
      </c>
    </row>
    <row r="407" spans="1:11" x14ac:dyDescent="0.2">
      <c r="A407">
        <v>1600171</v>
      </c>
      <c r="B407">
        <v>2016</v>
      </c>
      <c r="C407">
        <v>80</v>
      </c>
      <c r="D407" t="s">
        <v>428</v>
      </c>
      <c r="E407" t="s">
        <v>429</v>
      </c>
      <c r="F407" t="s">
        <v>433</v>
      </c>
      <c r="G407" t="s">
        <v>137</v>
      </c>
      <c r="H407" t="s">
        <v>137</v>
      </c>
      <c r="I407" s="5">
        <v>28983</v>
      </c>
      <c r="J407">
        <f>IFERROR(VLOOKUP(G407,'LEAID Match'!$A$2:$B$183,2,FALSE),"")</f>
        <v>1600171</v>
      </c>
      <c r="K407">
        <f t="shared" si="6"/>
        <v>9</v>
      </c>
    </row>
    <row r="408" spans="1:11" x14ac:dyDescent="0.2">
      <c r="A408">
        <v>1600171</v>
      </c>
      <c r="B408">
        <v>2017</v>
      </c>
      <c r="C408">
        <v>80</v>
      </c>
      <c r="D408" t="s">
        <v>428</v>
      </c>
      <c r="E408" t="s">
        <v>429</v>
      </c>
      <c r="F408" t="s">
        <v>433</v>
      </c>
      <c r="G408" t="s">
        <v>137</v>
      </c>
      <c r="H408" t="s">
        <v>137</v>
      </c>
      <c r="I408" s="5">
        <v>44783</v>
      </c>
      <c r="J408">
        <f>IFERROR(VLOOKUP(G408,'LEAID Match'!$A$2:$B$183,2,FALSE),"")</f>
        <v>1600171</v>
      </c>
      <c r="K408">
        <f t="shared" si="6"/>
        <v>9</v>
      </c>
    </row>
    <row r="409" spans="1:11" x14ac:dyDescent="0.2">
      <c r="A409">
        <v>1600171</v>
      </c>
      <c r="B409">
        <v>2018</v>
      </c>
      <c r="C409">
        <v>80</v>
      </c>
      <c r="D409" t="s">
        <v>428</v>
      </c>
      <c r="E409" t="s">
        <v>429</v>
      </c>
      <c r="F409" t="s">
        <v>433</v>
      </c>
      <c r="G409" t="s">
        <v>137</v>
      </c>
      <c r="H409" t="s">
        <v>137</v>
      </c>
      <c r="I409" s="5">
        <v>47157</v>
      </c>
      <c r="J409">
        <f>IFERROR(VLOOKUP(G409,'LEAID Match'!$A$2:$B$183,2,FALSE),"")</f>
        <v>1600171</v>
      </c>
      <c r="K409">
        <f t="shared" si="6"/>
        <v>9</v>
      </c>
    </row>
    <row r="410" spans="1:11" x14ac:dyDescent="0.2">
      <c r="A410">
        <v>1600171</v>
      </c>
      <c r="B410">
        <v>2019</v>
      </c>
      <c r="C410">
        <v>80</v>
      </c>
      <c r="D410" t="s">
        <v>428</v>
      </c>
      <c r="E410" t="s">
        <v>429</v>
      </c>
      <c r="F410" t="s">
        <v>433</v>
      </c>
      <c r="G410" t="s">
        <v>137</v>
      </c>
      <c r="H410" t="s">
        <v>137</v>
      </c>
      <c r="I410" s="5">
        <v>59952</v>
      </c>
      <c r="J410">
        <f>IFERROR(VLOOKUP(G410,'LEAID Match'!$A$2:$B$183,2,FALSE),"")</f>
        <v>1600171</v>
      </c>
      <c r="K410">
        <f t="shared" si="6"/>
        <v>9</v>
      </c>
    </row>
    <row r="411" spans="1:11" x14ac:dyDescent="0.2">
      <c r="A411">
        <v>1600171</v>
      </c>
      <c r="B411">
        <v>2020</v>
      </c>
      <c r="C411">
        <v>80</v>
      </c>
      <c r="D411" t="s">
        <v>428</v>
      </c>
      <c r="E411" t="s">
        <v>429</v>
      </c>
      <c r="F411" t="s">
        <v>433</v>
      </c>
      <c r="G411" t="s">
        <v>137</v>
      </c>
      <c r="H411" t="s">
        <v>350</v>
      </c>
      <c r="I411" s="5">
        <v>68973</v>
      </c>
      <c r="J411">
        <f>IFERROR(VLOOKUP(G411,'LEAID Match'!$A$2:$B$183,2,FALSE),"")</f>
        <v>1600171</v>
      </c>
      <c r="K411">
        <f t="shared" si="6"/>
        <v>9</v>
      </c>
    </row>
    <row r="412" spans="1:11" x14ac:dyDescent="0.2">
      <c r="A412">
        <v>1600171</v>
      </c>
      <c r="B412">
        <v>2021</v>
      </c>
      <c r="C412">
        <v>80</v>
      </c>
      <c r="D412" t="s">
        <v>428</v>
      </c>
      <c r="E412" t="s">
        <v>429</v>
      </c>
      <c r="F412" t="s">
        <v>433</v>
      </c>
      <c r="G412" t="s">
        <v>137</v>
      </c>
      <c r="H412" t="s">
        <v>137</v>
      </c>
      <c r="I412" s="5">
        <v>76731</v>
      </c>
      <c r="J412">
        <f>IFERROR(VLOOKUP(G412,'LEAID Match'!$A$2:$B$183,2,FALSE),"")</f>
        <v>1600171</v>
      </c>
      <c r="K412">
        <f t="shared" si="6"/>
        <v>9</v>
      </c>
    </row>
    <row r="413" spans="1:11" x14ac:dyDescent="0.2">
      <c r="A413">
        <v>1600171</v>
      </c>
      <c r="B413">
        <v>2022</v>
      </c>
      <c r="C413">
        <v>80</v>
      </c>
      <c r="D413" t="s">
        <v>428</v>
      </c>
      <c r="E413" t="s">
        <v>429</v>
      </c>
      <c r="F413" t="s">
        <v>433</v>
      </c>
      <c r="G413" t="s">
        <v>137</v>
      </c>
      <c r="H413" t="s">
        <v>137</v>
      </c>
      <c r="I413" s="5">
        <v>88298</v>
      </c>
      <c r="J413">
        <f>IFERROR(VLOOKUP(G413,'LEAID Match'!$A$2:$B$183,2,FALSE),"")</f>
        <v>1600171</v>
      </c>
      <c r="K413">
        <f t="shared" si="6"/>
        <v>9</v>
      </c>
    </row>
    <row r="414" spans="1:11" x14ac:dyDescent="0.2">
      <c r="A414">
        <v>1600171</v>
      </c>
      <c r="B414">
        <v>2023</v>
      </c>
      <c r="C414">
        <v>80</v>
      </c>
      <c r="D414" t="s">
        <v>428</v>
      </c>
      <c r="E414" t="s">
        <v>429</v>
      </c>
      <c r="F414" t="s">
        <v>433</v>
      </c>
      <c r="G414" t="s">
        <v>137</v>
      </c>
      <c r="H414" t="s">
        <v>137</v>
      </c>
      <c r="I414" s="5">
        <v>97961</v>
      </c>
      <c r="J414">
        <f>IFERROR(VLOOKUP(G414,'LEAID Match'!$A$2:$B$183,2,FALSE),"")</f>
        <v>1600171</v>
      </c>
      <c r="K414">
        <f t="shared" si="6"/>
        <v>9</v>
      </c>
    </row>
    <row r="415" spans="1:11" x14ac:dyDescent="0.2">
      <c r="A415">
        <v>1600172</v>
      </c>
      <c r="B415">
        <v>2015</v>
      </c>
      <c r="C415">
        <v>62</v>
      </c>
      <c r="D415" t="s">
        <v>428</v>
      </c>
      <c r="E415" t="s">
        <v>429</v>
      </c>
      <c r="F415" t="s">
        <v>433</v>
      </c>
      <c r="G415" t="s">
        <v>138</v>
      </c>
      <c r="H415" t="s">
        <v>138</v>
      </c>
      <c r="I415" s="5">
        <v>212202</v>
      </c>
      <c r="J415">
        <f>IFERROR(VLOOKUP(G415,'LEAID Match'!$A$2:$B$183,2,FALSE),"")</f>
        <v>1600172</v>
      </c>
      <c r="K415">
        <f t="shared" si="6"/>
        <v>9</v>
      </c>
    </row>
    <row r="416" spans="1:11" x14ac:dyDescent="0.2">
      <c r="A416">
        <v>1600172</v>
      </c>
      <c r="B416">
        <v>2016</v>
      </c>
      <c r="C416">
        <v>62</v>
      </c>
      <c r="D416" t="s">
        <v>428</v>
      </c>
      <c r="E416" t="s">
        <v>429</v>
      </c>
      <c r="F416" t="s">
        <v>433</v>
      </c>
      <c r="G416" t="s">
        <v>138</v>
      </c>
      <c r="H416" t="s">
        <v>182</v>
      </c>
      <c r="I416" s="5">
        <v>236737</v>
      </c>
      <c r="J416">
        <f>IFERROR(VLOOKUP(G416,'LEAID Match'!$A$2:$B$183,2,FALSE),"")</f>
        <v>1600172</v>
      </c>
      <c r="K416">
        <f t="shared" si="6"/>
        <v>9</v>
      </c>
    </row>
    <row r="417" spans="1:11" x14ac:dyDescent="0.2">
      <c r="A417">
        <v>1600172</v>
      </c>
      <c r="B417">
        <v>2017</v>
      </c>
      <c r="C417">
        <v>62</v>
      </c>
      <c r="D417" t="s">
        <v>428</v>
      </c>
      <c r="E417" t="s">
        <v>429</v>
      </c>
      <c r="F417" t="s">
        <v>433</v>
      </c>
      <c r="G417" t="s">
        <v>138</v>
      </c>
      <c r="H417" t="s">
        <v>182</v>
      </c>
      <c r="I417" s="5">
        <v>243144</v>
      </c>
      <c r="J417">
        <f>IFERROR(VLOOKUP(G417,'LEAID Match'!$A$2:$B$183,2,FALSE),"")</f>
        <v>1600172</v>
      </c>
      <c r="K417">
        <f t="shared" si="6"/>
        <v>9</v>
      </c>
    </row>
    <row r="418" spans="1:11" x14ac:dyDescent="0.2">
      <c r="A418">
        <v>1600172</v>
      </c>
      <c r="B418">
        <v>2018</v>
      </c>
      <c r="C418">
        <v>62</v>
      </c>
      <c r="D418" t="s">
        <v>428</v>
      </c>
      <c r="E418" t="s">
        <v>429</v>
      </c>
      <c r="F418" t="s">
        <v>433</v>
      </c>
      <c r="G418" t="s">
        <v>138</v>
      </c>
      <c r="H418" t="s">
        <v>199</v>
      </c>
      <c r="I418" s="5">
        <v>209898</v>
      </c>
      <c r="J418">
        <f>IFERROR(VLOOKUP(G418,'LEAID Match'!$A$2:$B$183,2,FALSE),"")</f>
        <v>1600172</v>
      </c>
      <c r="K418">
        <f t="shared" si="6"/>
        <v>9</v>
      </c>
    </row>
    <row r="419" spans="1:11" x14ac:dyDescent="0.2">
      <c r="A419">
        <v>1600172</v>
      </c>
      <c r="B419">
        <v>2019</v>
      </c>
      <c r="C419">
        <v>62</v>
      </c>
      <c r="D419" t="s">
        <v>428</v>
      </c>
      <c r="E419" t="s">
        <v>429</v>
      </c>
      <c r="F419" t="s">
        <v>433</v>
      </c>
      <c r="G419" t="s">
        <v>246</v>
      </c>
      <c r="H419" t="s">
        <v>246</v>
      </c>
      <c r="I419" s="5">
        <v>211543</v>
      </c>
      <c r="J419">
        <f>IFERROR(VLOOKUP(G419,'LEAID Match'!$A$2:$B$183,2,FALSE),"")</f>
        <v>1600172</v>
      </c>
      <c r="K419">
        <f t="shared" si="6"/>
        <v>9</v>
      </c>
    </row>
    <row r="420" spans="1:11" x14ac:dyDescent="0.2">
      <c r="A420">
        <v>1600172</v>
      </c>
      <c r="B420">
        <v>2020</v>
      </c>
      <c r="C420">
        <v>62</v>
      </c>
      <c r="D420" t="s">
        <v>428</v>
      </c>
      <c r="E420" t="s">
        <v>429</v>
      </c>
      <c r="F420" t="s">
        <v>433</v>
      </c>
      <c r="G420" t="s">
        <v>246</v>
      </c>
      <c r="H420" t="s">
        <v>344</v>
      </c>
      <c r="I420" s="5">
        <v>252785</v>
      </c>
      <c r="J420">
        <f>IFERROR(VLOOKUP(G420,'LEAID Match'!$A$2:$B$183,2,FALSE),"")</f>
        <v>1600172</v>
      </c>
      <c r="K420">
        <f t="shared" si="6"/>
        <v>9</v>
      </c>
    </row>
    <row r="421" spans="1:11" x14ac:dyDescent="0.2">
      <c r="A421">
        <v>1600172</v>
      </c>
      <c r="B421">
        <v>2021</v>
      </c>
      <c r="C421">
        <v>62</v>
      </c>
      <c r="D421" t="s">
        <v>428</v>
      </c>
      <c r="E421" t="s">
        <v>429</v>
      </c>
      <c r="F421" t="s">
        <v>433</v>
      </c>
      <c r="G421" t="s">
        <v>246</v>
      </c>
      <c r="H421" t="s">
        <v>246</v>
      </c>
      <c r="I421" s="5">
        <v>294519</v>
      </c>
      <c r="J421">
        <f>IFERROR(VLOOKUP(G421,'LEAID Match'!$A$2:$B$183,2,FALSE),"")</f>
        <v>1600172</v>
      </c>
      <c r="K421">
        <f t="shared" si="6"/>
        <v>9</v>
      </c>
    </row>
    <row r="422" spans="1:11" x14ac:dyDescent="0.2">
      <c r="A422">
        <v>1600172</v>
      </c>
      <c r="B422">
        <v>2022</v>
      </c>
      <c r="C422">
        <v>62</v>
      </c>
      <c r="D422" t="s">
        <v>428</v>
      </c>
      <c r="E422" t="s">
        <v>429</v>
      </c>
      <c r="F422" t="s">
        <v>433</v>
      </c>
      <c r="G422" t="s">
        <v>246</v>
      </c>
      <c r="H422" t="s">
        <v>246</v>
      </c>
      <c r="I422" s="5">
        <v>327397</v>
      </c>
      <c r="J422">
        <f>IFERROR(VLOOKUP(G422,'LEAID Match'!$A$2:$B$183,2,FALSE),"")</f>
        <v>1600172</v>
      </c>
      <c r="K422">
        <f t="shared" si="6"/>
        <v>9</v>
      </c>
    </row>
    <row r="423" spans="1:11" x14ac:dyDescent="0.2">
      <c r="A423">
        <v>1600172</v>
      </c>
      <c r="B423">
        <v>2023</v>
      </c>
      <c r="C423">
        <v>62</v>
      </c>
      <c r="D423" t="s">
        <v>428</v>
      </c>
      <c r="E423" t="s">
        <v>429</v>
      </c>
      <c r="F423" t="s">
        <v>433</v>
      </c>
      <c r="G423" t="s">
        <v>246</v>
      </c>
      <c r="H423" t="s">
        <v>246</v>
      </c>
      <c r="I423" s="5">
        <v>390486</v>
      </c>
      <c r="J423">
        <f>IFERROR(VLOOKUP(G423,'LEAID Match'!$A$2:$B$183,2,FALSE),"")</f>
        <v>1600172</v>
      </c>
      <c r="K423">
        <f t="shared" si="6"/>
        <v>9</v>
      </c>
    </row>
    <row r="424" spans="1:11" x14ac:dyDescent="0.2">
      <c r="A424">
        <v>1600173</v>
      </c>
      <c r="B424">
        <v>2015</v>
      </c>
      <c r="C424">
        <v>35</v>
      </c>
      <c r="D424" t="s">
        <v>428</v>
      </c>
      <c r="E424" t="s">
        <v>429</v>
      </c>
      <c r="F424" t="s">
        <v>433</v>
      </c>
      <c r="G424" t="s">
        <v>127</v>
      </c>
      <c r="H424" t="s">
        <v>127</v>
      </c>
      <c r="I424" s="5">
        <v>255016</v>
      </c>
      <c r="J424">
        <f>IFERROR(VLOOKUP(G424,'LEAID Match'!$A$2:$B$183,2,FALSE),"")</f>
        <v>1600173</v>
      </c>
      <c r="K424">
        <f t="shared" si="6"/>
        <v>9</v>
      </c>
    </row>
    <row r="425" spans="1:11" x14ac:dyDescent="0.2">
      <c r="A425">
        <v>1600173</v>
      </c>
      <c r="B425">
        <v>2016</v>
      </c>
      <c r="C425">
        <v>35</v>
      </c>
      <c r="D425" t="s">
        <v>428</v>
      </c>
      <c r="E425" t="s">
        <v>429</v>
      </c>
      <c r="F425" t="s">
        <v>433</v>
      </c>
      <c r="G425" t="s">
        <v>127</v>
      </c>
      <c r="H425" t="s">
        <v>127</v>
      </c>
      <c r="I425" s="5">
        <v>266890</v>
      </c>
      <c r="J425">
        <f>IFERROR(VLOOKUP(G425,'LEAID Match'!$A$2:$B$183,2,FALSE),"")</f>
        <v>1600173</v>
      </c>
      <c r="K425">
        <f t="shared" si="6"/>
        <v>9</v>
      </c>
    </row>
    <row r="426" spans="1:11" x14ac:dyDescent="0.2">
      <c r="A426">
        <v>1600173</v>
      </c>
      <c r="B426">
        <v>2017</v>
      </c>
      <c r="C426">
        <v>35</v>
      </c>
      <c r="D426" t="s">
        <v>428</v>
      </c>
      <c r="E426" t="s">
        <v>429</v>
      </c>
      <c r="F426" t="s">
        <v>433</v>
      </c>
      <c r="G426" t="s">
        <v>127</v>
      </c>
      <c r="H426" t="s">
        <v>127</v>
      </c>
      <c r="I426" s="5">
        <v>267711</v>
      </c>
      <c r="J426">
        <f>IFERROR(VLOOKUP(G426,'LEAID Match'!$A$2:$B$183,2,FALSE),"")</f>
        <v>1600173</v>
      </c>
      <c r="K426">
        <f t="shared" si="6"/>
        <v>9</v>
      </c>
    </row>
    <row r="427" spans="1:11" x14ac:dyDescent="0.2">
      <c r="A427">
        <v>1600173</v>
      </c>
      <c r="B427">
        <v>2018</v>
      </c>
      <c r="C427">
        <v>35</v>
      </c>
      <c r="D427" t="s">
        <v>428</v>
      </c>
      <c r="E427" t="s">
        <v>429</v>
      </c>
      <c r="F427" t="s">
        <v>433</v>
      </c>
      <c r="G427" t="s">
        <v>127</v>
      </c>
      <c r="H427" t="s">
        <v>127</v>
      </c>
      <c r="I427" s="5">
        <v>292945</v>
      </c>
      <c r="J427">
        <f>IFERROR(VLOOKUP(G427,'LEAID Match'!$A$2:$B$183,2,FALSE),"")</f>
        <v>1600173</v>
      </c>
      <c r="K427">
        <f t="shared" si="6"/>
        <v>9</v>
      </c>
    </row>
    <row r="428" spans="1:11" x14ac:dyDescent="0.2">
      <c r="A428">
        <v>1600173</v>
      </c>
      <c r="B428">
        <v>2019</v>
      </c>
      <c r="C428">
        <v>35</v>
      </c>
      <c r="D428" t="s">
        <v>428</v>
      </c>
      <c r="E428" t="s">
        <v>429</v>
      </c>
      <c r="F428" t="s">
        <v>433</v>
      </c>
      <c r="G428" t="s">
        <v>127</v>
      </c>
      <c r="H428" t="s">
        <v>127</v>
      </c>
      <c r="I428" s="5">
        <v>302097</v>
      </c>
      <c r="J428">
        <f>IFERROR(VLOOKUP(G428,'LEAID Match'!$A$2:$B$183,2,FALSE),"")</f>
        <v>1600173</v>
      </c>
      <c r="K428">
        <f t="shared" si="6"/>
        <v>9</v>
      </c>
    </row>
    <row r="429" spans="1:11" x14ac:dyDescent="0.2">
      <c r="A429">
        <v>1600173</v>
      </c>
      <c r="B429">
        <v>2020</v>
      </c>
      <c r="C429">
        <v>35</v>
      </c>
      <c r="D429" t="s">
        <v>428</v>
      </c>
      <c r="E429" t="s">
        <v>429</v>
      </c>
      <c r="F429" t="s">
        <v>433</v>
      </c>
      <c r="G429" t="s">
        <v>127</v>
      </c>
      <c r="H429" t="s">
        <v>335</v>
      </c>
      <c r="I429" s="5">
        <v>339001</v>
      </c>
      <c r="J429">
        <f>IFERROR(VLOOKUP(G429,'LEAID Match'!$A$2:$B$183,2,FALSE),"")</f>
        <v>1600173</v>
      </c>
      <c r="K429">
        <f t="shared" si="6"/>
        <v>9</v>
      </c>
    </row>
    <row r="430" spans="1:11" x14ac:dyDescent="0.2">
      <c r="A430">
        <v>1600173</v>
      </c>
      <c r="B430">
        <v>2021</v>
      </c>
      <c r="C430">
        <v>35</v>
      </c>
      <c r="D430" t="s">
        <v>428</v>
      </c>
      <c r="E430" t="s">
        <v>429</v>
      </c>
      <c r="F430" t="s">
        <v>433</v>
      </c>
      <c r="G430" t="s">
        <v>127</v>
      </c>
      <c r="H430" t="s">
        <v>127</v>
      </c>
      <c r="I430" s="5">
        <v>338327</v>
      </c>
      <c r="J430">
        <f>IFERROR(VLOOKUP(G430,'LEAID Match'!$A$2:$B$183,2,FALSE),"")</f>
        <v>1600173</v>
      </c>
      <c r="K430">
        <f t="shared" si="6"/>
        <v>9</v>
      </c>
    </row>
    <row r="431" spans="1:11" x14ac:dyDescent="0.2">
      <c r="A431">
        <v>1600173</v>
      </c>
      <c r="B431">
        <v>2022</v>
      </c>
      <c r="C431">
        <v>35</v>
      </c>
      <c r="D431" t="s">
        <v>428</v>
      </c>
      <c r="E431" t="s">
        <v>429</v>
      </c>
      <c r="F431" t="s">
        <v>433</v>
      </c>
      <c r="G431" t="s">
        <v>127</v>
      </c>
      <c r="H431" t="s">
        <v>127</v>
      </c>
      <c r="I431" s="5">
        <v>355191</v>
      </c>
      <c r="J431">
        <f>IFERROR(VLOOKUP(G431,'LEAID Match'!$A$2:$B$183,2,FALSE),"")</f>
        <v>1600173</v>
      </c>
      <c r="K431">
        <f t="shared" si="6"/>
        <v>9</v>
      </c>
    </row>
    <row r="432" spans="1:11" x14ac:dyDescent="0.2">
      <c r="A432">
        <v>1600173</v>
      </c>
      <c r="B432">
        <v>2023</v>
      </c>
      <c r="C432">
        <v>35</v>
      </c>
      <c r="D432" t="s">
        <v>428</v>
      </c>
      <c r="E432" t="s">
        <v>429</v>
      </c>
      <c r="F432" t="s">
        <v>433</v>
      </c>
      <c r="G432" t="s">
        <v>127</v>
      </c>
      <c r="H432" t="s">
        <v>127</v>
      </c>
      <c r="I432" s="5">
        <v>366805</v>
      </c>
      <c r="J432">
        <f>IFERROR(VLOOKUP(G432,'LEAID Match'!$A$2:$B$183,2,FALSE),"")</f>
        <v>1600173</v>
      </c>
      <c r="K432">
        <f t="shared" si="6"/>
        <v>9</v>
      </c>
    </row>
    <row r="433" spans="1:11" x14ac:dyDescent="0.2">
      <c r="A433">
        <v>1600174</v>
      </c>
      <c r="B433">
        <v>2015</v>
      </c>
      <c r="C433">
        <v>128</v>
      </c>
      <c r="D433" t="s">
        <v>428</v>
      </c>
      <c r="E433" t="s">
        <v>429</v>
      </c>
      <c r="F433" t="s">
        <v>433</v>
      </c>
      <c r="G433" t="s">
        <v>154</v>
      </c>
      <c r="H433" t="s">
        <v>154</v>
      </c>
      <c r="I433" s="5">
        <v>303796</v>
      </c>
      <c r="J433">
        <f>IFERROR(VLOOKUP(G433,'LEAID Match'!$A$2:$B$183,2,FALSE),"")</f>
        <v>1600174</v>
      </c>
      <c r="K433">
        <f t="shared" si="6"/>
        <v>9</v>
      </c>
    </row>
    <row r="434" spans="1:11" x14ac:dyDescent="0.2">
      <c r="A434">
        <v>1600174</v>
      </c>
      <c r="B434">
        <v>2016</v>
      </c>
      <c r="C434">
        <v>128</v>
      </c>
      <c r="D434" t="s">
        <v>428</v>
      </c>
      <c r="E434" t="s">
        <v>429</v>
      </c>
      <c r="F434" t="s">
        <v>433</v>
      </c>
      <c r="G434" t="s">
        <v>154</v>
      </c>
      <c r="H434" t="s">
        <v>154</v>
      </c>
      <c r="I434" s="5">
        <v>332007</v>
      </c>
      <c r="J434">
        <f>IFERROR(VLOOKUP(G434,'LEAID Match'!$A$2:$B$183,2,FALSE),"")</f>
        <v>1600174</v>
      </c>
      <c r="K434">
        <f t="shared" si="6"/>
        <v>9</v>
      </c>
    </row>
    <row r="435" spans="1:11" x14ac:dyDescent="0.2">
      <c r="A435">
        <v>1600174</v>
      </c>
      <c r="B435">
        <v>2017</v>
      </c>
      <c r="C435">
        <v>128</v>
      </c>
      <c r="D435" t="s">
        <v>428</v>
      </c>
      <c r="E435" t="s">
        <v>429</v>
      </c>
      <c r="F435" t="s">
        <v>433</v>
      </c>
      <c r="G435" t="s">
        <v>154</v>
      </c>
      <c r="H435" t="s">
        <v>154</v>
      </c>
      <c r="I435" s="5">
        <v>367439</v>
      </c>
      <c r="J435">
        <f>IFERROR(VLOOKUP(G435,'LEAID Match'!$A$2:$B$183,2,FALSE),"")</f>
        <v>1600174</v>
      </c>
      <c r="K435">
        <f t="shared" si="6"/>
        <v>9</v>
      </c>
    </row>
    <row r="436" spans="1:11" x14ac:dyDescent="0.2">
      <c r="A436">
        <v>1600174</v>
      </c>
      <c r="B436">
        <v>2018</v>
      </c>
      <c r="C436">
        <v>128</v>
      </c>
      <c r="D436" t="s">
        <v>428</v>
      </c>
      <c r="E436" t="s">
        <v>429</v>
      </c>
      <c r="F436" t="s">
        <v>433</v>
      </c>
      <c r="G436" t="s">
        <v>154</v>
      </c>
      <c r="H436" t="s">
        <v>154</v>
      </c>
      <c r="I436" s="5">
        <v>371826</v>
      </c>
      <c r="J436">
        <f>IFERROR(VLOOKUP(G436,'LEAID Match'!$A$2:$B$183,2,FALSE),"")</f>
        <v>1600174</v>
      </c>
      <c r="K436">
        <f t="shared" si="6"/>
        <v>9</v>
      </c>
    </row>
    <row r="437" spans="1:11" x14ac:dyDescent="0.2">
      <c r="A437">
        <v>1600174</v>
      </c>
      <c r="B437">
        <v>2019</v>
      </c>
      <c r="C437">
        <v>128</v>
      </c>
      <c r="D437" t="s">
        <v>428</v>
      </c>
      <c r="E437" t="s">
        <v>429</v>
      </c>
      <c r="F437" t="s">
        <v>433</v>
      </c>
      <c r="G437" t="s">
        <v>154</v>
      </c>
      <c r="H437" t="s">
        <v>154</v>
      </c>
      <c r="I437" s="5">
        <v>386726</v>
      </c>
      <c r="J437">
        <f>IFERROR(VLOOKUP(G437,'LEAID Match'!$A$2:$B$183,2,FALSE),"")</f>
        <v>1600174</v>
      </c>
      <c r="K437">
        <f t="shared" si="6"/>
        <v>9</v>
      </c>
    </row>
    <row r="438" spans="1:11" x14ac:dyDescent="0.2">
      <c r="A438">
        <v>1600174</v>
      </c>
      <c r="B438">
        <v>2020</v>
      </c>
      <c r="C438">
        <v>128</v>
      </c>
      <c r="D438" t="s">
        <v>428</v>
      </c>
      <c r="E438" t="s">
        <v>429</v>
      </c>
      <c r="F438" t="s">
        <v>433</v>
      </c>
      <c r="G438" t="s">
        <v>154</v>
      </c>
      <c r="H438" t="s">
        <v>154</v>
      </c>
      <c r="I438" s="5">
        <v>446878</v>
      </c>
      <c r="J438">
        <f>IFERROR(VLOOKUP(G438,'LEAID Match'!$A$2:$B$183,2,FALSE),"")</f>
        <v>1600174</v>
      </c>
      <c r="K438">
        <f t="shared" si="6"/>
        <v>9</v>
      </c>
    </row>
    <row r="439" spans="1:11" x14ac:dyDescent="0.2">
      <c r="A439">
        <v>1600174</v>
      </c>
      <c r="B439">
        <v>2021</v>
      </c>
      <c r="C439">
        <v>128</v>
      </c>
      <c r="D439" t="s">
        <v>428</v>
      </c>
      <c r="E439" t="s">
        <v>429</v>
      </c>
      <c r="F439" t="s">
        <v>433</v>
      </c>
      <c r="G439" t="s">
        <v>154</v>
      </c>
      <c r="H439" t="s">
        <v>154</v>
      </c>
      <c r="I439" s="5">
        <v>467393</v>
      </c>
      <c r="J439">
        <f>IFERROR(VLOOKUP(G439,'LEAID Match'!$A$2:$B$183,2,FALSE),"")</f>
        <v>1600174</v>
      </c>
      <c r="K439">
        <f t="shared" si="6"/>
        <v>9</v>
      </c>
    </row>
    <row r="440" spans="1:11" x14ac:dyDescent="0.2">
      <c r="A440">
        <v>1600174</v>
      </c>
      <c r="B440">
        <v>2022</v>
      </c>
      <c r="C440">
        <v>128</v>
      </c>
      <c r="D440" t="s">
        <v>428</v>
      </c>
      <c r="E440" t="s">
        <v>429</v>
      </c>
      <c r="F440" t="s">
        <v>433</v>
      </c>
      <c r="G440" t="s">
        <v>154</v>
      </c>
      <c r="H440" t="s">
        <v>154</v>
      </c>
      <c r="I440" s="5">
        <v>497997</v>
      </c>
      <c r="J440">
        <f>IFERROR(VLOOKUP(G440,'LEAID Match'!$A$2:$B$183,2,FALSE),"")</f>
        <v>1600174</v>
      </c>
      <c r="K440">
        <f t="shared" si="6"/>
        <v>9</v>
      </c>
    </row>
    <row r="441" spans="1:11" x14ac:dyDescent="0.2">
      <c r="A441">
        <v>1600174</v>
      </c>
      <c r="B441">
        <v>2023</v>
      </c>
      <c r="C441">
        <v>128</v>
      </c>
      <c r="D441" t="s">
        <v>428</v>
      </c>
      <c r="E441" t="s">
        <v>429</v>
      </c>
      <c r="F441" t="s">
        <v>433</v>
      </c>
      <c r="G441" t="s">
        <v>154</v>
      </c>
      <c r="H441" t="s">
        <v>154</v>
      </c>
      <c r="I441" s="5">
        <v>502887</v>
      </c>
      <c r="J441">
        <f>IFERROR(VLOOKUP(G441,'LEAID Match'!$A$2:$B$183,2,FALSE),"")</f>
        <v>1600174</v>
      </c>
      <c r="K441">
        <f t="shared" si="6"/>
        <v>9</v>
      </c>
    </row>
    <row r="442" spans="1:11" x14ac:dyDescent="0.2">
      <c r="A442">
        <v>1600175</v>
      </c>
      <c r="B442">
        <v>2017</v>
      </c>
      <c r="C442">
        <v>2</v>
      </c>
      <c r="D442" t="s">
        <v>428</v>
      </c>
      <c r="E442" t="s">
        <v>429</v>
      </c>
      <c r="F442" t="s">
        <v>433</v>
      </c>
      <c r="G442" t="s">
        <v>189</v>
      </c>
      <c r="H442" t="s">
        <v>189</v>
      </c>
      <c r="I442" s="5">
        <v>58808</v>
      </c>
      <c r="J442">
        <f>IFERROR(VLOOKUP(G442,'LEAID Match'!$A$2:$B$183,2,FALSE),"")</f>
        <v>1600175</v>
      </c>
      <c r="K442">
        <f t="shared" si="6"/>
        <v>7</v>
      </c>
    </row>
    <row r="443" spans="1:11" x14ac:dyDescent="0.2">
      <c r="A443">
        <v>1600175</v>
      </c>
      <c r="B443">
        <v>2018</v>
      </c>
      <c r="C443">
        <v>2</v>
      </c>
      <c r="D443" t="s">
        <v>428</v>
      </c>
      <c r="E443" t="s">
        <v>429</v>
      </c>
      <c r="F443" t="s">
        <v>433</v>
      </c>
      <c r="G443" t="s">
        <v>189</v>
      </c>
      <c r="H443" t="s">
        <v>189</v>
      </c>
      <c r="I443" s="5">
        <v>108479</v>
      </c>
      <c r="J443">
        <f>IFERROR(VLOOKUP(G443,'LEAID Match'!$A$2:$B$183,2,FALSE),"")</f>
        <v>1600175</v>
      </c>
      <c r="K443">
        <f t="shared" si="6"/>
        <v>7</v>
      </c>
    </row>
    <row r="444" spans="1:11" x14ac:dyDescent="0.2">
      <c r="A444">
        <v>1600175</v>
      </c>
      <c r="B444">
        <v>2019</v>
      </c>
      <c r="C444">
        <v>2</v>
      </c>
      <c r="D444" t="s">
        <v>428</v>
      </c>
      <c r="E444" t="s">
        <v>429</v>
      </c>
      <c r="F444" t="s">
        <v>433</v>
      </c>
      <c r="G444" t="s">
        <v>189</v>
      </c>
      <c r="H444" t="s">
        <v>189</v>
      </c>
      <c r="I444" s="5">
        <v>137114</v>
      </c>
      <c r="J444">
        <f>IFERROR(VLOOKUP(G444,'LEAID Match'!$A$2:$B$183,2,FALSE),"")</f>
        <v>1600175</v>
      </c>
      <c r="K444">
        <f t="shared" si="6"/>
        <v>7</v>
      </c>
    </row>
    <row r="445" spans="1:11" x14ac:dyDescent="0.2">
      <c r="A445">
        <v>1600175</v>
      </c>
      <c r="B445">
        <v>2020</v>
      </c>
      <c r="C445">
        <v>2</v>
      </c>
      <c r="D445" t="s">
        <v>428</v>
      </c>
      <c r="E445" t="s">
        <v>429</v>
      </c>
      <c r="F445" t="s">
        <v>433</v>
      </c>
      <c r="G445" t="s">
        <v>189</v>
      </c>
      <c r="H445" t="s">
        <v>189</v>
      </c>
      <c r="I445" s="5">
        <v>177046</v>
      </c>
      <c r="J445">
        <f>IFERROR(VLOOKUP(G445,'LEAID Match'!$A$2:$B$183,2,FALSE),"")</f>
        <v>1600175</v>
      </c>
      <c r="K445">
        <f t="shared" si="6"/>
        <v>7</v>
      </c>
    </row>
    <row r="446" spans="1:11" x14ac:dyDescent="0.2">
      <c r="A446">
        <v>1600175</v>
      </c>
      <c r="B446">
        <v>2021</v>
      </c>
      <c r="C446">
        <v>2</v>
      </c>
      <c r="D446" t="s">
        <v>428</v>
      </c>
      <c r="E446" t="s">
        <v>429</v>
      </c>
      <c r="F446" t="s">
        <v>433</v>
      </c>
      <c r="G446" t="s">
        <v>189</v>
      </c>
      <c r="H446" t="s">
        <v>189</v>
      </c>
      <c r="I446" s="5">
        <v>203219</v>
      </c>
      <c r="J446">
        <f>IFERROR(VLOOKUP(G446,'LEAID Match'!$A$2:$B$183,2,FALSE),"")</f>
        <v>1600175</v>
      </c>
      <c r="K446">
        <f t="shared" si="6"/>
        <v>7</v>
      </c>
    </row>
    <row r="447" spans="1:11" x14ac:dyDescent="0.2">
      <c r="A447">
        <v>1600175</v>
      </c>
      <c r="B447">
        <v>2022</v>
      </c>
      <c r="C447">
        <v>2</v>
      </c>
      <c r="D447" t="s">
        <v>428</v>
      </c>
      <c r="E447" t="s">
        <v>429</v>
      </c>
      <c r="F447" t="s">
        <v>433</v>
      </c>
      <c r="G447" t="s">
        <v>189</v>
      </c>
      <c r="H447" t="s">
        <v>189</v>
      </c>
      <c r="I447" s="5">
        <v>235610</v>
      </c>
      <c r="J447">
        <f>IFERROR(VLOOKUP(G447,'LEAID Match'!$A$2:$B$183,2,FALSE),"")</f>
        <v>1600175</v>
      </c>
      <c r="K447">
        <f t="shared" si="6"/>
        <v>7</v>
      </c>
    </row>
    <row r="448" spans="1:11" x14ac:dyDescent="0.2">
      <c r="A448">
        <v>1600175</v>
      </c>
      <c r="B448">
        <v>2023</v>
      </c>
      <c r="C448">
        <v>2</v>
      </c>
      <c r="D448" t="s">
        <v>428</v>
      </c>
      <c r="E448" t="s">
        <v>429</v>
      </c>
      <c r="F448" t="s">
        <v>433</v>
      </c>
      <c r="G448" t="s">
        <v>189</v>
      </c>
      <c r="H448" t="s">
        <v>189</v>
      </c>
      <c r="I448" s="5">
        <v>206457</v>
      </c>
      <c r="J448">
        <f>IFERROR(VLOOKUP(G448,'LEAID Match'!$A$2:$B$183,2,FALSE),"")</f>
        <v>1600175</v>
      </c>
      <c r="K448">
        <f t="shared" si="6"/>
        <v>7</v>
      </c>
    </row>
    <row r="449" spans="1:11" x14ac:dyDescent="0.2">
      <c r="A449">
        <v>1600176</v>
      </c>
      <c r="B449">
        <v>2015</v>
      </c>
      <c r="C449">
        <v>142</v>
      </c>
      <c r="D449" t="s">
        <v>428</v>
      </c>
      <c r="E449" t="s">
        <v>429</v>
      </c>
      <c r="F449" t="s">
        <v>433</v>
      </c>
      <c r="G449" t="s">
        <v>158</v>
      </c>
      <c r="H449" t="s">
        <v>158</v>
      </c>
      <c r="I449" s="5">
        <v>109352</v>
      </c>
      <c r="J449">
        <f>IFERROR(VLOOKUP(G449,'LEAID Match'!$A$2:$B$183,2,FALSE),"")</f>
        <v>1600176</v>
      </c>
      <c r="K449">
        <f t="shared" si="6"/>
        <v>9</v>
      </c>
    </row>
    <row r="450" spans="1:11" x14ac:dyDescent="0.2">
      <c r="A450">
        <v>1600176</v>
      </c>
      <c r="B450">
        <v>2016</v>
      </c>
      <c r="C450">
        <v>142</v>
      </c>
      <c r="D450" t="s">
        <v>428</v>
      </c>
      <c r="E450" t="s">
        <v>429</v>
      </c>
      <c r="F450" t="s">
        <v>433</v>
      </c>
      <c r="G450" t="s">
        <v>158</v>
      </c>
      <c r="H450" t="s">
        <v>185</v>
      </c>
      <c r="I450" s="5">
        <v>112873</v>
      </c>
      <c r="J450">
        <f>IFERROR(VLOOKUP(G450,'LEAID Match'!$A$2:$B$183,2,FALSE),"")</f>
        <v>1600176</v>
      </c>
      <c r="K450">
        <f t="shared" si="6"/>
        <v>9</v>
      </c>
    </row>
    <row r="451" spans="1:11" x14ac:dyDescent="0.2">
      <c r="A451">
        <v>1600176</v>
      </c>
      <c r="B451">
        <v>2017</v>
      </c>
      <c r="C451">
        <v>142</v>
      </c>
      <c r="D451" t="s">
        <v>428</v>
      </c>
      <c r="E451" t="s">
        <v>429</v>
      </c>
      <c r="F451" t="s">
        <v>433</v>
      </c>
      <c r="G451" t="s">
        <v>158</v>
      </c>
      <c r="H451" t="s">
        <v>185</v>
      </c>
      <c r="I451" s="5">
        <v>118761</v>
      </c>
      <c r="J451">
        <f>IFERROR(VLOOKUP(G451,'LEAID Match'!$A$2:$B$183,2,FALSE),"")</f>
        <v>1600176</v>
      </c>
      <c r="K451">
        <f t="shared" ref="K451:K514" si="7">COUNTIF($A$2:$A$1651,A451)</f>
        <v>9</v>
      </c>
    </row>
    <row r="452" spans="1:11" x14ac:dyDescent="0.2">
      <c r="A452">
        <v>1600176</v>
      </c>
      <c r="B452">
        <v>2018</v>
      </c>
      <c r="C452">
        <v>142</v>
      </c>
      <c r="D452" t="s">
        <v>428</v>
      </c>
      <c r="E452" t="s">
        <v>429</v>
      </c>
      <c r="F452" t="s">
        <v>433</v>
      </c>
      <c r="G452" t="s">
        <v>158</v>
      </c>
      <c r="H452" t="s">
        <v>158</v>
      </c>
      <c r="I452" s="5">
        <v>123851</v>
      </c>
      <c r="J452">
        <f>IFERROR(VLOOKUP(G452,'LEAID Match'!$A$2:$B$183,2,FALSE),"")</f>
        <v>1600176</v>
      </c>
      <c r="K452">
        <f t="shared" si="7"/>
        <v>9</v>
      </c>
    </row>
    <row r="453" spans="1:11" x14ac:dyDescent="0.2">
      <c r="A453">
        <v>1600176</v>
      </c>
      <c r="B453">
        <v>2019</v>
      </c>
      <c r="C453">
        <v>142</v>
      </c>
      <c r="D453" t="s">
        <v>428</v>
      </c>
      <c r="E453" t="s">
        <v>429</v>
      </c>
      <c r="F453" t="s">
        <v>433</v>
      </c>
      <c r="G453" t="s">
        <v>158</v>
      </c>
      <c r="H453" t="s">
        <v>158</v>
      </c>
      <c r="I453" s="5">
        <v>134844</v>
      </c>
      <c r="J453">
        <f>IFERROR(VLOOKUP(G453,'LEAID Match'!$A$2:$B$183,2,FALSE),"")</f>
        <v>1600176</v>
      </c>
      <c r="K453">
        <f t="shared" si="7"/>
        <v>9</v>
      </c>
    </row>
    <row r="454" spans="1:11" x14ac:dyDescent="0.2">
      <c r="A454">
        <v>1600176</v>
      </c>
      <c r="B454">
        <v>2020</v>
      </c>
      <c r="C454">
        <v>142</v>
      </c>
      <c r="D454" t="s">
        <v>428</v>
      </c>
      <c r="E454" t="s">
        <v>429</v>
      </c>
      <c r="F454" t="s">
        <v>433</v>
      </c>
      <c r="G454" t="s">
        <v>158</v>
      </c>
      <c r="H454" t="s">
        <v>185</v>
      </c>
      <c r="I454" s="5">
        <v>157285</v>
      </c>
      <c r="J454">
        <f>IFERROR(VLOOKUP(G454,'LEAID Match'!$A$2:$B$183,2,FALSE),"")</f>
        <v>1600176</v>
      </c>
      <c r="K454">
        <f t="shared" si="7"/>
        <v>9</v>
      </c>
    </row>
    <row r="455" spans="1:11" x14ac:dyDescent="0.2">
      <c r="A455">
        <v>1600176</v>
      </c>
      <c r="B455">
        <v>2021</v>
      </c>
      <c r="C455">
        <v>142</v>
      </c>
      <c r="D455" t="s">
        <v>428</v>
      </c>
      <c r="E455" t="s">
        <v>429</v>
      </c>
      <c r="F455" t="s">
        <v>433</v>
      </c>
      <c r="G455" t="s">
        <v>158</v>
      </c>
      <c r="H455" t="s">
        <v>185</v>
      </c>
      <c r="I455" s="5">
        <v>175088</v>
      </c>
      <c r="J455">
        <f>IFERROR(VLOOKUP(G455,'LEAID Match'!$A$2:$B$183,2,FALSE),"")</f>
        <v>1600176</v>
      </c>
      <c r="K455">
        <f t="shared" si="7"/>
        <v>9</v>
      </c>
    </row>
    <row r="456" spans="1:11" x14ac:dyDescent="0.2">
      <c r="A456">
        <v>1600176</v>
      </c>
      <c r="B456">
        <v>2022</v>
      </c>
      <c r="C456">
        <v>142</v>
      </c>
      <c r="D456" t="s">
        <v>428</v>
      </c>
      <c r="E456" t="s">
        <v>429</v>
      </c>
      <c r="F456" t="s">
        <v>433</v>
      </c>
      <c r="G456" t="s">
        <v>158</v>
      </c>
      <c r="H456" t="s">
        <v>185</v>
      </c>
      <c r="I456" s="5">
        <v>186874</v>
      </c>
      <c r="J456">
        <f>IFERROR(VLOOKUP(G456,'LEAID Match'!$A$2:$B$183,2,FALSE),"")</f>
        <v>1600176</v>
      </c>
      <c r="K456">
        <f t="shared" si="7"/>
        <v>9</v>
      </c>
    </row>
    <row r="457" spans="1:11" x14ac:dyDescent="0.2">
      <c r="A457">
        <v>1600176</v>
      </c>
      <c r="B457">
        <v>2023</v>
      </c>
      <c r="C457">
        <v>142</v>
      </c>
      <c r="D457" t="s">
        <v>428</v>
      </c>
      <c r="E457" t="s">
        <v>429</v>
      </c>
      <c r="F457" t="s">
        <v>433</v>
      </c>
      <c r="G457" t="s">
        <v>158</v>
      </c>
      <c r="H457" t="s">
        <v>185</v>
      </c>
      <c r="I457" s="5">
        <v>192835</v>
      </c>
      <c r="J457">
        <f>IFERROR(VLOOKUP(G457,'LEAID Match'!$A$2:$B$183,2,FALSE),"")</f>
        <v>1600176</v>
      </c>
      <c r="K457">
        <f t="shared" si="7"/>
        <v>9</v>
      </c>
    </row>
    <row r="458" spans="1:11" x14ac:dyDescent="0.2">
      <c r="A458">
        <v>1600177</v>
      </c>
      <c r="B458">
        <v>2018</v>
      </c>
      <c r="C458">
        <v>63</v>
      </c>
      <c r="D458" t="s">
        <v>428</v>
      </c>
      <c r="E458" t="s">
        <v>429</v>
      </c>
      <c r="F458" t="s">
        <v>433</v>
      </c>
      <c r="G458" t="s">
        <v>197</v>
      </c>
      <c r="H458" t="s">
        <v>197</v>
      </c>
      <c r="I458" s="5">
        <v>42137</v>
      </c>
      <c r="J458">
        <f>IFERROR(VLOOKUP(G458,'LEAID Match'!$A$2:$B$183,2,FALSE),"")</f>
        <v>1600177</v>
      </c>
      <c r="K458">
        <f t="shared" si="7"/>
        <v>6</v>
      </c>
    </row>
    <row r="459" spans="1:11" x14ac:dyDescent="0.2">
      <c r="A459">
        <v>1600177</v>
      </c>
      <c r="B459">
        <v>2019</v>
      </c>
      <c r="C459">
        <v>63</v>
      </c>
      <c r="D459" t="s">
        <v>428</v>
      </c>
      <c r="E459" t="s">
        <v>429</v>
      </c>
      <c r="F459" t="s">
        <v>433</v>
      </c>
      <c r="G459" t="s">
        <v>197</v>
      </c>
      <c r="H459" t="s">
        <v>247</v>
      </c>
      <c r="I459" s="5">
        <v>48767</v>
      </c>
      <c r="J459">
        <f>IFERROR(VLOOKUP(G459,'LEAID Match'!$A$2:$B$183,2,FALSE),"")</f>
        <v>1600177</v>
      </c>
      <c r="K459">
        <f t="shared" si="7"/>
        <v>6</v>
      </c>
    </row>
    <row r="460" spans="1:11" x14ac:dyDescent="0.2">
      <c r="A460">
        <v>1600177</v>
      </c>
      <c r="B460">
        <v>2020</v>
      </c>
      <c r="C460">
        <v>63</v>
      </c>
      <c r="D460" t="s">
        <v>428</v>
      </c>
      <c r="E460" t="s">
        <v>429</v>
      </c>
      <c r="F460" t="s">
        <v>433</v>
      </c>
      <c r="G460" t="s">
        <v>197</v>
      </c>
      <c r="H460" t="s">
        <v>343</v>
      </c>
      <c r="I460" s="5">
        <v>115546</v>
      </c>
      <c r="J460">
        <f>IFERROR(VLOOKUP(G460,'LEAID Match'!$A$2:$B$183,2,FALSE),"")</f>
        <v>1600177</v>
      </c>
      <c r="K460">
        <f t="shared" si="7"/>
        <v>6</v>
      </c>
    </row>
    <row r="461" spans="1:11" x14ac:dyDescent="0.2">
      <c r="A461">
        <v>1600177</v>
      </c>
      <c r="B461">
        <v>2021</v>
      </c>
      <c r="C461">
        <v>63</v>
      </c>
      <c r="D461" t="s">
        <v>428</v>
      </c>
      <c r="E461" t="s">
        <v>429</v>
      </c>
      <c r="F461" t="s">
        <v>433</v>
      </c>
      <c r="G461" t="s">
        <v>197</v>
      </c>
      <c r="H461" t="s">
        <v>343</v>
      </c>
      <c r="I461" s="5">
        <v>146830</v>
      </c>
      <c r="J461">
        <f>IFERROR(VLOOKUP(G461,'LEAID Match'!$A$2:$B$183,2,FALSE),"")</f>
        <v>1600177</v>
      </c>
      <c r="K461">
        <f t="shared" si="7"/>
        <v>6</v>
      </c>
    </row>
    <row r="462" spans="1:11" x14ac:dyDescent="0.2">
      <c r="A462">
        <v>1600177</v>
      </c>
      <c r="B462">
        <v>2022</v>
      </c>
      <c r="C462">
        <v>63</v>
      </c>
      <c r="D462" t="s">
        <v>428</v>
      </c>
      <c r="E462" t="s">
        <v>429</v>
      </c>
      <c r="F462" t="s">
        <v>433</v>
      </c>
      <c r="G462" t="s">
        <v>197</v>
      </c>
      <c r="H462" t="s">
        <v>247</v>
      </c>
      <c r="I462" s="5">
        <v>184906</v>
      </c>
      <c r="J462">
        <f>IFERROR(VLOOKUP(G462,'LEAID Match'!$A$2:$B$183,2,FALSE),"")</f>
        <v>1600177</v>
      </c>
      <c r="K462">
        <f t="shared" si="7"/>
        <v>6</v>
      </c>
    </row>
    <row r="463" spans="1:11" x14ac:dyDescent="0.2">
      <c r="A463">
        <v>1600177</v>
      </c>
      <c r="B463">
        <v>2023</v>
      </c>
      <c r="C463">
        <v>63</v>
      </c>
      <c r="D463" t="s">
        <v>428</v>
      </c>
      <c r="E463" t="s">
        <v>429</v>
      </c>
      <c r="F463" t="s">
        <v>433</v>
      </c>
      <c r="G463" t="s">
        <v>197</v>
      </c>
      <c r="H463" t="s">
        <v>247</v>
      </c>
      <c r="I463" s="5">
        <v>204505</v>
      </c>
      <c r="J463">
        <f>IFERROR(VLOOKUP(G463,'LEAID Match'!$A$2:$B$183,2,FALSE),"")</f>
        <v>1600177</v>
      </c>
      <c r="K463">
        <f t="shared" si="7"/>
        <v>6</v>
      </c>
    </row>
    <row r="464" spans="1:11" x14ac:dyDescent="0.2">
      <c r="A464">
        <v>1600178</v>
      </c>
      <c r="B464">
        <v>2019</v>
      </c>
      <c r="C464">
        <v>137</v>
      </c>
      <c r="D464" t="s">
        <v>428</v>
      </c>
      <c r="E464" t="s">
        <v>429</v>
      </c>
      <c r="F464" t="s">
        <v>433</v>
      </c>
      <c r="G464" t="s">
        <v>292</v>
      </c>
      <c r="H464" t="s">
        <v>292</v>
      </c>
      <c r="I464" s="5">
        <v>72553</v>
      </c>
      <c r="J464">
        <f>IFERROR(VLOOKUP(G464,'LEAID Match'!$A$2:$B$183,2,FALSE),"")</f>
        <v>1600178</v>
      </c>
      <c r="K464">
        <f t="shared" si="7"/>
        <v>5</v>
      </c>
    </row>
    <row r="465" spans="1:11" x14ac:dyDescent="0.2">
      <c r="A465">
        <v>1600178</v>
      </c>
      <c r="B465">
        <v>2020</v>
      </c>
      <c r="C465">
        <v>137</v>
      </c>
      <c r="D465" t="s">
        <v>428</v>
      </c>
      <c r="E465" t="s">
        <v>429</v>
      </c>
      <c r="F465" t="s">
        <v>433</v>
      </c>
      <c r="G465" t="s">
        <v>292</v>
      </c>
      <c r="H465" t="s">
        <v>292</v>
      </c>
      <c r="I465" s="5">
        <v>111433</v>
      </c>
      <c r="J465">
        <f>IFERROR(VLOOKUP(G465,'LEAID Match'!$A$2:$B$183,2,FALSE),"")</f>
        <v>1600178</v>
      </c>
      <c r="K465">
        <f t="shared" si="7"/>
        <v>5</v>
      </c>
    </row>
    <row r="466" spans="1:11" x14ac:dyDescent="0.2">
      <c r="A466">
        <v>1600178</v>
      </c>
      <c r="B466">
        <v>2021</v>
      </c>
      <c r="C466">
        <v>137</v>
      </c>
      <c r="D466" t="s">
        <v>428</v>
      </c>
      <c r="E466" t="s">
        <v>429</v>
      </c>
      <c r="F466" t="s">
        <v>433</v>
      </c>
      <c r="G466" t="s">
        <v>292</v>
      </c>
      <c r="H466" t="s">
        <v>292</v>
      </c>
      <c r="I466" s="5">
        <v>132727</v>
      </c>
      <c r="J466">
        <f>IFERROR(VLOOKUP(G466,'LEAID Match'!$A$2:$B$183,2,FALSE),"")</f>
        <v>1600178</v>
      </c>
      <c r="K466">
        <f t="shared" si="7"/>
        <v>5</v>
      </c>
    </row>
    <row r="467" spans="1:11" x14ac:dyDescent="0.2">
      <c r="A467">
        <v>1600178</v>
      </c>
      <c r="B467">
        <v>2022</v>
      </c>
      <c r="C467">
        <v>137</v>
      </c>
      <c r="D467" t="s">
        <v>428</v>
      </c>
      <c r="E467" t="s">
        <v>429</v>
      </c>
      <c r="F467" t="s">
        <v>433</v>
      </c>
      <c r="G467" t="s">
        <v>292</v>
      </c>
      <c r="H467" t="s">
        <v>292</v>
      </c>
      <c r="I467" s="5">
        <v>151486</v>
      </c>
      <c r="J467">
        <f>IFERROR(VLOOKUP(G467,'LEAID Match'!$A$2:$B$183,2,FALSE),"")</f>
        <v>1600178</v>
      </c>
      <c r="K467">
        <f t="shared" si="7"/>
        <v>5</v>
      </c>
    </row>
    <row r="468" spans="1:11" x14ac:dyDescent="0.2">
      <c r="A468">
        <v>1600178</v>
      </c>
      <c r="B468">
        <v>2023</v>
      </c>
      <c r="C468">
        <v>137</v>
      </c>
      <c r="D468" t="s">
        <v>428</v>
      </c>
      <c r="E468" t="s">
        <v>429</v>
      </c>
      <c r="F468" t="s">
        <v>433</v>
      </c>
      <c r="G468" t="s">
        <v>292</v>
      </c>
      <c r="H468" t="s">
        <v>292</v>
      </c>
      <c r="I468" s="5">
        <v>167572</v>
      </c>
      <c r="J468">
        <f>IFERROR(VLOOKUP(G468,'LEAID Match'!$A$2:$B$183,2,FALSE),"")</f>
        <v>1600178</v>
      </c>
      <c r="K468">
        <f t="shared" si="7"/>
        <v>5</v>
      </c>
    </row>
    <row r="469" spans="1:11" x14ac:dyDescent="0.2">
      <c r="A469">
        <v>1600179</v>
      </c>
      <c r="B469">
        <v>2019</v>
      </c>
      <c r="C469">
        <v>60</v>
      </c>
      <c r="D469" t="s">
        <v>428</v>
      </c>
      <c r="E469" t="s">
        <v>429</v>
      </c>
      <c r="F469" t="s">
        <v>433</v>
      </c>
      <c r="G469" t="s">
        <v>388</v>
      </c>
      <c r="H469" t="s">
        <v>245</v>
      </c>
      <c r="I469" s="5">
        <v>81188</v>
      </c>
      <c r="J469">
        <f>IFERROR(VLOOKUP(G469,'LEAID Match'!$A$2:$B$183,2,FALSE),"")</f>
        <v>1600179</v>
      </c>
      <c r="K469">
        <f t="shared" si="7"/>
        <v>5</v>
      </c>
    </row>
    <row r="470" spans="1:11" x14ac:dyDescent="0.2">
      <c r="A470">
        <v>1600179</v>
      </c>
      <c r="B470">
        <v>2020</v>
      </c>
      <c r="C470">
        <v>60</v>
      </c>
      <c r="D470" t="s">
        <v>428</v>
      </c>
      <c r="E470" t="s">
        <v>429</v>
      </c>
      <c r="F470" t="s">
        <v>433</v>
      </c>
      <c r="G470" t="s">
        <v>388</v>
      </c>
      <c r="H470" t="s">
        <v>245</v>
      </c>
      <c r="I470" s="5">
        <v>138764</v>
      </c>
      <c r="J470">
        <f>IFERROR(VLOOKUP(G470,'LEAID Match'!$A$2:$B$183,2,FALSE),"")</f>
        <v>1600179</v>
      </c>
      <c r="K470">
        <f t="shared" si="7"/>
        <v>5</v>
      </c>
    </row>
    <row r="471" spans="1:11" x14ac:dyDescent="0.2">
      <c r="A471">
        <v>1600179</v>
      </c>
      <c r="B471">
        <v>2021</v>
      </c>
      <c r="C471">
        <v>60</v>
      </c>
      <c r="D471" t="s">
        <v>428</v>
      </c>
      <c r="E471" t="s">
        <v>429</v>
      </c>
      <c r="F471" t="s">
        <v>433</v>
      </c>
      <c r="G471" t="s">
        <v>388</v>
      </c>
      <c r="H471" t="s">
        <v>388</v>
      </c>
      <c r="I471" s="5">
        <v>155206</v>
      </c>
      <c r="J471">
        <f>IFERROR(VLOOKUP(G471,'LEAID Match'!$A$2:$B$183,2,FALSE),"")</f>
        <v>1600179</v>
      </c>
      <c r="K471">
        <f t="shared" si="7"/>
        <v>5</v>
      </c>
    </row>
    <row r="472" spans="1:11" x14ac:dyDescent="0.2">
      <c r="A472">
        <v>1600179</v>
      </c>
      <c r="B472">
        <v>2022</v>
      </c>
      <c r="C472">
        <v>60</v>
      </c>
      <c r="D472" t="s">
        <v>428</v>
      </c>
      <c r="E472" t="s">
        <v>429</v>
      </c>
      <c r="F472" t="s">
        <v>433</v>
      </c>
      <c r="G472" t="s">
        <v>388</v>
      </c>
      <c r="H472" t="s">
        <v>245</v>
      </c>
      <c r="I472" s="5">
        <v>188609</v>
      </c>
      <c r="J472">
        <f>IFERROR(VLOOKUP(G472,'LEAID Match'!$A$2:$B$183,2,FALSE),"")</f>
        <v>1600179</v>
      </c>
      <c r="K472">
        <f t="shared" si="7"/>
        <v>5</v>
      </c>
    </row>
    <row r="473" spans="1:11" x14ac:dyDescent="0.2">
      <c r="A473">
        <v>1600179</v>
      </c>
      <c r="B473">
        <v>2023</v>
      </c>
      <c r="C473">
        <v>60</v>
      </c>
      <c r="D473" t="s">
        <v>428</v>
      </c>
      <c r="E473" t="s">
        <v>429</v>
      </c>
      <c r="F473" t="s">
        <v>433</v>
      </c>
      <c r="G473" t="s">
        <v>388</v>
      </c>
      <c r="H473" t="s">
        <v>245</v>
      </c>
      <c r="I473" s="5">
        <v>207863</v>
      </c>
      <c r="J473">
        <f>IFERROR(VLOOKUP(G473,'LEAID Match'!$A$2:$B$183,2,FALSE),"")</f>
        <v>1600179</v>
      </c>
      <c r="K473">
        <f t="shared" si="7"/>
        <v>5</v>
      </c>
    </row>
    <row r="474" spans="1:11" x14ac:dyDescent="0.2">
      <c r="A474">
        <v>1600180</v>
      </c>
      <c r="B474">
        <v>2015</v>
      </c>
      <c r="C474">
        <v>10</v>
      </c>
      <c r="D474" t="s">
        <v>428</v>
      </c>
      <c r="E474" t="s">
        <v>429</v>
      </c>
      <c r="F474" t="s">
        <v>433</v>
      </c>
      <c r="G474" t="s">
        <v>7</v>
      </c>
      <c r="H474" t="s">
        <v>7</v>
      </c>
      <c r="I474" s="5">
        <v>189320</v>
      </c>
      <c r="J474">
        <f>IFERROR(VLOOKUP(G474,'LEAID Match'!$A$2:$B$183,2,FALSE),"")</f>
        <v>1600180</v>
      </c>
      <c r="K474">
        <f t="shared" si="7"/>
        <v>9</v>
      </c>
    </row>
    <row r="475" spans="1:11" x14ac:dyDescent="0.2">
      <c r="A475">
        <v>1600180</v>
      </c>
      <c r="B475">
        <v>2016</v>
      </c>
      <c r="C475">
        <v>10</v>
      </c>
      <c r="D475" t="s">
        <v>428</v>
      </c>
      <c r="E475" t="s">
        <v>429</v>
      </c>
      <c r="F475" t="s">
        <v>433</v>
      </c>
      <c r="G475" t="s">
        <v>7</v>
      </c>
      <c r="H475" t="s">
        <v>7</v>
      </c>
      <c r="I475" s="5">
        <v>199844</v>
      </c>
      <c r="J475">
        <f>IFERROR(VLOOKUP(G475,'LEAID Match'!$A$2:$B$183,2,FALSE),"")</f>
        <v>1600180</v>
      </c>
      <c r="K475">
        <f t="shared" si="7"/>
        <v>9</v>
      </c>
    </row>
    <row r="476" spans="1:11" x14ac:dyDescent="0.2">
      <c r="A476">
        <v>1600180</v>
      </c>
      <c r="B476">
        <v>2017</v>
      </c>
      <c r="C476">
        <v>10</v>
      </c>
      <c r="D476" t="s">
        <v>428</v>
      </c>
      <c r="E476" t="s">
        <v>429</v>
      </c>
      <c r="F476" t="s">
        <v>433</v>
      </c>
      <c r="G476" t="s">
        <v>7</v>
      </c>
      <c r="H476" t="s">
        <v>7</v>
      </c>
      <c r="I476" s="5">
        <v>212977</v>
      </c>
      <c r="J476">
        <f>IFERROR(VLOOKUP(G476,'LEAID Match'!$A$2:$B$183,2,FALSE),"")</f>
        <v>1600180</v>
      </c>
      <c r="K476">
        <f t="shared" si="7"/>
        <v>9</v>
      </c>
    </row>
    <row r="477" spans="1:11" x14ac:dyDescent="0.2">
      <c r="A477">
        <v>1600180</v>
      </c>
      <c r="B477">
        <v>2018</v>
      </c>
      <c r="C477">
        <v>10</v>
      </c>
      <c r="D477" t="s">
        <v>428</v>
      </c>
      <c r="E477" t="s">
        <v>429</v>
      </c>
      <c r="F477" t="s">
        <v>433</v>
      </c>
      <c r="G477" t="s">
        <v>7</v>
      </c>
      <c r="H477" t="s">
        <v>7</v>
      </c>
      <c r="I477" s="5">
        <v>226128</v>
      </c>
      <c r="J477">
        <f>IFERROR(VLOOKUP(G477,'LEAID Match'!$A$2:$B$183,2,FALSE),"")</f>
        <v>1600180</v>
      </c>
      <c r="K477">
        <f t="shared" si="7"/>
        <v>9</v>
      </c>
    </row>
    <row r="478" spans="1:11" x14ac:dyDescent="0.2">
      <c r="A478">
        <v>1600180</v>
      </c>
      <c r="B478">
        <v>2019</v>
      </c>
      <c r="C478">
        <v>10</v>
      </c>
      <c r="D478" t="s">
        <v>428</v>
      </c>
      <c r="E478" t="s">
        <v>429</v>
      </c>
      <c r="F478" t="s">
        <v>433</v>
      </c>
      <c r="G478" t="s">
        <v>7</v>
      </c>
      <c r="H478" t="s">
        <v>7</v>
      </c>
      <c r="I478" s="5">
        <v>232262</v>
      </c>
      <c r="J478">
        <f>IFERROR(VLOOKUP(G478,'LEAID Match'!$A$2:$B$183,2,FALSE),"")</f>
        <v>1600180</v>
      </c>
      <c r="K478">
        <f t="shared" si="7"/>
        <v>9</v>
      </c>
    </row>
    <row r="479" spans="1:11" x14ac:dyDescent="0.2">
      <c r="A479">
        <v>1600180</v>
      </c>
      <c r="B479">
        <v>2020</v>
      </c>
      <c r="C479">
        <v>10</v>
      </c>
      <c r="D479" t="s">
        <v>428</v>
      </c>
      <c r="E479" t="s">
        <v>429</v>
      </c>
      <c r="F479" t="s">
        <v>433</v>
      </c>
      <c r="G479" t="s">
        <v>7</v>
      </c>
      <c r="H479" t="s">
        <v>7</v>
      </c>
      <c r="I479" s="5">
        <v>266272</v>
      </c>
      <c r="J479">
        <f>IFERROR(VLOOKUP(G479,'LEAID Match'!$A$2:$B$183,2,FALSE),"")</f>
        <v>1600180</v>
      </c>
      <c r="K479">
        <f t="shared" si="7"/>
        <v>9</v>
      </c>
    </row>
    <row r="480" spans="1:11" x14ac:dyDescent="0.2">
      <c r="A480">
        <v>1600180</v>
      </c>
      <c r="B480">
        <v>2021</v>
      </c>
      <c r="C480">
        <v>10</v>
      </c>
      <c r="D480" t="s">
        <v>428</v>
      </c>
      <c r="E480" t="s">
        <v>429</v>
      </c>
      <c r="F480" t="s">
        <v>433</v>
      </c>
      <c r="G480" t="s">
        <v>7</v>
      </c>
      <c r="H480" t="s">
        <v>7</v>
      </c>
      <c r="I480" s="5">
        <v>276733</v>
      </c>
      <c r="J480">
        <f>IFERROR(VLOOKUP(G480,'LEAID Match'!$A$2:$B$183,2,FALSE),"")</f>
        <v>1600180</v>
      </c>
      <c r="K480">
        <f t="shared" si="7"/>
        <v>9</v>
      </c>
    </row>
    <row r="481" spans="1:11" x14ac:dyDescent="0.2">
      <c r="A481">
        <v>1600180</v>
      </c>
      <c r="B481">
        <v>2022</v>
      </c>
      <c r="C481">
        <v>10</v>
      </c>
      <c r="D481" t="s">
        <v>428</v>
      </c>
      <c r="E481" t="s">
        <v>429</v>
      </c>
      <c r="F481" t="s">
        <v>433</v>
      </c>
      <c r="G481" t="s">
        <v>7</v>
      </c>
      <c r="H481" t="s">
        <v>7</v>
      </c>
      <c r="I481" s="5">
        <v>296702</v>
      </c>
      <c r="J481">
        <f>IFERROR(VLOOKUP(G481,'LEAID Match'!$A$2:$B$183,2,FALSE),"")</f>
        <v>1600180</v>
      </c>
      <c r="K481">
        <f t="shared" si="7"/>
        <v>9</v>
      </c>
    </row>
    <row r="482" spans="1:11" x14ac:dyDescent="0.2">
      <c r="A482">
        <v>1600180</v>
      </c>
      <c r="B482">
        <v>2023</v>
      </c>
      <c r="C482">
        <v>10</v>
      </c>
      <c r="D482" t="s">
        <v>428</v>
      </c>
      <c r="E482" t="s">
        <v>429</v>
      </c>
      <c r="F482" t="s">
        <v>433</v>
      </c>
      <c r="G482" t="s">
        <v>7</v>
      </c>
      <c r="H482" t="s">
        <v>7</v>
      </c>
      <c r="I482" s="5">
        <v>286143</v>
      </c>
      <c r="J482">
        <f>IFERROR(VLOOKUP(G482,'LEAID Match'!$A$2:$B$183,2,FALSE),"")</f>
        <v>1600180</v>
      </c>
      <c r="K482">
        <f t="shared" si="7"/>
        <v>9</v>
      </c>
    </row>
    <row r="483" spans="1:11" x14ac:dyDescent="0.2">
      <c r="A483">
        <v>1600181</v>
      </c>
      <c r="B483">
        <v>2019</v>
      </c>
      <c r="C483">
        <v>56</v>
      </c>
      <c r="D483" t="s">
        <v>428</v>
      </c>
      <c r="E483" t="s">
        <v>429</v>
      </c>
      <c r="F483" t="s">
        <v>433</v>
      </c>
      <c r="G483" t="s">
        <v>243</v>
      </c>
      <c r="H483" t="s">
        <v>243</v>
      </c>
      <c r="I483" s="5">
        <v>83416</v>
      </c>
      <c r="J483">
        <f>IFERROR(VLOOKUP(G483,'LEAID Match'!$A$2:$B$183,2,FALSE),"")</f>
        <v>1600181</v>
      </c>
      <c r="K483">
        <f t="shared" si="7"/>
        <v>5</v>
      </c>
    </row>
    <row r="484" spans="1:11" x14ac:dyDescent="0.2">
      <c r="A484">
        <v>1600181</v>
      </c>
      <c r="B484">
        <v>2020</v>
      </c>
      <c r="C484">
        <v>56</v>
      </c>
      <c r="D484" t="s">
        <v>428</v>
      </c>
      <c r="E484" t="s">
        <v>429</v>
      </c>
      <c r="F484" t="s">
        <v>433</v>
      </c>
      <c r="G484" t="s">
        <v>243</v>
      </c>
      <c r="H484" t="s">
        <v>243</v>
      </c>
      <c r="I484" s="5">
        <v>157417</v>
      </c>
      <c r="J484">
        <f>IFERROR(VLOOKUP(G484,'LEAID Match'!$A$2:$B$183,2,FALSE),"")</f>
        <v>1600181</v>
      </c>
      <c r="K484">
        <f t="shared" si="7"/>
        <v>5</v>
      </c>
    </row>
    <row r="485" spans="1:11" x14ac:dyDescent="0.2">
      <c r="A485">
        <v>1600181</v>
      </c>
      <c r="B485">
        <v>2021</v>
      </c>
      <c r="C485">
        <v>56</v>
      </c>
      <c r="D485" t="s">
        <v>428</v>
      </c>
      <c r="E485" t="s">
        <v>429</v>
      </c>
      <c r="F485" t="s">
        <v>433</v>
      </c>
      <c r="G485" t="s">
        <v>243</v>
      </c>
      <c r="H485" t="s">
        <v>243</v>
      </c>
      <c r="I485" s="5">
        <v>184767</v>
      </c>
      <c r="J485">
        <f>IFERROR(VLOOKUP(G485,'LEAID Match'!$A$2:$B$183,2,FALSE),"")</f>
        <v>1600181</v>
      </c>
      <c r="K485">
        <f t="shared" si="7"/>
        <v>5</v>
      </c>
    </row>
    <row r="486" spans="1:11" x14ac:dyDescent="0.2">
      <c r="A486">
        <v>1600181</v>
      </c>
      <c r="B486">
        <v>2022</v>
      </c>
      <c r="C486">
        <v>56</v>
      </c>
      <c r="D486" t="s">
        <v>428</v>
      </c>
      <c r="E486" t="s">
        <v>429</v>
      </c>
      <c r="F486" t="s">
        <v>433</v>
      </c>
      <c r="G486" t="s">
        <v>243</v>
      </c>
      <c r="H486" t="s">
        <v>243</v>
      </c>
      <c r="I486" s="5">
        <v>242010</v>
      </c>
      <c r="J486">
        <f>IFERROR(VLOOKUP(G486,'LEAID Match'!$A$2:$B$183,2,FALSE),"")</f>
        <v>1600181</v>
      </c>
      <c r="K486">
        <f t="shared" si="7"/>
        <v>5</v>
      </c>
    </row>
    <row r="487" spans="1:11" x14ac:dyDescent="0.2">
      <c r="A487">
        <v>1600181</v>
      </c>
      <c r="B487">
        <v>2023</v>
      </c>
      <c r="C487">
        <v>56</v>
      </c>
      <c r="D487" t="s">
        <v>428</v>
      </c>
      <c r="E487" t="s">
        <v>429</v>
      </c>
      <c r="F487" t="s">
        <v>433</v>
      </c>
      <c r="G487" t="s">
        <v>243</v>
      </c>
      <c r="H487" t="s">
        <v>243</v>
      </c>
      <c r="I487" s="5">
        <v>292853</v>
      </c>
      <c r="J487">
        <f>IFERROR(VLOOKUP(G487,'LEAID Match'!$A$2:$B$183,2,FALSE),"")</f>
        <v>1600181</v>
      </c>
      <c r="K487">
        <f t="shared" si="7"/>
        <v>5</v>
      </c>
    </row>
    <row r="488" spans="1:11" x14ac:dyDescent="0.2">
      <c r="A488">
        <v>1600182</v>
      </c>
      <c r="B488">
        <v>2019</v>
      </c>
      <c r="C488">
        <v>148</v>
      </c>
      <c r="D488" t="s">
        <v>428</v>
      </c>
      <c r="E488" t="s">
        <v>429</v>
      </c>
      <c r="F488" t="s">
        <v>433</v>
      </c>
      <c r="G488" t="s">
        <v>300</v>
      </c>
      <c r="H488" t="s">
        <v>300</v>
      </c>
      <c r="I488" s="5">
        <v>71805</v>
      </c>
      <c r="J488">
        <f>IFERROR(VLOOKUP(G488,'LEAID Match'!$A$2:$B$183,2,FALSE),"")</f>
        <v>1600182</v>
      </c>
      <c r="K488">
        <f t="shared" si="7"/>
        <v>5</v>
      </c>
    </row>
    <row r="489" spans="1:11" x14ac:dyDescent="0.2">
      <c r="A489">
        <v>1600182</v>
      </c>
      <c r="B489">
        <v>2020</v>
      </c>
      <c r="C489">
        <v>148</v>
      </c>
      <c r="D489" t="s">
        <v>428</v>
      </c>
      <c r="E489" t="s">
        <v>429</v>
      </c>
      <c r="F489" t="s">
        <v>433</v>
      </c>
      <c r="G489" t="s">
        <v>300</v>
      </c>
      <c r="H489" t="s">
        <v>367</v>
      </c>
      <c r="I489" s="5">
        <v>104299</v>
      </c>
      <c r="J489">
        <f>IFERROR(VLOOKUP(G489,'LEAID Match'!$A$2:$B$183,2,FALSE),"")</f>
        <v>1600182</v>
      </c>
      <c r="K489">
        <f t="shared" si="7"/>
        <v>5</v>
      </c>
    </row>
    <row r="490" spans="1:11" x14ac:dyDescent="0.2">
      <c r="A490">
        <v>1600182</v>
      </c>
      <c r="B490">
        <v>2021</v>
      </c>
      <c r="C490">
        <v>148</v>
      </c>
      <c r="D490" t="s">
        <v>428</v>
      </c>
      <c r="E490" t="s">
        <v>429</v>
      </c>
      <c r="F490" t="s">
        <v>433</v>
      </c>
      <c r="G490" t="s">
        <v>300</v>
      </c>
      <c r="H490" t="s">
        <v>300</v>
      </c>
      <c r="I490" s="5">
        <v>112041</v>
      </c>
      <c r="J490">
        <f>IFERROR(VLOOKUP(G490,'LEAID Match'!$A$2:$B$183,2,FALSE),"")</f>
        <v>1600182</v>
      </c>
      <c r="K490">
        <f t="shared" si="7"/>
        <v>5</v>
      </c>
    </row>
    <row r="491" spans="1:11" x14ac:dyDescent="0.2">
      <c r="A491">
        <v>1600182</v>
      </c>
      <c r="B491">
        <v>2022</v>
      </c>
      <c r="C491">
        <v>148</v>
      </c>
      <c r="D491" t="s">
        <v>428</v>
      </c>
      <c r="E491" t="s">
        <v>429</v>
      </c>
      <c r="F491" t="s">
        <v>433</v>
      </c>
      <c r="G491" t="s">
        <v>300</v>
      </c>
      <c r="H491" t="s">
        <v>300</v>
      </c>
      <c r="I491" s="5">
        <v>139089</v>
      </c>
      <c r="J491">
        <f>IFERROR(VLOOKUP(G491,'LEAID Match'!$A$2:$B$183,2,FALSE),"")</f>
        <v>1600182</v>
      </c>
      <c r="K491">
        <f t="shared" si="7"/>
        <v>5</v>
      </c>
    </row>
    <row r="492" spans="1:11" x14ac:dyDescent="0.2">
      <c r="A492">
        <v>1600182</v>
      </c>
      <c r="B492">
        <v>2023</v>
      </c>
      <c r="C492">
        <v>148</v>
      </c>
      <c r="D492" t="s">
        <v>428</v>
      </c>
      <c r="E492" t="s">
        <v>429</v>
      </c>
      <c r="F492" t="s">
        <v>433</v>
      </c>
      <c r="G492" t="s">
        <v>300</v>
      </c>
      <c r="H492" t="s">
        <v>300</v>
      </c>
      <c r="I492" s="5">
        <v>154774</v>
      </c>
      <c r="J492">
        <f>IFERROR(VLOOKUP(G492,'LEAID Match'!$A$2:$B$183,2,FALSE),"")</f>
        <v>1600182</v>
      </c>
      <c r="K492">
        <f t="shared" si="7"/>
        <v>5</v>
      </c>
    </row>
    <row r="493" spans="1:11" x14ac:dyDescent="0.2">
      <c r="A493">
        <v>1600183</v>
      </c>
      <c r="B493">
        <v>2018</v>
      </c>
      <c r="C493">
        <v>134</v>
      </c>
      <c r="D493" t="s">
        <v>428</v>
      </c>
      <c r="E493" t="s">
        <v>429</v>
      </c>
      <c r="F493" t="s">
        <v>433</v>
      </c>
      <c r="G493" t="s">
        <v>290</v>
      </c>
      <c r="H493" t="s">
        <v>202</v>
      </c>
      <c r="I493" s="5">
        <v>51587</v>
      </c>
      <c r="J493">
        <f>IFERROR(VLOOKUP(G493,'LEAID Match'!$A$2:$B$183,2,FALSE),"")</f>
        <v>1600183</v>
      </c>
      <c r="K493">
        <f t="shared" si="7"/>
        <v>6</v>
      </c>
    </row>
    <row r="494" spans="1:11" x14ac:dyDescent="0.2">
      <c r="A494">
        <v>1600183</v>
      </c>
      <c r="B494">
        <v>2019</v>
      </c>
      <c r="C494">
        <v>134</v>
      </c>
      <c r="D494" t="s">
        <v>428</v>
      </c>
      <c r="E494" t="s">
        <v>429</v>
      </c>
      <c r="F494" t="s">
        <v>433</v>
      </c>
      <c r="G494" t="s">
        <v>290</v>
      </c>
      <c r="H494" t="s">
        <v>290</v>
      </c>
      <c r="I494" s="5">
        <v>75261</v>
      </c>
      <c r="J494">
        <f>IFERROR(VLOOKUP(G494,'LEAID Match'!$A$2:$B$183,2,FALSE),"")</f>
        <v>1600183</v>
      </c>
      <c r="K494">
        <f t="shared" si="7"/>
        <v>6</v>
      </c>
    </row>
    <row r="495" spans="1:11" x14ac:dyDescent="0.2">
      <c r="A495">
        <v>1600183</v>
      </c>
      <c r="B495">
        <v>2020</v>
      </c>
      <c r="C495">
        <v>134</v>
      </c>
      <c r="D495" t="s">
        <v>428</v>
      </c>
      <c r="E495" t="s">
        <v>429</v>
      </c>
      <c r="F495" t="s">
        <v>433</v>
      </c>
      <c r="G495" t="s">
        <v>290</v>
      </c>
      <c r="H495" t="s">
        <v>364</v>
      </c>
      <c r="I495" s="5">
        <v>90338</v>
      </c>
      <c r="J495">
        <f>IFERROR(VLOOKUP(G495,'LEAID Match'!$A$2:$B$183,2,FALSE),"")</f>
        <v>1600183</v>
      </c>
      <c r="K495">
        <f t="shared" si="7"/>
        <v>6</v>
      </c>
    </row>
    <row r="496" spans="1:11" x14ac:dyDescent="0.2">
      <c r="A496">
        <v>1600183</v>
      </c>
      <c r="B496">
        <v>2021</v>
      </c>
      <c r="C496">
        <v>134</v>
      </c>
      <c r="D496" t="s">
        <v>428</v>
      </c>
      <c r="E496" t="s">
        <v>429</v>
      </c>
      <c r="F496" t="s">
        <v>433</v>
      </c>
      <c r="G496" t="s">
        <v>290</v>
      </c>
      <c r="H496" t="s">
        <v>290</v>
      </c>
      <c r="I496" s="5">
        <v>83828</v>
      </c>
      <c r="J496">
        <f>IFERROR(VLOOKUP(G496,'LEAID Match'!$A$2:$B$183,2,FALSE),"")</f>
        <v>1600183</v>
      </c>
      <c r="K496">
        <f t="shared" si="7"/>
        <v>6</v>
      </c>
    </row>
    <row r="497" spans="1:11" x14ac:dyDescent="0.2">
      <c r="A497">
        <v>1600183</v>
      </c>
      <c r="B497">
        <v>2022</v>
      </c>
      <c r="C497">
        <v>134</v>
      </c>
      <c r="D497" t="s">
        <v>428</v>
      </c>
      <c r="E497" t="s">
        <v>429</v>
      </c>
      <c r="F497" t="s">
        <v>433</v>
      </c>
      <c r="G497" t="s">
        <v>290</v>
      </c>
      <c r="H497" t="s">
        <v>290</v>
      </c>
      <c r="I497" s="5">
        <v>93055</v>
      </c>
      <c r="J497">
        <f>IFERROR(VLOOKUP(G497,'LEAID Match'!$A$2:$B$183,2,FALSE),"")</f>
        <v>1600183</v>
      </c>
      <c r="K497">
        <f t="shared" si="7"/>
        <v>6</v>
      </c>
    </row>
    <row r="498" spans="1:11" x14ac:dyDescent="0.2">
      <c r="A498">
        <v>1600183</v>
      </c>
      <c r="B498">
        <v>2023</v>
      </c>
      <c r="C498">
        <v>134</v>
      </c>
      <c r="D498" t="s">
        <v>428</v>
      </c>
      <c r="E498" t="s">
        <v>429</v>
      </c>
      <c r="F498" t="s">
        <v>433</v>
      </c>
      <c r="G498" t="s">
        <v>290</v>
      </c>
      <c r="H498" t="s">
        <v>290</v>
      </c>
      <c r="I498" s="5">
        <v>105187</v>
      </c>
      <c r="J498">
        <f>IFERROR(VLOOKUP(G498,'LEAID Match'!$A$2:$B$183,2,FALSE),"")</f>
        <v>1600183</v>
      </c>
      <c r="K498">
        <f t="shared" si="7"/>
        <v>6</v>
      </c>
    </row>
    <row r="499" spans="1:11" x14ac:dyDescent="0.2">
      <c r="A499">
        <v>1600184</v>
      </c>
      <c r="B499">
        <v>2021</v>
      </c>
      <c r="C499">
        <v>71</v>
      </c>
      <c r="D499" t="s">
        <v>428</v>
      </c>
      <c r="E499" t="s">
        <v>429</v>
      </c>
      <c r="F499" t="s">
        <v>433</v>
      </c>
      <c r="G499" t="s">
        <v>389</v>
      </c>
      <c r="H499" t="s">
        <v>389</v>
      </c>
      <c r="I499" s="5">
        <v>123997</v>
      </c>
      <c r="J499">
        <f>IFERROR(VLOOKUP(G499,'LEAID Match'!$A$2:$B$183,2,FALSE),"")</f>
        <v>1600184</v>
      </c>
      <c r="K499">
        <f t="shared" si="7"/>
        <v>3</v>
      </c>
    </row>
    <row r="500" spans="1:11" x14ac:dyDescent="0.2">
      <c r="A500">
        <v>1600184</v>
      </c>
      <c r="B500">
        <v>2022</v>
      </c>
      <c r="C500">
        <v>71</v>
      </c>
      <c r="D500" t="s">
        <v>428</v>
      </c>
      <c r="E500" t="s">
        <v>429</v>
      </c>
      <c r="F500" t="s">
        <v>433</v>
      </c>
      <c r="G500" t="s">
        <v>389</v>
      </c>
      <c r="H500" t="s">
        <v>389</v>
      </c>
      <c r="I500" s="5">
        <v>169119</v>
      </c>
      <c r="J500">
        <f>IFERROR(VLOOKUP(G500,'LEAID Match'!$A$2:$B$183,2,FALSE),"")</f>
        <v>1600184</v>
      </c>
      <c r="K500">
        <f t="shared" si="7"/>
        <v>3</v>
      </c>
    </row>
    <row r="501" spans="1:11" x14ac:dyDescent="0.2">
      <c r="A501">
        <v>1600184</v>
      </c>
      <c r="B501">
        <v>2023</v>
      </c>
      <c r="C501">
        <v>71</v>
      </c>
      <c r="D501" t="s">
        <v>428</v>
      </c>
      <c r="E501" t="s">
        <v>429</v>
      </c>
      <c r="F501" t="s">
        <v>433</v>
      </c>
      <c r="G501" t="s">
        <v>389</v>
      </c>
      <c r="H501" t="s">
        <v>389</v>
      </c>
      <c r="I501" s="5">
        <v>183475</v>
      </c>
      <c r="J501">
        <f>IFERROR(VLOOKUP(G501,'LEAID Match'!$A$2:$B$183,2,FALSE),"")</f>
        <v>1600184</v>
      </c>
      <c r="K501">
        <f t="shared" si="7"/>
        <v>3</v>
      </c>
    </row>
    <row r="502" spans="1:11" x14ac:dyDescent="0.2">
      <c r="A502">
        <v>1600186</v>
      </c>
      <c r="B502">
        <v>2020</v>
      </c>
      <c r="C502">
        <v>51</v>
      </c>
      <c r="D502" t="s">
        <v>428</v>
      </c>
      <c r="E502" t="s">
        <v>429</v>
      </c>
      <c r="F502" t="s">
        <v>433</v>
      </c>
      <c r="G502" t="s">
        <v>340</v>
      </c>
      <c r="H502" t="s">
        <v>340</v>
      </c>
      <c r="I502" s="5">
        <v>24222</v>
      </c>
      <c r="J502">
        <f>IFERROR(VLOOKUP(G502,'LEAID Match'!$A$2:$B$183,2,FALSE),"")</f>
        <v>1600186</v>
      </c>
      <c r="K502">
        <f t="shared" si="7"/>
        <v>4</v>
      </c>
    </row>
    <row r="503" spans="1:11" x14ac:dyDescent="0.2">
      <c r="A503">
        <v>1600186</v>
      </c>
      <c r="B503">
        <v>2021</v>
      </c>
      <c r="C503">
        <v>51</v>
      </c>
      <c r="D503" t="s">
        <v>428</v>
      </c>
      <c r="E503" t="s">
        <v>429</v>
      </c>
      <c r="F503" t="s">
        <v>433</v>
      </c>
      <c r="G503" t="s">
        <v>340</v>
      </c>
      <c r="H503" t="s">
        <v>340</v>
      </c>
      <c r="I503" s="5">
        <v>30765</v>
      </c>
      <c r="J503">
        <f>IFERROR(VLOOKUP(G503,'LEAID Match'!$A$2:$B$183,2,FALSE),"")</f>
        <v>1600186</v>
      </c>
      <c r="K503">
        <f t="shared" si="7"/>
        <v>4</v>
      </c>
    </row>
    <row r="504" spans="1:11" x14ac:dyDescent="0.2">
      <c r="A504">
        <v>1600186</v>
      </c>
      <c r="B504">
        <v>2022</v>
      </c>
      <c r="C504">
        <v>51</v>
      </c>
      <c r="D504" t="s">
        <v>428</v>
      </c>
      <c r="E504" t="s">
        <v>429</v>
      </c>
      <c r="F504" t="s">
        <v>433</v>
      </c>
      <c r="G504" t="s">
        <v>340</v>
      </c>
      <c r="H504" t="s">
        <v>340</v>
      </c>
      <c r="I504" s="5">
        <v>44305</v>
      </c>
      <c r="J504">
        <f>IFERROR(VLOOKUP(G504,'LEAID Match'!$A$2:$B$183,2,FALSE),"")</f>
        <v>1600186</v>
      </c>
      <c r="K504">
        <f t="shared" si="7"/>
        <v>4</v>
      </c>
    </row>
    <row r="505" spans="1:11" x14ac:dyDescent="0.2">
      <c r="A505">
        <v>1600186</v>
      </c>
      <c r="B505">
        <v>2023</v>
      </c>
      <c r="C505">
        <v>51</v>
      </c>
      <c r="D505" t="s">
        <v>428</v>
      </c>
      <c r="E505" t="s">
        <v>429</v>
      </c>
      <c r="F505" t="s">
        <v>433</v>
      </c>
      <c r="G505" t="s">
        <v>340</v>
      </c>
      <c r="H505" t="s">
        <v>340</v>
      </c>
      <c r="I505" s="5">
        <v>47931</v>
      </c>
      <c r="J505">
        <f>IFERROR(VLOOKUP(G505,'LEAID Match'!$A$2:$B$183,2,FALSE),"")</f>
        <v>1600186</v>
      </c>
      <c r="K505">
        <f t="shared" si="7"/>
        <v>4</v>
      </c>
    </row>
    <row r="506" spans="1:11" x14ac:dyDescent="0.2">
      <c r="A506">
        <v>1600188</v>
      </c>
      <c r="B506">
        <v>2020</v>
      </c>
      <c r="C506">
        <v>177</v>
      </c>
      <c r="D506" t="s">
        <v>428</v>
      </c>
      <c r="E506" t="s">
        <v>429</v>
      </c>
      <c r="F506" t="s">
        <v>433</v>
      </c>
      <c r="G506" t="s">
        <v>379</v>
      </c>
      <c r="H506" t="s">
        <v>379</v>
      </c>
      <c r="I506" s="5">
        <v>136579</v>
      </c>
      <c r="J506">
        <f>IFERROR(VLOOKUP(G506,'LEAID Match'!$A$2:$B$183,2,FALSE),"")</f>
        <v>1600188</v>
      </c>
      <c r="K506">
        <f t="shared" si="7"/>
        <v>4</v>
      </c>
    </row>
    <row r="507" spans="1:11" x14ac:dyDescent="0.2">
      <c r="A507">
        <v>1600188</v>
      </c>
      <c r="B507">
        <v>2021</v>
      </c>
      <c r="C507">
        <v>177</v>
      </c>
      <c r="D507" t="s">
        <v>428</v>
      </c>
      <c r="E507" t="s">
        <v>429</v>
      </c>
      <c r="F507" t="s">
        <v>433</v>
      </c>
      <c r="G507" t="s">
        <v>379</v>
      </c>
      <c r="H507" t="s">
        <v>379</v>
      </c>
      <c r="I507" s="5">
        <v>221483</v>
      </c>
      <c r="J507">
        <f>IFERROR(VLOOKUP(G507,'LEAID Match'!$A$2:$B$183,2,FALSE),"")</f>
        <v>1600188</v>
      </c>
      <c r="K507">
        <f t="shared" si="7"/>
        <v>4</v>
      </c>
    </row>
    <row r="508" spans="1:11" x14ac:dyDescent="0.2">
      <c r="A508">
        <v>1600188</v>
      </c>
      <c r="B508">
        <v>2022</v>
      </c>
      <c r="C508">
        <v>177</v>
      </c>
      <c r="D508" t="s">
        <v>428</v>
      </c>
      <c r="E508" t="s">
        <v>429</v>
      </c>
      <c r="F508" t="s">
        <v>433</v>
      </c>
      <c r="G508" t="s">
        <v>379</v>
      </c>
      <c r="H508" t="s">
        <v>379</v>
      </c>
      <c r="I508" s="5">
        <v>279627</v>
      </c>
      <c r="J508">
        <f>IFERROR(VLOOKUP(G508,'LEAID Match'!$A$2:$B$183,2,FALSE),"")</f>
        <v>1600188</v>
      </c>
      <c r="K508">
        <f t="shared" si="7"/>
        <v>4</v>
      </c>
    </row>
    <row r="509" spans="1:11" x14ac:dyDescent="0.2">
      <c r="A509">
        <v>1600188</v>
      </c>
      <c r="B509">
        <v>2023</v>
      </c>
      <c r="C509">
        <v>177</v>
      </c>
      <c r="D509" t="s">
        <v>428</v>
      </c>
      <c r="E509" t="s">
        <v>429</v>
      </c>
      <c r="F509" t="s">
        <v>433</v>
      </c>
      <c r="G509" t="s">
        <v>379</v>
      </c>
      <c r="H509" t="s">
        <v>379</v>
      </c>
      <c r="I509" s="5">
        <v>348786</v>
      </c>
      <c r="J509">
        <f>IFERROR(VLOOKUP(G509,'LEAID Match'!$A$2:$B$183,2,FALSE),"")</f>
        <v>1600188</v>
      </c>
      <c r="K509">
        <f t="shared" si="7"/>
        <v>4</v>
      </c>
    </row>
    <row r="510" spans="1:11" x14ac:dyDescent="0.2">
      <c r="A510">
        <v>1600189</v>
      </c>
      <c r="B510">
        <v>2020</v>
      </c>
      <c r="C510">
        <v>48</v>
      </c>
      <c r="D510" t="s">
        <v>428</v>
      </c>
      <c r="E510" t="s">
        <v>429</v>
      </c>
      <c r="F510" t="s">
        <v>433</v>
      </c>
      <c r="G510" t="s">
        <v>339</v>
      </c>
      <c r="H510" t="s">
        <v>339</v>
      </c>
      <c r="I510" s="5">
        <v>199855</v>
      </c>
      <c r="J510">
        <f>IFERROR(VLOOKUP(G510,'LEAID Match'!$A$2:$B$183,2,FALSE),"")</f>
        <v>1600189</v>
      </c>
      <c r="K510">
        <f t="shared" si="7"/>
        <v>4</v>
      </c>
    </row>
    <row r="511" spans="1:11" x14ac:dyDescent="0.2">
      <c r="A511">
        <v>1600189</v>
      </c>
      <c r="B511">
        <v>2021</v>
      </c>
      <c r="C511">
        <v>48</v>
      </c>
      <c r="D511" t="s">
        <v>428</v>
      </c>
      <c r="E511" t="s">
        <v>429</v>
      </c>
      <c r="F511" t="s">
        <v>433</v>
      </c>
      <c r="G511" t="s">
        <v>339</v>
      </c>
      <c r="H511" t="s">
        <v>339</v>
      </c>
      <c r="I511" s="5">
        <v>299424</v>
      </c>
      <c r="J511">
        <f>IFERROR(VLOOKUP(G511,'LEAID Match'!$A$2:$B$183,2,FALSE),"")</f>
        <v>1600189</v>
      </c>
      <c r="K511">
        <f t="shared" si="7"/>
        <v>4</v>
      </c>
    </row>
    <row r="512" spans="1:11" x14ac:dyDescent="0.2">
      <c r="A512">
        <v>1600189</v>
      </c>
      <c r="B512">
        <v>2022</v>
      </c>
      <c r="C512">
        <v>48</v>
      </c>
      <c r="D512" t="s">
        <v>428</v>
      </c>
      <c r="E512" t="s">
        <v>429</v>
      </c>
      <c r="F512" t="s">
        <v>433</v>
      </c>
      <c r="G512" t="s">
        <v>339</v>
      </c>
      <c r="H512" t="s">
        <v>339</v>
      </c>
      <c r="I512" s="5">
        <v>466883</v>
      </c>
      <c r="J512">
        <f>IFERROR(VLOOKUP(G512,'LEAID Match'!$A$2:$B$183,2,FALSE),"")</f>
        <v>1600189</v>
      </c>
      <c r="K512">
        <f t="shared" si="7"/>
        <v>4</v>
      </c>
    </row>
    <row r="513" spans="1:11" x14ac:dyDescent="0.2">
      <c r="A513">
        <v>1600189</v>
      </c>
      <c r="B513">
        <v>2023</v>
      </c>
      <c r="C513">
        <v>48</v>
      </c>
      <c r="D513" t="s">
        <v>428</v>
      </c>
      <c r="E513" t="s">
        <v>429</v>
      </c>
      <c r="F513" t="s">
        <v>433</v>
      </c>
      <c r="G513" t="s">
        <v>339</v>
      </c>
      <c r="H513" t="s">
        <v>339</v>
      </c>
      <c r="I513" s="5">
        <v>465289</v>
      </c>
      <c r="J513">
        <f>IFERROR(VLOOKUP(G513,'LEAID Match'!$A$2:$B$183,2,FALSE),"")</f>
        <v>1600189</v>
      </c>
      <c r="K513">
        <f t="shared" si="7"/>
        <v>4</v>
      </c>
    </row>
    <row r="514" spans="1:11" x14ac:dyDescent="0.2">
      <c r="A514">
        <v>1600190</v>
      </c>
      <c r="B514">
        <v>2020</v>
      </c>
      <c r="C514">
        <v>54</v>
      </c>
      <c r="D514" t="s">
        <v>428</v>
      </c>
      <c r="E514" t="s">
        <v>429</v>
      </c>
      <c r="F514" t="s">
        <v>433</v>
      </c>
      <c r="G514" t="s">
        <v>341</v>
      </c>
      <c r="H514" t="s">
        <v>341</v>
      </c>
      <c r="I514" s="5">
        <v>131162</v>
      </c>
      <c r="J514">
        <f>IFERROR(VLOOKUP(G514,'LEAID Match'!$A$2:$B$183,2,FALSE),"")</f>
        <v>1600190</v>
      </c>
      <c r="K514">
        <f t="shared" si="7"/>
        <v>4</v>
      </c>
    </row>
    <row r="515" spans="1:11" x14ac:dyDescent="0.2">
      <c r="A515">
        <v>1600190</v>
      </c>
      <c r="B515">
        <v>2021</v>
      </c>
      <c r="C515">
        <v>54</v>
      </c>
      <c r="D515" t="s">
        <v>428</v>
      </c>
      <c r="E515" t="s">
        <v>429</v>
      </c>
      <c r="F515" t="s">
        <v>433</v>
      </c>
      <c r="G515" t="s">
        <v>341</v>
      </c>
      <c r="H515" t="s">
        <v>341</v>
      </c>
      <c r="I515" s="5">
        <v>207517</v>
      </c>
      <c r="J515">
        <f>IFERROR(VLOOKUP(G515,'LEAID Match'!$A$2:$B$183,2,FALSE),"")</f>
        <v>1600190</v>
      </c>
      <c r="K515">
        <f t="shared" ref="K515:K578" si="8">COUNTIF($A$2:$A$1651,A515)</f>
        <v>4</v>
      </c>
    </row>
    <row r="516" spans="1:11" x14ac:dyDescent="0.2">
      <c r="A516">
        <v>1600190</v>
      </c>
      <c r="B516">
        <v>2022</v>
      </c>
      <c r="C516">
        <v>54</v>
      </c>
      <c r="D516" t="s">
        <v>428</v>
      </c>
      <c r="E516" t="s">
        <v>429</v>
      </c>
      <c r="F516" t="s">
        <v>433</v>
      </c>
      <c r="G516" t="s">
        <v>341</v>
      </c>
      <c r="H516" t="s">
        <v>341</v>
      </c>
      <c r="I516" s="5">
        <v>223115</v>
      </c>
      <c r="J516">
        <f>IFERROR(VLOOKUP(G516,'LEAID Match'!$A$2:$B$183,2,FALSE),"")</f>
        <v>1600190</v>
      </c>
      <c r="K516">
        <f t="shared" si="8"/>
        <v>4</v>
      </c>
    </row>
    <row r="517" spans="1:11" x14ac:dyDescent="0.2">
      <c r="A517">
        <v>1600190</v>
      </c>
      <c r="B517">
        <v>2023</v>
      </c>
      <c r="C517">
        <v>54</v>
      </c>
      <c r="D517" t="s">
        <v>428</v>
      </c>
      <c r="E517" t="s">
        <v>429</v>
      </c>
      <c r="F517" t="s">
        <v>433</v>
      </c>
      <c r="G517" t="s">
        <v>341</v>
      </c>
      <c r="H517" t="s">
        <v>341</v>
      </c>
      <c r="I517" s="5">
        <v>210315</v>
      </c>
      <c r="J517">
        <f>IFERROR(VLOOKUP(G517,'LEAID Match'!$A$2:$B$183,2,FALSE),"")</f>
        <v>1600190</v>
      </c>
      <c r="K517">
        <f t="shared" si="8"/>
        <v>4</v>
      </c>
    </row>
    <row r="518" spans="1:11" x14ac:dyDescent="0.2">
      <c r="A518">
        <v>1600191</v>
      </c>
      <c r="B518">
        <v>2021</v>
      </c>
      <c r="C518">
        <v>115</v>
      </c>
      <c r="D518" t="s">
        <v>428</v>
      </c>
      <c r="E518" t="s">
        <v>429</v>
      </c>
      <c r="F518" t="s">
        <v>433</v>
      </c>
      <c r="G518" t="s">
        <v>392</v>
      </c>
      <c r="H518" t="s">
        <v>392</v>
      </c>
      <c r="I518" s="5">
        <v>109050</v>
      </c>
      <c r="J518">
        <f>IFERROR(VLOOKUP(G518,'LEAID Match'!$A$2:$B$183,2,FALSE),"")</f>
        <v>1600191</v>
      </c>
      <c r="K518">
        <f t="shared" si="8"/>
        <v>3</v>
      </c>
    </row>
    <row r="519" spans="1:11" x14ac:dyDescent="0.2">
      <c r="A519">
        <v>1600191</v>
      </c>
      <c r="B519">
        <v>2022</v>
      </c>
      <c r="C519">
        <v>115</v>
      </c>
      <c r="D519" t="s">
        <v>428</v>
      </c>
      <c r="E519" t="s">
        <v>429</v>
      </c>
      <c r="F519" t="s">
        <v>433</v>
      </c>
      <c r="G519" t="s">
        <v>392</v>
      </c>
      <c r="H519" t="s">
        <v>392</v>
      </c>
      <c r="I519" s="5">
        <v>170012</v>
      </c>
      <c r="J519">
        <f>IFERROR(VLOOKUP(G519,'LEAID Match'!$A$2:$B$183,2,FALSE),"")</f>
        <v>1600191</v>
      </c>
      <c r="K519">
        <f t="shared" si="8"/>
        <v>3</v>
      </c>
    </row>
    <row r="520" spans="1:11" x14ac:dyDescent="0.2">
      <c r="A520">
        <v>1600191</v>
      </c>
      <c r="B520">
        <v>2023</v>
      </c>
      <c r="C520">
        <v>115</v>
      </c>
      <c r="D520" t="s">
        <v>428</v>
      </c>
      <c r="E520" t="s">
        <v>429</v>
      </c>
      <c r="F520" t="s">
        <v>433</v>
      </c>
      <c r="G520" t="s">
        <v>392</v>
      </c>
      <c r="H520" t="s">
        <v>392</v>
      </c>
      <c r="I520" s="5">
        <v>204614</v>
      </c>
      <c r="J520">
        <f>IFERROR(VLOOKUP(G520,'LEAID Match'!$A$2:$B$183,2,FALSE),"")</f>
        <v>1600191</v>
      </c>
      <c r="K520">
        <f t="shared" si="8"/>
        <v>3</v>
      </c>
    </row>
    <row r="521" spans="1:11" x14ac:dyDescent="0.2">
      <c r="A521">
        <v>1600192</v>
      </c>
      <c r="B521">
        <v>2021</v>
      </c>
      <c r="C521">
        <v>86</v>
      </c>
      <c r="D521" t="s">
        <v>428</v>
      </c>
      <c r="E521" t="s">
        <v>429</v>
      </c>
      <c r="F521" t="s">
        <v>433</v>
      </c>
      <c r="G521" t="s">
        <v>390</v>
      </c>
      <c r="H521" t="s">
        <v>390</v>
      </c>
      <c r="I521" s="5">
        <v>10490</v>
      </c>
      <c r="J521">
        <f>IFERROR(VLOOKUP(G521,'LEAID Match'!$A$2:$B$183,2,FALSE),"")</f>
        <v>1600192</v>
      </c>
      <c r="K521">
        <f t="shared" si="8"/>
        <v>3</v>
      </c>
    </row>
    <row r="522" spans="1:11" x14ac:dyDescent="0.2">
      <c r="A522">
        <v>1600192</v>
      </c>
      <c r="B522">
        <v>2022</v>
      </c>
      <c r="C522">
        <v>86</v>
      </c>
      <c r="D522" t="s">
        <v>428</v>
      </c>
      <c r="E522" t="s">
        <v>429</v>
      </c>
      <c r="F522" t="s">
        <v>433</v>
      </c>
      <c r="G522" t="s">
        <v>390</v>
      </c>
      <c r="H522" t="s">
        <v>390</v>
      </c>
      <c r="I522" s="5">
        <v>14413</v>
      </c>
      <c r="J522">
        <f>IFERROR(VLOOKUP(G522,'LEAID Match'!$A$2:$B$183,2,FALSE),"")</f>
        <v>1600192</v>
      </c>
      <c r="K522">
        <f t="shared" si="8"/>
        <v>3</v>
      </c>
    </row>
    <row r="523" spans="1:11" x14ac:dyDescent="0.2">
      <c r="A523">
        <v>1600192</v>
      </c>
      <c r="B523">
        <v>2023</v>
      </c>
      <c r="C523">
        <v>86</v>
      </c>
      <c r="D523" t="s">
        <v>428</v>
      </c>
      <c r="E523" t="s">
        <v>429</v>
      </c>
      <c r="F523" t="s">
        <v>433</v>
      </c>
      <c r="G523" t="s">
        <v>390</v>
      </c>
      <c r="H523" t="s">
        <v>390</v>
      </c>
      <c r="I523" s="5">
        <v>14266</v>
      </c>
      <c r="J523">
        <f>IFERROR(VLOOKUP(G523,'LEAID Match'!$A$2:$B$183,2,FALSE),"")</f>
        <v>1600192</v>
      </c>
      <c r="K523">
        <f t="shared" si="8"/>
        <v>3</v>
      </c>
    </row>
    <row r="524" spans="1:11" x14ac:dyDescent="0.2">
      <c r="A524">
        <v>1600194</v>
      </c>
      <c r="B524">
        <v>2015</v>
      </c>
      <c r="C524">
        <v>175</v>
      </c>
      <c r="D524" t="s">
        <v>428</v>
      </c>
      <c r="E524" t="s">
        <v>429</v>
      </c>
      <c r="F524" t="s">
        <v>433</v>
      </c>
      <c r="G524" t="s">
        <v>167</v>
      </c>
      <c r="H524" t="s">
        <v>167</v>
      </c>
      <c r="I524" s="5">
        <v>158970</v>
      </c>
      <c r="J524">
        <f>IFERROR(VLOOKUP(G524,'LEAID Match'!$A$2:$B$183,2,FALSE),"")</f>
        <v>1600194</v>
      </c>
      <c r="K524">
        <f t="shared" si="8"/>
        <v>9</v>
      </c>
    </row>
    <row r="525" spans="1:11" x14ac:dyDescent="0.2">
      <c r="A525">
        <v>1600194</v>
      </c>
      <c r="B525">
        <v>2016</v>
      </c>
      <c r="C525">
        <v>175</v>
      </c>
      <c r="D525" t="s">
        <v>428</v>
      </c>
      <c r="E525" t="s">
        <v>429</v>
      </c>
      <c r="F525" t="s">
        <v>433</v>
      </c>
      <c r="G525" t="s">
        <v>167</v>
      </c>
      <c r="H525" t="s">
        <v>167</v>
      </c>
      <c r="I525" s="5">
        <v>168943</v>
      </c>
      <c r="J525">
        <f>IFERROR(VLOOKUP(G525,'LEAID Match'!$A$2:$B$183,2,FALSE),"")</f>
        <v>1600194</v>
      </c>
      <c r="K525">
        <f t="shared" si="8"/>
        <v>9</v>
      </c>
    </row>
    <row r="526" spans="1:11" x14ac:dyDescent="0.2">
      <c r="A526">
        <v>1600194</v>
      </c>
      <c r="B526">
        <v>2017</v>
      </c>
      <c r="C526">
        <v>175</v>
      </c>
      <c r="D526" t="s">
        <v>428</v>
      </c>
      <c r="E526" t="s">
        <v>429</v>
      </c>
      <c r="F526" t="s">
        <v>433</v>
      </c>
      <c r="G526" t="s">
        <v>167</v>
      </c>
      <c r="H526" t="s">
        <v>167</v>
      </c>
      <c r="I526" s="5">
        <v>173964</v>
      </c>
      <c r="J526">
        <f>IFERROR(VLOOKUP(G526,'LEAID Match'!$A$2:$B$183,2,FALSE),"")</f>
        <v>1600194</v>
      </c>
      <c r="K526">
        <f t="shared" si="8"/>
        <v>9</v>
      </c>
    </row>
    <row r="527" spans="1:11" x14ac:dyDescent="0.2">
      <c r="A527">
        <v>1600194</v>
      </c>
      <c r="B527">
        <v>2018</v>
      </c>
      <c r="C527">
        <v>175</v>
      </c>
      <c r="D527" t="s">
        <v>428</v>
      </c>
      <c r="E527" t="s">
        <v>429</v>
      </c>
      <c r="F527" t="s">
        <v>433</v>
      </c>
      <c r="G527" t="s">
        <v>167</v>
      </c>
      <c r="H527" t="s">
        <v>167</v>
      </c>
      <c r="I527" s="5">
        <v>171562</v>
      </c>
      <c r="J527">
        <f>IFERROR(VLOOKUP(G527,'LEAID Match'!$A$2:$B$183,2,FALSE),"")</f>
        <v>1600194</v>
      </c>
      <c r="K527">
        <f t="shared" si="8"/>
        <v>9</v>
      </c>
    </row>
    <row r="528" spans="1:11" x14ac:dyDescent="0.2">
      <c r="A528">
        <v>1600194</v>
      </c>
      <c r="B528">
        <v>2019</v>
      </c>
      <c r="C528">
        <v>175</v>
      </c>
      <c r="D528" t="s">
        <v>428</v>
      </c>
      <c r="E528" t="s">
        <v>429</v>
      </c>
      <c r="F528" t="s">
        <v>433</v>
      </c>
      <c r="G528" t="s">
        <v>167</v>
      </c>
      <c r="H528" t="s">
        <v>167</v>
      </c>
      <c r="I528" s="5">
        <v>175415</v>
      </c>
      <c r="J528">
        <f>IFERROR(VLOOKUP(G528,'LEAID Match'!$A$2:$B$183,2,FALSE),"")</f>
        <v>1600194</v>
      </c>
      <c r="K528">
        <f t="shared" si="8"/>
        <v>9</v>
      </c>
    </row>
    <row r="529" spans="1:11" x14ac:dyDescent="0.2">
      <c r="A529">
        <v>1600194</v>
      </c>
      <c r="B529">
        <v>2020</v>
      </c>
      <c r="C529">
        <v>175</v>
      </c>
      <c r="D529" t="s">
        <v>428</v>
      </c>
      <c r="E529" t="s">
        <v>429</v>
      </c>
      <c r="F529" t="s">
        <v>433</v>
      </c>
      <c r="G529" t="s">
        <v>167</v>
      </c>
      <c r="H529" t="s">
        <v>167</v>
      </c>
      <c r="I529" s="5">
        <v>204420</v>
      </c>
      <c r="J529">
        <f>IFERROR(VLOOKUP(G529,'LEAID Match'!$A$2:$B$183,2,FALSE),"")</f>
        <v>1600194</v>
      </c>
      <c r="K529">
        <f t="shared" si="8"/>
        <v>9</v>
      </c>
    </row>
    <row r="530" spans="1:11" x14ac:dyDescent="0.2">
      <c r="A530">
        <v>1600194</v>
      </c>
      <c r="B530">
        <v>2021</v>
      </c>
      <c r="C530">
        <v>175</v>
      </c>
      <c r="D530" t="s">
        <v>428</v>
      </c>
      <c r="E530" t="s">
        <v>429</v>
      </c>
      <c r="F530" t="s">
        <v>433</v>
      </c>
      <c r="G530" t="s">
        <v>167</v>
      </c>
      <c r="H530" t="s">
        <v>167</v>
      </c>
      <c r="I530" s="5">
        <v>206613</v>
      </c>
      <c r="J530">
        <f>IFERROR(VLOOKUP(G530,'LEAID Match'!$A$2:$B$183,2,FALSE),"")</f>
        <v>1600194</v>
      </c>
      <c r="K530">
        <f t="shared" si="8"/>
        <v>9</v>
      </c>
    </row>
    <row r="531" spans="1:11" x14ac:dyDescent="0.2">
      <c r="A531">
        <v>1600194</v>
      </c>
      <c r="B531">
        <v>2022</v>
      </c>
      <c r="C531">
        <v>175</v>
      </c>
      <c r="D531" t="s">
        <v>428</v>
      </c>
      <c r="E531" t="s">
        <v>429</v>
      </c>
      <c r="F531" t="s">
        <v>433</v>
      </c>
      <c r="G531" t="s">
        <v>167</v>
      </c>
      <c r="H531" t="s">
        <v>167</v>
      </c>
      <c r="I531" s="5">
        <v>225186</v>
      </c>
      <c r="J531">
        <f>IFERROR(VLOOKUP(G531,'LEAID Match'!$A$2:$B$183,2,FALSE),"")</f>
        <v>1600194</v>
      </c>
      <c r="K531">
        <f t="shared" si="8"/>
        <v>9</v>
      </c>
    </row>
    <row r="532" spans="1:11" x14ac:dyDescent="0.2">
      <c r="A532">
        <v>1600194</v>
      </c>
      <c r="B532">
        <v>2023</v>
      </c>
      <c r="C532">
        <v>175</v>
      </c>
      <c r="D532" t="s">
        <v>428</v>
      </c>
      <c r="E532" t="s">
        <v>429</v>
      </c>
      <c r="F532" t="s">
        <v>433</v>
      </c>
      <c r="G532" t="s">
        <v>167</v>
      </c>
      <c r="H532" t="s">
        <v>167</v>
      </c>
      <c r="I532" s="5">
        <v>229283</v>
      </c>
      <c r="J532">
        <f>IFERROR(VLOOKUP(G532,'LEAID Match'!$A$2:$B$183,2,FALSE),"")</f>
        <v>1600194</v>
      </c>
      <c r="K532">
        <f t="shared" si="8"/>
        <v>9</v>
      </c>
    </row>
    <row r="533" spans="1:11" x14ac:dyDescent="0.2">
      <c r="A533">
        <v>1600195</v>
      </c>
      <c r="B533">
        <v>2015</v>
      </c>
      <c r="C533">
        <v>7</v>
      </c>
      <c r="D533" t="s">
        <v>428</v>
      </c>
      <c r="E533" t="s">
        <v>429</v>
      </c>
      <c r="F533" t="s">
        <v>433</v>
      </c>
      <c r="G533" t="s">
        <v>123</v>
      </c>
      <c r="H533" t="s">
        <v>123</v>
      </c>
      <c r="I533" s="5">
        <v>119122</v>
      </c>
      <c r="J533">
        <f>IFERROR(VLOOKUP(G533,'LEAID Match'!$A$2:$B$183,2,FALSE),"")</f>
        <v>1600195</v>
      </c>
      <c r="K533">
        <f t="shared" si="8"/>
        <v>9</v>
      </c>
    </row>
    <row r="534" spans="1:11" x14ac:dyDescent="0.2">
      <c r="A534">
        <v>1600195</v>
      </c>
      <c r="B534">
        <v>2016</v>
      </c>
      <c r="C534">
        <v>7</v>
      </c>
      <c r="D534" t="s">
        <v>428</v>
      </c>
      <c r="E534" t="s">
        <v>429</v>
      </c>
      <c r="F534" t="s">
        <v>433</v>
      </c>
      <c r="G534" t="s">
        <v>123</v>
      </c>
      <c r="H534" t="s">
        <v>123</v>
      </c>
      <c r="I534" s="5">
        <v>138957</v>
      </c>
      <c r="J534">
        <f>IFERROR(VLOOKUP(G534,'LEAID Match'!$A$2:$B$183,2,FALSE),"")</f>
        <v>1600195</v>
      </c>
      <c r="K534">
        <f t="shared" si="8"/>
        <v>9</v>
      </c>
    </row>
    <row r="535" spans="1:11" x14ac:dyDescent="0.2">
      <c r="A535">
        <v>1600195</v>
      </c>
      <c r="B535">
        <v>2017</v>
      </c>
      <c r="C535">
        <v>7</v>
      </c>
      <c r="D535" t="s">
        <v>428</v>
      </c>
      <c r="E535" t="s">
        <v>429</v>
      </c>
      <c r="F535" t="s">
        <v>433</v>
      </c>
      <c r="G535" t="s">
        <v>123</v>
      </c>
      <c r="H535" t="s">
        <v>123</v>
      </c>
      <c r="I535" s="5">
        <v>160213</v>
      </c>
      <c r="J535">
        <f>IFERROR(VLOOKUP(G535,'LEAID Match'!$A$2:$B$183,2,FALSE),"")</f>
        <v>1600195</v>
      </c>
      <c r="K535">
        <f t="shared" si="8"/>
        <v>9</v>
      </c>
    </row>
    <row r="536" spans="1:11" x14ac:dyDescent="0.2">
      <c r="A536">
        <v>1600195</v>
      </c>
      <c r="B536">
        <v>2018</v>
      </c>
      <c r="C536">
        <v>7</v>
      </c>
      <c r="D536" t="s">
        <v>428</v>
      </c>
      <c r="E536" t="s">
        <v>429</v>
      </c>
      <c r="F536" t="s">
        <v>433</v>
      </c>
      <c r="G536" t="s">
        <v>123</v>
      </c>
      <c r="H536" t="s">
        <v>123</v>
      </c>
      <c r="I536" s="5">
        <v>169360</v>
      </c>
      <c r="J536">
        <f>IFERROR(VLOOKUP(G536,'LEAID Match'!$A$2:$B$183,2,FALSE),"")</f>
        <v>1600195</v>
      </c>
      <c r="K536">
        <f t="shared" si="8"/>
        <v>9</v>
      </c>
    </row>
    <row r="537" spans="1:11" x14ac:dyDescent="0.2">
      <c r="A537">
        <v>1600195</v>
      </c>
      <c r="B537">
        <v>2019</v>
      </c>
      <c r="C537">
        <v>7</v>
      </c>
      <c r="D537" t="s">
        <v>428</v>
      </c>
      <c r="E537" t="s">
        <v>429</v>
      </c>
      <c r="F537" t="s">
        <v>433</v>
      </c>
      <c r="G537" t="s">
        <v>123</v>
      </c>
      <c r="H537" t="s">
        <v>123</v>
      </c>
      <c r="I537" s="5">
        <v>170182</v>
      </c>
      <c r="J537">
        <f>IFERROR(VLOOKUP(G537,'LEAID Match'!$A$2:$B$183,2,FALSE),"")</f>
        <v>1600195</v>
      </c>
      <c r="K537">
        <f t="shared" si="8"/>
        <v>9</v>
      </c>
    </row>
    <row r="538" spans="1:11" x14ac:dyDescent="0.2">
      <c r="A538">
        <v>1600195</v>
      </c>
      <c r="B538">
        <v>2020</v>
      </c>
      <c r="C538">
        <v>7</v>
      </c>
      <c r="D538" t="s">
        <v>428</v>
      </c>
      <c r="E538" t="s">
        <v>429</v>
      </c>
      <c r="F538" t="s">
        <v>433</v>
      </c>
      <c r="G538" t="s">
        <v>123</v>
      </c>
      <c r="H538" t="s">
        <v>123</v>
      </c>
      <c r="I538" s="5">
        <v>193906</v>
      </c>
      <c r="J538">
        <f>IFERROR(VLOOKUP(G538,'LEAID Match'!$A$2:$B$183,2,FALSE),"")</f>
        <v>1600195</v>
      </c>
      <c r="K538">
        <f t="shared" si="8"/>
        <v>9</v>
      </c>
    </row>
    <row r="539" spans="1:11" x14ac:dyDescent="0.2">
      <c r="A539">
        <v>1600195</v>
      </c>
      <c r="B539">
        <v>2021</v>
      </c>
      <c r="C539">
        <v>7</v>
      </c>
      <c r="D539" t="s">
        <v>428</v>
      </c>
      <c r="E539" t="s">
        <v>429</v>
      </c>
      <c r="F539" t="s">
        <v>433</v>
      </c>
      <c r="G539" t="s">
        <v>123</v>
      </c>
      <c r="H539" t="s">
        <v>123</v>
      </c>
      <c r="I539" s="5">
        <v>219578</v>
      </c>
      <c r="J539">
        <f>IFERROR(VLOOKUP(G539,'LEAID Match'!$A$2:$B$183,2,FALSE),"")</f>
        <v>1600195</v>
      </c>
      <c r="K539">
        <f t="shared" si="8"/>
        <v>9</v>
      </c>
    </row>
    <row r="540" spans="1:11" x14ac:dyDescent="0.2">
      <c r="A540">
        <v>1600195</v>
      </c>
      <c r="B540">
        <v>2022</v>
      </c>
      <c r="C540">
        <v>7</v>
      </c>
      <c r="D540" t="s">
        <v>428</v>
      </c>
      <c r="E540" t="s">
        <v>429</v>
      </c>
      <c r="F540" t="s">
        <v>433</v>
      </c>
      <c r="G540" t="s">
        <v>123</v>
      </c>
      <c r="H540" t="s">
        <v>123</v>
      </c>
      <c r="I540" s="5">
        <v>275078</v>
      </c>
      <c r="J540">
        <f>IFERROR(VLOOKUP(G540,'LEAID Match'!$A$2:$B$183,2,FALSE),"")</f>
        <v>1600195</v>
      </c>
      <c r="K540">
        <f t="shared" si="8"/>
        <v>9</v>
      </c>
    </row>
    <row r="541" spans="1:11" x14ac:dyDescent="0.2">
      <c r="A541">
        <v>1600195</v>
      </c>
      <c r="B541">
        <v>2023</v>
      </c>
      <c r="C541">
        <v>7</v>
      </c>
      <c r="D541" t="s">
        <v>428</v>
      </c>
      <c r="E541" t="s">
        <v>429</v>
      </c>
      <c r="F541" t="s">
        <v>433</v>
      </c>
      <c r="G541" t="s">
        <v>123</v>
      </c>
      <c r="H541" t="s">
        <v>123</v>
      </c>
      <c r="I541" s="5">
        <v>335667</v>
      </c>
      <c r="J541">
        <f>IFERROR(VLOOKUP(G541,'LEAID Match'!$A$2:$B$183,2,FALSE),"")</f>
        <v>1600195</v>
      </c>
      <c r="K541">
        <f t="shared" si="8"/>
        <v>9</v>
      </c>
    </row>
    <row r="542" spans="1:11" x14ac:dyDescent="0.2">
      <c r="A542">
        <v>1600196</v>
      </c>
      <c r="B542">
        <v>2021</v>
      </c>
      <c r="C542">
        <v>58</v>
      </c>
      <c r="D542" t="s">
        <v>428</v>
      </c>
      <c r="E542" t="s">
        <v>429</v>
      </c>
      <c r="F542" t="s">
        <v>433</v>
      </c>
      <c r="G542" t="s">
        <v>387</v>
      </c>
      <c r="H542" t="s">
        <v>387</v>
      </c>
      <c r="I542" s="5">
        <v>11371</v>
      </c>
      <c r="J542">
        <f>IFERROR(VLOOKUP(G542,'LEAID Match'!$A$2:$B$183,2,FALSE),"")</f>
        <v>1600196</v>
      </c>
      <c r="K542">
        <f t="shared" si="8"/>
        <v>3</v>
      </c>
    </row>
    <row r="543" spans="1:11" x14ac:dyDescent="0.2">
      <c r="A543">
        <v>1600196</v>
      </c>
      <c r="B543">
        <v>2022</v>
      </c>
      <c r="C543">
        <v>58</v>
      </c>
      <c r="D543" t="s">
        <v>428</v>
      </c>
      <c r="E543" t="s">
        <v>429</v>
      </c>
      <c r="F543" t="s">
        <v>433</v>
      </c>
      <c r="G543" t="s">
        <v>387</v>
      </c>
      <c r="H543" t="s">
        <v>387</v>
      </c>
      <c r="I543" s="5">
        <v>121395</v>
      </c>
      <c r="J543">
        <f>IFERROR(VLOOKUP(G543,'LEAID Match'!$A$2:$B$183,2,FALSE),"")</f>
        <v>1600196</v>
      </c>
      <c r="K543">
        <f t="shared" si="8"/>
        <v>3</v>
      </c>
    </row>
    <row r="544" spans="1:11" x14ac:dyDescent="0.2">
      <c r="A544">
        <v>1600196</v>
      </c>
      <c r="B544">
        <v>2023</v>
      </c>
      <c r="C544">
        <v>58</v>
      </c>
      <c r="D544" t="s">
        <v>428</v>
      </c>
      <c r="E544" t="s">
        <v>429</v>
      </c>
      <c r="F544" t="s">
        <v>433</v>
      </c>
      <c r="G544" t="s">
        <v>387</v>
      </c>
      <c r="H544" t="s">
        <v>387</v>
      </c>
      <c r="I544" s="5">
        <v>166463</v>
      </c>
      <c r="J544">
        <f>IFERROR(VLOOKUP(G544,'LEAID Match'!$A$2:$B$183,2,FALSE),"")</f>
        <v>1600196</v>
      </c>
      <c r="K544">
        <f t="shared" si="8"/>
        <v>3</v>
      </c>
    </row>
    <row r="545" spans="1:11" x14ac:dyDescent="0.2">
      <c r="A545">
        <v>1600197</v>
      </c>
      <c r="B545">
        <v>2021</v>
      </c>
      <c r="C545">
        <v>45</v>
      </c>
      <c r="D545" t="s">
        <v>428</v>
      </c>
      <c r="E545" t="s">
        <v>429</v>
      </c>
      <c r="F545" t="s">
        <v>433</v>
      </c>
      <c r="G545" t="s">
        <v>386</v>
      </c>
      <c r="H545" t="s">
        <v>386</v>
      </c>
      <c r="I545" s="5">
        <v>66068</v>
      </c>
      <c r="J545">
        <f>IFERROR(VLOOKUP(G545,'LEAID Match'!$A$2:$B$183,2,FALSE),"")</f>
        <v>1600197</v>
      </c>
      <c r="K545">
        <f t="shared" si="8"/>
        <v>3</v>
      </c>
    </row>
    <row r="546" spans="1:11" x14ac:dyDescent="0.2">
      <c r="A546">
        <v>1600197</v>
      </c>
      <c r="B546">
        <v>2022</v>
      </c>
      <c r="C546">
        <v>45</v>
      </c>
      <c r="D546" t="s">
        <v>428</v>
      </c>
      <c r="E546" t="s">
        <v>429</v>
      </c>
      <c r="F546" t="s">
        <v>433</v>
      </c>
      <c r="G546" t="s">
        <v>386</v>
      </c>
      <c r="H546" t="s">
        <v>386</v>
      </c>
      <c r="I546" s="5">
        <v>107705</v>
      </c>
      <c r="J546">
        <f>IFERROR(VLOOKUP(G546,'LEAID Match'!$A$2:$B$183,2,FALSE),"")</f>
        <v>1600197</v>
      </c>
      <c r="K546">
        <f t="shared" si="8"/>
        <v>3</v>
      </c>
    </row>
    <row r="547" spans="1:11" x14ac:dyDescent="0.2">
      <c r="A547">
        <v>1600197</v>
      </c>
      <c r="B547">
        <v>2023</v>
      </c>
      <c r="C547">
        <v>45</v>
      </c>
      <c r="D547" t="s">
        <v>428</v>
      </c>
      <c r="E547" t="s">
        <v>429</v>
      </c>
      <c r="F547" t="s">
        <v>433</v>
      </c>
      <c r="G547" t="s">
        <v>386</v>
      </c>
      <c r="H547" t="s">
        <v>386</v>
      </c>
      <c r="I547" s="5">
        <v>128436</v>
      </c>
      <c r="J547">
        <f>IFERROR(VLOOKUP(G547,'LEAID Match'!$A$2:$B$183,2,FALSE),"")</f>
        <v>1600197</v>
      </c>
      <c r="K547">
        <f t="shared" si="8"/>
        <v>3</v>
      </c>
    </row>
    <row r="548" spans="1:11" x14ac:dyDescent="0.2">
      <c r="A548">
        <v>1600198</v>
      </c>
      <c r="B548">
        <v>2021</v>
      </c>
      <c r="C548">
        <v>138</v>
      </c>
      <c r="D548" t="s">
        <v>428</v>
      </c>
      <c r="E548" t="s">
        <v>429</v>
      </c>
      <c r="F548" t="s">
        <v>433</v>
      </c>
      <c r="G548" t="s">
        <v>393</v>
      </c>
      <c r="H548" t="s">
        <v>393</v>
      </c>
      <c r="I548" s="5">
        <v>57469</v>
      </c>
      <c r="J548">
        <f>IFERROR(VLOOKUP(G548,'LEAID Match'!$A$2:$B$183,2,FALSE),"")</f>
        <v>1600198</v>
      </c>
      <c r="K548">
        <f t="shared" si="8"/>
        <v>3</v>
      </c>
    </row>
    <row r="549" spans="1:11" x14ac:dyDescent="0.2">
      <c r="A549">
        <v>1600198</v>
      </c>
      <c r="B549">
        <v>2022</v>
      </c>
      <c r="C549">
        <v>138</v>
      </c>
      <c r="D549" t="s">
        <v>428</v>
      </c>
      <c r="E549" t="s">
        <v>429</v>
      </c>
      <c r="F549" t="s">
        <v>433</v>
      </c>
      <c r="G549" t="s">
        <v>393</v>
      </c>
      <c r="H549" t="s">
        <v>393</v>
      </c>
      <c r="I549" s="5">
        <v>95496</v>
      </c>
      <c r="J549">
        <f>IFERROR(VLOOKUP(G549,'LEAID Match'!$A$2:$B$183,2,FALSE),"")</f>
        <v>1600198</v>
      </c>
      <c r="K549">
        <f t="shared" si="8"/>
        <v>3</v>
      </c>
    </row>
    <row r="550" spans="1:11" x14ac:dyDescent="0.2">
      <c r="A550">
        <v>1600198</v>
      </c>
      <c r="B550">
        <v>2023</v>
      </c>
      <c r="C550">
        <v>138</v>
      </c>
      <c r="D550" t="s">
        <v>428</v>
      </c>
      <c r="E550" t="s">
        <v>429</v>
      </c>
      <c r="F550" t="s">
        <v>433</v>
      </c>
      <c r="G550" t="s">
        <v>393</v>
      </c>
      <c r="H550" t="s">
        <v>393</v>
      </c>
      <c r="I550" s="5">
        <v>99193</v>
      </c>
      <c r="J550">
        <f>IFERROR(VLOOKUP(G550,'LEAID Match'!$A$2:$B$183,2,FALSE),"")</f>
        <v>1600198</v>
      </c>
      <c r="K550">
        <f t="shared" si="8"/>
        <v>3</v>
      </c>
    </row>
    <row r="551" spans="1:11" x14ac:dyDescent="0.2">
      <c r="A551">
        <v>1600199</v>
      </c>
      <c r="B551">
        <v>2022</v>
      </c>
      <c r="C551">
        <v>3</v>
      </c>
      <c r="D551" t="s">
        <v>428</v>
      </c>
      <c r="E551" t="s">
        <v>429</v>
      </c>
      <c r="F551" t="s">
        <v>433</v>
      </c>
      <c r="G551" t="s">
        <v>398</v>
      </c>
      <c r="H551" t="s">
        <v>398</v>
      </c>
      <c r="I551" s="5">
        <v>116424</v>
      </c>
      <c r="J551">
        <f>IFERROR(VLOOKUP(G551,'LEAID Match'!$A$2:$B$183,2,FALSE),"")</f>
        <v>1600199</v>
      </c>
      <c r="K551">
        <f t="shared" si="8"/>
        <v>2</v>
      </c>
    </row>
    <row r="552" spans="1:11" x14ac:dyDescent="0.2">
      <c r="A552">
        <v>1600199</v>
      </c>
      <c r="B552">
        <v>2023</v>
      </c>
      <c r="C552">
        <v>3</v>
      </c>
      <c r="D552" t="s">
        <v>428</v>
      </c>
      <c r="E552" t="s">
        <v>429</v>
      </c>
      <c r="F552" t="s">
        <v>433</v>
      </c>
      <c r="G552" t="s">
        <v>398</v>
      </c>
      <c r="H552" t="s">
        <v>398</v>
      </c>
      <c r="I552" s="5">
        <v>164434</v>
      </c>
      <c r="J552">
        <f>IFERROR(VLOOKUP(G552,'LEAID Match'!$A$2:$B$183,2,FALSE),"")</f>
        <v>1600199</v>
      </c>
      <c r="K552">
        <f t="shared" si="8"/>
        <v>2</v>
      </c>
    </row>
    <row r="553" spans="1:11" x14ac:dyDescent="0.2">
      <c r="A553">
        <v>1600200</v>
      </c>
      <c r="B553">
        <v>2022</v>
      </c>
      <c r="C553">
        <v>27</v>
      </c>
      <c r="D553" t="s">
        <v>428</v>
      </c>
      <c r="E553" t="s">
        <v>429</v>
      </c>
      <c r="F553" t="s">
        <v>433</v>
      </c>
      <c r="G553" t="s">
        <v>399</v>
      </c>
      <c r="H553" t="s">
        <v>399</v>
      </c>
      <c r="I553" s="5">
        <v>72612</v>
      </c>
      <c r="J553">
        <f>IFERROR(VLOOKUP(G553,'LEAID Match'!$A$2:$B$183,2,FALSE),"")</f>
        <v>1600200</v>
      </c>
      <c r="K553">
        <f t="shared" si="8"/>
        <v>2</v>
      </c>
    </row>
    <row r="554" spans="1:11" x14ac:dyDescent="0.2">
      <c r="A554">
        <v>1600200</v>
      </c>
      <c r="B554">
        <v>2023</v>
      </c>
      <c r="C554">
        <v>27</v>
      </c>
      <c r="D554" t="s">
        <v>428</v>
      </c>
      <c r="E554" t="s">
        <v>429</v>
      </c>
      <c r="F554" t="s">
        <v>433</v>
      </c>
      <c r="G554" t="s">
        <v>399</v>
      </c>
      <c r="H554" t="s">
        <v>399</v>
      </c>
      <c r="I554" s="5">
        <v>62231</v>
      </c>
      <c r="J554">
        <f>IFERROR(VLOOKUP(G554,'LEAID Match'!$A$2:$B$183,2,FALSE),"")</f>
        <v>1600200</v>
      </c>
      <c r="K554">
        <f t="shared" si="8"/>
        <v>2</v>
      </c>
    </row>
    <row r="555" spans="1:11" x14ac:dyDescent="0.2">
      <c r="A555">
        <v>1600201</v>
      </c>
      <c r="B555">
        <v>2022</v>
      </c>
      <c r="C555">
        <v>59</v>
      </c>
      <c r="D555" t="s">
        <v>428</v>
      </c>
      <c r="E555" t="s">
        <v>429</v>
      </c>
      <c r="F555" t="s">
        <v>433</v>
      </c>
      <c r="G555" t="s">
        <v>400</v>
      </c>
      <c r="H555" t="s">
        <v>400</v>
      </c>
      <c r="I555" s="5">
        <v>11639</v>
      </c>
      <c r="J555">
        <f>IFERROR(VLOOKUP(G555,'LEAID Match'!$A$2:$B$183,2,FALSE),"")</f>
        <v>1600201</v>
      </c>
      <c r="K555">
        <f t="shared" si="8"/>
        <v>2</v>
      </c>
    </row>
    <row r="556" spans="1:11" x14ac:dyDescent="0.2">
      <c r="A556">
        <v>1600201</v>
      </c>
      <c r="B556">
        <v>2023</v>
      </c>
      <c r="C556">
        <v>59</v>
      </c>
      <c r="D556" t="s">
        <v>428</v>
      </c>
      <c r="E556" t="s">
        <v>429</v>
      </c>
      <c r="F556" t="s">
        <v>433</v>
      </c>
      <c r="G556" t="s">
        <v>400</v>
      </c>
      <c r="H556" t="s">
        <v>400</v>
      </c>
      <c r="I556" s="5">
        <v>105499</v>
      </c>
      <c r="J556">
        <f>IFERROR(VLOOKUP(G556,'LEAID Match'!$A$2:$B$183,2,FALSE),"")</f>
        <v>1600201</v>
      </c>
      <c r="K556">
        <f t="shared" si="8"/>
        <v>2</v>
      </c>
    </row>
    <row r="557" spans="1:11" x14ac:dyDescent="0.2">
      <c r="A557">
        <v>1600203</v>
      </c>
      <c r="B557">
        <v>2023</v>
      </c>
      <c r="C557">
        <v>46</v>
      </c>
      <c r="D557" t="s">
        <v>428</v>
      </c>
      <c r="E557" t="s">
        <v>429</v>
      </c>
      <c r="F557" t="s">
        <v>433</v>
      </c>
      <c r="G557" t="s">
        <v>403</v>
      </c>
      <c r="H557" t="s">
        <v>403</v>
      </c>
      <c r="I557" s="5">
        <v>209234</v>
      </c>
      <c r="J557">
        <f>IFERROR(VLOOKUP(G557,'LEAID Match'!$A$2:$B$183,2,FALSE),"")</f>
        <v>1600203</v>
      </c>
      <c r="K557">
        <f t="shared" si="8"/>
        <v>1</v>
      </c>
    </row>
    <row r="558" spans="1:11" x14ac:dyDescent="0.2">
      <c r="A558">
        <v>1600204</v>
      </c>
      <c r="B558">
        <v>2015</v>
      </c>
      <c r="C558">
        <v>79</v>
      </c>
      <c r="D558" t="s">
        <v>428</v>
      </c>
      <c r="E558" t="s">
        <v>429</v>
      </c>
      <c r="F558" t="s">
        <v>433</v>
      </c>
      <c r="G558" t="s">
        <v>135</v>
      </c>
      <c r="H558" t="s">
        <v>135</v>
      </c>
      <c r="I558" s="5">
        <v>255139</v>
      </c>
      <c r="J558">
        <f>IFERROR(VLOOKUP(G558,'LEAID Match'!$A$2:$B$183,2,FALSE),"")</f>
        <v>1600204</v>
      </c>
      <c r="K558">
        <f t="shared" si="8"/>
        <v>9</v>
      </c>
    </row>
    <row r="559" spans="1:11" x14ac:dyDescent="0.2">
      <c r="A559">
        <v>1600204</v>
      </c>
      <c r="B559">
        <v>2016</v>
      </c>
      <c r="C559">
        <v>79</v>
      </c>
      <c r="D559" t="s">
        <v>428</v>
      </c>
      <c r="E559" t="s">
        <v>429</v>
      </c>
      <c r="F559" t="s">
        <v>433</v>
      </c>
      <c r="G559" t="s">
        <v>135</v>
      </c>
      <c r="H559" t="s">
        <v>135</v>
      </c>
      <c r="I559" s="5">
        <v>271107</v>
      </c>
      <c r="J559">
        <f>IFERROR(VLOOKUP(G559,'LEAID Match'!$A$2:$B$183,2,FALSE),"")</f>
        <v>1600204</v>
      </c>
      <c r="K559">
        <f t="shared" si="8"/>
        <v>9</v>
      </c>
    </row>
    <row r="560" spans="1:11" x14ac:dyDescent="0.2">
      <c r="A560">
        <v>1600204</v>
      </c>
      <c r="B560">
        <v>2017</v>
      </c>
      <c r="C560">
        <v>79</v>
      </c>
      <c r="D560" t="s">
        <v>428</v>
      </c>
      <c r="E560" t="s">
        <v>429</v>
      </c>
      <c r="F560" t="s">
        <v>433</v>
      </c>
      <c r="G560" t="s">
        <v>135</v>
      </c>
      <c r="H560" t="s">
        <v>135</v>
      </c>
      <c r="I560" s="5">
        <v>360207</v>
      </c>
      <c r="J560">
        <f>IFERROR(VLOOKUP(G560,'LEAID Match'!$A$2:$B$183,2,FALSE),"")</f>
        <v>1600204</v>
      </c>
      <c r="K560">
        <f t="shared" si="8"/>
        <v>9</v>
      </c>
    </row>
    <row r="561" spans="1:11" x14ac:dyDescent="0.2">
      <c r="A561">
        <v>1600204</v>
      </c>
      <c r="B561">
        <v>2018</v>
      </c>
      <c r="C561">
        <v>79</v>
      </c>
      <c r="D561" t="s">
        <v>428</v>
      </c>
      <c r="E561" t="s">
        <v>429</v>
      </c>
      <c r="F561" t="s">
        <v>433</v>
      </c>
      <c r="G561" t="s">
        <v>135</v>
      </c>
      <c r="H561" t="s">
        <v>135</v>
      </c>
      <c r="I561" s="5">
        <v>400241</v>
      </c>
      <c r="J561">
        <f>IFERROR(VLOOKUP(G561,'LEAID Match'!$A$2:$B$183,2,FALSE),"")</f>
        <v>1600204</v>
      </c>
      <c r="K561">
        <f t="shared" si="8"/>
        <v>9</v>
      </c>
    </row>
    <row r="562" spans="1:11" x14ac:dyDescent="0.2">
      <c r="A562">
        <v>1600204</v>
      </c>
      <c r="B562">
        <v>2019</v>
      </c>
      <c r="C562">
        <v>79</v>
      </c>
      <c r="D562" t="s">
        <v>428</v>
      </c>
      <c r="E562" t="s">
        <v>429</v>
      </c>
      <c r="F562" t="s">
        <v>433</v>
      </c>
      <c r="G562" t="s">
        <v>135</v>
      </c>
      <c r="H562" t="s">
        <v>135</v>
      </c>
      <c r="I562" s="5">
        <v>438931</v>
      </c>
      <c r="J562">
        <f>IFERROR(VLOOKUP(G562,'LEAID Match'!$A$2:$B$183,2,FALSE),"")</f>
        <v>1600204</v>
      </c>
      <c r="K562">
        <f t="shared" si="8"/>
        <v>9</v>
      </c>
    </row>
    <row r="563" spans="1:11" x14ac:dyDescent="0.2">
      <c r="A563">
        <v>1600204</v>
      </c>
      <c r="B563">
        <v>2020</v>
      </c>
      <c r="C563">
        <v>79</v>
      </c>
      <c r="D563" t="s">
        <v>428</v>
      </c>
      <c r="E563" t="s">
        <v>429</v>
      </c>
      <c r="F563" t="s">
        <v>433</v>
      </c>
      <c r="G563" t="s">
        <v>135</v>
      </c>
      <c r="H563" t="s">
        <v>135</v>
      </c>
      <c r="I563" s="5">
        <v>507255</v>
      </c>
      <c r="J563">
        <f>IFERROR(VLOOKUP(G563,'LEAID Match'!$A$2:$B$183,2,FALSE),"")</f>
        <v>1600204</v>
      </c>
      <c r="K563">
        <f t="shared" si="8"/>
        <v>9</v>
      </c>
    </row>
    <row r="564" spans="1:11" x14ac:dyDescent="0.2">
      <c r="A564">
        <v>1600204</v>
      </c>
      <c r="B564">
        <v>2021</v>
      </c>
      <c r="C564">
        <v>79</v>
      </c>
      <c r="D564" t="s">
        <v>428</v>
      </c>
      <c r="E564" t="s">
        <v>429</v>
      </c>
      <c r="F564" t="s">
        <v>433</v>
      </c>
      <c r="G564" t="s">
        <v>135</v>
      </c>
      <c r="H564" t="s">
        <v>135</v>
      </c>
      <c r="I564" s="5">
        <v>533734</v>
      </c>
      <c r="J564">
        <f>IFERROR(VLOOKUP(G564,'LEAID Match'!$A$2:$B$183,2,FALSE),"")</f>
        <v>1600204</v>
      </c>
      <c r="K564">
        <f t="shared" si="8"/>
        <v>9</v>
      </c>
    </row>
    <row r="565" spans="1:11" x14ac:dyDescent="0.2">
      <c r="A565">
        <v>1600204</v>
      </c>
      <c r="B565">
        <v>2022</v>
      </c>
      <c r="C565">
        <v>79</v>
      </c>
      <c r="D565" t="s">
        <v>428</v>
      </c>
      <c r="E565" t="s">
        <v>429</v>
      </c>
      <c r="F565" t="s">
        <v>433</v>
      </c>
      <c r="G565" t="s">
        <v>135</v>
      </c>
      <c r="H565" t="s">
        <v>135</v>
      </c>
      <c r="I565" s="5">
        <v>682154</v>
      </c>
      <c r="J565">
        <f>IFERROR(VLOOKUP(G565,'LEAID Match'!$A$2:$B$183,2,FALSE),"")</f>
        <v>1600204</v>
      </c>
      <c r="K565">
        <f t="shared" si="8"/>
        <v>9</v>
      </c>
    </row>
    <row r="566" spans="1:11" x14ac:dyDescent="0.2">
      <c r="A566">
        <v>1600204</v>
      </c>
      <c r="B566">
        <v>2023</v>
      </c>
      <c r="C566">
        <v>79</v>
      </c>
      <c r="D566" t="s">
        <v>428</v>
      </c>
      <c r="E566" t="s">
        <v>429</v>
      </c>
      <c r="F566" t="s">
        <v>433</v>
      </c>
      <c r="G566" t="s">
        <v>135</v>
      </c>
      <c r="H566" t="s">
        <v>135</v>
      </c>
      <c r="I566" s="5">
        <v>737085</v>
      </c>
      <c r="J566">
        <f>IFERROR(VLOOKUP(G566,'LEAID Match'!$A$2:$B$183,2,FALSE),"")</f>
        <v>1600204</v>
      </c>
      <c r="K566">
        <f t="shared" si="8"/>
        <v>9</v>
      </c>
    </row>
    <row r="567" spans="1:11" x14ac:dyDescent="0.2">
      <c r="A567">
        <v>1600205</v>
      </c>
      <c r="B567">
        <v>2017</v>
      </c>
      <c r="C567">
        <v>61</v>
      </c>
      <c r="D567" t="s">
        <v>428</v>
      </c>
      <c r="E567" t="s">
        <v>429</v>
      </c>
      <c r="F567" t="s">
        <v>433</v>
      </c>
      <c r="G567" t="s">
        <v>196</v>
      </c>
      <c r="H567" t="s">
        <v>190</v>
      </c>
      <c r="I567" s="5">
        <v>58594</v>
      </c>
      <c r="J567">
        <f>IFERROR(VLOOKUP(G567,'LEAID Match'!$A$2:$B$183,2,FALSE),"")</f>
        <v>1600205</v>
      </c>
      <c r="K567">
        <f t="shared" si="8"/>
        <v>7</v>
      </c>
    </row>
    <row r="568" spans="1:11" x14ac:dyDescent="0.2">
      <c r="A568">
        <v>1600205</v>
      </c>
      <c r="B568">
        <v>2018</v>
      </c>
      <c r="C568">
        <v>61</v>
      </c>
      <c r="D568" t="s">
        <v>428</v>
      </c>
      <c r="E568" t="s">
        <v>429</v>
      </c>
      <c r="F568" t="s">
        <v>433</v>
      </c>
      <c r="G568" t="s">
        <v>196</v>
      </c>
      <c r="H568" t="s">
        <v>196</v>
      </c>
      <c r="I568" s="5">
        <v>73828</v>
      </c>
      <c r="J568">
        <f>IFERROR(VLOOKUP(G568,'LEAID Match'!$A$2:$B$183,2,FALSE),"")</f>
        <v>1600205</v>
      </c>
      <c r="K568">
        <f t="shared" si="8"/>
        <v>7</v>
      </c>
    </row>
    <row r="569" spans="1:11" x14ac:dyDescent="0.2">
      <c r="A569">
        <v>1600205</v>
      </c>
      <c r="B569">
        <v>2019</v>
      </c>
      <c r="C569">
        <v>61</v>
      </c>
      <c r="D569" t="s">
        <v>428</v>
      </c>
      <c r="E569" t="s">
        <v>429</v>
      </c>
      <c r="F569" t="s">
        <v>433</v>
      </c>
      <c r="G569" t="s">
        <v>196</v>
      </c>
      <c r="H569" t="s">
        <v>196</v>
      </c>
      <c r="I569" s="5">
        <v>102272</v>
      </c>
      <c r="J569">
        <f>IFERROR(VLOOKUP(G569,'LEAID Match'!$A$2:$B$183,2,FALSE),"")</f>
        <v>1600205</v>
      </c>
      <c r="K569">
        <f t="shared" si="8"/>
        <v>7</v>
      </c>
    </row>
    <row r="570" spans="1:11" x14ac:dyDescent="0.2">
      <c r="A570">
        <v>1600205</v>
      </c>
      <c r="B570">
        <v>2020</v>
      </c>
      <c r="C570">
        <v>61</v>
      </c>
      <c r="D570" t="s">
        <v>428</v>
      </c>
      <c r="E570" t="s">
        <v>429</v>
      </c>
      <c r="F570" t="s">
        <v>433</v>
      </c>
      <c r="G570" t="s">
        <v>196</v>
      </c>
      <c r="H570" t="s">
        <v>196</v>
      </c>
      <c r="I570" s="5">
        <v>147353</v>
      </c>
      <c r="J570">
        <f>IFERROR(VLOOKUP(G570,'LEAID Match'!$A$2:$B$183,2,FALSE),"")</f>
        <v>1600205</v>
      </c>
      <c r="K570">
        <f t="shared" si="8"/>
        <v>7</v>
      </c>
    </row>
    <row r="571" spans="1:11" x14ac:dyDescent="0.2">
      <c r="A571">
        <v>1600205</v>
      </c>
      <c r="B571">
        <v>2021</v>
      </c>
      <c r="C571">
        <v>61</v>
      </c>
      <c r="D571" t="s">
        <v>428</v>
      </c>
      <c r="E571" t="s">
        <v>429</v>
      </c>
      <c r="F571" t="s">
        <v>433</v>
      </c>
      <c r="G571" t="s">
        <v>196</v>
      </c>
      <c r="H571" t="s">
        <v>196</v>
      </c>
      <c r="I571" s="5">
        <v>159290</v>
      </c>
      <c r="J571">
        <f>IFERROR(VLOOKUP(G571,'LEAID Match'!$A$2:$B$183,2,FALSE),"")</f>
        <v>1600205</v>
      </c>
      <c r="K571">
        <f t="shared" si="8"/>
        <v>7</v>
      </c>
    </row>
    <row r="572" spans="1:11" x14ac:dyDescent="0.2">
      <c r="A572">
        <v>1600205</v>
      </c>
      <c r="B572">
        <v>2022</v>
      </c>
      <c r="C572">
        <v>61</v>
      </c>
      <c r="D572" t="s">
        <v>428</v>
      </c>
      <c r="E572" t="s">
        <v>429</v>
      </c>
      <c r="F572" t="s">
        <v>433</v>
      </c>
      <c r="G572" t="s">
        <v>196</v>
      </c>
      <c r="H572" t="s">
        <v>196</v>
      </c>
      <c r="I572" s="5">
        <v>198449</v>
      </c>
      <c r="J572">
        <f>IFERROR(VLOOKUP(G572,'LEAID Match'!$A$2:$B$183,2,FALSE),"")</f>
        <v>1600205</v>
      </c>
      <c r="K572">
        <f t="shared" si="8"/>
        <v>7</v>
      </c>
    </row>
    <row r="573" spans="1:11" x14ac:dyDescent="0.2">
      <c r="A573">
        <v>1600205</v>
      </c>
      <c r="B573">
        <v>2023</v>
      </c>
      <c r="C573">
        <v>61</v>
      </c>
      <c r="D573" t="s">
        <v>428</v>
      </c>
      <c r="E573" t="s">
        <v>429</v>
      </c>
      <c r="F573" t="s">
        <v>433</v>
      </c>
      <c r="G573" t="s">
        <v>196</v>
      </c>
      <c r="H573" t="s">
        <v>196</v>
      </c>
      <c r="I573" s="5">
        <v>205594</v>
      </c>
      <c r="J573">
        <f>IFERROR(VLOOKUP(G573,'LEAID Match'!$A$2:$B$183,2,FALSE),"")</f>
        <v>1600205</v>
      </c>
      <c r="K573">
        <f t="shared" si="8"/>
        <v>7</v>
      </c>
    </row>
    <row r="574" spans="1:11" x14ac:dyDescent="0.2">
      <c r="A574">
        <v>1600240</v>
      </c>
      <c r="B574">
        <v>2015</v>
      </c>
      <c r="C574">
        <v>11</v>
      </c>
      <c r="D574" t="s">
        <v>428</v>
      </c>
      <c r="E574" t="s">
        <v>429</v>
      </c>
      <c r="F574" t="s">
        <v>433</v>
      </c>
      <c r="G574" t="s">
        <v>8</v>
      </c>
      <c r="H574" t="s">
        <v>8</v>
      </c>
      <c r="I574" s="5">
        <v>449570</v>
      </c>
      <c r="J574">
        <f>IFERROR(VLOOKUP(G574,'LEAID Match'!$A$2:$B$183,2,FALSE),"")</f>
        <v>1600240</v>
      </c>
      <c r="K574">
        <f t="shared" si="8"/>
        <v>9</v>
      </c>
    </row>
    <row r="575" spans="1:11" x14ac:dyDescent="0.2">
      <c r="A575">
        <v>1600240</v>
      </c>
      <c r="B575">
        <v>2016</v>
      </c>
      <c r="C575">
        <v>11</v>
      </c>
      <c r="D575" t="s">
        <v>428</v>
      </c>
      <c r="E575" t="s">
        <v>429</v>
      </c>
      <c r="F575" t="s">
        <v>433</v>
      </c>
      <c r="G575" t="s">
        <v>8</v>
      </c>
      <c r="H575" t="s">
        <v>8</v>
      </c>
      <c r="I575" s="5">
        <v>461909</v>
      </c>
      <c r="J575">
        <f>IFERROR(VLOOKUP(G575,'LEAID Match'!$A$2:$B$183,2,FALSE),"")</f>
        <v>1600240</v>
      </c>
      <c r="K575">
        <f t="shared" si="8"/>
        <v>9</v>
      </c>
    </row>
    <row r="576" spans="1:11" x14ac:dyDescent="0.2">
      <c r="A576">
        <v>1600240</v>
      </c>
      <c r="B576">
        <v>2017</v>
      </c>
      <c r="C576">
        <v>11</v>
      </c>
      <c r="D576" t="s">
        <v>428</v>
      </c>
      <c r="E576" t="s">
        <v>429</v>
      </c>
      <c r="F576" t="s">
        <v>433</v>
      </c>
      <c r="G576" t="s">
        <v>8</v>
      </c>
      <c r="H576" t="s">
        <v>8</v>
      </c>
      <c r="I576" s="5">
        <v>480097</v>
      </c>
      <c r="J576">
        <f>IFERROR(VLOOKUP(G576,'LEAID Match'!$A$2:$B$183,2,FALSE),"")</f>
        <v>1600240</v>
      </c>
      <c r="K576">
        <f t="shared" si="8"/>
        <v>9</v>
      </c>
    </row>
    <row r="577" spans="1:11" x14ac:dyDescent="0.2">
      <c r="A577">
        <v>1600240</v>
      </c>
      <c r="B577">
        <v>2018</v>
      </c>
      <c r="C577">
        <v>11</v>
      </c>
      <c r="D577" t="s">
        <v>428</v>
      </c>
      <c r="E577" t="s">
        <v>429</v>
      </c>
      <c r="F577" t="s">
        <v>433</v>
      </c>
      <c r="G577" t="s">
        <v>8</v>
      </c>
      <c r="H577" t="s">
        <v>8</v>
      </c>
      <c r="I577" s="5">
        <v>506005</v>
      </c>
      <c r="J577">
        <f>IFERROR(VLOOKUP(G577,'LEAID Match'!$A$2:$B$183,2,FALSE),"")</f>
        <v>1600240</v>
      </c>
      <c r="K577">
        <f t="shared" si="8"/>
        <v>9</v>
      </c>
    </row>
    <row r="578" spans="1:11" x14ac:dyDescent="0.2">
      <c r="A578">
        <v>1600240</v>
      </c>
      <c r="B578">
        <v>2019</v>
      </c>
      <c r="C578">
        <v>11</v>
      </c>
      <c r="D578" t="s">
        <v>428</v>
      </c>
      <c r="E578" t="s">
        <v>429</v>
      </c>
      <c r="F578" t="s">
        <v>433</v>
      </c>
      <c r="G578" t="s">
        <v>8</v>
      </c>
      <c r="H578" t="s">
        <v>213</v>
      </c>
      <c r="I578" s="5">
        <v>557142</v>
      </c>
      <c r="J578">
        <f>IFERROR(VLOOKUP(G578,'LEAID Match'!$A$2:$B$183,2,FALSE),"")</f>
        <v>1600240</v>
      </c>
      <c r="K578">
        <f t="shared" si="8"/>
        <v>9</v>
      </c>
    </row>
    <row r="579" spans="1:11" x14ac:dyDescent="0.2">
      <c r="A579">
        <v>1600240</v>
      </c>
      <c r="B579">
        <v>2020</v>
      </c>
      <c r="C579">
        <v>11</v>
      </c>
      <c r="D579" t="s">
        <v>428</v>
      </c>
      <c r="E579" t="s">
        <v>429</v>
      </c>
      <c r="F579" t="s">
        <v>433</v>
      </c>
      <c r="G579" t="s">
        <v>8</v>
      </c>
      <c r="H579" t="s">
        <v>213</v>
      </c>
      <c r="I579" s="5">
        <v>627104</v>
      </c>
      <c r="J579">
        <f>IFERROR(VLOOKUP(G579,'LEAID Match'!$A$2:$B$183,2,FALSE),"")</f>
        <v>1600240</v>
      </c>
      <c r="K579">
        <f t="shared" ref="K579:K642" si="9">COUNTIF($A$2:$A$1651,A579)</f>
        <v>9</v>
      </c>
    </row>
    <row r="580" spans="1:11" x14ac:dyDescent="0.2">
      <c r="A580">
        <v>1600240</v>
      </c>
      <c r="B580">
        <v>2021</v>
      </c>
      <c r="C580">
        <v>11</v>
      </c>
      <c r="D580" t="s">
        <v>428</v>
      </c>
      <c r="E580" t="s">
        <v>429</v>
      </c>
      <c r="F580" t="s">
        <v>433</v>
      </c>
      <c r="G580" t="s">
        <v>8</v>
      </c>
      <c r="H580" t="s">
        <v>8</v>
      </c>
      <c r="I580" s="5">
        <v>678952</v>
      </c>
      <c r="J580">
        <f>IFERROR(VLOOKUP(G580,'LEAID Match'!$A$2:$B$183,2,FALSE),"")</f>
        <v>1600240</v>
      </c>
      <c r="K580">
        <f t="shared" si="9"/>
        <v>9</v>
      </c>
    </row>
    <row r="581" spans="1:11" x14ac:dyDescent="0.2">
      <c r="A581">
        <v>1600240</v>
      </c>
      <c r="B581">
        <v>2022</v>
      </c>
      <c r="C581">
        <v>11</v>
      </c>
      <c r="D581" t="s">
        <v>428</v>
      </c>
      <c r="E581" t="s">
        <v>429</v>
      </c>
      <c r="F581" t="s">
        <v>433</v>
      </c>
      <c r="G581" t="s">
        <v>8</v>
      </c>
      <c r="H581" t="s">
        <v>213</v>
      </c>
      <c r="I581" s="5">
        <v>725130</v>
      </c>
      <c r="J581">
        <f>IFERROR(VLOOKUP(G581,'LEAID Match'!$A$2:$B$183,2,FALSE),"")</f>
        <v>1600240</v>
      </c>
      <c r="K581">
        <f t="shared" si="9"/>
        <v>9</v>
      </c>
    </row>
    <row r="582" spans="1:11" x14ac:dyDescent="0.2">
      <c r="A582">
        <v>1600240</v>
      </c>
      <c r="B582">
        <v>2023</v>
      </c>
      <c r="C582">
        <v>11</v>
      </c>
      <c r="D582" t="s">
        <v>428</v>
      </c>
      <c r="E582" t="s">
        <v>429</v>
      </c>
      <c r="F582" t="s">
        <v>433</v>
      </c>
      <c r="G582" t="s">
        <v>8</v>
      </c>
      <c r="H582" t="s">
        <v>213</v>
      </c>
      <c r="I582" s="5">
        <v>750634</v>
      </c>
      <c r="J582">
        <f>IFERROR(VLOOKUP(G582,'LEAID Match'!$A$2:$B$183,2,FALSE),"")</f>
        <v>1600240</v>
      </c>
      <c r="K582">
        <f t="shared" si="9"/>
        <v>9</v>
      </c>
    </row>
    <row r="583" spans="1:11" x14ac:dyDescent="0.2">
      <c r="A583">
        <v>1600270</v>
      </c>
      <c r="B583">
        <v>2015</v>
      </c>
      <c r="C583">
        <v>14</v>
      </c>
      <c r="D583" t="s">
        <v>428</v>
      </c>
      <c r="E583" t="s">
        <v>429</v>
      </c>
      <c r="F583" t="s">
        <v>433</v>
      </c>
      <c r="G583" t="s">
        <v>9</v>
      </c>
      <c r="H583" t="s">
        <v>9</v>
      </c>
      <c r="I583" s="5">
        <v>1670938</v>
      </c>
      <c r="J583">
        <f>IFERROR(VLOOKUP(G583,'LEAID Match'!$A$2:$B$183,2,FALSE),"")</f>
        <v>1600270</v>
      </c>
      <c r="K583">
        <f t="shared" si="9"/>
        <v>9</v>
      </c>
    </row>
    <row r="584" spans="1:11" x14ac:dyDescent="0.2">
      <c r="A584">
        <v>1600270</v>
      </c>
      <c r="B584">
        <v>2016</v>
      </c>
      <c r="C584">
        <v>14</v>
      </c>
      <c r="D584" t="s">
        <v>428</v>
      </c>
      <c r="E584" t="s">
        <v>429</v>
      </c>
      <c r="F584" t="s">
        <v>433</v>
      </c>
      <c r="G584" t="s">
        <v>9</v>
      </c>
      <c r="H584" t="s">
        <v>176</v>
      </c>
      <c r="I584" s="5">
        <v>1650757</v>
      </c>
      <c r="J584">
        <f>IFERROR(VLOOKUP(G584,'LEAID Match'!$A$2:$B$183,2,FALSE),"")</f>
        <v>1600270</v>
      </c>
      <c r="K584">
        <f t="shared" si="9"/>
        <v>9</v>
      </c>
    </row>
    <row r="585" spans="1:11" x14ac:dyDescent="0.2">
      <c r="A585">
        <v>1600270</v>
      </c>
      <c r="B585">
        <v>2017</v>
      </c>
      <c r="C585">
        <v>14</v>
      </c>
      <c r="D585" t="s">
        <v>428</v>
      </c>
      <c r="E585" t="s">
        <v>429</v>
      </c>
      <c r="F585" t="s">
        <v>433</v>
      </c>
      <c r="G585" t="s">
        <v>9</v>
      </c>
      <c r="H585" t="s">
        <v>176</v>
      </c>
      <c r="I585" s="5">
        <v>1688384</v>
      </c>
      <c r="J585">
        <f>IFERROR(VLOOKUP(G585,'LEAID Match'!$A$2:$B$183,2,FALSE),"")</f>
        <v>1600270</v>
      </c>
      <c r="K585">
        <f t="shared" si="9"/>
        <v>9</v>
      </c>
    </row>
    <row r="586" spans="1:11" x14ac:dyDescent="0.2">
      <c r="A586">
        <v>1600270</v>
      </c>
      <c r="B586">
        <v>2018</v>
      </c>
      <c r="C586">
        <v>14</v>
      </c>
      <c r="D586" t="s">
        <v>428</v>
      </c>
      <c r="E586" t="s">
        <v>429</v>
      </c>
      <c r="F586" t="s">
        <v>433</v>
      </c>
      <c r="G586" t="s">
        <v>9</v>
      </c>
      <c r="H586" t="s">
        <v>9</v>
      </c>
      <c r="I586" s="5">
        <v>1713629</v>
      </c>
      <c r="J586">
        <f>IFERROR(VLOOKUP(G586,'LEAID Match'!$A$2:$B$183,2,FALSE),"")</f>
        <v>1600270</v>
      </c>
      <c r="K586">
        <f t="shared" si="9"/>
        <v>9</v>
      </c>
    </row>
    <row r="587" spans="1:11" x14ac:dyDescent="0.2">
      <c r="A587">
        <v>1600270</v>
      </c>
      <c r="B587">
        <v>2019</v>
      </c>
      <c r="C587">
        <v>14</v>
      </c>
      <c r="D587" t="s">
        <v>428</v>
      </c>
      <c r="E587" t="s">
        <v>429</v>
      </c>
      <c r="F587" t="s">
        <v>433</v>
      </c>
      <c r="G587" t="s">
        <v>9</v>
      </c>
      <c r="H587" t="s">
        <v>215</v>
      </c>
      <c r="I587" s="5">
        <v>1788455</v>
      </c>
      <c r="J587">
        <f>IFERROR(VLOOKUP(G587,'LEAID Match'!$A$2:$B$183,2,FALSE),"")</f>
        <v>1600270</v>
      </c>
      <c r="K587">
        <f t="shared" si="9"/>
        <v>9</v>
      </c>
    </row>
    <row r="588" spans="1:11" x14ac:dyDescent="0.2">
      <c r="A588">
        <v>1600270</v>
      </c>
      <c r="B588">
        <v>2020</v>
      </c>
      <c r="C588">
        <v>14</v>
      </c>
      <c r="D588" t="s">
        <v>428</v>
      </c>
      <c r="E588" t="s">
        <v>429</v>
      </c>
      <c r="F588" t="s">
        <v>433</v>
      </c>
      <c r="G588" t="s">
        <v>9</v>
      </c>
      <c r="H588" t="s">
        <v>176</v>
      </c>
      <c r="I588" s="5">
        <v>1999068</v>
      </c>
      <c r="J588">
        <f>IFERROR(VLOOKUP(G588,'LEAID Match'!$A$2:$B$183,2,FALSE),"")</f>
        <v>1600270</v>
      </c>
      <c r="K588">
        <f t="shared" si="9"/>
        <v>9</v>
      </c>
    </row>
    <row r="589" spans="1:11" x14ac:dyDescent="0.2">
      <c r="A589">
        <v>1600270</v>
      </c>
      <c r="B589">
        <v>2021</v>
      </c>
      <c r="C589">
        <v>14</v>
      </c>
      <c r="D589" t="s">
        <v>428</v>
      </c>
      <c r="E589" t="s">
        <v>429</v>
      </c>
      <c r="F589" t="s">
        <v>433</v>
      </c>
      <c r="G589" t="s">
        <v>9</v>
      </c>
      <c r="H589" t="s">
        <v>9</v>
      </c>
      <c r="I589" s="5">
        <v>2154532</v>
      </c>
      <c r="J589">
        <f>IFERROR(VLOOKUP(G589,'LEAID Match'!$A$2:$B$183,2,FALSE),"")</f>
        <v>1600270</v>
      </c>
      <c r="K589">
        <f t="shared" si="9"/>
        <v>9</v>
      </c>
    </row>
    <row r="590" spans="1:11" x14ac:dyDescent="0.2">
      <c r="A590">
        <v>1600270</v>
      </c>
      <c r="B590">
        <v>2022</v>
      </c>
      <c r="C590">
        <v>14</v>
      </c>
      <c r="D590" t="s">
        <v>428</v>
      </c>
      <c r="E590" t="s">
        <v>429</v>
      </c>
      <c r="F590" t="s">
        <v>433</v>
      </c>
      <c r="G590" t="s">
        <v>9</v>
      </c>
      <c r="H590" t="s">
        <v>176</v>
      </c>
      <c r="I590" s="5">
        <v>2380067</v>
      </c>
      <c r="J590">
        <f>IFERROR(VLOOKUP(G590,'LEAID Match'!$A$2:$B$183,2,FALSE),"")</f>
        <v>1600270</v>
      </c>
      <c r="K590">
        <f t="shared" si="9"/>
        <v>9</v>
      </c>
    </row>
    <row r="591" spans="1:11" x14ac:dyDescent="0.2">
      <c r="A591">
        <v>1600270</v>
      </c>
      <c r="B591">
        <v>2023</v>
      </c>
      <c r="C591">
        <v>14</v>
      </c>
      <c r="D591" t="s">
        <v>428</v>
      </c>
      <c r="E591" t="s">
        <v>429</v>
      </c>
      <c r="F591" t="s">
        <v>433</v>
      </c>
      <c r="G591" t="s">
        <v>9</v>
      </c>
      <c r="H591" t="s">
        <v>176</v>
      </c>
      <c r="I591" s="5">
        <v>2423440</v>
      </c>
      <c r="J591">
        <f>IFERROR(VLOOKUP(G591,'LEAID Match'!$A$2:$B$183,2,FALSE),"")</f>
        <v>1600270</v>
      </c>
      <c r="K591">
        <f t="shared" si="9"/>
        <v>9</v>
      </c>
    </row>
    <row r="592" spans="1:11" x14ac:dyDescent="0.2">
      <c r="A592">
        <v>1600300</v>
      </c>
      <c r="B592">
        <v>2015</v>
      </c>
      <c r="C592">
        <v>15</v>
      </c>
      <c r="D592" t="s">
        <v>428</v>
      </c>
      <c r="E592" t="s">
        <v>429</v>
      </c>
      <c r="F592" t="s">
        <v>433</v>
      </c>
      <c r="G592" t="s">
        <v>10</v>
      </c>
      <c r="H592" t="s">
        <v>10</v>
      </c>
      <c r="I592" s="5">
        <v>3740846</v>
      </c>
      <c r="J592">
        <f>IFERROR(VLOOKUP(G592,'LEAID Match'!$A$2:$B$183,2,FALSE),"")</f>
        <v>1600300</v>
      </c>
      <c r="K592">
        <f t="shared" si="9"/>
        <v>9</v>
      </c>
    </row>
    <row r="593" spans="1:11" x14ac:dyDescent="0.2">
      <c r="A593">
        <v>1600300</v>
      </c>
      <c r="B593">
        <v>2016</v>
      </c>
      <c r="C593">
        <v>15</v>
      </c>
      <c r="D593" t="s">
        <v>428</v>
      </c>
      <c r="E593" t="s">
        <v>429</v>
      </c>
      <c r="F593" t="s">
        <v>433</v>
      </c>
      <c r="G593" t="s">
        <v>10</v>
      </c>
      <c r="H593" t="s">
        <v>10</v>
      </c>
      <c r="I593" s="5">
        <v>3750220</v>
      </c>
      <c r="J593">
        <f>IFERROR(VLOOKUP(G593,'LEAID Match'!$A$2:$B$183,2,FALSE),"")</f>
        <v>1600300</v>
      </c>
      <c r="K593">
        <f t="shared" si="9"/>
        <v>9</v>
      </c>
    </row>
    <row r="594" spans="1:11" x14ac:dyDescent="0.2">
      <c r="A594">
        <v>1600300</v>
      </c>
      <c r="B594">
        <v>2017</v>
      </c>
      <c r="C594">
        <v>15</v>
      </c>
      <c r="D594" t="s">
        <v>428</v>
      </c>
      <c r="E594" t="s">
        <v>429</v>
      </c>
      <c r="F594" t="s">
        <v>433</v>
      </c>
      <c r="G594" t="s">
        <v>10</v>
      </c>
      <c r="H594" t="s">
        <v>10</v>
      </c>
      <c r="I594" s="5">
        <v>3710757</v>
      </c>
      <c r="J594">
        <f>IFERROR(VLOOKUP(G594,'LEAID Match'!$A$2:$B$183,2,FALSE),"")</f>
        <v>1600300</v>
      </c>
      <c r="K594">
        <f t="shared" si="9"/>
        <v>9</v>
      </c>
    </row>
    <row r="595" spans="1:11" x14ac:dyDescent="0.2">
      <c r="A595">
        <v>1600300</v>
      </c>
      <c r="B595">
        <v>2018</v>
      </c>
      <c r="C595">
        <v>15</v>
      </c>
      <c r="D595" t="s">
        <v>428</v>
      </c>
      <c r="E595" t="s">
        <v>429</v>
      </c>
      <c r="F595" t="s">
        <v>433</v>
      </c>
      <c r="G595" t="s">
        <v>10</v>
      </c>
      <c r="H595" t="s">
        <v>191</v>
      </c>
      <c r="I595" s="5">
        <v>3707068</v>
      </c>
      <c r="J595">
        <f>IFERROR(VLOOKUP(G595,'LEAID Match'!$A$2:$B$183,2,FALSE),"")</f>
        <v>1600300</v>
      </c>
      <c r="K595">
        <f t="shared" si="9"/>
        <v>9</v>
      </c>
    </row>
    <row r="596" spans="1:11" x14ac:dyDescent="0.2">
      <c r="A596">
        <v>1600300</v>
      </c>
      <c r="B596">
        <v>2019</v>
      </c>
      <c r="C596">
        <v>15</v>
      </c>
      <c r="D596" t="s">
        <v>428</v>
      </c>
      <c r="E596" t="s">
        <v>429</v>
      </c>
      <c r="F596" t="s">
        <v>433</v>
      </c>
      <c r="G596" t="s">
        <v>10</v>
      </c>
      <c r="H596" t="s">
        <v>216</v>
      </c>
      <c r="I596" s="5">
        <v>3849162</v>
      </c>
      <c r="J596">
        <f>IFERROR(VLOOKUP(G596,'LEAID Match'!$A$2:$B$183,2,FALSE),"")</f>
        <v>1600300</v>
      </c>
      <c r="K596">
        <f t="shared" si="9"/>
        <v>9</v>
      </c>
    </row>
    <row r="597" spans="1:11" x14ac:dyDescent="0.2">
      <c r="A597">
        <v>1600300</v>
      </c>
      <c r="B597">
        <v>2020</v>
      </c>
      <c r="C597">
        <v>15</v>
      </c>
      <c r="D597" t="s">
        <v>428</v>
      </c>
      <c r="E597" t="s">
        <v>429</v>
      </c>
      <c r="F597" t="s">
        <v>433</v>
      </c>
      <c r="G597" t="s">
        <v>10</v>
      </c>
      <c r="H597" t="s">
        <v>216</v>
      </c>
      <c r="I597" s="5">
        <v>4256216</v>
      </c>
      <c r="J597">
        <f>IFERROR(VLOOKUP(G597,'LEAID Match'!$A$2:$B$183,2,FALSE),"")</f>
        <v>1600300</v>
      </c>
      <c r="K597">
        <f t="shared" si="9"/>
        <v>9</v>
      </c>
    </row>
    <row r="598" spans="1:11" x14ac:dyDescent="0.2">
      <c r="A598">
        <v>1600300</v>
      </c>
      <c r="B598">
        <v>2021</v>
      </c>
      <c r="C598">
        <v>15</v>
      </c>
      <c r="D598" t="s">
        <v>428</v>
      </c>
      <c r="E598" t="s">
        <v>429</v>
      </c>
      <c r="F598" t="s">
        <v>433</v>
      </c>
      <c r="G598" t="s">
        <v>10</v>
      </c>
      <c r="H598" t="s">
        <v>191</v>
      </c>
      <c r="I598" s="5">
        <v>4349920</v>
      </c>
      <c r="J598">
        <f>IFERROR(VLOOKUP(G598,'LEAID Match'!$A$2:$B$183,2,FALSE),"")</f>
        <v>1600300</v>
      </c>
      <c r="K598">
        <f t="shared" si="9"/>
        <v>9</v>
      </c>
    </row>
    <row r="599" spans="1:11" x14ac:dyDescent="0.2">
      <c r="A599">
        <v>1600300</v>
      </c>
      <c r="B599">
        <v>2022</v>
      </c>
      <c r="C599">
        <v>15</v>
      </c>
      <c r="D599" t="s">
        <v>428</v>
      </c>
      <c r="E599" t="s">
        <v>429</v>
      </c>
      <c r="F599" t="s">
        <v>433</v>
      </c>
      <c r="G599" t="s">
        <v>10</v>
      </c>
      <c r="H599" t="s">
        <v>216</v>
      </c>
      <c r="I599" s="5">
        <v>4351312</v>
      </c>
      <c r="J599">
        <f>IFERROR(VLOOKUP(G599,'LEAID Match'!$A$2:$B$183,2,FALSE),"")</f>
        <v>1600300</v>
      </c>
      <c r="K599">
        <f t="shared" si="9"/>
        <v>9</v>
      </c>
    </row>
    <row r="600" spans="1:11" x14ac:dyDescent="0.2">
      <c r="A600">
        <v>1600300</v>
      </c>
      <c r="B600">
        <v>2023</v>
      </c>
      <c r="C600">
        <v>15</v>
      </c>
      <c r="D600" t="s">
        <v>428</v>
      </c>
      <c r="E600" t="s">
        <v>429</v>
      </c>
      <c r="F600" t="s">
        <v>433</v>
      </c>
      <c r="G600" t="s">
        <v>10</v>
      </c>
      <c r="H600" t="s">
        <v>216</v>
      </c>
      <c r="I600" s="5">
        <v>4464870</v>
      </c>
      <c r="J600">
        <f>IFERROR(VLOOKUP(G600,'LEAID Match'!$A$2:$B$183,2,FALSE),"")</f>
        <v>1600300</v>
      </c>
      <c r="K600">
        <f t="shared" si="9"/>
        <v>9</v>
      </c>
    </row>
    <row r="601" spans="1:11" x14ac:dyDescent="0.2">
      <c r="A601">
        <v>1600330</v>
      </c>
      <c r="B601">
        <v>2015</v>
      </c>
      <c r="C601">
        <v>16</v>
      </c>
      <c r="D601" t="s">
        <v>428</v>
      </c>
      <c r="E601" t="s">
        <v>429</v>
      </c>
      <c r="F601" t="s">
        <v>433</v>
      </c>
      <c r="G601" t="s">
        <v>11</v>
      </c>
      <c r="H601" t="s">
        <v>11</v>
      </c>
      <c r="I601" s="5">
        <v>99248</v>
      </c>
      <c r="J601">
        <f>IFERROR(VLOOKUP(G601,'LEAID Match'!$A$2:$B$183,2,FALSE),"")</f>
        <v>1600330</v>
      </c>
      <c r="K601">
        <f t="shared" si="9"/>
        <v>9</v>
      </c>
    </row>
    <row r="602" spans="1:11" x14ac:dyDescent="0.2">
      <c r="A602">
        <v>1600330</v>
      </c>
      <c r="B602">
        <v>2016</v>
      </c>
      <c r="C602">
        <v>16</v>
      </c>
      <c r="D602" t="s">
        <v>428</v>
      </c>
      <c r="E602" t="s">
        <v>429</v>
      </c>
      <c r="F602" t="s">
        <v>433</v>
      </c>
      <c r="G602" t="s">
        <v>11</v>
      </c>
      <c r="H602" t="s">
        <v>11</v>
      </c>
      <c r="I602" s="5">
        <v>101881</v>
      </c>
      <c r="J602">
        <f>IFERROR(VLOOKUP(G602,'LEAID Match'!$A$2:$B$183,2,FALSE),"")</f>
        <v>1600330</v>
      </c>
      <c r="K602">
        <f t="shared" si="9"/>
        <v>9</v>
      </c>
    </row>
    <row r="603" spans="1:11" x14ac:dyDescent="0.2">
      <c r="A603">
        <v>1600330</v>
      </c>
      <c r="B603">
        <v>2017</v>
      </c>
      <c r="C603">
        <v>16</v>
      </c>
      <c r="D603" t="s">
        <v>428</v>
      </c>
      <c r="E603" t="s">
        <v>429</v>
      </c>
      <c r="F603" t="s">
        <v>433</v>
      </c>
      <c r="G603" t="s">
        <v>11</v>
      </c>
      <c r="H603" t="s">
        <v>11</v>
      </c>
      <c r="I603" s="5">
        <v>103921</v>
      </c>
      <c r="J603">
        <f>IFERROR(VLOOKUP(G603,'LEAID Match'!$A$2:$B$183,2,FALSE),"")</f>
        <v>1600330</v>
      </c>
      <c r="K603">
        <f t="shared" si="9"/>
        <v>9</v>
      </c>
    </row>
    <row r="604" spans="1:11" x14ac:dyDescent="0.2">
      <c r="A604">
        <v>1600330</v>
      </c>
      <c r="B604">
        <v>2018</v>
      </c>
      <c r="C604">
        <v>16</v>
      </c>
      <c r="D604" t="s">
        <v>428</v>
      </c>
      <c r="E604" t="s">
        <v>429</v>
      </c>
      <c r="F604" t="s">
        <v>433</v>
      </c>
      <c r="G604" t="s">
        <v>11</v>
      </c>
      <c r="H604" t="s">
        <v>11</v>
      </c>
      <c r="I604" s="5">
        <v>112732</v>
      </c>
      <c r="J604">
        <f>IFERROR(VLOOKUP(G604,'LEAID Match'!$A$2:$B$183,2,FALSE),"")</f>
        <v>1600330</v>
      </c>
      <c r="K604">
        <f t="shared" si="9"/>
        <v>9</v>
      </c>
    </row>
    <row r="605" spans="1:11" x14ac:dyDescent="0.2">
      <c r="A605">
        <v>1600330</v>
      </c>
      <c r="B605">
        <v>2019</v>
      </c>
      <c r="C605">
        <v>16</v>
      </c>
      <c r="D605" t="s">
        <v>428</v>
      </c>
      <c r="E605" t="s">
        <v>429</v>
      </c>
      <c r="F605" t="s">
        <v>433</v>
      </c>
      <c r="G605" t="s">
        <v>11</v>
      </c>
      <c r="H605" t="s">
        <v>217</v>
      </c>
      <c r="I605" s="5">
        <v>117072</v>
      </c>
      <c r="J605">
        <f>IFERROR(VLOOKUP(G605,'LEAID Match'!$A$2:$B$183,2,FALSE),"")</f>
        <v>1600330</v>
      </c>
      <c r="K605">
        <f t="shared" si="9"/>
        <v>9</v>
      </c>
    </row>
    <row r="606" spans="1:11" x14ac:dyDescent="0.2">
      <c r="A606">
        <v>1600330</v>
      </c>
      <c r="B606">
        <v>2020</v>
      </c>
      <c r="C606">
        <v>16</v>
      </c>
      <c r="D606" t="s">
        <v>428</v>
      </c>
      <c r="E606" t="s">
        <v>429</v>
      </c>
      <c r="F606" t="s">
        <v>433</v>
      </c>
      <c r="G606" t="s">
        <v>11</v>
      </c>
      <c r="H606" t="s">
        <v>217</v>
      </c>
      <c r="I606" s="5">
        <v>128159</v>
      </c>
      <c r="J606">
        <f>IFERROR(VLOOKUP(G606,'LEAID Match'!$A$2:$B$183,2,FALSE),"")</f>
        <v>1600330</v>
      </c>
      <c r="K606">
        <f t="shared" si="9"/>
        <v>9</v>
      </c>
    </row>
    <row r="607" spans="1:11" x14ac:dyDescent="0.2">
      <c r="A607">
        <v>1600330</v>
      </c>
      <c r="B607">
        <v>2021</v>
      </c>
      <c r="C607">
        <v>16</v>
      </c>
      <c r="D607" t="s">
        <v>428</v>
      </c>
      <c r="E607" t="s">
        <v>429</v>
      </c>
      <c r="F607" t="s">
        <v>433</v>
      </c>
      <c r="G607" t="s">
        <v>11</v>
      </c>
      <c r="H607" t="s">
        <v>11</v>
      </c>
      <c r="I607" s="5">
        <v>139617</v>
      </c>
      <c r="J607">
        <f>IFERROR(VLOOKUP(G607,'LEAID Match'!$A$2:$B$183,2,FALSE),"")</f>
        <v>1600330</v>
      </c>
      <c r="K607">
        <f t="shared" si="9"/>
        <v>9</v>
      </c>
    </row>
    <row r="608" spans="1:11" x14ac:dyDescent="0.2">
      <c r="A608">
        <v>1600330</v>
      </c>
      <c r="B608">
        <v>2022</v>
      </c>
      <c r="C608">
        <v>16</v>
      </c>
      <c r="D608" t="s">
        <v>428</v>
      </c>
      <c r="E608" t="s">
        <v>429</v>
      </c>
      <c r="F608" t="s">
        <v>433</v>
      </c>
      <c r="G608" t="s">
        <v>11</v>
      </c>
      <c r="H608" t="s">
        <v>217</v>
      </c>
      <c r="I608" s="5">
        <v>143931</v>
      </c>
      <c r="J608">
        <f>IFERROR(VLOOKUP(G608,'LEAID Match'!$A$2:$B$183,2,FALSE),"")</f>
        <v>1600330</v>
      </c>
      <c r="K608">
        <f t="shared" si="9"/>
        <v>9</v>
      </c>
    </row>
    <row r="609" spans="1:11" x14ac:dyDescent="0.2">
      <c r="A609">
        <v>1600330</v>
      </c>
      <c r="B609">
        <v>2023</v>
      </c>
      <c r="C609">
        <v>16</v>
      </c>
      <c r="D609" t="s">
        <v>428</v>
      </c>
      <c r="E609" t="s">
        <v>429</v>
      </c>
      <c r="F609" t="s">
        <v>433</v>
      </c>
      <c r="G609" t="s">
        <v>11</v>
      </c>
      <c r="H609" t="s">
        <v>217</v>
      </c>
      <c r="I609" s="5">
        <v>125959</v>
      </c>
      <c r="J609">
        <f>IFERROR(VLOOKUP(G609,'LEAID Match'!$A$2:$B$183,2,FALSE),"")</f>
        <v>1600330</v>
      </c>
      <c r="K609">
        <f t="shared" si="9"/>
        <v>9</v>
      </c>
    </row>
    <row r="610" spans="1:11" x14ac:dyDescent="0.2">
      <c r="A610">
        <v>1600360</v>
      </c>
      <c r="B610">
        <v>2015</v>
      </c>
      <c r="C610">
        <v>17</v>
      </c>
      <c r="D610" t="s">
        <v>428</v>
      </c>
      <c r="E610" t="s">
        <v>429</v>
      </c>
      <c r="F610" t="s">
        <v>433</v>
      </c>
      <c r="G610" t="s">
        <v>12</v>
      </c>
      <c r="H610" t="s">
        <v>12</v>
      </c>
      <c r="I610" s="5">
        <v>15048767</v>
      </c>
      <c r="J610">
        <f>IFERROR(VLOOKUP(G610,'LEAID Match'!$A$2:$B$183,2,FALSE),"")</f>
        <v>1600360</v>
      </c>
      <c r="K610">
        <f t="shared" si="9"/>
        <v>9</v>
      </c>
    </row>
    <row r="611" spans="1:11" x14ac:dyDescent="0.2">
      <c r="A611">
        <v>1600360</v>
      </c>
      <c r="B611">
        <v>2016</v>
      </c>
      <c r="C611">
        <v>17</v>
      </c>
      <c r="D611" t="s">
        <v>428</v>
      </c>
      <c r="E611" t="s">
        <v>429</v>
      </c>
      <c r="F611" t="s">
        <v>433</v>
      </c>
      <c r="G611" t="s">
        <v>12</v>
      </c>
      <c r="H611" t="s">
        <v>177</v>
      </c>
      <c r="I611" s="5">
        <v>15305313</v>
      </c>
      <c r="J611">
        <f>IFERROR(VLOOKUP(G611,'LEAID Match'!$A$2:$B$183,2,FALSE),"")</f>
        <v>1600360</v>
      </c>
      <c r="K611">
        <f t="shared" si="9"/>
        <v>9</v>
      </c>
    </row>
    <row r="612" spans="1:11" x14ac:dyDescent="0.2">
      <c r="A612">
        <v>1600360</v>
      </c>
      <c r="B612">
        <v>2017</v>
      </c>
      <c r="C612">
        <v>17</v>
      </c>
      <c r="D612" t="s">
        <v>428</v>
      </c>
      <c r="E612" t="s">
        <v>429</v>
      </c>
      <c r="F612" t="s">
        <v>433</v>
      </c>
      <c r="G612" t="s">
        <v>12</v>
      </c>
      <c r="H612" t="s">
        <v>177</v>
      </c>
      <c r="I612" s="5">
        <v>16125488</v>
      </c>
      <c r="J612">
        <f>IFERROR(VLOOKUP(G612,'LEAID Match'!$A$2:$B$183,2,FALSE),"")</f>
        <v>1600360</v>
      </c>
      <c r="K612">
        <f t="shared" si="9"/>
        <v>9</v>
      </c>
    </row>
    <row r="613" spans="1:11" x14ac:dyDescent="0.2">
      <c r="A613">
        <v>1600360</v>
      </c>
      <c r="B613">
        <v>2018</v>
      </c>
      <c r="C613">
        <v>17</v>
      </c>
      <c r="D613" t="s">
        <v>428</v>
      </c>
      <c r="E613" t="s">
        <v>429</v>
      </c>
      <c r="F613" t="s">
        <v>433</v>
      </c>
      <c r="G613" t="s">
        <v>12</v>
      </c>
      <c r="H613" t="s">
        <v>192</v>
      </c>
      <c r="I613" s="5">
        <v>16815983</v>
      </c>
      <c r="J613">
        <f>IFERROR(VLOOKUP(G613,'LEAID Match'!$A$2:$B$183,2,FALSE),"")</f>
        <v>1600360</v>
      </c>
      <c r="K613">
        <f t="shared" si="9"/>
        <v>9</v>
      </c>
    </row>
    <row r="614" spans="1:11" x14ac:dyDescent="0.2">
      <c r="A614">
        <v>1600360</v>
      </c>
      <c r="B614">
        <v>2019</v>
      </c>
      <c r="C614">
        <v>17</v>
      </c>
      <c r="D614" t="s">
        <v>428</v>
      </c>
      <c r="E614" t="s">
        <v>429</v>
      </c>
      <c r="F614" t="s">
        <v>433</v>
      </c>
      <c r="G614" t="s">
        <v>12</v>
      </c>
      <c r="H614" t="s">
        <v>218</v>
      </c>
      <c r="I614" s="5">
        <v>17429826</v>
      </c>
      <c r="J614">
        <f>IFERROR(VLOOKUP(G614,'LEAID Match'!$A$2:$B$183,2,FALSE),"")</f>
        <v>1600360</v>
      </c>
      <c r="K614">
        <f t="shared" si="9"/>
        <v>9</v>
      </c>
    </row>
    <row r="615" spans="1:11" x14ac:dyDescent="0.2">
      <c r="A615">
        <v>1600360</v>
      </c>
      <c r="B615">
        <v>2020</v>
      </c>
      <c r="C615">
        <v>17</v>
      </c>
      <c r="D615" t="s">
        <v>428</v>
      </c>
      <c r="E615" t="s">
        <v>429</v>
      </c>
      <c r="F615" t="s">
        <v>433</v>
      </c>
      <c r="G615" t="s">
        <v>12</v>
      </c>
      <c r="H615" t="s">
        <v>177</v>
      </c>
      <c r="I615" s="5">
        <v>19163046</v>
      </c>
      <c r="J615">
        <f>IFERROR(VLOOKUP(G615,'LEAID Match'!$A$2:$B$183,2,FALSE),"")</f>
        <v>1600360</v>
      </c>
      <c r="K615">
        <f t="shared" si="9"/>
        <v>9</v>
      </c>
    </row>
    <row r="616" spans="1:11" x14ac:dyDescent="0.2">
      <c r="A616">
        <v>1600360</v>
      </c>
      <c r="B616">
        <v>2021</v>
      </c>
      <c r="C616">
        <v>17</v>
      </c>
      <c r="D616" t="s">
        <v>428</v>
      </c>
      <c r="E616" t="s">
        <v>429</v>
      </c>
      <c r="F616" t="s">
        <v>433</v>
      </c>
      <c r="G616" t="s">
        <v>12</v>
      </c>
      <c r="H616" t="s">
        <v>192</v>
      </c>
      <c r="I616" s="5">
        <v>19653453</v>
      </c>
      <c r="J616">
        <f>IFERROR(VLOOKUP(G616,'LEAID Match'!$A$2:$B$183,2,FALSE),"")</f>
        <v>1600360</v>
      </c>
      <c r="K616">
        <f t="shared" si="9"/>
        <v>9</v>
      </c>
    </row>
    <row r="617" spans="1:11" x14ac:dyDescent="0.2">
      <c r="A617">
        <v>1600360</v>
      </c>
      <c r="B617">
        <v>2022</v>
      </c>
      <c r="C617">
        <v>17</v>
      </c>
      <c r="D617" t="s">
        <v>428</v>
      </c>
      <c r="E617" t="s">
        <v>429</v>
      </c>
      <c r="F617" t="s">
        <v>433</v>
      </c>
      <c r="G617" t="s">
        <v>12</v>
      </c>
      <c r="H617" t="s">
        <v>177</v>
      </c>
      <c r="I617" s="5">
        <v>20871431</v>
      </c>
      <c r="J617">
        <f>IFERROR(VLOOKUP(G617,'LEAID Match'!$A$2:$B$183,2,FALSE),"")</f>
        <v>1600360</v>
      </c>
      <c r="K617">
        <f t="shared" si="9"/>
        <v>9</v>
      </c>
    </row>
    <row r="618" spans="1:11" x14ac:dyDescent="0.2">
      <c r="A618">
        <v>1600360</v>
      </c>
      <c r="B618">
        <v>2023</v>
      </c>
      <c r="C618">
        <v>17</v>
      </c>
      <c r="D618" t="s">
        <v>428</v>
      </c>
      <c r="E618" t="s">
        <v>429</v>
      </c>
      <c r="F618" t="s">
        <v>433</v>
      </c>
      <c r="G618" t="s">
        <v>12</v>
      </c>
      <c r="H618" t="s">
        <v>177</v>
      </c>
      <c r="I618" s="5">
        <v>21660240</v>
      </c>
      <c r="J618">
        <f>IFERROR(VLOOKUP(G618,'LEAID Match'!$A$2:$B$183,2,FALSE),"")</f>
        <v>1600360</v>
      </c>
      <c r="K618">
        <f t="shared" si="9"/>
        <v>9</v>
      </c>
    </row>
    <row r="619" spans="1:11" x14ac:dyDescent="0.2">
      <c r="A619">
        <v>1600420</v>
      </c>
      <c r="B619">
        <v>2015</v>
      </c>
      <c r="C619">
        <v>19</v>
      </c>
      <c r="D619" t="s">
        <v>428</v>
      </c>
      <c r="E619" t="s">
        <v>429</v>
      </c>
      <c r="F619" t="s">
        <v>433</v>
      </c>
      <c r="G619" t="s">
        <v>14</v>
      </c>
      <c r="H619" t="s">
        <v>14</v>
      </c>
      <c r="I619" s="5">
        <v>658147</v>
      </c>
      <c r="J619">
        <f>IFERROR(VLOOKUP(G619,'LEAID Match'!$A$2:$B$183,2,FALSE),"")</f>
        <v>1600420</v>
      </c>
      <c r="K619">
        <f t="shared" si="9"/>
        <v>9</v>
      </c>
    </row>
    <row r="620" spans="1:11" x14ac:dyDescent="0.2">
      <c r="A620">
        <v>1600420</v>
      </c>
      <c r="B620">
        <v>2016</v>
      </c>
      <c r="C620">
        <v>19</v>
      </c>
      <c r="D620" t="s">
        <v>428</v>
      </c>
      <c r="E620" t="s">
        <v>429</v>
      </c>
      <c r="F620" t="s">
        <v>433</v>
      </c>
      <c r="G620" t="s">
        <v>14</v>
      </c>
      <c r="H620" t="s">
        <v>14</v>
      </c>
      <c r="I620" s="5">
        <v>686204</v>
      </c>
      <c r="J620">
        <f>IFERROR(VLOOKUP(G620,'LEAID Match'!$A$2:$B$183,2,FALSE),"")</f>
        <v>1600420</v>
      </c>
      <c r="K620">
        <f t="shared" si="9"/>
        <v>9</v>
      </c>
    </row>
    <row r="621" spans="1:11" x14ac:dyDescent="0.2">
      <c r="A621">
        <v>1600420</v>
      </c>
      <c r="B621">
        <v>2017</v>
      </c>
      <c r="C621">
        <v>19</v>
      </c>
      <c r="D621" t="s">
        <v>428</v>
      </c>
      <c r="E621" t="s">
        <v>429</v>
      </c>
      <c r="F621" t="s">
        <v>433</v>
      </c>
      <c r="G621" t="s">
        <v>14</v>
      </c>
      <c r="H621" t="s">
        <v>14</v>
      </c>
      <c r="I621" s="5">
        <v>720754</v>
      </c>
      <c r="J621">
        <f>IFERROR(VLOOKUP(G621,'LEAID Match'!$A$2:$B$183,2,FALSE),"")</f>
        <v>1600420</v>
      </c>
      <c r="K621">
        <f t="shared" si="9"/>
        <v>9</v>
      </c>
    </row>
    <row r="622" spans="1:11" x14ac:dyDescent="0.2">
      <c r="A622">
        <v>1600420</v>
      </c>
      <c r="B622">
        <v>2018</v>
      </c>
      <c r="C622">
        <v>19</v>
      </c>
      <c r="D622" t="s">
        <v>428</v>
      </c>
      <c r="E622" t="s">
        <v>429</v>
      </c>
      <c r="F622" t="s">
        <v>433</v>
      </c>
      <c r="G622" t="s">
        <v>14</v>
      </c>
      <c r="H622" t="s">
        <v>14</v>
      </c>
      <c r="I622" s="5">
        <v>758407</v>
      </c>
      <c r="J622">
        <f>IFERROR(VLOOKUP(G622,'LEAID Match'!$A$2:$B$183,2,FALSE),"")</f>
        <v>1600420</v>
      </c>
      <c r="K622">
        <f t="shared" si="9"/>
        <v>9</v>
      </c>
    </row>
    <row r="623" spans="1:11" x14ac:dyDescent="0.2">
      <c r="A623">
        <v>1600420</v>
      </c>
      <c r="B623">
        <v>2019</v>
      </c>
      <c r="C623">
        <v>19</v>
      </c>
      <c r="D623" t="s">
        <v>428</v>
      </c>
      <c r="E623" t="s">
        <v>429</v>
      </c>
      <c r="F623" t="s">
        <v>433</v>
      </c>
      <c r="G623" t="s">
        <v>14</v>
      </c>
      <c r="H623" t="s">
        <v>219</v>
      </c>
      <c r="I623" s="5">
        <v>790595</v>
      </c>
      <c r="J623">
        <f>IFERROR(VLOOKUP(G623,'LEAID Match'!$A$2:$B$183,2,FALSE),"")</f>
        <v>1600420</v>
      </c>
      <c r="K623">
        <f t="shared" si="9"/>
        <v>9</v>
      </c>
    </row>
    <row r="624" spans="1:11" x14ac:dyDescent="0.2">
      <c r="A624">
        <v>1600420</v>
      </c>
      <c r="B624">
        <v>2020</v>
      </c>
      <c r="C624">
        <v>19</v>
      </c>
      <c r="D624" t="s">
        <v>428</v>
      </c>
      <c r="E624" t="s">
        <v>429</v>
      </c>
      <c r="F624" t="s">
        <v>433</v>
      </c>
      <c r="G624" t="s">
        <v>14</v>
      </c>
      <c r="H624" t="s">
        <v>328</v>
      </c>
      <c r="I624" s="5">
        <v>863364</v>
      </c>
      <c r="J624">
        <f>IFERROR(VLOOKUP(G624,'LEAID Match'!$A$2:$B$183,2,FALSE),"")</f>
        <v>1600420</v>
      </c>
      <c r="K624">
        <f t="shared" si="9"/>
        <v>9</v>
      </c>
    </row>
    <row r="625" spans="1:11" x14ac:dyDescent="0.2">
      <c r="A625">
        <v>1600420</v>
      </c>
      <c r="B625">
        <v>2021</v>
      </c>
      <c r="C625">
        <v>19</v>
      </c>
      <c r="D625" t="s">
        <v>428</v>
      </c>
      <c r="E625" t="s">
        <v>429</v>
      </c>
      <c r="F625" t="s">
        <v>433</v>
      </c>
      <c r="G625" t="s">
        <v>14</v>
      </c>
      <c r="H625" t="s">
        <v>219</v>
      </c>
      <c r="I625" s="5">
        <v>875676</v>
      </c>
      <c r="J625">
        <f>IFERROR(VLOOKUP(G625,'LEAID Match'!$A$2:$B$183,2,FALSE),"")</f>
        <v>1600420</v>
      </c>
      <c r="K625">
        <f t="shared" si="9"/>
        <v>9</v>
      </c>
    </row>
    <row r="626" spans="1:11" x14ac:dyDescent="0.2">
      <c r="A626">
        <v>1600420</v>
      </c>
      <c r="B626">
        <v>2022</v>
      </c>
      <c r="C626">
        <v>19</v>
      </c>
      <c r="D626" t="s">
        <v>428</v>
      </c>
      <c r="E626" t="s">
        <v>429</v>
      </c>
      <c r="F626" t="s">
        <v>433</v>
      </c>
      <c r="G626" t="s">
        <v>14</v>
      </c>
      <c r="H626" t="s">
        <v>219</v>
      </c>
      <c r="I626" s="5">
        <v>938020</v>
      </c>
      <c r="J626">
        <f>IFERROR(VLOOKUP(G626,'LEAID Match'!$A$2:$B$183,2,FALSE),"")</f>
        <v>1600420</v>
      </c>
      <c r="K626">
        <f t="shared" si="9"/>
        <v>9</v>
      </c>
    </row>
    <row r="627" spans="1:11" x14ac:dyDescent="0.2">
      <c r="A627">
        <v>1600420</v>
      </c>
      <c r="B627">
        <v>2023</v>
      </c>
      <c r="C627">
        <v>19</v>
      </c>
      <c r="D627" t="s">
        <v>428</v>
      </c>
      <c r="E627" t="s">
        <v>429</v>
      </c>
      <c r="F627" t="s">
        <v>433</v>
      </c>
      <c r="G627" t="s">
        <v>14</v>
      </c>
      <c r="H627" t="s">
        <v>219</v>
      </c>
      <c r="I627" s="5">
        <v>980604</v>
      </c>
      <c r="J627">
        <f>IFERROR(VLOOKUP(G627,'LEAID Match'!$A$2:$B$183,2,FALSE),"")</f>
        <v>1600420</v>
      </c>
      <c r="K627">
        <f t="shared" si="9"/>
        <v>9</v>
      </c>
    </row>
    <row r="628" spans="1:11" x14ac:dyDescent="0.2">
      <c r="A628">
        <v>1600450</v>
      </c>
      <c r="B628">
        <v>2015</v>
      </c>
      <c r="C628">
        <v>20</v>
      </c>
      <c r="D628" t="s">
        <v>428</v>
      </c>
      <c r="E628" t="s">
        <v>429</v>
      </c>
      <c r="F628" t="s">
        <v>433</v>
      </c>
      <c r="G628" t="s">
        <v>16</v>
      </c>
      <c r="H628" t="s">
        <v>16</v>
      </c>
      <c r="I628" s="5">
        <v>165221</v>
      </c>
      <c r="J628">
        <f>IFERROR(VLOOKUP(G628,'LEAID Match'!$A$2:$B$183,2,FALSE),"")</f>
        <v>1600450</v>
      </c>
      <c r="K628">
        <f t="shared" si="9"/>
        <v>9</v>
      </c>
    </row>
    <row r="629" spans="1:11" x14ac:dyDescent="0.2">
      <c r="A629">
        <v>1600450</v>
      </c>
      <c r="B629">
        <v>2016</v>
      </c>
      <c r="C629">
        <v>20</v>
      </c>
      <c r="D629" t="s">
        <v>428</v>
      </c>
      <c r="E629" t="s">
        <v>429</v>
      </c>
      <c r="F629" t="s">
        <v>433</v>
      </c>
      <c r="G629" t="s">
        <v>16</v>
      </c>
      <c r="H629" t="s">
        <v>16</v>
      </c>
      <c r="I629" s="5">
        <v>167298</v>
      </c>
      <c r="J629">
        <f>IFERROR(VLOOKUP(G629,'LEAID Match'!$A$2:$B$183,2,FALSE),"")</f>
        <v>1600450</v>
      </c>
      <c r="K629">
        <f t="shared" si="9"/>
        <v>9</v>
      </c>
    </row>
    <row r="630" spans="1:11" x14ac:dyDescent="0.2">
      <c r="A630">
        <v>1600450</v>
      </c>
      <c r="B630">
        <v>2017</v>
      </c>
      <c r="C630">
        <v>20</v>
      </c>
      <c r="D630" t="s">
        <v>428</v>
      </c>
      <c r="E630" t="s">
        <v>429</v>
      </c>
      <c r="F630" t="s">
        <v>433</v>
      </c>
      <c r="G630" t="s">
        <v>16</v>
      </c>
      <c r="H630" t="s">
        <v>16</v>
      </c>
      <c r="I630" s="5">
        <v>181703</v>
      </c>
      <c r="J630">
        <f>IFERROR(VLOOKUP(G630,'LEAID Match'!$A$2:$B$183,2,FALSE),"")</f>
        <v>1600450</v>
      </c>
      <c r="K630">
        <f t="shared" si="9"/>
        <v>9</v>
      </c>
    </row>
    <row r="631" spans="1:11" x14ac:dyDescent="0.2">
      <c r="A631">
        <v>1600450</v>
      </c>
      <c r="B631">
        <v>2018</v>
      </c>
      <c r="C631">
        <v>20</v>
      </c>
      <c r="D631" t="s">
        <v>428</v>
      </c>
      <c r="E631" t="s">
        <v>429</v>
      </c>
      <c r="F631" t="s">
        <v>433</v>
      </c>
      <c r="G631" t="s">
        <v>16</v>
      </c>
      <c r="H631" t="s">
        <v>16</v>
      </c>
      <c r="I631" s="5">
        <v>189899</v>
      </c>
      <c r="J631">
        <f>IFERROR(VLOOKUP(G631,'LEAID Match'!$A$2:$B$183,2,FALSE),"")</f>
        <v>1600450</v>
      </c>
      <c r="K631">
        <f t="shared" si="9"/>
        <v>9</v>
      </c>
    </row>
    <row r="632" spans="1:11" x14ac:dyDescent="0.2">
      <c r="A632">
        <v>1600450</v>
      </c>
      <c r="B632">
        <v>2019</v>
      </c>
      <c r="C632">
        <v>20</v>
      </c>
      <c r="D632" t="s">
        <v>428</v>
      </c>
      <c r="E632" t="s">
        <v>429</v>
      </c>
      <c r="F632" t="s">
        <v>433</v>
      </c>
      <c r="G632" t="s">
        <v>16</v>
      </c>
      <c r="H632" t="s">
        <v>220</v>
      </c>
      <c r="I632" s="5">
        <v>204925</v>
      </c>
      <c r="J632">
        <f>IFERROR(VLOOKUP(G632,'LEAID Match'!$A$2:$B$183,2,FALSE),"")</f>
        <v>1600450</v>
      </c>
      <c r="K632">
        <f t="shared" si="9"/>
        <v>9</v>
      </c>
    </row>
    <row r="633" spans="1:11" x14ac:dyDescent="0.2">
      <c r="A633">
        <v>1600450</v>
      </c>
      <c r="B633">
        <v>2020</v>
      </c>
      <c r="C633">
        <v>20</v>
      </c>
      <c r="D633" t="s">
        <v>428</v>
      </c>
      <c r="E633" t="s">
        <v>429</v>
      </c>
      <c r="F633" t="s">
        <v>433</v>
      </c>
      <c r="G633" t="s">
        <v>16</v>
      </c>
      <c r="H633" t="s">
        <v>329</v>
      </c>
      <c r="I633" s="5">
        <v>226908</v>
      </c>
      <c r="J633">
        <f>IFERROR(VLOOKUP(G633,'LEAID Match'!$A$2:$B$183,2,FALSE),"")</f>
        <v>1600450</v>
      </c>
      <c r="K633">
        <f t="shared" si="9"/>
        <v>9</v>
      </c>
    </row>
    <row r="634" spans="1:11" x14ac:dyDescent="0.2">
      <c r="A634">
        <v>1600450</v>
      </c>
      <c r="B634">
        <v>2021</v>
      </c>
      <c r="C634">
        <v>20</v>
      </c>
      <c r="D634" t="s">
        <v>428</v>
      </c>
      <c r="E634" t="s">
        <v>429</v>
      </c>
      <c r="F634" t="s">
        <v>433</v>
      </c>
      <c r="G634" t="s">
        <v>16</v>
      </c>
      <c r="H634" t="s">
        <v>220</v>
      </c>
      <c r="I634" s="5">
        <v>243205</v>
      </c>
      <c r="J634">
        <f>IFERROR(VLOOKUP(G634,'LEAID Match'!$A$2:$B$183,2,FALSE),"")</f>
        <v>1600450</v>
      </c>
      <c r="K634">
        <f t="shared" si="9"/>
        <v>9</v>
      </c>
    </row>
    <row r="635" spans="1:11" x14ac:dyDescent="0.2">
      <c r="A635">
        <v>1600450</v>
      </c>
      <c r="B635">
        <v>2022</v>
      </c>
      <c r="C635">
        <v>20</v>
      </c>
      <c r="D635" t="s">
        <v>428</v>
      </c>
      <c r="E635" t="s">
        <v>429</v>
      </c>
      <c r="F635" t="s">
        <v>433</v>
      </c>
      <c r="G635" t="s">
        <v>16</v>
      </c>
      <c r="H635" t="s">
        <v>220</v>
      </c>
      <c r="I635" s="5">
        <v>268899</v>
      </c>
      <c r="J635">
        <f>IFERROR(VLOOKUP(G635,'LEAID Match'!$A$2:$B$183,2,FALSE),"")</f>
        <v>1600450</v>
      </c>
      <c r="K635">
        <f t="shared" si="9"/>
        <v>9</v>
      </c>
    </row>
    <row r="636" spans="1:11" x14ac:dyDescent="0.2">
      <c r="A636">
        <v>1600450</v>
      </c>
      <c r="B636">
        <v>2023</v>
      </c>
      <c r="C636">
        <v>20</v>
      </c>
      <c r="D636" t="s">
        <v>428</v>
      </c>
      <c r="E636" t="s">
        <v>429</v>
      </c>
      <c r="F636" t="s">
        <v>433</v>
      </c>
      <c r="G636" t="s">
        <v>16</v>
      </c>
      <c r="H636" t="s">
        <v>220</v>
      </c>
      <c r="I636" s="5">
        <v>262558</v>
      </c>
      <c r="J636">
        <f>IFERROR(VLOOKUP(G636,'LEAID Match'!$A$2:$B$183,2,FALSE),"")</f>
        <v>1600450</v>
      </c>
      <c r="K636">
        <f t="shared" si="9"/>
        <v>9</v>
      </c>
    </row>
    <row r="637" spans="1:11" x14ac:dyDescent="0.2">
      <c r="A637">
        <v>1600480</v>
      </c>
      <c r="B637">
        <v>2015</v>
      </c>
      <c r="C637">
        <v>21</v>
      </c>
      <c r="D637" t="s">
        <v>428</v>
      </c>
      <c r="E637" t="s">
        <v>429</v>
      </c>
      <c r="F637" t="s">
        <v>433</v>
      </c>
      <c r="G637" t="s">
        <v>17</v>
      </c>
      <c r="H637" t="s">
        <v>17</v>
      </c>
      <c r="I637" s="5">
        <v>493967</v>
      </c>
      <c r="J637">
        <f>IFERROR(VLOOKUP(G637,'LEAID Match'!$A$2:$B$183,2,FALSE),"")</f>
        <v>1600480</v>
      </c>
      <c r="K637">
        <f t="shared" si="9"/>
        <v>9</v>
      </c>
    </row>
    <row r="638" spans="1:11" x14ac:dyDescent="0.2">
      <c r="A638">
        <v>1600480</v>
      </c>
      <c r="B638">
        <v>2016</v>
      </c>
      <c r="C638">
        <v>21</v>
      </c>
      <c r="D638" t="s">
        <v>428</v>
      </c>
      <c r="E638" t="s">
        <v>429</v>
      </c>
      <c r="F638" t="s">
        <v>433</v>
      </c>
      <c r="G638" t="s">
        <v>17</v>
      </c>
      <c r="H638" t="s">
        <v>17</v>
      </c>
      <c r="I638" s="5">
        <v>512858</v>
      </c>
      <c r="J638">
        <f>IFERROR(VLOOKUP(G638,'LEAID Match'!$A$2:$B$183,2,FALSE),"")</f>
        <v>1600480</v>
      </c>
      <c r="K638">
        <f t="shared" si="9"/>
        <v>9</v>
      </c>
    </row>
    <row r="639" spans="1:11" x14ac:dyDescent="0.2">
      <c r="A639">
        <v>1600480</v>
      </c>
      <c r="B639">
        <v>2017</v>
      </c>
      <c r="C639">
        <v>21</v>
      </c>
      <c r="D639" t="s">
        <v>428</v>
      </c>
      <c r="E639" t="s">
        <v>429</v>
      </c>
      <c r="F639" t="s">
        <v>433</v>
      </c>
      <c r="G639" t="s">
        <v>17</v>
      </c>
      <c r="H639" t="s">
        <v>17</v>
      </c>
      <c r="I639" s="5">
        <v>531649</v>
      </c>
      <c r="J639">
        <f>IFERROR(VLOOKUP(G639,'LEAID Match'!$A$2:$B$183,2,FALSE),"")</f>
        <v>1600480</v>
      </c>
      <c r="K639">
        <f t="shared" si="9"/>
        <v>9</v>
      </c>
    </row>
    <row r="640" spans="1:11" x14ac:dyDescent="0.2">
      <c r="A640">
        <v>1600480</v>
      </c>
      <c r="B640">
        <v>2018</v>
      </c>
      <c r="C640">
        <v>21</v>
      </c>
      <c r="D640" t="s">
        <v>428</v>
      </c>
      <c r="E640" t="s">
        <v>429</v>
      </c>
      <c r="F640" t="s">
        <v>433</v>
      </c>
      <c r="G640" t="s">
        <v>17</v>
      </c>
      <c r="H640" t="s">
        <v>17</v>
      </c>
      <c r="I640" s="5">
        <v>557621</v>
      </c>
      <c r="J640">
        <f>IFERROR(VLOOKUP(G640,'LEAID Match'!$A$2:$B$183,2,FALSE),"")</f>
        <v>1600480</v>
      </c>
      <c r="K640">
        <f t="shared" si="9"/>
        <v>9</v>
      </c>
    </row>
    <row r="641" spans="1:11" x14ac:dyDescent="0.2">
      <c r="A641">
        <v>1600480</v>
      </c>
      <c r="B641">
        <v>2019</v>
      </c>
      <c r="C641">
        <v>21</v>
      </c>
      <c r="D641" t="s">
        <v>428</v>
      </c>
      <c r="E641" t="s">
        <v>429</v>
      </c>
      <c r="F641" t="s">
        <v>433</v>
      </c>
      <c r="G641" t="s">
        <v>17</v>
      </c>
      <c r="H641" t="s">
        <v>17</v>
      </c>
      <c r="I641" s="5">
        <v>602464</v>
      </c>
      <c r="J641">
        <f>IFERROR(VLOOKUP(G641,'LEAID Match'!$A$2:$B$183,2,FALSE),"")</f>
        <v>1600480</v>
      </c>
      <c r="K641">
        <f t="shared" si="9"/>
        <v>9</v>
      </c>
    </row>
    <row r="642" spans="1:11" x14ac:dyDescent="0.2">
      <c r="A642">
        <v>1600480</v>
      </c>
      <c r="B642">
        <v>2020</v>
      </c>
      <c r="C642">
        <v>21</v>
      </c>
      <c r="D642" t="s">
        <v>428</v>
      </c>
      <c r="E642" t="s">
        <v>429</v>
      </c>
      <c r="F642" t="s">
        <v>433</v>
      </c>
      <c r="G642" t="s">
        <v>17</v>
      </c>
      <c r="H642" t="s">
        <v>17</v>
      </c>
      <c r="I642" s="5">
        <v>651456</v>
      </c>
      <c r="J642">
        <f>IFERROR(VLOOKUP(G642,'LEAID Match'!$A$2:$B$183,2,FALSE),"")</f>
        <v>1600480</v>
      </c>
      <c r="K642">
        <f t="shared" si="9"/>
        <v>9</v>
      </c>
    </row>
    <row r="643" spans="1:11" x14ac:dyDescent="0.2">
      <c r="A643">
        <v>1600480</v>
      </c>
      <c r="B643">
        <v>2021</v>
      </c>
      <c r="C643">
        <v>21</v>
      </c>
      <c r="D643" t="s">
        <v>428</v>
      </c>
      <c r="E643" t="s">
        <v>429</v>
      </c>
      <c r="F643" t="s">
        <v>433</v>
      </c>
      <c r="G643" t="s">
        <v>17</v>
      </c>
      <c r="H643" t="s">
        <v>17</v>
      </c>
      <c r="I643" s="5">
        <v>706218</v>
      </c>
      <c r="J643">
        <f>IFERROR(VLOOKUP(G643,'LEAID Match'!$A$2:$B$183,2,FALSE),"")</f>
        <v>1600480</v>
      </c>
      <c r="K643">
        <f t="shared" ref="K643:K706" si="10">COUNTIF($A$2:$A$1651,A643)</f>
        <v>9</v>
      </c>
    </row>
    <row r="644" spans="1:11" x14ac:dyDescent="0.2">
      <c r="A644">
        <v>1600480</v>
      </c>
      <c r="B644">
        <v>2022</v>
      </c>
      <c r="C644">
        <v>21</v>
      </c>
      <c r="D644" t="s">
        <v>428</v>
      </c>
      <c r="E644" t="s">
        <v>429</v>
      </c>
      <c r="F644" t="s">
        <v>433</v>
      </c>
      <c r="G644" t="s">
        <v>17</v>
      </c>
      <c r="H644" t="s">
        <v>17</v>
      </c>
      <c r="I644" s="5">
        <v>704651</v>
      </c>
      <c r="J644">
        <f>IFERROR(VLOOKUP(G644,'LEAID Match'!$A$2:$B$183,2,FALSE),"")</f>
        <v>1600480</v>
      </c>
      <c r="K644">
        <f t="shared" si="10"/>
        <v>9</v>
      </c>
    </row>
    <row r="645" spans="1:11" x14ac:dyDescent="0.2">
      <c r="A645">
        <v>1600480</v>
      </c>
      <c r="B645">
        <v>2023</v>
      </c>
      <c r="C645">
        <v>21</v>
      </c>
      <c r="D645" t="s">
        <v>428</v>
      </c>
      <c r="E645" t="s">
        <v>429</v>
      </c>
      <c r="F645" t="s">
        <v>433</v>
      </c>
      <c r="G645" t="s">
        <v>17</v>
      </c>
      <c r="H645" t="s">
        <v>17</v>
      </c>
      <c r="I645" s="5">
        <v>772890</v>
      </c>
      <c r="J645">
        <f>IFERROR(VLOOKUP(G645,'LEAID Match'!$A$2:$B$183,2,FALSE),"")</f>
        <v>1600480</v>
      </c>
      <c r="K645">
        <f t="shared" si="10"/>
        <v>9</v>
      </c>
    </row>
    <row r="646" spans="1:11" x14ac:dyDescent="0.2">
      <c r="A646">
        <v>1600490</v>
      </c>
      <c r="B646">
        <v>2015</v>
      </c>
      <c r="C646">
        <v>22</v>
      </c>
      <c r="D646" t="s">
        <v>428</v>
      </c>
      <c r="E646" t="s">
        <v>429</v>
      </c>
      <c r="F646" t="s">
        <v>433</v>
      </c>
      <c r="G646" t="s">
        <v>18</v>
      </c>
      <c r="H646" t="s">
        <v>18</v>
      </c>
      <c r="I646" s="5">
        <v>193204</v>
      </c>
      <c r="J646">
        <f>IFERROR(VLOOKUP(G646,'LEAID Match'!$A$2:$B$183,2,FALSE),"")</f>
        <v>1600490</v>
      </c>
      <c r="K646">
        <f t="shared" si="10"/>
        <v>9</v>
      </c>
    </row>
    <row r="647" spans="1:11" x14ac:dyDescent="0.2">
      <c r="A647">
        <v>1600490</v>
      </c>
      <c r="B647">
        <v>2016</v>
      </c>
      <c r="C647">
        <v>22</v>
      </c>
      <c r="D647" t="s">
        <v>428</v>
      </c>
      <c r="E647" t="s">
        <v>429</v>
      </c>
      <c r="F647" t="s">
        <v>433</v>
      </c>
      <c r="G647" t="s">
        <v>18</v>
      </c>
      <c r="H647" t="s">
        <v>18</v>
      </c>
      <c r="I647" s="5">
        <v>201434</v>
      </c>
      <c r="J647">
        <f>IFERROR(VLOOKUP(G647,'LEAID Match'!$A$2:$B$183,2,FALSE),"")</f>
        <v>1600490</v>
      </c>
      <c r="K647">
        <f t="shared" si="10"/>
        <v>9</v>
      </c>
    </row>
    <row r="648" spans="1:11" x14ac:dyDescent="0.2">
      <c r="A648">
        <v>1600490</v>
      </c>
      <c r="B648">
        <v>2017</v>
      </c>
      <c r="C648">
        <v>22</v>
      </c>
      <c r="D648" t="s">
        <v>428</v>
      </c>
      <c r="E648" t="s">
        <v>429</v>
      </c>
      <c r="F648" t="s">
        <v>433</v>
      </c>
      <c r="G648" t="s">
        <v>18</v>
      </c>
      <c r="H648" t="s">
        <v>18</v>
      </c>
      <c r="I648" s="5">
        <v>214054</v>
      </c>
      <c r="J648">
        <f>IFERROR(VLOOKUP(G648,'LEAID Match'!$A$2:$B$183,2,FALSE),"")</f>
        <v>1600490</v>
      </c>
      <c r="K648">
        <f t="shared" si="10"/>
        <v>9</v>
      </c>
    </row>
    <row r="649" spans="1:11" x14ac:dyDescent="0.2">
      <c r="A649">
        <v>1600490</v>
      </c>
      <c r="B649">
        <v>2018</v>
      </c>
      <c r="C649">
        <v>22</v>
      </c>
      <c r="D649" t="s">
        <v>428</v>
      </c>
      <c r="E649" t="s">
        <v>429</v>
      </c>
      <c r="F649" t="s">
        <v>433</v>
      </c>
      <c r="G649" t="s">
        <v>18</v>
      </c>
      <c r="H649" t="s">
        <v>193</v>
      </c>
      <c r="I649" s="5">
        <v>228100</v>
      </c>
      <c r="J649">
        <f>IFERROR(VLOOKUP(G649,'LEAID Match'!$A$2:$B$183,2,FALSE),"")</f>
        <v>1600490</v>
      </c>
      <c r="K649">
        <f t="shared" si="10"/>
        <v>9</v>
      </c>
    </row>
    <row r="650" spans="1:11" x14ac:dyDescent="0.2">
      <c r="A650">
        <v>1600490</v>
      </c>
      <c r="B650">
        <v>2019</v>
      </c>
      <c r="C650">
        <v>22</v>
      </c>
      <c r="D650" t="s">
        <v>428</v>
      </c>
      <c r="E650" t="s">
        <v>429</v>
      </c>
      <c r="F650" t="s">
        <v>433</v>
      </c>
      <c r="G650" t="s">
        <v>18</v>
      </c>
      <c r="H650" t="s">
        <v>221</v>
      </c>
      <c r="I650" s="5">
        <v>250439</v>
      </c>
      <c r="J650">
        <f>IFERROR(VLOOKUP(G650,'LEAID Match'!$A$2:$B$183,2,FALSE),"")</f>
        <v>1600490</v>
      </c>
      <c r="K650">
        <f t="shared" si="10"/>
        <v>9</v>
      </c>
    </row>
    <row r="651" spans="1:11" x14ac:dyDescent="0.2">
      <c r="A651">
        <v>1600490</v>
      </c>
      <c r="B651">
        <v>2020</v>
      </c>
      <c r="C651">
        <v>22</v>
      </c>
      <c r="D651" t="s">
        <v>428</v>
      </c>
      <c r="E651" t="s">
        <v>429</v>
      </c>
      <c r="F651" t="s">
        <v>433</v>
      </c>
      <c r="G651" t="s">
        <v>18</v>
      </c>
      <c r="H651" t="s">
        <v>221</v>
      </c>
      <c r="I651" s="5">
        <v>274340</v>
      </c>
      <c r="J651">
        <f>IFERROR(VLOOKUP(G651,'LEAID Match'!$A$2:$B$183,2,FALSE),"")</f>
        <v>1600490</v>
      </c>
      <c r="K651">
        <f t="shared" si="10"/>
        <v>9</v>
      </c>
    </row>
    <row r="652" spans="1:11" x14ac:dyDescent="0.2">
      <c r="A652">
        <v>1600490</v>
      </c>
      <c r="B652">
        <v>2021</v>
      </c>
      <c r="C652">
        <v>22</v>
      </c>
      <c r="D652" t="s">
        <v>428</v>
      </c>
      <c r="E652" t="s">
        <v>429</v>
      </c>
      <c r="F652" t="s">
        <v>433</v>
      </c>
      <c r="G652" t="s">
        <v>18</v>
      </c>
      <c r="H652" t="s">
        <v>193</v>
      </c>
      <c r="I652" s="5">
        <v>269362</v>
      </c>
      <c r="J652">
        <f>IFERROR(VLOOKUP(G652,'LEAID Match'!$A$2:$B$183,2,FALSE),"")</f>
        <v>1600490</v>
      </c>
      <c r="K652">
        <f t="shared" si="10"/>
        <v>9</v>
      </c>
    </row>
    <row r="653" spans="1:11" x14ac:dyDescent="0.2">
      <c r="A653">
        <v>1600490</v>
      </c>
      <c r="B653">
        <v>2022</v>
      </c>
      <c r="C653">
        <v>22</v>
      </c>
      <c r="D653" t="s">
        <v>428</v>
      </c>
      <c r="E653" t="s">
        <v>429</v>
      </c>
      <c r="F653" t="s">
        <v>433</v>
      </c>
      <c r="G653" t="s">
        <v>18</v>
      </c>
      <c r="H653" t="s">
        <v>221</v>
      </c>
      <c r="I653" s="5">
        <v>282587</v>
      </c>
      <c r="J653">
        <f>IFERROR(VLOOKUP(G653,'LEAID Match'!$A$2:$B$183,2,FALSE),"")</f>
        <v>1600490</v>
      </c>
      <c r="K653">
        <f t="shared" si="10"/>
        <v>9</v>
      </c>
    </row>
    <row r="654" spans="1:11" x14ac:dyDescent="0.2">
      <c r="A654">
        <v>1600490</v>
      </c>
      <c r="B654">
        <v>2023</v>
      </c>
      <c r="C654">
        <v>22</v>
      </c>
      <c r="D654" t="s">
        <v>428</v>
      </c>
      <c r="E654" t="s">
        <v>429</v>
      </c>
      <c r="F654" t="s">
        <v>433</v>
      </c>
      <c r="G654" t="s">
        <v>18</v>
      </c>
      <c r="H654" t="s">
        <v>221</v>
      </c>
      <c r="I654" s="5">
        <v>285884</v>
      </c>
      <c r="J654">
        <f>IFERROR(VLOOKUP(G654,'LEAID Match'!$A$2:$B$183,2,FALSE),"")</f>
        <v>1600490</v>
      </c>
      <c r="K654">
        <f t="shared" si="10"/>
        <v>9</v>
      </c>
    </row>
    <row r="655" spans="1:11" x14ac:dyDescent="0.2">
      <c r="A655">
        <v>1600510</v>
      </c>
      <c r="B655">
        <v>2015</v>
      </c>
      <c r="C655">
        <v>23</v>
      </c>
      <c r="D655" t="s">
        <v>428</v>
      </c>
      <c r="E655" t="s">
        <v>429</v>
      </c>
      <c r="F655" t="s">
        <v>433</v>
      </c>
      <c r="G655" t="s">
        <v>19</v>
      </c>
      <c r="H655" t="s">
        <v>19</v>
      </c>
      <c r="I655" s="5">
        <v>2472674</v>
      </c>
      <c r="J655">
        <f>IFERROR(VLOOKUP(G655,'LEAID Match'!$A$2:$B$183,2,FALSE),"")</f>
        <v>1600510</v>
      </c>
      <c r="K655">
        <f t="shared" si="10"/>
        <v>9</v>
      </c>
    </row>
    <row r="656" spans="1:11" x14ac:dyDescent="0.2">
      <c r="A656">
        <v>1600510</v>
      </c>
      <c r="B656">
        <v>2016</v>
      </c>
      <c r="C656">
        <v>23</v>
      </c>
      <c r="D656" t="s">
        <v>428</v>
      </c>
      <c r="E656" t="s">
        <v>429</v>
      </c>
      <c r="F656" t="s">
        <v>433</v>
      </c>
      <c r="G656" t="s">
        <v>19</v>
      </c>
      <c r="H656" t="s">
        <v>19</v>
      </c>
      <c r="I656" s="5">
        <v>2539902</v>
      </c>
      <c r="J656">
        <f>IFERROR(VLOOKUP(G656,'LEAID Match'!$A$2:$B$183,2,FALSE),"")</f>
        <v>1600510</v>
      </c>
      <c r="K656">
        <f t="shared" si="10"/>
        <v>9</v>
      </c>
    </row>
    <row r="657" spans="1:11" x14ac:dyDescent="0.2">
      <c r="A657">
        <v>1600510</v>
      </c>
      <c r="B657">
        <v>2017</v>
      </c>
      <c r="C657">
        <v>23</v>
      </c>
      <c r="D657" t="s">
        <v>428</v>
      </c>
      <c r="E657" t="s">
        <v>429</v>
      </c>
      <c r="F657" t="s">
        <v>433</v>
      </c>
      <c r="G657" t="s">
        <v>19</v>
      </c>
      <c r="H657" t="s">
        <v>19</v>
      </c>
      <c r="I657" s="5">
        <v>2666570</v>
      </c>
      <c r="J657">
        <f>IFERROR(VLOOKUP(G657,'LEAID Match'!$A$2:$B$183,2,FALSE),"")</f>
        <v>1600510</v>
      </c>
      <c r="K657">
        <f t="shared" si="10"/>
        <v>9</v>
      </c>
    </row>
    <row r="658" spans="1:11" x14ac:dyDescent="0.2">
      <c r="A658">
        <v>1600510</v>
      </c>
      <c r="B658">
        <v>2018</v>
      </c>
      <c r="C658">
        <v>23</v>
      </c>
      <c r="D658" t="s">
        <v>428</v>
      </c>
      <c r="E658" t="s">
        <v>429</v>
      </c>
      <c r="F658" t="s">
        <v>433</v>
      </c>
      <c r="G658" t="s">
        <v>19</v>
      </c>
      <c r="H658" t="s">
        <v>19</v>
      </c>
      <c r="I658" s="5">
        <v>2820685</v>
      </c>
      <c r="J658">
        <f>IFERROR(VLOOKUP(G658,'LEAID Match'!$A$2:$B$183,2,FALSE),"")</f>
        <v>1600510</v>
      </c>
      <c r="K658">
        <f t="shared" si="10"/>
        <v>9</v>
      </c>
    </row>
    <row r="659" spans="1:11" x14ac:dyDescent="0.2">
      <c r="A659">
        <v>1600510</v>
      </c>
      <c r="B659">
        <v>2019</v>
      </c>
      <c r="C659">
        <v>23</v>
      </c>
      <c r="D659" t="s">
        <v>428</v>
      </c>
      <c r="E659" t="s">
        <v>429</v>
      </c>
      <c r="F659" t="s">
        <v>433</v>
      </c>
      <c r="G659" t="s">
        <v>19</v>
      </c>
      <c r="H659" t="s">
        <v>222</v>
      </c>
      <c r="I659" s="5">
        <v>2979912</v>
      </c>
      <c r="J659">
        <f>IFERROR(VLOOKUP(G659,'LEAID Match'!$A$2:$B$183,2,FALSE),"")</f>
        <v>1600510</v>
      </c>
      <c r="K659">
        <f t="shared" si="10"/>
        <v>9</v>
      </c>
    </row>
    <row r="660" spans="1:11" x14ac:dyDescent="0.2">
      <c r="A660">
        <v>1600510</v>
      </c>
      <c r="B660">
        <v>2020</v>
      </c>
      <c r="C660">
        <v>23</v>
      </c>
      <c r="D660" t="s">
        <v>428</v>
      </c>
      <c r="E660" t="s">
        <v>429</v>
      </c>
      <c r="F660" t="s">
        <v>433</v>
      </c>
      <c r="G660" t="s">
        <v>19</v>
      </c>
      <c r="H660" t="s">
        <v>222</v>
      </c>
      <c r="I660" s="5">
        <v>2963607</v>
      </c>
      <c r="J660">
        <f>IFERROR(VLOOKUP(G660,'LEAID Match'!$A$2:$B$183,2,FALSE),"")</f>
        <v>1600510</v>
      </c>
      <c r="K660">
        <f t="shared" si="10"/>
        <v>9</v>
      </c>
    </row>
    <row r="661" spans="1:11" x14ac:dyDescent="0.2">
      <c r="A661">
        <v>1600510</v>
      </c>
      <c r="B661">
        <v>2021</v>
      </c>
      <c r="C661">
        <v>23</v>
      </c>
      <c r="D661" t="s">
        <v>428</v>
      </c>
      <c r="E661" t="s">
        <v>429</v>
      </c>
      <c r="F661" t="s">
        <v>433</v>
      </c>
      <c r="G661" t="s">
        <v>19</v>
      </c>
      <c r="H661" t="s">
        <v>19</v>
      </c>
      <c r="I661" s="5">
        <v>3256187</v>
      </c>
      <c r="J661">
        <f>IFERROR(VLOOKUP(G661,'LEAID Match'!$A$2:$B$183,2,FALSE),"")</f>
        <v>1600510</v>
      </c>
      <c r="K661">
        <f t="shared" si="10"/>
        <v>9</v>
      </c>
    </row>
    <row r="662" spans="1:11" x14ac:dyDescent="0.2">
      <c r="A662">
        <v>1600510</v>
      </c>
      <c r="B662">
        <v>2022</v>
      </c>
      <c r="C662">
        <v>23</v>
      </c>
      <c r="D662" t="s">
        <v>428</v>
      </c>
      <c r="E662" t="s">
        <v>429</v>
      </c>
      <c r="F662" t="s">
        <v>433</v>
      </c>
      <c r="G662" t="s">
        <v>19</v>
      </c>
      <c r="H662" t="s">
        <v>222</v>
      </c>
      <c r="I662" s="5">
        <v>3627752</v>
      </c>
      <c r="J662">
        <f>IFERROR(VLOOKUP(G662,'LEAID Match'!$A$2:$B$183,2,FALSE),"")</f>
        <v>1600510</v>
      </c>
      <c r="K662">
        <f t="shared" si="10"/>
        <v>9</v>
      </c>
    </row>
    <row r="663" spans="1:11" x14ac:dyDescent="0.2">
      <c r="A663">
        <v>1600510</v>
      </c>
      <c r="B663">
        <v>2023</v>
      </c>
      <c r="C663">
        <v>23</v>
      </c>
      <c r="D663" t="s">
        <v>428</v>
      </c>
      <c r="E663" t="s">
        <v>429</v>
      </c>
      <c r="F663" t="s">
        <v>433</v>
      </c>
      <c r="G663" t="s">
        <v>19</v>
      </c>
      <c r="H663" t="s">
        <v>222</v>
      </c>
      <c r="I663" s="5">
        <v>3577989</v>
      </c>
      <c r="J663">
        <f>IFERROR(VLOOKUP(G663,'LEAID Match'!$A$2:$B$183,2,FALSE),"")</f>
        <v>1600510</v>
      </c>
      <c r="K663">
        <f t="shared" si="10"/>
        <v>9</v>
      </c>
    </row>
    <row r="664" spans="1:11" x14ac:dyDescent="0.2">
      <c r="A664">
        <v>1600540</v>
      </c>
      <c r="B664">
        <v>2015</v>
      </c>
      <c r="C664">
        <v>24</v>
      </c>
      <c r="D664" t="s">
        <v>428</v>
      </c>
      <c r="E664" t="s">
        <v>429</v>
      </c>
      <c r="F664" t="s">
        <v>433</v>
      </c>
      <c r="G664" t="s">
        <v>20</v>
      </c>
      <c r="H664" t="s">
        <v>20</v>
      </c>
      <c r="I664" s="5">
        <v>113369</v>
      </c>
      <c r="J664">
        <f>IFERROR(VLOOKUP(G664,'LEAID Match'!$A$2:$B$183,2,FALSE),"")</f>
        <v>1600540</v>
      </c>
      <c r="K664">
        <f t="shared" si="10"/>
        <v>9</v>
      </c>
    </row>
    <row r="665" spans="1:11" x14ac:dyDescent="0.2">
      <c r="A665">
        <v>1600540</v>
      </c>
      <c r="B665">
        <v>2016</v>
      </c>
      <c r="C665">
        <v>24</v>
      </c>
      <c r="D665" t="s">
        <v>428</v>
      </c>
      <c r="E665" t="s">
        <v>429</v>
      </c>
      <c r="F665" t="s">
        <v>433</v>
      </c>
      <c r="G665" t="s">
        <v>20</v>
      </c>
      <c r="H665" t="s">
        <v>20</v>
      </c>
      <c r="I665" s="5">
        <v>112317</v>
      </c>
      <c r="J665">
        <f>IFERROR(VLOOKUP(G665,'LEAID Match'!$A$2:$B$183,2,FALSE),"")</f>
        <v>1600540</v>
      </c>
      <c r="K665">
        <f t="shared" si="10"/>
        <v>9</v>
      </c>
    </row>
    <row r="666" spans="1:11" x14ac:dyDescent="0.2">
      <c r="A666">
        <v>1600540</v>
      </c>
      <c r="B666">
        <v>2017</v>
      </c>
      <c r="C666">
        <v>24</v>
      </c>
      <c r="D666" t="s">
        <v>428</v>
      </c>
      <c r="E666" t="s">
        <v>429</v>
      </c>
      <c r="F666" t="s">
        <v>433</v>
      </c>
      <c r="G666" t="s">
        <v>20</v>
      </c>
      <c r="H666" t="s">
        <v>20</v>
      </c>
      <c r="I666" s="5">
        <v>107804</v>
      </c>
      <c r="J666">
        <f>IFERROR(VLOOKUP(G666,'LEAID Match'!$A$2:$B$183,2,FALSE),"")</f>
        <v>1600540</v>
      </c>
      <c r="K666">
        <f t="shared" si="10"/>
        <v>9</v>
      </c>
    </row>
    <row r="667" spans="1:11" x14ac:dyDescent="0.2">
      <c r="A667">
        <v>1600540</v>
      </c>
      <c r="B667">
        <v>2018</v>
      </c>
      <c r="C667">
        <v>24</v>
      </c>
      <c r="D667" t="s">
        <v>428</v>
      </c>
      <c r="E667" t="s">
        <v>429</v>
      </c>
      <c r="F667" t="s">
        <v>433</v>
      </c>
      <c r="G667" t="s">
        <v>20</v>
      </c>
      <c r="H667" t="s">
        <v>194</v>
      </c>
      <c r="I667" s="5">
        <v>118717</v>
      </c>
      <c r="J667">
        <f>IFERROR(VLOOKUP(G667,'LEAID Match'!$A$2:$B$183,2,FALSE),"")</f>
        <v>1600540</v>
      </c>
      <c r="K667">
        <f t="shared" si="10"/>
        <v>9</v>
      </c>
    </row>
    <row r="668" spans="1:11" x14ac:dyDescent="0.2">
      <c r="A668">
        <v>1600540</v>
      </c>
      <c r="B668">
        <v>2019</v>
      </c>
      <c r="C668">
        <v>24</v>
      </c>
      <c r="D668" t="s">
        <v>428</v>
      </c>
      <c r="E668" t="s">
        <v>429</v>
      </c>
      <c r="F668" t="s">
        <v>433</v>
      </c>
      <c r="G668" t="s">
        <v>20</v>
      </c>
      <c r="H668" t="s">
        <v>223</v>
      </c>
      <c r="I668" s="5">
        <v>126291</v>
      </c>
      <c r="J668">
        <f>IFERROR(VLOOKUP(G668,'LEAID Match'!$A$2:$B$183,2,FALSE),"")</f>
        <v>1600540</v>
      </c>
      <c r="K668">
        <f t="shared" si="10"/>
        <v>9</v>
      </c>
    </row>
    <row r="669" spans="1:11" x14ac:dyDescent="0.2">
      <c r="A669">
        <v>1600540</v>
      </c>
      <c r="B669">
        <v>2020</v>
      </c>
      <c r="C669">
        <v>24</v>
      </c>
      <c r="D669" t="s">
        <v>428</v>
      </c>
      <c r="E669" t="s">
        <v>429</v>
      </c>
      <c r="F669" t="s">
        <v>433</v>
      </c>
      <c r="G669" t="s">
        <v>20</v>
      </c>
      <c r="H669" t="s">
        <v>223</v>
      </c>
      <c r="I669" s="5">
        <v>151039</v>
      </c>
      <c r="J669">
        <f>IFERROR(VLOOKUP(G669,'LEAID Match'!$A$2:$B$183,2,FALSE),"")</f>
        <v>1600540</v>
      </c>
      <c r="K669">
        <f t="shared" si="10"/>
        <v>9</v>
      </c>
    </row>
    <row r="670" spans="1:11" x14ac:dyDescent="0.2">
      <c r="A670">
        <v>1600540</v>
      </c>
      <c r="B670">
        <v>2021</v>
      </c>
      <c r="C670">
        <v>24</v>
      </c>
      <c r="D670" t="s">
        <v>428</v>
      </c>
      <c r="E670" t="s">
        <v>429</v>
      </c>
      <c r="F670" t="s">
        <v>433</v>
      </c>
      <c r="G670" t="s">
        <v>20</v>
      </c>
      <c r="H670" t="s">
        <v>194</v>
      </c>
      <c r="I670" s="5">
        <v>167785</v>
      </c>
      <c r="J670">
        <f>IFERROR(VLOOKUP(G670,'LEAID Match'!$A$2:$B$183,2,FALSE),"")</f>
        <v>1600540</v>
      </c>
      <c r="K670">
        <f t="shared" si="10"/>
        <v>9</v>
      </c>
    </row>
    <row r="671" spans="1:11" x14ac:dyDescent="0.2">
      <c r="A671">
        <v>1600540</v>
      </c>
      <c r="B671">
        <v>2022</v>
      </c>
      <c r="C671">
        <v>24</v>
      </c>
      <c r="D671" t="s">
        <v>428</v>
      </c>
      <c r="E671" t="s">
        <v>429</v>
      </c>
      <c r="F671" t="s">
        <v>433</v>
      </c>
      <c r="G671" t="s">
        <v>20</v>
      </c>
      <c r="H671" t="s">
        <v>223</v>
      </c>
      <c r="I671" s="5">
        <v>167266</v>
      </c>
      <c r="J671">
        <f>IFERROR(VLOOKUP(G671,'LEAID Match'!$A$2:$B$183,2,FALSE),"")</f>
        <v>1600540</v>
      </c>
      <c r="K671">
        <f t="shared" si="10"/>
        <v>9</v>
      </c>
    </row>
    <row r="672" spans="1:11" x14ac:dyDescent="0.2">
      <c r="A672">
        <v>1600540</v>
      </c>
      <c r="B672">
        <v>2023</v>
      </c>
      <c r="C672">
        <v>24</v>
      </c>
      <c r="D672" t="s">
        <v>428</v>
      </c>
      <c r="E672" t="s">
        <v>429</v>
      </c>
      <c r="F672" t="s">
        <v>433</v>
      </c>
      <c r="G672" t="s">
        <v>20</v>
      </c>
      <c r="H672" t="s">
        <v>223</v>
      </c>
      <c r="I672" s="5">
        <v>172739</v>
      </c>
      <c r="J672">
        <f>IFERROR(VLOOKUP(G672,'LEAID Match'!$A$2:$B$183,2,FALSE),"")</f>
        <v>1600540</v>
      </c>
      <c r="K672">
        <f t="shared" si="10"/>
        <v>9</v>
      </c>
    </row>
    <row r="673" spans="1:11" x14ac:dyDescent="0.2">
      <c r="A673">
        <v>1600570</v>
      </c>
      <c r="B673">
        <v>2015</v>
      </c>
      <c r="C673">
        <v>25</v>
      </c>
      <c r="D673" t="s">
        <v>428</v>
      </c>
      <c r="E673" t="s">
        <v>429</v>
      </c>
      <c r="F673" t="s">
        <v>433</v>
      </c>
      <c r="G673" t="s">
        <v>21</v>
      </c>
      <c r="H673" t="s">
        <v>21</v>
      </c>
      <c r="I673" s="5">
        <v>96105</v>
      </c>
      <c r="J673">
        <f>IFERROR(VLOOKUP(G673,'LEAID Match'!$A$2:$B$183,2,FALSE),"")</f>
        <v>1600570</v>
      </c>
      <c r="K673">
        <f t="shared" si="10"/>
        <v>9</v>
      </c>
    </row>
    <row r="674" spans="1:11" x14ac:dyDescent="0.2">
      <c r="A674">
        <v>1600570</v>
      </c>
      <c r="B674">
        <v>2016</v>
      </c>
      <c r="C674">
        <v>25</v>
      </c>
      <c r="D674" t="s">
        <v>428</v>
      </c>
      <c r="E674" t="s">
        <v>429</v>
      </c>
      <c r="F674" t="s">
        <v>433</v>
      </c>
      <c r="G674" t="s">
        <v>21</v>
      </c>
      <c r="H674" t="s">
        <v>21</v>
      </c>
      <c r="I674" s="5">
        <v>93174</v>
      </c>
      <c r="J674">
        <f>IFERROR(VLOOKUP(G674,'LEAID Match'!$A$2:$B$183,2,FALSE),"")</f>
        <v>1600570</v>
      </c>
      <c r="K674">
        <f t="shared" si="10"/>
        <v>9</v>
      </c>
    </row>
    <row r="675" spans="1:11" x14ac:dyDescent="0.2">
      <c r="A675">
        <v>1600570</v>
      </c>
      <c r="B675">
        <v>2017</v>
      </c>
      <c r="C675">
        <v>25</v>
      </c>
      <c r="D675" t="s">
        <v>428</v>
      </c>
      <c r="E675" t="s">
        <v>429</v>
      </c>
      <c r="F675" t="s">
        <v>433</v>
      </c>
      <c r="G675" t="s">
        <v>21</v>
      </c>
      <c r="H675" t="s">
        <v>21</v>
      </c>
      <c r="I675" s="5">
        <v>100577</v>
      </c>
      <c r="J675">
        <f>IFERROR(VLOOKUP(G675,'LEAID Match'!$A$2:$B$183,2,FALSE),"")</f>
        <v>1600570</v>
      </c>
      <c r="K675">
        <f t="shared" si="10"/>
        <v>9</v>
      </c>
    </row>
    <row r="676" spans="1:11" x14ac:dyDescent="0.2">
      <c r="A676">
        <v>1600570</v>
      </c>
      <c r="B676">
        <v>2018</v>
      </c>
      <c r="C676">
        <v>25</v>
      </c>
      <c r="D676" t="s">
        <v>428</v>
      </c>
      <c r="E676" t="s">
        <v>429</v>
      </c>
      <c r="F676" t="s">
        <v>433</v>
      </c>
      <c r="G676" t="s">
        <v>21</v>
      </c>
      <c r="H676" t="s">
        <v>21</v>
      </c>
      <c r="I676" s="5">
        <v>116889</v>
      </c>
      <c r="J676">
        <f>IFERROR(VLOOKUP(G676,'LEAID Match'!$A$2:$B$183,2,FALSE),"")</f>
        <v>1600570</v>
      </c>
      <c r="K676">
        <f t="shared" si="10"/>
        <v>9</v>
      </c>
    </row>
    <row r="677" spans="1:11" x14ac:dyDescent="0.2">
      <c r="A677">
        <v>1600570</v>
      </c>
      <c r="B677">
        <v>2019</v>
      </c>
      <c r="C677">
        <v>25</v>
      </c>
      <c r="D677" t="s">
        <v>428</v>
      </c>
      <c r="E677" t="s">
        <v>429</v>
      </c>
      <c r="F677" t="s">
        <v>433</v>
      </c>
      <c r="G677" t="s">
        <v>21</v>
      </c>
      <c r="H677" t="s">
        <v>224</v>
      </c>
      <c r="I677" s="5">
        <v>131872</v>
      </c>
      <c r="J677">
        <f>IFERROR(VLOOKUP(G677,'LEAID Match'!$A$2:$B$183,2,FALSE),"")</f>
        <v>1600570</v>
      </c>
      <c r="K677">
        <f t="shared" si="10"/>
        <v>9</v>
      </c>
    </row>
    <row r="678" spans="1:11" x14ac:dyDescent="0.2">
      <c r="A678">
        <v>1600570</v>
      </c>
      <c r="B678">
        <v>2020</v>
      </c>
      <c r="C678">
        <v>25</v>
      </c>
      <c r="D678" t="s">
        <v>428</v>
      </c>
      <c r="E678" t="s">
        <v>429</v>
      </c>
      <c r="F678" t="s">
        <v>433</v>
      </c>
      <c r="G678" t="s">
        <v>21</v>
      </c>
      <c r="H678" t="s">
        <v>224</v>
      </c>
      <c r="I678" s="5">
        <v>143328</v>
      </c>
      <c r="J678">
        <f>IFERROR(VLOOKUP(G678,'LEAID Match'!$A$2:$B$183,2,FALSE),"")</f>
        <v>1600570</v>
      </c>
      <c r="K678">
        <f t="shared" si="10"/>
        <v>9</v>
      </c>
    </row>
    <row r="679" spans="1:11" x14ac:dyDescent="0.2">
      <c r="A679">
        <v>1600570</v>
      </c>
      <c r="B679">
        <v>2021</v>
      </c>
      <c r="C679">
        <v>25</v>
      </c>
      <c r="D679" t="s">
        <v>428</v>
      </c>
      <c r="E679" t="s">
        <v>429</v>
      </c>
      <c r="F679" t="s">
        <v>433</v>
      </c>
      <c r="G679" t="s">
        <v>21</v>
      </c>
      <c r="H679" t="s">
        <v>21</v>
      </c>
      <c r="I679" s="5">
        <v>141789</v>
      </c>
      <c r="J679">
        <f>IFERROR(VLOOKUP(G679,'LEAID Match'!$A$2:$B$183,2,FALSE),"")</f>
        <v>1600570</v>
      </c>
      <c r="K679">
        <f t="shared" si="10"/>
        <v>9</v>
      </c>
    </row>
    <row r="680" spans="1:11" x14ac:dyDescent="0.2">
      <c r="A680">
        <v>1600570</v>
      </c>
      <c r="B680">
        <v>2022</v>
      </c>
      <c r="C680">
        <v>25</v>
      </c>
      <c r="D680" t="s">
        <v>428</v>
      </c>
      <c r="E680" t="s">
        <v>429</v>
      </c>
      <c r="F680" t="s">
        <v>433</v>
      </c>
      <c r="G680" t="s">
        <v>21</v>
      </c>
      <c r="H680" t="s">
        <v>224</v>
      </c>
      <c r="I680" s="5">
        <v>143904</v>
      </c>
      <c r="J680">
        <f>IFERROR(VLOOKUP(G680,'LEAID Match'!$A$2:$B$183,2,FALSE),"")</f>
        <v>1600570</v>
      </c>
      <c r="K680">
        <f t="shared" si="10"/>
        <v>9</v>
      </c>
    </row>
    <row r="681" spans="1:11" x14ac:dyDescent="0.2">
      <c r="A681">
        <v>1600570</v>
      </c>
      <c r="B681">
        <v>2023</v>
      </c>
      <c r="C681">
        <v>25</v>
      </c>
      <c r="D681" t="s">
        <v>428</v>
      </c>
      <c r="E681" t="s">
        <v>429</v>
      </c>
      <c r="F681" t="s">
        <v>433</v>
      </c>
      <c r="G681" t="s">
        <v>21</v>
      </c>
      <c r="H681" t="s">
        <v>224</v>
      </c>
      <c r="I681" s="5">
        <v>149342</v>
      </c>
      <c r="J681">
        <f>IFERROR(VLOOKUP(G681,'LEAID Match'!$A$2:$B$183,2,FALSE),"")</f>
        <v>1600570</v>
      </c>
      <c r="K681">
        <f t="shared" si="10"/>
        <v>9</v>
      </c>
    </row>
    <row r="682" spans="1:11" x14ac:dyDescent="0.2">
      <c r="A682">
        <v>1600600</v>
      </c>
      <c r="B682">
        <v>2015</v>
      </c>
      <c r="C682">
        <v>182</v>
      </c>
      <c r="D682" t="s">
        <v>428</v>
      </c>
      <c r="E682" t="s">
        <v>429</v>
      </c>
      <c r="F682" t="s">
        <v>433</v>
      </c>
      <c r="G682" t="s">
        <v>110</v>
      </c>
      <c r="H682" t="s">
        <v>110</v>
      </c>
      <c r="I682" s="5">
        <v>3027472</v>
      </c>
      <c r="J682">
        <f>IFERROR(VLOOKUP(G682,'LEAID Match'!$A$2:$B$183,2,FALSE),"")</f>
        <v>1600600</v>
      </c>
      <c r="K682">
        <f t="shared" si="10"/>
        <v>9</v>
      </c>
    </row>
    <row r="683" spans="1:11" x14ac:dyDescent="0.2">
      <c r="A683">
        <v>1600600</v>
      </c>
      <c r="B683">
        <v>2016</v>
      </c>
      <c r="C683">
        <v>182</v>
      </c>
      <c r="D683" t="s">
        <v>428</v>
      </c>
      <c r="E683" t="s">
        <v>429</v>
      </c>
      <c r="F683" t="s">
        <v>433</v>
      </c>
      <c r="G683" t="s">
        <v>110</v>
      </c>
      <c r="H683" t="s">
        <v>110</v>
      </c>
      <c r="I683" s="5">
        <v>3238794</v>
      </c>
      <c r="J683">
        <f>IFERROR(VLOOKUP(G683,'LEAID Match'!$A$2:$B$183,2,FALSE),"")</f>
        <v>1600600</v>
      </c>
      <c r="K683">
        <f t="shared" si="10"/>
        <v>9</v>
      </c>
    </row>
    <row r="684" spans="1:11" x14ac:dyDescent="0.2">
      <c r="A684">
        <v>1600600</v>
      </c>
      <c r="B684">
        <v>2017</v>
      </c>
      <c r="C684">
        <v>182</v>
      </c>
      <c r="D684" t="s">
        <v>428</v>
      </c>
      <c r="E684" t="s">
        <v>429</v>
      </c>
      <c r="F684" t="s">
        <v>433</v>
      </c>
      <c r="G684" t="s">
        <v>110</v>
      </c>
      <c r="H684" t="s">
        <v>110</v>
      </c>
      <c r="I684" s="5">
        <v>3589068</v>
      </c>
      <c r="J684">
        <f>IFERROR(VLOOKUP(G684,'LEAID Match'!$A$2:$B$183,2,FALSE),"")</f>
        <v>1600600</v>
      </c>
      <c r="K684">
        <f t="shared" si="10"/>
        <v>9</v>
      </c>
    </row>
    <row r="685" spans="1:11" x14ac:dyDescent="0.2">
      <c r="A685">
        <v>1600600</v>
      </c>
      <c r="B685">
        <v>2018</v>
      </c>
      <c r="C685">
        <v>182</v>
      </c>
      <c r="D685" t="s">
        <v>428</v>
      </c>
      <c r="E685" t="s">
        <v>429</v>
      </c>
      <c r="F685" t="s">
        <v>433</v>
      </c>
      <c r="G685" t="s">
        <v>110</v>
      </c>
      <c r="H685" t="s">
        <v>110</v>
      </c>
      <c r="I685" s="5">
        <v>3845409</v>
      </c>
      <c r="J685">
        <f>IFERROR(VLOOKUP(G685,'LEAID Match'!$A$2:$B$183,2,FALSE),"")</f>
        <v>1600600</v>
      </c>
      <c r="K685">
        <f t="shared" si="10"/>
        <v>9</v>
      </c>
    </row>
    <row r="686" spans="1:11" x14ac:dyDescent="0.2">
      <c r="A686">
        <v>1600600</v>
      </c>
      <c r="B686">
        <v>2019</v>
      </c>
      <c r="C686">
        <v>182</v>
      </c>
      <c r="D686" t="s">
        <v>428</v>
      </c>
      <c r="E686" t="s">
        <v>429</v>
      </c>
      <c r="F686" t="s">
        <v>433</v>
      </c>
      <c r="G686" t="s">
        <v>110</v>
      </c>
      <c r="H686" t="s">
        <v>318</v>
      </c>
      <c r="I686" s="5">
        <v>4164228</v>
      </c>
      <c r="J686">
        <f>IFERROR(VLOOKUP(G686,'LEAID Match'!$A$2:$B$183,2,FALSE),"")</f>
        <v>1600600</v>
      </c>
      <c r="K686">
        <f t="shared" si="10"/>
        <v>9</v>
      </c>
    </row>
    <row r="687" spans="1:11" x14ac:dyDescent="0.2">
      <c r="A687">
        <v>1600600</v>
      </c>
      <c r="B687">
        <v>2020</v>
      </c>
      <c r="C687">
        <v>182</v>
      </c>
      <c r="D687" t="s">
        <v>428</v>
      </c>
      <c r="E687" t="s">
        <v>429</v>
      </c>
      <c r="F687" t="s">
        <v>433</v>
      </c>
      <c r="G687" t="s">
        <v>110</v>
      </c>
      <c r="H687" t="s">
        <v>318</v>
      </c>
      <c r="I687" s="5">
        <v>4841429</v>
      </c>
      <c r="J687">
        <f>IFERROR(VLOOKUP(G687,'LEAID Match'!$A$2:$B$183,2,FALSE),"")</f>
        <v>1600600</v>
      </c>
      <c r="K687">
        <f t="shared" si="10"/>
        <v>9</v>
      </c>
    </row>
    <row r="688" spans="1:11" x14ac:dyDescent="0.2">
      <c r="A688">
        <v>1600600</v>
      </c>
      <c r="B688">
        <v>2021</v>
      </c>
      <c r="C688">
        <v>182</v>
      </c>
      <c r="D688" t="s">
        <v>428</v>
      </c>
      <c r="E688" t="s">
        <v>429</v>
      </c>
      <c r="F688" t="s">
        <v>433</v>
      </c>
      <c r="G688" t="s">
        <v>110</v>
      </c>
      <c r="H688" t="s">
        <v>110</v>
      </c>
      <c r="I688" s="5">
        <v>5016669</v>
      </c>
      <c r="J688">
        <f>IFERROR(VLOOKUP(G688,'LEAID Match'!$A$2:$B$183,2,FALSE),"")</f>
        <v>1600600</v>
      </c>
      <c r="K688">
        <f t="shared" si="10"/>
        <v>9</v>
      </c>
    </row>
    <row r="689" spans="1:11" x14ac:dyDescent="0.2">
      <c r="A689">
        <v>1600600</v>
      </c>
      <c r="B689">
        <v>2022</v>
      </c>
      <c r="C689">
        <v>182</v>
      </c>
      <c r="D689" t="s">
        <v>428</v>
      </c>
      <c r="E689" t="s">
        <v>429</v>
      </c>
      <c r="F689" t="s">
        <v>433</v>
      </c>
      <c r="G689" t="s">
        <v>110</v>
      </c>
      <c r="H689" t="s">
        <v>318</v>
      </c>
      <c r="I689" s="5">
        <v>5379910</v>
      </c>
      <c r="J689">
        <f>IFERROR(VLOOKUP(G689,'LEAID Match'!$A$2:$B$183,2,FALSE),"")</f>
        <v>1600600</v>
      </c>
      <c r="K689">
        <f t="shared" si="10"/>
        <v>9</v>
      </c>
    </row>
    <row r="690" spans="1:11" x14ac:dyDescent="0.2">
      <c r="A690">
        <v>1600600</v>
      </c>
      <c r="B690">
        <v>2023</v>
      </c>
      <c r="C690">
        <v>182</v>
      </c>
      <c r="D690" t="s">
        <v>428</v>
      </c>
      <c r="E690" t="s">
        <v>429</v>
      </c>
      <c r="F690" t="s">
        <v>433</v>
      </c>
      <c r="G690" t="s">
        <v>110</v>
      </c>
      <c r="H690" t="s">
        <v>318</v>
      </c>
      <c r="I690" s="5">
        <v>5850752</v>
      </c>
      <c r="J690">
        <f>IFERROR(VLOOKUP(G690,'LEAID Match'!$A$2:$B$183,2,FALSE),"")</f>
        <v>1600600</v>
      </c>
      <c r="K690">
        <f t="shared" si="10"/>
        <v>9</v>
      </c>
    </row>
    <row r="691" spans="1:11" x14ac:dyDescent="0.2">
      <c r="A691">
        <v>1600630</v>
      </c>
      <c r="B691">
        <v>2015</v>
      </c>
      <c r="C691">
        <v>28</v>
      </c>
      <c r="D691" t="s">
        <v>428</v>
      </c>
      <c r="E691" t="s">
        <v>429</v>
      </c>
      <c r="F691" t="s">
        <v>433</v>
      </c>
      <c r="G691" t="s">
        <v>23</v>
      </c>
      <c r="H691" t="s">
        <v>23</v>
      </c>
      <c r="I691" s="5">
        <v>191293</v>
      </c>
      <c r="J691">
        <f>IFERROR(VLOOKUP(G691,'LEAID Match'!$A$2:$B$183,2,FALSE),"")</f>
        <v>1600630</v>
      </c>
      <c r="K691">
        <f t="shared" si="10"/>
        <v>9</v>
      </c>
    </row>
    <row r="692" spans="1:11" x14ac:dyDescent="0.2">
      <c r="A692">
        <v>1600630</v>
      </c>
      <c r="B692">
        <v>2016</v>
      </c>
      <c r="C692">
        <v>28</v>
      </c>
      <c r="D692" t="s">
        <v>428</v>
      </c>
      <c r="E692" t="s">
        <v>429</v>
      </c>
      <c r="F692" t="s">
        <v>433</v>
      </c>
      <c r="G692" t="s">
        <v>23</v>
      </c>
      <c r="H692" t="s">
        <v>23</v>
      </c>
      <c r="I692" s="5">
        <v>183457</v>
      </c>
      <c r="J692">
        <f>IFERROR(VLOOKUP(G692,'LEAID Match'!$A$2:$B$183,2,FALSE),"")</f>
        <v>1600630</v>
      </c>
      <c r="K692">
        <f t="shared" si="10"/>
        <v>9</v>
      </c>
    </row>
    <row r="693" spans="1:11" x14ac:dyDescent="0.2">
      <c r="A693">
        <v>1600630</v>
      </c>
      <c r="B693">
        <v>2017</v>
      </c>
      <c r="C693">
        <v>28</v>
      </c>
      <c r="D693" t="s">
        <v>428</v>
      </c>
      <c r="E693" t="s">
        <v>429</v>
      </c>
      <c r="F693" t="s">
        <v>433</v>
      </c>
      <c r="G693" t="s">
        <v>23</v>
      </c>
      <c r="H693" t="s">
        <v>23</v>
      </c>
      <c r="I693" s="5">
        <v>187779</v>
      </c>
      <c r="J693">
        <f>IFERROR(VLOOKUP(G693,'LEAID Match'!$A$2:$B$183,2,FALSE),"")</f>
        <v>1600630</v>
      </c>
      <c r="K693">
        <f t="shared" si="10"/>
        <v>9</v>
      </c>
    </row>
    <row r="694" spans="1:11" x14ac:dyDescent="0.2">
      <c r="A694">
        <v>1600630</v>
      </c>
      <c r="B694">
        <v>2018</v>
      </c>
      <c r="C694">
        <v>28</v>
      </c>
      <c r="D694" t="s">
        <v>428</v>
      </c>
      <c r="E694" t="s">
        <v>429</v>
      </c>
      <c r="F694" t="s">
        <v>433</v>
      </c>
      <c r="G694" t="s">
        <v>23</v>
      </c>
      <c r="H694" t="s">
        <v>23</v>
      </c>
      <c r="I694" s="5">
        <v>183179</v>
      </c>
      <c r="J694">
        <f>IFERROR(VLOOKUP(G694,'LEAID Match'!$A$2:$B$183,2,FALSE),"")</f>
        <v>1600630</v>
      </c>
      <c r="K694">
        <f t="shared" si="10"/>
        <v>9</v>
      </c>
    </row>
    <row r="695" spans="1:11" x14ac:dyDescent="0.2">
      <c r="A695">
        <v>1600630</v>
      </c>
      <c r="B695">
        <v>2019</v>
      </c>
      <c r="C695">
        <v>28</v>
      </c>
      <c r="D695" t="s">
        <v>428</v>
      </c>
      <c r="E695" t="s">
        <v>429</v>
      </c>
      <c r="F695" t="s">
        <v>433</v>
      </c>
      <c r="G695" t="s">
        <v>23</v>
      </c>
      <c r="H695" t="s">
        <v>226</v>
      </c>
      <c r="I695" s="5">
        <v>169587</v>
      </c>
      <c r="J695">
        <f>IFERROR(VLOOKUP(G695,'LEAID Match'!$A$2:$B$183,2,FALSE),"")</f>
        <v>1600630</v>
      </c>
      <c r="K695">
        <f t="shared" si="10"/>
        <v>9</v>
      </c>
    </row>
    <row r="696" spans="1:11" x14ac:dyDescent="0.2">
      <c r="A696">
        <v>1600630</v>
      </c>
      <c r="B696">
        <v>2020</v>
      </c>
      <c r="C696">
        <v>28</v>
      </c>
      <c r="D696" t="s">
        <v>428</v>
      </c>
      <c r="E696" t="s">
        <v>429</v>
      </c>
      <c r="F696" t="s">
        <v>433</v>
      </c>
      <c r="G696" t="s">
        <v>23</v>
      </c>
      <c r="H696" t="s">
        <v>226</v>
      </c>
      <c r="I696" s="5">
        <v>188010</v>
      </c>
      <c r="J696">
        <f>IFERROR(VLOOKUP(G696,'LEAID Match'!$A$2:$B$183,2,FALSE),"")</f>
        <v>1600630</v>
      </c>
      <c r="K696">
        <f t="shared" si="10"/>
        <v>9</v>
      </c>
    </row>
    <row r="697" spans="1:11" x14ac:dyDescent="0.2">
      <c r="A697">
        <v>1600630</v>
      </c>
      <c r="B697">
        <v>2021</v>
      </c>
      <c r="C697">
        <v>28</v>
      </c>
      <c r="D697" t="s">
        <v>428</v>
      </c>
      <c r="E697" t="s">
        <v>429</v>
      </c>
      <c r="F697" t="s">
        <v>433</v>
      </c>
      <c r="G697" t="s">
        <v>23</v>
      </c>
      <c r="H697" t="s">
        <v>23</v>
      </c>
      <c r="I697" s="5">
        <v>212285</v>
      </c>
      <c r="J697">
        <f>IFERROR(VLOOKUP(G697,'LEAID Match'!$A$2:$B$183,2,FALSE),"")</f>
        <v>1600630</v>
      </c>
      <c r="K697">
        <f t="shared" si="10"/>
        <v>9</v>
      </c>
    </row>
    <row r="698" spans="1:11" x14ac:dyDescent="0.2">
      <c r="A698">
        <v>1600630</v>
      </c>
      <c r="B698">
        <v>2022</v>
      </c>
      <c r="C698">
        <v>28</v>
      </c>
      <c r="D698" t="s">
        <v>428</v>
      </c>
      <c r="E698" t="s">
        <v>429</v>
      </c>
      <c r="F698" t="s">
        <v>433</v>
      </c>
      <c r="G698" t="s">
        <v>23</v>
      </c>
      <c r="H698" t="s">
        <v>226</v>
      </c>
      <c r="I698" s="5">
        <v>235556</v>
      </c>
      <c r="J698">
        <f>IFERROR(VLOOKUP(G698,'LEAID Match'!$A$2:$B$183,2,FALSE),"")</f>
        <v>1600630</v>
      </c>
      <c r="K698">
        <f t="shared" si="10"/>
        <v>9</v>
      </c>
    </row>
    <row r="699" spans="1:11" x14ac:dyDescent="0.2">
      <c r="A699">
        <v>1600630</v>
      </c>
      <c r="B699">
        <v>2023</v>
      </c>
      <c r="C699">
        <v>28</v>
      </c>
      <c r="D699" t="s">
        <v>428</v>
      </c>
      <c r="E699" t="s">
        <v>429</v>
      </c>
      <c r="F699" t="s">
        <v>433</v>
      </c>
      <c r="G699" t="s">
        <v>23</v>
      </c>
      <c r="H699" t="s">
        <v>226</v>
      </c>
      <c r="I699" s="5">
        <v>227189</v>
      </c>
      <c r="J699">
        <f>IFERROR(VLOOKUP(G699,'LEAID Match'!$A$2:$B$183,2,FALSE),"")</f>
        <v>1600630</v>
      </c>
      <c r="K699">
        <f t="shared" si="10"/>
        <v>9</v>
      </c>
    </row>
    <row r="700" spans="1:11" x14ac:dyDescent="0.2">
      <c r="A700">
        <v>1600660</v>
      </c>
      <c r="B700">
        <v>2015</v>
      </c>
      <c r="C700">
        <v>29</v>
      </c>
      <c r="D700" t="s">
        <v>428</v>
      </c>
      <c r="E700" t="s">
        <v>429</v>
      </c>
      <c r="F700" t="s">
        <v>433</v>
      </c>
      <c r="G700" t="s">
        <v>24</v>
      </c>
      <c r="H700" t="s">
        <v>24</v>
      </c>
      <c r="I700" s="5">
        <v>2252246</v>
      </c>
      <c r="J700">
        <f>IFERROR(VLOOKUP(G700,'LEAID Match'!$A$2:$B$183,2,FALSE),"")</f>
        <v>1600660</v>
      </c>
      <c r="K700">
        <f t="shared" si="10"/>
        <v>9</v>
      </c>
    </row>
    <row r="701" spans="1:11" x14ac:dyDescent="0.2">
      <c r="A701">
        <v>1600660</v>
      </c>
      <c r="B701">
        <v>2016</v>
      </c>
      <c r="C701">
        <v>29</v>
      </c>
      <c r="D701" t="s">
        <v>428</v>
      </c>
      <c r="E701" t="s">
        <v>429</v>
      </c>
      <c r="F701" t="s">
        <v>433</v>
      </c>
      <c r="G701" t="s">
        <v>24</v>
      </c>
      <c r="H701" t="s">
        <v>24</v>
      </c>
      <c r="I701" s="5">
        <v>2334521</v>
      </c>
      <c r="J701">
        <f>IFERROR(VLOOKUP(G701,'LEAID Match'!$A$2:$B$183,2,FALSE),"")</f>
        <v>1600660</v>
      </c>
      <c r="K701">
        <f t="shared" si="10"/>
        <v>9</v>
      </c>
    </row>
    <row r="702" spans="1:11" x14ac:dyDescent="0.2">
      <c r="A702">
        <v>1600660</v>
      </c>
      <c r="B702">
        <v>2017</v>
      </c>
      <c r="C702">
        <v>29</v>
      </c>
      <c r="D702" t="s">
        <v>428</v>
      </c>
      <c r="E702" t="s">
        <v>429</v>
      </c>
      <c r="F702" t="s">
        <v>433</v>
      </c>
      <c r="G702" t="s">
        <v>24</v>
      </c>
      <c r="H702" t="s">
        <v>24</v>
      </c>
      <c r="I702" s="5">
        <v>2500700</v>
      </c>
      <c r="J702">
        <f>IFERROR(VLOOKUP(G702,'LEAID Match'!$A$2:$B$183,2,FALSE),"")</f>
        <v>1600660</v>
      </c>
      <c r="K702">
        <f t="shared" si="10"/>
        <v>9</v>
      </c>
    </row>
    <row r="703" spans="1:11" x14ac:dyDescent="0.2">
      <c r="A703">
        <v>1600660</v>
      </c>
      <c r="B703">
        <v>2018</v>
      </c>
      <c r="C703">
        <v>29</v>
      </c>
      <c r="D703" t="s">
        <v>428</v>
      </c>
      <c r="E703" t="s">
        <v>429</v>
      </c>
      <c r="F703" t="s">
        <v>433</v>
      </c>
      <c r="G703" t="s">
        <v>24</v>
      </c>
      <c r="H703" t="s">
        <v>195</v>
      </c>
      <c r="I703" s="5">
        <v>2639348</v>
      </c>
      <c r="J703">
        <f>IFERROR(VLOOKUP(G703,'LEAID Match'!$A$2:$B$183,2,FALSE),"")</f>
        <v>1600660</v>
      </c>
      <c r="K703">
        <f t="shared" si="10"/>
        <v>9</v>
      </c>
    </row>
    <row r="704" spans="1:11" x14ac:dyDescent="0.2">
      <c r="A704">
        <v>1600660</v>
      </c>
      <c r="B704">
        <v>2019</v>
      </c>
      <c r="C704">
        <v>29</v>
      </c>
      <c r="D704" t="s">
        <v>428</v>
      </c>
      <c r="E704" t="s">
        <v>429</v>
      </c>
      <c r="F704" t="s">
        <v>433</v>
      </c>
      <c r="G704" t="s">
        <v>24</v>
      </c>
      <c r="H704" t="s">
        <v>227</v>
      </c>
      <c r="I704" s="5">
        <v>2872106</v>
      </c>
      <c r="J704">
        <f>IFERROR(VLOOKUP(G704,'LEAID Match'!$A$2:$B$183,2,FALSE),"")</f>
        <v>1600660</v>
      </c>
      <c r="K704">
        <f t="shared" si="10"/>
        <v>9</v>
      </c>
    </row>
    <row r="705" spans="1:11" x14ac:dyDescent="0.2">
      <c r="A705">
        <v>1600660</v>
      </c>
      <c r="B705">
        <v>2020</v>
      </c>
      <c r="C705">
        <v>29</v>
      </c>
      <c r="D705" t="s">
        <v>428</v>
      </c>
      <c r="E705" t="s">
        <v>429</v>
      </c>
      <c r="F705" t="s">
        <v>433</v>
      </c>
      <c r="G705" t="s">
        <v>24</v>
      </c>
      <c r="H705" t="s">
        <v>331</v>
      </c>
      <c r="I705" s="5">
        <v>2902630</v>
      </c>
      <c r="J705">
        <f>IFERROR(VLOOKUP(G705,'LEAID Match'!$A$2:$B$183,2,FALSE),"")</f>
        <v>1600660</v>
      </c>
      <c r="K705">
        <f t="shared" si="10"/>
        <v>9</v>
      </c>
    </row>
    <row r="706" spans="1:11" x14ac:dyDescent="0.2">
      <c r="A706">
        <v>1600660</v>
      </c>
      <c r="B706">
        <v>2021</v>
      </c>
      <c r="C706">
        <v>29</v>
      </c>
      <c r="D706" t="s">
        <v>428</v>
      </c>
      <c r="E706" t="s">
        <v>429</v>
      </c>
      <c r="F706" t="s">
        <v>433</v>
      </c>
      <c r="G706" t="s">
        <v>24</v>
      </c>
      <c r="H706" t="s">
        <v>227</v>
      </c>
      <c r="I706" s="5">
        <v>3049470</v>
      </c>
      <c r="J706">
        <f>IFERROR(VLOOKUP(G706,'LEAID Match'!$A$2:$B$183,2,FALSE),"")</f>
        <v>1600660</v>
      </c>
      <c r="K706">
        <f t="shared" si="10"/>
        <v>9</v>
      </c>
    </row>
    <row r="707" spans="1:11" x14ac:dyDescent="0.2">
      <c r="A707">
        <v>1600660</v>
      </c>
      <c r="B707">
        <v>2022</v>
      </c>
      <c r="C707">
        <v>29</v>
      </c>
      <c r="D707" t="s">
        <v>428</v>
      </c>
      <c r="E707" t="s">
        <v>429</v>
      </c>
      <c r="F707" t="s">
        <v>433</v>
      </c>
      <c r="G707" t="s">
        <v>24</v>
      </c>
      <c r="H707" t="s">
        <v>227</v>
      </c>
      <c r="I707" s="5">
        <v>3331227</v>
      </c>
      <c r="J707">
        <f>IFERROR(VLOOKUP(G707,'LEAID Match'!$A$2:$B$183,2,FALSE),"")</f>
        <v>1600660</v>
      </c>
      <c r="K707">
        <f t="shared" ref="K707:K770" si="11">COUNTIF($A$2:$A$1651,A707)</f>
        <v>9</v>
      </c>
    </row>
    <row r="708" spans="1:11" x14ac:dyDescent="0.2">
      <c r="A708">
        <v>1600660</v>
      </c>
      <c r="B708">
        <v>2023</v>
      </c>
      <c r="C708">
        <v>29</v>
      </c>
      <c r="D708" t="s">
        <v>428</v>
      </c>
      <c r="E708" t="s">
        <v>429</v>
      </c>
      <c r="F708" t="s">
        <v>433</v>
      </c>
      <c r="G708" t="s">
        <v>24</v>
      </c>
      <c r="H708" t="s">
        <v>227</v>
      </c>
      <c r="I708" s="5">
        <v>3317727</v>
      </c>
      <c r="J708">
        <f>IFERROR(VLOOKUP(G708,'LEAID Match'!$A$2:$B$183,2,FALSE),"")</f>
        <v>1600660</v>
      </c>
      <c r="K708">
        <f t="shared" si="11"/>
        <v>9</v>
      </c>
    </row>
    <row r="709" spans="1:11" x14ac:dyDescent="0.2">
      <c r="A709">
        <v>1600690</v>
      </c>
      <c r="B709">
        <v>2015</v>
      </c>
      <c r="C709">
        <v>30</v>
      </c>
      <c r="D709" t="s">
        <v>428</v>
      </c>
      <c r="E709" t="s">
        <v>429</v>
      </c>
      <c r="F709" t="s">
        <v>433</v>
      </c>
      <c r="G709" t="s">
        <v>25</v>
      </c>
      <c r="H709" t="s">
        <v>25</v>
      </c>
      <c r="I709" s="5">
        <v>148982</v>
      </c>
      <c r="J709">
        <f>IFERROR(VLOOKUP(G709,'LEAID Match'!$A$2:$B$183,2,FALSE),"")</f>
        <v>1600690</v>
      </c>
      <c r="K709">
        <f t="shared" si="11"/>
        <v>9</v>
      </c>
    </row>
    <row r="710" spans="1:11" x14ac:dyDescent="0.2">
      <c r="A710">
        <v>1600690</v>
      </c>
      <c r="B710">
        <v>2016</v>
      </c>
      <c r="C710">
        <v>30</v>
      </c>
      <c r="D710" t="s">
        <v>428</v>
      </c>
      <c r="E710" t="s">
        <v>429</v>
      </c>
      <c r="F710" t="s">
        <v>433</v>
      </c>
      <c r="G710" t="s">
        <v>25</v>
      </c>
      <c r="H710" t="s">
        <v>25</v>
      </c>
      <c r="I710" s="5">
        <v>152645</v>
      </c>
      <c r="J710">
        <f>IFERROR(VLOOKUP(G710,'LEAID Match'!$A$2:$B$183,2,FALSE),"")</f>
        <v>1600690</v>
      </c>
      <c r="K710">
        <f t="shared" si="11"/>
        <v>9</v>
      </c>
    </row>
    <row r="711" spans="1:11" x14ac:dyDescent="0.2">
      <c r="A711">
        <v>1600690</v>
      </c>
      <c r="B711">
        <v>2017</v>
      </c>
      <c r="C711">
        <v>30</v>
      </c>
      <c r="D711" t="s">
        <v>428</v>
      </c>
      <c r="E711" t="s">
        <v>429</v>
      </c>
      <c r="F711" t="s">
        <v>433</v>
      </c>
      <c r="G711" t="s">
        <v>25</v>
      </c>
      <c r="H711" t="s">
        <v>25</v>
      </c>
      <c r="I711" s="5">
        <v>154964</v>
      </c>
      <c r="J711">
        <f>IFERROR(VLOOKUP(G711,'LEAID Match'!$A$2:$B$183,2,FALSE),"")</f>
        <v>1600690</v>
      </c>
      <c r="K711">
        <f t="shared" si="11"/>
        <v>9</v>
      </c>
    </row>
    <row r="712" spans="1:11" x14ac:dyDescent="0.2">
      <c r="A712">
        <v>1600690</v>
      </c>
      <c r="B712">
        <v>2018</v>
      </c>
      <c r="C712">
        <v>30</v>
      </c>
      <c r="D712" t="s">
        <v>428</v>
      </c>
      <c r="E712" t="s">
        <v>429</v>
      </c>
      <c r="F712" t="s">
        <v>433</v>
      </c>
      <c r="G712" t="s">
        <v>25</v>
      </c>
      <c r="H712" t="s">
        <v>25</v>
      </c>
      <c r="I712" s="5">
        <v>168308</v>
      </c>
      <c r="J712">
        <f>IFERROR(VLOOKUP(G712,'LEAID Match'!$A$2:$B$183,2,FALSE),"")</f>
        <v>1600690</v>
      </c>
      <c r="K712">
        <f t="shared" si="11"/>
        <v>9</v>
      </c>
    </row>
    <row r="713" spans="1:11" x14ac:dyDescent="0.2">
      <c r="A713">
        <v>1600690</v>
      </c>
      <c r="B713">
        <v>2019</v>
      </c>
      <c r="C713">
        <v>30</v>
      </c>
      <c r="D713" t="s">
        <v>428</v>
      </c>
      <c r="E713" t="s">
        <v>429</v>
      </c>
      <c r="F713" t="s">
        <v>433</v>
      </c>
      <c r="G713" t="s">
        <v>25</v>
      </c>
      <c r="H713" t="s">
        <v>228</v>
      </c>
      <c r="I713" s="5">
        <v>186754</v>
      </c>
      <c r="J713">
        <f>IFERROR(VLOOKUP(G713,'LEAID Match'!$A$2:$B$183,2,FALSE),"")</f>
        <v>1600690</v>
      </c>
      <c r="K713">
        <f t="shared" si="11"/>
        <v>9</v>
      </c>
    </row>
    <row r="714" spans="1:11" x14ac:dyDescent="0.2">
      <c r="A714">
        <v>1600690</v>
      </c>
      <c r="B714">
        <v>2020</v>
      </c>
      <c r="C714">
        <v>30</v>
      </c>
      <c r="D714" t="s">
        <v>428</v>
      </c>
      <c r="E714" t="s">
        <v>429</v>
      </c>
      <c r="F714" t="s">
        <v>433</v>
      </c>
      <c r="G714" t="s">
        <v>25</v>
      </c>
      <c r="H714" t="s">
        <v>332</v>
      </c>
      <c r="I714" s="5">
        <v>211414</v>
      </c>
      <c r="J714">
        <f>IFERROR(VLOOKUP(G714,'LEAID Match'!$A$2:$B$183,2,FALSE),"")</f>
        <v>1600690</v>
      </c>
      <c r="K714">
        <f t="shared" si="11"/>
        <v>9</v>
      </c>
    </row>
    <row r="715" spans="1:11" x14ac:dyDescent="0.2">
      <c r="A715">
        <v>1600690</v>
      </c>
      <c r="B715">
        <v>2021</v>
      </c>
      <c r="C715">
        <v>30</v>
      </c>
      <c r="D715" t="s">
        <v>428</v>
      </c>
      <c r="E715" t="s">
        <v>429</v>
      </c>
      <c r="F715" t="s">
        <v>433</v>
      </c>
      <c r="G715" t="s">
        <v>25</v>
      </c>
      <c r="H715" t="s">
        <v>228</v>
      </c>
      <c r="I715" s="5">
        <v>215034</v>
      </c>
      <c r="J715">
        <f>IFERROR(VLOOKUP(G715,'LEAID Match'!$A$2:$B$183,2,FALSE),"")</f>
        <v>1600690</v>
      </c>
      <c r="K715">
        <f t="shared" si="11"/>
        <v>9</v>
      </c>
    </row>
    <row r="716" spans="1:11" x14ac:dyDescent="0.2">
      <c r="A716">
        <v>1600690</v>
      </c>
      <c r="B716">
        <v>2022</v>
      </c>
      <c r="C716">
        <v>30</v>
      </c>
      <c r="D716" t="s">
        <v>428</v>
      </c>
      <c r="E716" t="s">
        <v>429</v>
      </c>
      <c r="F716" t="s">
        <v>433</v>
      </c>
      <c r="G716" t="s">
        <v>25</v>
      </c>
      <c r="H716" t="s">
        <v>228</v>
      </c>
      <c r="I716" s="5">
        <v>229331</v>
      </c>
      <c r="J716">
        <f>IFERROR(VLOOKUP(G716,'LEAID Match'!$A$2:$B$183,2,FALSE),"")</f>
        <v>1600690</v>
      </c>
      <c r="K716">
        <f t="shared" si="11"/>
        <v>9</v>
      </c>
    </row>
    <row r="717" spans="1:11" x14ac:dyDescent="0.2">
      <c r="A717">
        <v>1600690</v>
      </c>
      <c r="B717">
        <v>2023</v>
      </c>
      <c r="C717">
        <v>30</v>
      </c>
      <c r="D717" t="s">
        <v>428</v>
      </c>
      <c r="E717" t="s">
        <v>429</v>
      </c>
      <c r="F717" t="s">
        <v>433</v>
      </c>
      <c r="G717" t="s">
        <v>25</v>
      </c>
      <c r="H717" t="s">
        <v>228</v>
      </c>
      <c r="I717" s="5">
        <v>221801</v>
      </c>
      <c r="J717">
        <f>IFERROR(VLOOKUP(G717,'LEAID Match'!$A$2:$B$183,2,FALSE),"")</f>
        <v>1600690</v>
      </c>
      <c r="K717">
        <f t="shared" si="11"/>
        <v>9</v>
      </c>
    </row>
    <row r="718" spans="1:11" x14ac:dyDescent="0.2">
      <c r="A718">
        <v>1600720</v>
      </c>
      <c r="B718">
        <v>2015</v>
      </c>
      <c r="C718">
        <v>31</v>
      </c>
      <c r="D718" t="s">
        <v>428</v>
      </c>
      <c r="E718" t="s">
        <v>429</v>
      </c>
      <c r="F718" t="s">
        <v>433</v>
      </c>
      <c r="G718" t="s">
        <v>26</v>
      </c>
      <c r="H718" t="s">
        <v>26</v>
      </c>
      <c r="I718" s="5">
        <v>206182</v>
      </c>
      <c r="J718">
        <f>IFERROR(VLOOKUP(G718,'LEAID Match'!$A$2:$B$183,2,FALSE),"")</f>
        <v>1600720</v>
      </c>
      <c r="K718">
        <f t="shared" si="11"/>
        <v>9</v>
      </c>
    </row>
    <row r="719" spans="1:11" x14ac:dyDescent="0.2">
      <c r="A719">
        <v>1600720</v>
      </c>
      <c r="B719">
        <v>2016</v>
      </c>
      <c r="C719">
        <v>31</v>
      </c>
      <c r="D719" t="s">
        <v>428</v>
      </c>
      <c r="E719" t="s">
        <v>429</v>
      </c>
      <c r="F719" t="s">
        <v>433</v>
      </c>
      <c r="G719" t="s">
        <v>26</v>
      </c>
      <c r="H719" t="s">
        <v>26</v>
      </c>
      <c r="I719" s="5">
        <v>210876</v>
      </c>
      <c r="J719">
        <f>IFERROR(VLOOKUP(G719,'LEAID Match'!$A$2:$B$183,2,FALSE),"")</f>
        <v>1600720</v>
      </c>
      <c r="K719">
        <f t="shared" si="11"/>
        <v>9</v>
      </c>
    </row>
    <row r="720" spans="1:11" x14ac:dyDescent="0.2">
      <c r="A720">
        <v>1600720</v>
      </c>
      <c r="B720">
        <v>2017</v>
      </c>
      <c r="C720">
        <v>31</v>
      </c>
      <c r="D720" t="s">
        <v>428</v>
      </c>
      <c r="E720" t="s">
        <v>429</v>
      </c>
      <c r="F720" t="s">
        <v>433</v>
      </c>
      <c r="G720" t="s">
        <v>26</v>
      </c>
      <c r="H720" t="s">
        <v>26</v>
      </c>
      <c r="I720" s="5">
        <v>231084</v>
      </c>
      <c r="J720">
        <f>IFERROR(VLOOKUP(G720,'LEAID Match'!$A$2:$B$183,2,FALSE),"")</f>
        <v>1600720</v>
      </c>
      <c r="K720">
        <f t="shared" si="11"/>
        <v>9</v>
      </c>
    </row>
    <row r="721" spans="1:11" x14ac:dyDescent="0.2">
      <c r="A721">
        <v>1600720</v>
      </c>
      <c r="B721">
        <v>2018</v>
      </c>
      <c r="C721">
        <v>31</v>
      </c>
      <c r="D721" t="s">
        <v>428</v>
      </c>
      <c r="E721" t="s">
        <v>429</v>
      </c>
      <c r="F721" t="s">
        <v>433</v>
      </c>
      <c r="G721" t="s">
        <v>26</v>
      </c>
      <c r="H721" t="s">
        <v>26</v>
      </c>
      <c r="I721" s="5">
        <v>225580</v>
      </c>
      <c r="J721">
        <f>IFERROR(VLOOKUP(G721,'LEAID Match'!$A$2:$B$183,2,FALSE),"")</f>
        <v>1600720</v>
      </c>
      <c r="K721">
        <f t="shared" si="11"/>
        <v>9</v>
      </c>
    </row>
    <row r="722" spans="1:11" x14ac:dyDescent="0.2">
      <c r="A722">
        <v>1600720</v>
      </c>
      <c r="B722">
        <v>2019</v>
      </c>
      <c r="C722">
        <v>31</v>
      </c>
      <c r="D722" t="s">
        <v>428</v>
      </c>
      <c r="E722" t="s">
        <v>429</v>
      </c>
      <c r="F722" t="s">
        <v>433</v>
      </c>
      <c r="G722" t="s">
        <v>26</v>
      </c>
      <c r="H722" t="s">
        <v>229</v>
      </c>
      <c r="I722" s="5">
        <v>227568</v>
      </c>
      <c r="J722">
        <f>IFERROR(VLOOKUP(G722,'LEAID Match'!$A$2:$B$183,2,FALSE),"")</f>
        <v>1600720</v>
      </c>
      <c r="K722">
        <f t="shared" si="11"/>
        <v>9</v>
      </c>
    </row>
    <row r="723" spans="1:11" x14ac:dyDescent="0.2">
      <c r="A723">
        <v>1600720</v>
      </c>
      <c r="B723">
        <v>2020</v>
      </c>
      <c r="C723">
        <v>31</v>
      </c>
      <c r="D723" t="s">
        <v>428</v>
      </c>
      <c r="E723" t="s">
        <v>429</v>
      </c>
      <c r="F723" t="s">
        <v>433</v>
      </c>
      <c r="G723" t="s">
        <v>26</v>
      </c>
      <c r="H723" t="s">
        <v>333</v>
      </c>
      <c r="I723" s="5">
        <v>243670</v>
      </c>
      <c r="J723">
        <f>IFERROR(VLOOKUP(G723,'LEAID Match'!$A$2:$B$183,2,FALSE),"")</f>
        <v>1600720</v>
      </c>
      <c r="K723">
        <f t="shared" si="11"/>
        <v>9</v>
      </c>
    </row>
    <row r="724" spans="1:11" x14ac:dyDescent="0.2">
      <c r="A724">
        <v>1600720</v>
      </c>
      <c r="B724">
        <v>2021</v>
      </c>
      <c r="C724">
        <v>31</v>
      </c>
      <c r="D724" t="s">
        <v>428</v>
      </c>
      <c r="E724" t="s">
        <v>429</v>
      </c>
      <c r="F724" t="s">
        <v>433</v>
      </c>
      <c r="G724" t="s">
        <v>26</v>
      </c>
      <c r="H724" t="s">
        <v>229</v>
      </c>
      <c r="I724" s="5">
        <v>259362</v>
      </c>
      <c r="J724">
        <f>IFERROR(VLOOKUP(G724,'LEAID Match'!$A$2:$B$183,2,FALSE),"")</f>
        <v>1600720</v>
      </c>
      <c r="K724">
        <f t="shared" si="11"/>
        <v>9</v>
      </c>
    </row>
    <row r="725" spans="1:11" x14ac:dyDescent="0.2">
      <c r="A725">
        <v>1600720</v>
      </c>
      <c r="B725">
        <v>2022</v>
      </c>
      <c r="C725">
        <v>31</v>
      </c>
      <c r="D725" t="s">
        <v>428</v>
      </c>
      <c r="E725" t="s">
        <v>429</v>
      </c>
      <c r="F725" t="s">
        <v>433</v>
      </c>
      <c r="G725" t="s">
        <v>26</v>
      </c>
      <c r="H725" t="s">
        <v>229</v>
      </c>
      <c r="I725" s="5">
        <v>273650</v>
      </c>
      <c r="J725">
        <f>IFERROR(VLOOKUP(G725,'LEAID Match'!$A$2:$B$183,2,FALSE),"")</f>
        <v>1600720</v>
      </c>
      <c r="K725">
        <f t="shared" si="11"/>
        <v>9</v>
      </c>
    </row>
    <row r="726" spans="1:11" x14ac:dyDescent="0.2">
      <c r="A726">
        <v>1600720</v>
      </c>
      <c r="B726">
        <v>2023</v>
      </c>
      <c r="C726">
        <v>31</v>
      </c>
      <c r="D726" t="s">
        <v>428</v>
      </c>
      <c r="E726" t="s">
        <v>429</v>
      </c>
      <c r="F726" t="s">
        <v>433</v>
      </c>
      <c r="G726" t="s">
        <v>26</v>
      </c>
      <c r="H726" t="s">
        <v>229</v>
      </c>
      <c r="I726" s="5">
        <v>281571</v>
      </c>
      <c r="J726">
        <f>IFERROR(VLOOKUP(G726,'LEAID Match'!$A$2:$B$183,2,FALSE),"")</f>
        <v>1600720</v>
      </c>
      <c r="K726">
        <f t="shared" si="11"/>
        <v>9</v>
      </c>
    </row>
    <row r="727" spans="1:11" x14ac:dyDescent="0.2">
      <c r="A727">
        <v>1600750</v>
      </c>
      <c r="B727">
        <v>2015</v>
      </c>
      <c r="C727">
        <v>33</v>
      </c>
      <c r="D727" t="s">
        <v>428</v>
      </c>
      <c r="E727" t="s">
        <v>429</v>
      </c>
      <c r="F727" t="s">
        <v>433</v>
      </c>
      <c r="G727" t="s">
        <v>27</v>
      </c>
      <c r="H727" t="s">
        <v>27</v>
      </c>
      <c r="I727" s="5">
        <v>110637</v>
      </c>
      <c r="J727">
        <f>IFERROR(VLOOKUP(G727,'LEAID Match'!$A$2:$B$183,2,FALSE),"")</f>
        <v>1600750</v>
      </c>
      <c r="K727">
        <f t="shared" si="11"/>
        <v>9</v>
      </c>
    </row>
    <row r="728" spans="1:11" x14ac:dyDescent="0.2">
      <c r="A728">
        <v>1600750</v>
      </c>
      <c r="B728">
        <v>2016</v>
      </c>
      <c r="C728">
        <v>33</v>
      </c>
      <c r="D728" t="s">
        <v>428</v>
      </c>
      <c r="E728" t="s">
        <v>429</v>
      </c>
      <c r="F728" t="s">
        <v>433</v>
      </c>
      <c r="G728" t="s">
        <v>27</v>
      </c>
      <c r="H728" t="s">
        <v>27</v>
      </c>
      <c r="I728" s="5">
        <v>130136</v>
      </c>
      <c r="J728">
        <f>IFERROR(VLOOKUP(G728,'LEAID Match'!$A$2:$B$183,2,FALSE),"")</f>
        <v>1600750</v>
      </c>
      <c r="K728">
        <f t="shared" si="11"/>
        <v>9</v>
      </c>
    </row>
    <row r="729" spans="1:11" x14ac:dyDescent="0.2">
      <c r="A729">
        <v>1600750</v>
      </c>
      <c r="B729">
        <v>2017</v>
      </c>
      <c r="C729">
        <v>33</v>
      </c>
      <c r="D729" t="s">
        <v>428</v>
      </c>
      <c r="E729" t="s">
        <v>429</v>
      </c>
      <c r="F729" t="s">
        <v>433</v>
      </c>
      <c r="G729" t="s">
        <v>27</v>
      </c>
      <c r="H729" t="s">
        <v>27</v>
      </c>
      <c r="I729" s="5">
        <v>124604</v>
      </c>
      <c r="J729">
        <f>IFERROR(VLOOKUP(G729,'LEAID Match'!$A$2:$B$183,2,FALSE),"")</f>
        <v>1600750</v>
      </c>
      <c r="K729">
        <f t="shared" si="11"/>
        <v>9</v>
      </c>
    </row>
    <row r="730" spans="1:11" x14ac:dyDescent="0.2">
      <c r="A730">
        <v>1600750</v>
      </c>
      <c r="B730">
        <v>2018</v>
      </c>
      <c r="C730">
        <v>33</v>
      </c>
      <c r="D730" t="s">
        <v>428</v>
      </c>
      <c r="E730" t="s">
        <v>429</v>
      </c>
      <c r="F730" t="s">
        <v>433</v>
      </c>
      <c r="G730" t="s">
        <v>27</v>
      </c>
      <c r="H730" t="s">
        <v>27</v>
      </c>
      <c r="I730" s="5">
        <v>130173</v>
      </c>
      <c r="J730">
        <f>IFERROR(VLOOKUP(G730,'LEAID Match'!$A$2:$B$183,2,FALSE),"")</f>
        <v>1600750</v>
      </c>
      <c r="K730">
        <f t="shared" si="11"/>
        <v>9</v>
      </c>
    </row>
    <row r="731" spans="1:11" x14ac:dyDescent="0.2">
      <c r="A731">
        <v>1600750</v>
      </c>
      <c r="B731">
        <v>2019</v>
      </c>
      <c r="C731">
        <v>33</v>
      </c>
      <c r="D731" t="s">
        <v>428</v>
      </c>
      <c r="E731" t="s">
        <v>429</v>
      </c>
      <c r="F731" t="s">
        <v>433</v>
      </c>
      <c r="G731" t="s">
        <v>27</v>
      </c>
      <c r="H731" t="s">
        <v>230</v>
      </c>
      <c r="I731" s="5">
        <v>129633</v>
      </c>
      <c r="J731">
        <f>IFERROR(VLOOKUP(G731,'LEAID Match'!$A$2:$B$183,2,FALSE),"")</f>
        <v>1600750</v>
      </c>
      <c r="K731">
        <f t="shared" si="11"/>
        <v>9</v>
      </c>
    </row>
    <row r="732" spans="1:11" x14ac:dyDescent="0.2">
      <c r="A732">
        <v>1600750</v>
      </c>
      <c r="B732">
        <v>2020</v>
      </c>
      <c r="C732">
        <v>33</v>
      </c>
      <c r="D732" t="s">
        <v>428</v>
      </c>
      <c r="E732" t="s">
        <v>429</v>
      </c>
      <c r="F732" t="s">
        <v>433</v>
      </c>
      <c r="G732" t="s">
        <v>27</v>
      </c>
      <c r="H732" t="s">
        <v>230</v>
      </c>
      <c r="I732" s="5">
        <v>140673</v>
      </c>
      <c r="J732">
        <f>IFERROR(VLOOKUP(G732,'LEAID Match'!$A$2:$B$183,2,FALSE),"")</f>
        <v>1600750</v>
      </c>
      <c r="K732">
        <f t="shared" si="11"/>
        <v>9</v>
      </c>
    </row>
    <row r="733" spans="1:11" x14ac:dyDescent="0.2">
      <c r="A733">
        <v>1600750</v>
      </c>
      <c r="B733">
        <v>2021</v>
      </c>
      <c r="C733">
        <v>33</v>
      </c>
      <c r="D733" t="s">
        <v>428</v>
      </c>
      <c r="E733" t="s">
        <v>429</v>
      </c>
      <c r="F733" t="s">
        <v>433</v>
      </c>
      <c r="G733" t="s">
        <v>27</v>
      </c>
      <c r="H733" t="s">
        <v>384</v>
      </c>
      <c r="I733" s="5">
        <v>146247</v>
      </c>
      <c r="J733">
        <f>IFERROR(VLOOKUP(G733,'LEAID Match'!$A$2:$B$183,2,FALSE),"")</f>
        <v>1600750</v>
      </c>
      <c r="K733">
        <f t="shared" si="11"/>
        <v>9</v>
      </c>
    </row>
    <row r="734" spans="1:11" x14ac:dyDescent="0.2">
      <c r="A734">
        <v>1600750</v>
      </c>
      <c r="B734">
        <v>2022</v>
      </c>
      <c r="C734">
        <v>33</v>
      </c>
      <c r="D734" t="s">
        <v>428</v>
      </c>
      <c r="E734" t="s">
        <v>429</v>
      </c>
      <c r="F734" t="s">
        <v>433</v>
      </c>
      <c r="G734" t="s">
        <v>27</v>
      </c>
      <c r="H734" t="s">
        <v>230</v>
      </c>
      <c r="I734" s="5">
        <v>144110</v>
      </c>
      <c r="J734">
        <f>IFERROR(VLOOKUP(G734,'LEAID Match'!$A$2:$B$183,2,FALSE),"")</f>
        <v>1600750</v>
      </c>
      <c r="K734">
        <f t="shared" si="11"/>
        <v>9</v>
      </c>
    </row>
    <row r="735" spans="1:11" x14ac:dyDescent="0.2">
      <c r="A735">
        <v>1600750</v>
      </c>
      <c r="B735">
        <v>2023</v>
      </c>
      <c r="C735">
        <v>33</v>
      </c>
      <c r="D735" t="s">
        <v>428</v>
      </c>
      <c r="E735" t="s">
        <v>429</v>
      </c>
      <c r="F735" t="s">
        <v>433</v>
      </c>
      <c r="G735" t="s">
        <v>27</v>
      </c>
      <c r="H735" t="s">
        <v>230</v>
      </c>
      <c r="I735" s="5">
        <v>147524</v>
      </c>
      <c r="J735">
        <f>IFERROR(VLOOKUP(G735,'LEAID Match'!$A$2:$B$183,2,FALSE),"")</f>
        <v>1600750</v>
      </c>
      <c r="K735">
        <f t="shared" si="11"/>
        <v>9</v>
      </c>
    </row>
    <row r="736" spans="1:11" x14ac:dyDescent="0.2">
      <c r="A736">
        <v>1600780</v>
      </c>
      <c r="B736">
        <v>2015</v>
      </c>
      <c r="C736">
        <v>36</v>
      </c>
      <c r="D736" t="s">
        <v>428</v>
      </c>
      <c r="E736" t="s">
        <v>429</v>
      </c>
      <c r="F736" t="s">
        <v>433</v>
      </c>
      <c r="G736" t="s">
        <v>29</v>
      </c>
      <c r="H736" t="s">
        <v>29</v>
      </c>
      <c r="I736" s="5">
        <v>4650130</v>
      </c>
      <c r="J736">
        <f>IFERROR(VLOOKUP(G736,'LEAID Match'!$A$2:$B$183,2,FALSE),"")</f>
        <v>1600780</v>
      </c>
      <c r="K736">
        <f t="shared" si="11"/>
        <v>9</v>
      </c>
    </row>
    <row r="737" spans="1:11" x14ac:dyDescent="0.2">
      <c r="A737">
        <v>1600780</v>
      </c>
      <c r="B737">
        <v>2016</v>
      </c>
      <c r="C737">
        <v>36</v>
      </c>
      <c r="D737" t="s">
        <v>428</v>
      </c>
      <c r="E737" t="s">
        <v>429</v>
      </c>
      <c r="F737" t="s">
        <v>433</v>
      </c>
      <c r="G737" t="s">
        <v>29</v>
      </c>
      <c r="H737" t="s">
        <v>29</v>
      </c>
      <c r="I737" s="5">
        <v>4817827</v>
      </c>
      <c r="J737">
        <f>IFERROR(VLOOKUP(G737,'LEAID Match'!$A$2:$B$183,2,FALSE),"")</f>
        <v>1600780</v>
      </c>
      <c r="K737">
        <f t="shared" si="11"/>
        <v>9</v>
      </c>
    </row>
    <row r="738" spans="1:11" x14ac:dyDescent="0.2">
      <c r="A738">
        <v>1600780</v>
      </c>
      <c r="B738">
        <v>2017</v>
      </c>
      <c r="C738">
        <v>36</v>
      </c>
      <c r="D738" t="s">
        <v>428</v>
      </c>
      <c r="E738" t="s">
        <v>429</v>
      </c>
      <c r="F738" t="s">
        <v>433</v>
      </c>
      <c r="G738" t="s">
        <v>29</v>
      </c>
      <c r="H738" t="s">
        <v>29</v>
      </c>
      <c r="I738" s="5">
        <v>5069155</v>
      </c>
      <c r="J738">
        <f>IFERROR(VLOOKUP(G738,'LEAID Match'!$A$2:$B$183,2,FALSE),"")</f>
        <v>1600780</v>
      </c>
      <c r="K738">
        <f t="shared" si="11"/>
        <v>9</v>
      </c>
    </row>
    <row r="739" spans="1:11" x14ac:dyDescent="0.2">
      <c r="A739">
        <v>1600780</v>
      </c>
      <c r="B739">
        <v>2018</v>
      </c>
      <c r="C739">
        <v>36</v>
      </c>
      <c r="D739" t="s">
        <v>428</v>
      </c>
      <c r="E739" t="s">
        <v>429</v>
      </c>
      <c r="F739" t="s">
        <v>433</v>
      </c>
      <c r="G739" t="s">
        <v>29</v>
      </c>
      <c r="H739" t="s">
        <v>29</v>
      </c>
      <c r="I739" s="5">
        <v>5306777</v>
      </c>
      <c r="J739">
        <f>IFERROR(VLOOKUP(G739,'LEAID Match'!$A$2:$B$183,2,FALSE),"")</f>
        <v>1600780</v>
      </c>
      <c r="K739">
        <f t="shared" si="11"/>
        <v>9</v>
      </c>
    </row>
    <row r="740" spans="1:11" x14ac:dyDescent="0.2">
      <c r="A740">
        <v>1600780</v>
      </c>
      <c r="B740">
        <v>2019</v>
      </c>
      <c r="C740">
        <v>36</v>
      </c>
      <c r="D740" t="s">
        <v>428</v>
      </c>
      <c r="E740" t="s">
        <v>429</v>
      </c>
      <c r="F740" t="s">
        <v>433</v>
      </c>
      <c r="G740" t="s">
        <v>29</v>
      </c>
      <c r="H740" t="s">
        <v>232</v>
      </c>
      <c r="I740" s="5">
        <v>5524508</v>
      </c>
      <c r="J740">
        <f>IFERROR(VLOOKUP(G740,'LEAID Match'!$A$2:$B$183,2,FALSE),"")</f>
        <v>1600780</v>
      </c>
      <c r="K740">
        <f t="shared" si="11"/>
        <v>9</v>
      </c>
    </row>
    <row r="741" spans="1:11" x14ac:dyDescent="0.2">
      <c r="A741">
        <v>1600780</v>
      </c>
      <c r="B741">
        <v>2020</v>
      </c>
      <c r="C741">
        <v>36</v>
      </c>
      <c r="D741" t="s">
        <v>428</v>
      </c>
      <c r="E741" t="s">
        <v>429</v>
      </c>
      <c r="F741" t="s">
        <v>433</v>
      </c>
      <c r="G741" t="s">
        <v>29</v>
      </c>
      <c r="H741" t="s">
        <v>336</v>
      </c>
      <c r="I741" s="5">
        <v>6438871</v>
      </c>
      <c r="J741">
        <f>IFERROR(VLOOKUP(G741,'LEAID Match'!$A$2:$B$183,2,FALSE),"")</f>
        <v>1600780</v>
      </c>
      <c r="K741">
        <f t="shared" si="11"/>
        <v>9</v>
      </c>
    </row>
    <row r="742" spans="1:11" x14ac:dyDescent="0.2">
      <c r="A742">
        <v>1600780</v>
      </c>
      <c r="B742">
        <v>2021</v>
      </c>
      <c r="C742">
        <v>36</v>
      </c>
      <c r="D742" t="s">
        <v>428</v>
      </c>
      <c r="E742" t="s">
        <v>429</v>
      </c>
      <c r="F742" t="s">
        <v>433</v>
      </c>
      <c r="G742" t="s">
        <v>29</v>
      </c>
      <c r="H742" t="s">
        <v>232</v>
      </c>
      <c r="I742" s="5">
        <v>6790709</v>
      </c>
      <c r="J742">
        <f>IFERROR(VLOOKUP(G742,'LEAID Match'!$A$2:$B$183,2,FALSE),"")</f>
        <v>1600780</v>
      </c>
      <c r="K742">
        <f t="shared" si="11"/>
        <v>9</v>
      </c>
    </row>
    <row r="743" spans="1:11" x14ac:dyDescent="0.2">
      <c r="A743">
        <v>1600780</v>
      </c>
      <c r="B743">
        <v>2022</v>
      </c>
      <c r="C743">
        <v>36</v>
      </c>
      <c r="D743" t="s">
        <v>428</v>
      </c>
      <c r="E743" t="s">
        <v>429</v>
      </c>
      <c r="F743" t="s">
        <v>433</v>
      </c>
      <c r="G743" t="s">
        <v>29</v>
      </c>
      <c r="H743" t="s">
        <v>232</v>
      </c>
      <c r="I743" s="5">
        <v>7028304</v>
      </c>
      <c r="J743">
        <f>IFERROR(VLOOKUP(G743,'LEAID Match'!$A$2:$B$183,2,FALSE),"")</f>
        <v>1600780</v>
      </c>
      <c r="K743">
        <f t="shared" si="11"/>
        <v>9</v>
      </c>
    </row>
    <row r="744" spans="1:11" x14ac:dyDescent="0.2">
      <c r="A744">
        <v>1600780</v>
      </c>
      <c r="B744">
        <v>2023</v>
      </c>
      <c r="C744">
        <v>36</v>
      </c>
      <c r="D744" t="s">
        <v>428</v>
      </c>
      <c r="E744" t="s">
        <v>429</v>
      </c>
      <c r="F744" t="s">
        <v>433</v>
      </c>
      <c r="G744" t="s">
        <v>29</v>
      </c>
      <c r="H744" t="s">
        <v>232</v>
      </c>
      <c r="I744" s="5">
        <v>7250656</v>
      </c>
      <c r="J744">
        <f>IFERROR(VLOOKUP(G744,'LEAID Match'!$A$2:$B$183,2,FALSE),"")</f>
        <v>1600780</v>
      </c>
      <c r="K744">
        <f t="shared" si="11"/>
        <v>9</v>
      </c>
    </row>
    <row r="745" spans="1:11" x14ac:dyDescent="0.2">
      <c r="A745">
        <v>1600810</v>
      </c>
      <c r="B745">
        <v>2015</v>
      </c>
      <c r="C745">
        <v>41</v>
      </c>
      <c r="D745" t="s">
        <v>428</v>
      </c>
      <c r="E745" t="s">
        <v>429</v>
      </c>
      <c r="F745" t="s">
        <v>433</v>
      </c>
      <c r="G745" t="s">
        <v>30</v>
      </c>
      <c r="H745" t="s">
        <v>30</v>
      </c>
      <c r="I745" s="5">
        <v>223049</v>
      </c>
      <c r="J745">
        <f>IFERROR(VLOOKUP(G745,'LEAID Match'!$A$2:$B$183,2,FALSE),"")</f>
        <v>1600810</v>
      </c>
      <c r="K745">
        <f t="shared" si="11"/>
        <v>9</v>
      </c>
    </row>
    <row r="746" spans="1:11" x14ac:dyDescent="0.2">
      <c r="A746">
        <v>1600810</v>
      </c>
      <c r="B746">
        <v>2016</v>
      </c>
      <c r="C746">
        <v>41</v>
      </c>
      <c r="D746" t="s">
        <v>428</v>
      </c>
      <c r="E746" t="s">
        <v>429</v>
      </c>
      <c r="F746" t="s">
        <v>433</v>
      </c>
      <c r="G746" t="s">
        <v>30</v>
      </c>
      <c r="H746" t="s">
        <v>30</v>
      </c>
      <c r="I746" s="5">
        <v>231407</v>
      </c>
      <c r="J746">
        <f>IFERROR(VLOOKUP(G746,'LEAID Match'!$A$2:$B$183,2,FALSE),"")</f>
        <v>1600810</v>
      </c>
      <c r="K746">
        <f t="shared" si="11"/>
        <v>9</v>
      </c>
    </row>
    <row r="747" spans="1:11" x14ac:dyDescent="0.2">
      <c r="A747">
        <v>1600810</v>
      </c>
      <c r="B747">
        <v>2017</v>
      </c>
      <c r="C747">
        <v>41</v>
      </c>
      <c r="D747" t="s">
        <v>428</v>
      </c>
      <c r="E747" t="s">
        <v>429</v>
      </c>
      <c r="F747" t="s">
        <v>433</v>
      </c>
      <c r="G747" t="s">
        <v>30</v>
      </c>
      <c r="H747" t="s">
        <v>30</v>
      </c>
      <c r="I747" s="5">
        <v>243246</v>
      </c>
      <c r="J747">
        <f>IFERROR(VLOOKUP(G747,'LEAID Match'!$A$2:$B$183,2,FALSE),"")</f>
        <v>1600810</v>
      </c>
      <c r="K747">
        <f t="shared" si="11"/>
        <v>9</v>
      </c>
    </row>
    <row r="748" spans="1:11" x14ac:dyDescent="0.2">
      <c r="A748">
        <v>1600810</v>
      </c>
      <c r="B748">
        <v>2018</v>
      </c>
      <c r="C748">
        <v>41</v>
      </c>
      <c r="D748" t="s">
        <v>428</v>
      </c>
      <c r="E748" t="s">
        <v>429</v>
      </c>
      <c r="F748" t="s">
        <v>433</v>
      </c>
      <c r="G748" t="s">
        <v>30</v>
      </c>
      <c r="H748" t="s">
        <v>30</v>
      </c>
      <c r="I748" s="5">
        <v>252378</v>
      </c>
      <c r="J748">
        <f>IFERROR(VLOOKUP(G748,'LEAID Match'!$A$2:$B$183,2,FALSE),"")</f>
        <v>1600810</v>
      </c>
      <c r="K748">
        <f t="shared" si="11"/>
        <v>9</v>
      </c>
    </row>
    <row r="749" spans="1:11" x14ac:dyDescent="0.2">
      <c r="A749">
        <v>1600810</v>
      </c>
      <c r="B749">
        <v>2019</v>
      </c>
      <c r="C749">
        <v>41</v>
      </c>
      <c r="D749" t="s">
        <v>428</v>
      </c>
      <c r="E749" t="s">
        <v>429</v>
      </c>
      <c r="F749" t="s">
        <v>433</v>
      </c>
      <c r="G749" t="s">
        <v>30</v>
      </c>
      <c r="H749" t="s">
        <v>235</v>
      </c>
      <c r="I749" s="5">
        <v>249059</v>
      </c>
      <c r="J749">
        <f>IFERROR(VLOOKUP(G749,'LEAID Match'!$A$2:$B$183,2,FALSE),"")</f>
        <v>1600810</v>
      </c>
      <c r="K749">
        <f t="shared" si="11"/>
        <v>9</v>
      </c>
    </row>
    <row r="750" spans="1:11" x14ac:dyDescent="0.2">
      <c r="A750">
        <v>1600810</v>
      </c>
      <c r="B750">
        <v>2020</v>
      </c>
      <c r="C750">
        <v>41</v>
      </c>
      <c r="D750" t="s">
        <v>428</v>
      </c>
      <c r="E750" t="s">
        <v>429</v>
      </c>
      <c r="F750" t="s">
        <v>433</v>
      </c>
      <c r="G750" t="s">
        <v>30</v>
      </c>
      <c r="H750" t="s">
        <v>337</v>
      </c>
      <c r="I750" s="5">
        <v>262032</v>
      </c>
      <c r="J750">
        <f>IFERROR(VLOOKUP(G750,'LEAID Match'!$A$2:$B$183,2,FALSE),"")</f>
        <v>1600810</v>
      </c>
      <c r="K750">
        <f t="shared" si="11"/>
        <v>9</v>
      </c>
    </row>
    <row r="751" spans="1:11" x14ac:dyDescent="0.2">
      <c r="A751">
        <v>1600810</v>
      </c>
      <c r="B751">
        <v>2021</v>
      </c>
      <c r="C751">
        <v>41</v>
      </c>
      <c r="D751" t="s">
        <v>428</v>
      </c>
      <c r="E751" t="s">
        <v>429</v>
      </c>
      <c r="F751" t="s">
        <v>433</v>
      </c>
      <c r="G751" t="s">
        <v>30</v>
      </c>
      <c r="H751" t="s">
        <v>235</v>
      </c>
      <c r="I751" s="5">
        <v>267652</v>
      </c>
      <c r="J751">
        <f>IFERROR(VLOOKUP(G751,'LEAID Match'!$A$2:$B$183,2,FALSE),"")</f>
        <v>1600810</v>
      </c>
      <c r="K751">
        <f t="shared" si="11"/>
        <v>9</v>
      </c>
    </row>
    <row r="752" spans="1:11" x14ac:dyDescent="0.2">
      <c r="A752">
        <v>1600810</v>
      </c>
      <c r="B752">
        <v>2022</v>
      </c>
      <c r="C752">
        <v>41</v>
      </c>
      <c r="D752" t="s">
        <v>428</v>
      </c>
      <c r="E752" t="s">
        <v>429</v>
      </c>
      <c r="F752" t="s">
        <v>433</v>
      </c>
      <c r="G752" t="s">
        <v>30</v>
      </c>
      <c r="H752" t="s">
        <v>235</v>
      </c>
      <c r="I752" s="5">
        <v>283023</v>
      </c>
      <c r="J752">
        <f>IFERROR(VLOOKUP(G752,'LEAID Match'!$A$2:$B$183,2,FALSE),"")</f>
        <v>1600810</v>
      </c>
      <c r="K752">
        <f t="shared" si="11"/>
        <v>9</v>
      </c>
    </row>
    <row r="753" spans="1:11" x14ac:dyDescent="0.2">
      <c r="A753">
        <v>1600810</v>
      </c>
      <c r="B753">
        <v>2023</v>
      </c>
      <c r="C753">
        <v>41</v>
      </c>
      <c r="D753" t="s">
        <v>428</v>
      </c>
      <c r="E753" t="s">
        <v>429</v>
      </c>
      <c r="F753" t="s">
        <v>433</v>
      </c>
      <c r="G753" t="s">
        <v>30</v>
      </c>
      <c r="H753" t="s">
        <v>235</v>
      </c>
      <c r="I753" s="5">
        <v>297700</v>
      </c>
      <c r="J753">
        <f>IFERROR(VLOOKUP(G753,'LEAID Match'!$A$2:$B$183,2,FALSE),"")</f>
        <v>1600810</v>
      </c>
      <c r="K753">
        <f t="shared" si="11"/>
        <v>9</v>
      </c>
    </row>
    <row r="754" spans="1:11" x14ac:dyDescent="0.2">
      <c r="A754">
        <v>1600815</v>
      </c>
      <c r="B754">
        <v>2015</v>
      </c>
      <c r="C754">
        <v>141</v>
      </c>
      <c r="D754" t="s">
        <v>428</v>
      </c>
      <c r="E754" t="s">
        <v>429</v>
      </c>
      <c r="F754" t="s">
        <v>433</v>
      </c>
      <c r="G754" t="s">
        <v>84</v>
      </c>
      <c r="H754" t="s">
        <v>84</v>
      </c>
      <c r="I754" s="5">
        <v>269504</v>
      </c>
      <c r="J754">
        <f>IFERROR(VLOOKUP(G754,'LEAID Match'!$A$2:$B$183,2,FALSE),"")</f>
        <v>1600815</v>
      </c>
      <c r="K754">
        <f t="shared" si="11"/>
        <v>9</v>
      </c>
    </row>
    <row r="755" spans="1:11" x14ac:dyDescent="0.2">
      <c r="A755">
        <v>1600815</v>
      </c>
      <c r="B755">
        <v>2016</v>
      </c>
      <c r="C755">
        <v>141</v>
      </c>
      <c r="D755" t="s">
        <v>428</v>
      </c>
      <c r="E755" t="s">
        <v>429</v>
      </c>
      <c r="F755" t="s">
        <v>433</v>
      </c>
      <c r="G755" t="s">
        <v>84</v>
      </c>
      <c r="H755" t="s">
        <v>84</v>
      </c>
      <c r="I755" s="5">
        <v>290232</v>
      </c>
      <c r="J755">
        <f>IFERROR(VLOOKUP(G755,'LEAID Match'!$A$2:$B$183,2,FALSE),"")</f>
        <v>1600815</v>
      </c>
      <c r="K755">
        <f t="shared" si="11"/>
        <v>9</v>
      </c>
    </row>
    <row r="756" spans="1:11" x14ac:dyDescent="0.2">
      <c r="A756">
        <v>1600815</v>
      </c>
      <c r="B756">
        <v>2017</v>
      </c>
      <c r="C756">
        <v>141</v>
      </c>
      <c r="D756" t="s">
        <v>428</v>
      </c>
      <c r="E756" t="s">
        <v>429</v>
      </c>
      <c r="F756" t="s">
        <v>433</v>
      </c>
      <c r="G756" t="s">
        <v>84</v>
      </c>
      <c r="H756" t="s">
        <v>84</v>
      </c>
      <c r="I756" s="5">
        <v>316141</v>
      </c>
      <c r="J756">
        <f>IFERROR(VLOOKUP(G756,'LEAID Match'!$A$2:$B$183,2,FALSE),"")</f>
        <v>1600815</v>
      </c>
      <c r="K756">
        <f t="shared" si="11"/>
        <v>9</v>
      </c>
    </row>
    <row r="757" spans="1:11" x14ac:dyDescent="0.2">
      <c r="A757">
        <v>1600815</v>
      </c>
      <c r="B757">
        <v>2018</v>
      </c>
      <c r="C757">
        <v>141</v>
      </c>
      <c r="D757" t="s">
        <v>428</v>
      </c>
      <c r="E757" t="s">
        <v>429</v>
      </c>
      <c r="F757" t="s">
        <v>433</v>
      </c>
      <c r="G757" t="s">
        <v>84</v>
      </c>
      <c r="H757" t="s">
        <v>84</v>
      </c>
      <c r="I757" s="5">
        <v>329358</v>
      </c>
      <c r="J757">
        <f>IFERROR(VLOOKUP(G757,'LEAID Match'!$A$2:$B$183,2,FALSE),"")</f>
        <v>1600815</v>
      </c>
      <c r="K757">
        <f t="shared" si="11"/>
        <v>9</v>
      </c>
    </row>
    <row r="758" spans="1:11" x14ac:dyDescent="0.2">
      <c r="A758">
        <v>1600815</v>
      </c>
      <c r="B758">
        <v>2019</v>
      </c>
      <c r="C758">
        <v>141</v>
      </c>
      <c r="D758" t="s">
        <v>428</v>
      </c>
      <c r="E758" t="s">
        <v>429</v>
      </c>
      <c r="F758" t="s">
        <v>433</v>
      </c>
      <c r="G758" t="s">
        <v>84</v>
      </c>
      <c r="H758" t="s">
        <v>294</v>
      </c>
      <c r="I758" s="5">
        <v>341872</v>
      </c>
      <c r="J758">
        <f>IFERROR(VLOOKUP(G758,'LEAID Match'!$A$2:$B$183,2,FALSE),"")</f>
        <v>1600815</v>
      </c>
      <c r="K758">
        <f t="shared" si="11"/>
        <v>9</v>
      </c>
    </row>
    <row r="759" spans="1:11" x14ac:dyDescent="0.2">
      <c r="A759">
        <v>1600815</v>
      </c>
      <c r="B759">
        <v>2020</v>
      </c>
      <c r="C759">
        <v>141</v>
      </c>
      <c r="D759" t="s">
        <v>428</v>
      </c>
      <c r="E759" t="s">
        <v>429</v>
      </c>
      <c r="F759" t="s">
        <v>433</v>
      </c>
      <c r="G759" t="s">
        <v>84</v>
      </c>
      <c r="H759" t="s">
        <v>366</v>
      </c>
      <c r="I759" s="5">
        <v>394137</v>
      </c>
      <c r="J759">
        <f>IFERROR(VLOOKUP(G759,'LEAID Match'!$A$2:$B$183,2,FALSE),"")</f>
        <v>1600815</v>
      </c>
      <c r="K759">
        <f t="shared" si="11"/>
        <v>9</v>
      </c>
    </row>
    <row r="760" spans="1:11" x14ac:dyDescent="0.2">
      <c r="A760">
        <v>1600815</v>
      </c>
      <c r="B760">
        <v>2021</v>
      </c>
      <c r="C760">
        <v>141</v>
      </c>
      <c r="D760" t="s">
        <v>428</v>
      </c>
      <c r="E760" t="s">
        <v>429</v>
      </c>
      <c r="F760" t="s">
        <v>433</v>
      </c>
      <c r="G760" t="s">
        <v>84</v>
      </c>
      <c r="H760" t="s">
        <v>294</v>
      </c>
      <c r="I760" s="5">
        <v>414627</v>
      </c>
      <c r="J760">
        <f>IFERROR(VLOOKUP(G760,'LEAID Match'!$A$2:$B$183,2,FALSE),"")</f>
        <v>1600815</v>
      </c>
      <c r="K760">
        <f t="shared" si="11"/>
        <v>9</v>
      </c>
    </row>
    <row r="761" spans="1:11" x14ac:dyDescent="0.2">
      <c r="A761">
        <v>1600815</v>
      </c>
      <c r="B761">
        <v>2022</v>
      </c>
      <c r="C761">
        <v>141</v>
      </c>
      <c r="D761" t="s">
        <v>428</v>
      </c>
      <c r="E761" t="s">
        <v>429</v>
      </c>
      <c r="F761" t="s">
        <v>433</v>
      </c>
      <c r="G761" t="s">
        <v>84</v>
      </c>
      <c r="H761" t="s">
        <v>294</v>
      </c>
      <c r="I761" s="5">
        <v>446307</v>
      </c>
      <c r="J761">
        <f>IFERROR(VLOOKUP(G761,'LEAID Match'!$A$2:$B$183,2,FALSE),"")</f>
        <v>1600815</v>
      </c>
      <c r="K761">
        <f t="shared" si="11"/>
        <v>9</v>
      </c>
    </row>
    <row r="762" spans="1:11" x14ac:dyDescent="0.2">
      <c r="A762">
        <v>1600815</v>
      </c>
      <c r="B762">
        <v>2023</v>
      </c>
      <c r="C762">
        <v>141</v>
      </c>
      <c r="D762" t="s">
        <v>428</v>
      </c>
      <c r="E762" t="s">
        <v>429</v>
      </c>
      <c r="F762" t="s">
        <v>433</v>
      </c>
      <c r="G762" t="s">
        <v>84</v>
      </c>
      <c r="H762" t="s">
        <v>294</v>
      </c>
      <c r="I762" s="5">
        <v>450117</v>
      </c>
      <c r="J762">
        <f>IFERROR(VLOOKUP(G762,'LEAID Match'!$A$2:$B$183,2,FALSE),"")</f>
        <v>1600815</v>
      </c>
      <c r="K762">
        <f t="shared" si="11"/>
        <v>9</v>
      </c>
    </row>
    <row r="763" spans="1:11" x14ac:dyDescent="0.2">
      <c r="A763">
        <v>1600840</v>
      </c>
      <c r="B763">
        <v>2015</v>
      </c>
      <c r="C763">
        <v>42</v>
      </c>
      <c r="D763" t="s">
        <v>428</v>
      </c>
      <c r="E763" t="s">
        <v>429</v>
      </c>
      <c r="F763" t="s">
        <v>433</v>
      </c>
      <c r="G763" t="s">
        <v>31</v>
      </c>
      <c r="H763" t="s">
        <v>31</v>
      </c>
      <c r="I763" s="5">
        <v>144714</v>
      </c>
      <c r="J763">
        <f>IFERROR(VLOOKUP(G763,'LEAID Match'!$A$2:$B$183,2,FALSE),"")</f>
        <v>1600840</v>
      </c>
      <c r="K763">
        <f t="shared" si="11"/>
        <v>9</v>
      </c>
    </row>
    <row r="764" spans="1:11" x14ac:dyDescent="0.2">
      <c r="A764">
        <v>1600840</v>
      </c>
      <c r="B764">
        <v>2016</v>
      </c>
      <c r="C764">
        <v>42</v>
      </c>
      <c r="D764" t="s">
        <v>428</v>
      </c>
      <c r="E764" t="s">
        <v>429</v>
      </c>
      <c r="F764" t="s">
        <v>433</v>
      </c>
      <c r="G764" t="s">
        <v>31</v>
      </c>
      <c r="H764" t="s">
        <v>31</v>
      </c>
      <c r="I764" s="5">
        <v>146564</v>
      </c>
      <c r="J764">
        <f>IFERROR(VLOOKUP(G764,'LEAID Match'!$A$2:$B$183,2,FALSE),"")</f>
        <v>1600840</v>
      </c>
      <c r="K764">
        <f t="shared" si="11"/>
        <v>9</v>
      </c>
    </row>
    <row r="765" spans="1:11" x14ac:dyDescent="0.2">
      <c r="A765">
        <v>1600840</v>
      </c>
      <c r="B765">
        <v>2017</v>
      </c>
      <c r="C765">
        <v>42</v>
      </c>
      <c r="D765" t="s">
        <v>428</v>
      </c>
      <c r="E765" t="s">
        <v>429</v>
      </c>
      <c r="F765" t="s">
        <v>433</v>
      </c>
      <c r="G765" t="s">
        <v>31</v>
      </c>
      <c r="H765" t="s">
        <v>31</v>
      </c>
      <c r="I765" s="5">
        <v>153129</v>
      </c>
      <c r="J765">
        <f>IFERROR(VLOOKUP(G765,'LEAID Match'!$A$2:$B$183,2,FALSE),"")</f>
        <v>1600840</v>
      </c>
      <c r="K765">
        <f t="shared" si="11"/>
        <v>9</v>
      </c>
    </row>
    <row r="766" spans="1:11" x14ac:dyDescent="0.2">
      <c r="A766">
        <v>1600840</v>
      </c>
      <c r="B766">
        <v>2018</v>
      </c>
      <c r="C766">
        <v>42</v>
      </c>
      <c r="D766" t="s">
        <v>428</v>
      </c>
      <c r="E766" t="s">
        <v>429</v>
      </c>
      <c r="F766" t="s">
        <v>433</v>
      </c>
      <c r="G766" t="s">
        <v>31</v>
      </c>
      <c r="H766" t="s">
        <v>31</v>
      </c>
      <c r="I766" s="5">
        <v>153230</v>
      </c>
      <c r="J766">
        <f>IFERROR(VLOOKUP(G766,'LEAID Match'!$A$2:$B$183,2,FALSE),"")</f>
        <v>1600840</v>
      </c>
      <c r="K766">
        <f t="shared" si="11"/>
        <v>9</v>
      </c>
    </row>
    <row r="767" spans="1:11" x14ac:dyDescent="0.2">
      <c r="A767">
        <v>1600840</v>
      </c>
      <c r="B767">
        <v>2019</v>
      </c>
      <c r="C767">
        <v>42</v>
      </c>
      <c r="D767" t="s">
        <v>428</v>
      </c>
      <c r="E767" t="s">
        <v>429</v>
      </c>
      <c r="F767" t="s">
        <v>433</v>
      </c>
      <c r="G767" t="s">
        <v>31</v>
      </c>
      <c r="H767" t="s">
        <v>236</v>
      </c>
      <c r="I767" s="5">
        <v>158719</v>
      </c>
      <c r="J767">
        <f>IFERROR(VLOOKUP(G767,'LEAID Match'!$A$2:$B$183,2,FALSE),"")</f>
        <v>1600840</v>
      </c>
      <c r="K767">
        <f t="shared" si="11"/>
        <v>9</v>
      </c>
    </row>
    <row r="768" spans="1:11" x14ac:dyDescent="0.2">
      <c r="A768">
        <v>1600840</v>
      </c>
      <c r="B768">
        <v>2020</v>
      </c>
      <c r="C768">
        <v>42</v>
      </c>
      <c r="D768" t="s">
        <v>428</v>
      </c>
      <c r="E768" t="s">
        <v>429</v>
      </c>
      <c r="F768" t="s">
        <v>433</v>
      </c>
      <c r="G768" t="s">
        <v>31</v>
      </c>
      <c r="H768" t="s">
        <v>236</v>
      </c>
      <c r="I768" s="5">
        <v>177333</v>
      </c>
      <c r="J768">
        <f>IFERROR(VLOOKUP(G768,'LEAID Match'!$A$2:$B$183,2,FALSE),"")</f>
        <v>1600840</v>
      </c>
      <c r="K768">
        <f t="shared" si="11"/>
        <v>9</v>
      </c>
    </row>
    <row r="769" spans="1:11" x14ac:dyDescent="0.2">
      <c r="A769">
        <v>1600840</v>
      </c>
      <c r="B769">
        <v>2021</v>
      </c>
      <c r="C769">
        <v>42</v>
      </c>
      <c r="D769" t="s">
        <v>428</v>
      </c>
      <c r="E769" t="s">
        <v>429</v>
      </c>
      <c r="F769" t="s">
        <v>433</v>
      </c>
      <c r="G769" t="s">
        <v>31</v>
      </c>
      <c r="H769" t="s">
        <v>385</v>
      </c>
      <c r="I769" s="5">
        <v>181792</v>
      </c>
      <c r="J769">
        <f>IFERROR(VLOOKUP(G769,'LEAID Match'!$A$2:$B$183,2,FALSE),"")</f>
        <v>1600840</v>
      </c>
      <c r="K769">
        <f t="shared" si="11"/>
        <v>9</v>
      </c>
    </row>
    <row r="770" spans="1:11" x14ac:dyDescent="0.2">
      <c r="A770">
        <v>1600840</v>
      </c>
      <c r="B770">
        <v>2022</v>
      </c>
      <c r="C770">
        <v>42</v>
      </c>
      <c r="D770" t="s">
        <v>428</v>
      </c>
      <c r="E770" t="s">
        <v>429</v>
      </c>
      <c r="F770" t="s">
        <v>433</v>
      </c>
      <c r="G770" t="s">
        <v>31</v>
      </c>
      <c r="H770" t="s">
        <v>236</v>
      </c>
      <c r="I770" s="5">
        <v>194385</v>
      </c>
      <c r="J770">
        <f>IFERROR(VLOOKUP(G770,'LEAID Match'!$A$2:$B$183,2,FALSE),"")</f>
        <v>1600840</v>
      </c>
      <c r="K770">
        <f t="shared" si="11"/>
        <v>9</v>
      </c>
    </row>
    <row r="771" spans="1:11" x14ac:dyDescent="0.2">
      <c r="A771">
        <v>1600840</v>
      </c>
      <c r="B771">
        <v>2023</v>
      </c>
      <c r="C771">
        <v>42</v>
      </c>
      <c r="D771" t="s">
        <v>428</v>
      </c>
      <c r="E771" t="s">
        <v>429</v>
      </c>
      <c r="F771" t="s">
        <v>433</v>
      </c>
      <c r="G771" t="s">
        <v>31</v>
      </c>
      <c r="H771" t="s">
        <v>236</v>
      </c>
      <c r="I771" s="5">
        <v>201335</v>
      </c>
      <c r="J771">
        <f>IFERROR(VLOOKUP(G771,'LEAID Match'!$A$2:$B$183,2,FALSE),"")</f>
        <v>1600840</v>
      </c>
      <c r="K771">
        <f t="shared" ref="K771:K834" si="12">COUNTIF($A$2:$A$1651,A771)</f>
        <v>9</v>
      </c>
    </row>
    <row r="772" spans="1:11" x14ac:dyDescent="0.2">
      <c r="A772">
        <v>1600870</v>
      </c>
      <c r="B772">
        <v>2015</v>
      </c>
      <c r="C772">
        <v>43</v>
      </c>
      <c r="D772" t="s">
        <v>428</v>
      </c>
      <c r="E772" t="s">
        <v>429</v>
      </c>
      <c r="F772" t="s">
        <v>433</v>
      </c>
      <c r="G772" t="s">
        <v>32</v>
      </c>
      <c r="H772" t="s">
        <v>32</v>
      </c>
      <c r="I772" s="5">
        <v>84866</v>
      </c>
      <c r="J772">
        <f>IFERROR(VLOOKUP(G772,'LEAID Match'!$A$2:$B$183,2,FALSE),"")</f>
        <v>1600870</v>
      </c>
      <c r="K772">
        <f t="shared" si="12"/>
        <v>9</v>
      </c>
    </row>
    <row r="773" spans="1:11" x14ac:dyDescent="0.2">
      <c r="A773">
        <v>1600870</v>
      </c>
      <c r="B773">
        <v>2016</v>
      </c>
      <c r="C773">
        <v>43</v>
      </c>
      <c r="D773" t="s">
        <v>428</v>
      </c>
      <c r="E773" t="s">
        <v>429</v>
      </c>
      <c r="F773" t="s">
        <v>433</v>
      </c>
      <c r="G773" t="s">
        <v>32</v>
      </c>
      <c r="H773" t="s">
        <v>32</v>
      </c>
      <c r="I773" s="5">
        <v>89425</v>
      </c>
      <c r="J773">
        <f>IFERROR(VLOOKUP(G773,'LEAID Match'!$A$2:$B$183,2,FALSE),"")</f>
        <v>1600870</v>
      </c>
      <c r="K773">
        <f t="shared" si="12"/>
        <v>9</v>
      </c>
    </row>
    <row r="774" spans="1:11" x14ac:dyDescent="0.2">
      <c r="A774">
        <v>1600870</v>
      </c>
      <c r="B774">
        <v>2017</v>
      </c>
      <c r="C774">
        <v>43</v>
      </c>
      <c r="D774" t="s">
        <v>428</v>
      </c>
      <c r="E774" t="s">
        <v>429</v>
      </c>
      <c r="F774" t="s">
        <v>433</v>
      </c>
      <c r="G774" t="s">
        <v>32</v>
      </c>
      <c r="H774" t="s">
        <v>32</v>
      </c>
      <c r="I774" s="5">
        <v>86776</v>
      </c>
      <c r="J774">
        <f>IFERROR(VLOOKUP(G774,'LEAID Match'!$A$2:$B$183,2,FALSE),"")</f>
        <v>1600870</v>
      </c>
      <c r="K774">
        <f t="shared" si="12"/>
        <v>9</v>
      </c>
    </row>
    <row r="775" spans="1:11" x14ac:dyDescent="0.2">
      <c r="A775">
        <v>1600870</v>
      </c>
      <c r="B775">
        <v>2018</v>
      </c>
      <c r="C775">
        <v>43</v>
      </c>
      <c r="D775" t="s">
        <v>428</v>
      </c>
      <c r="E775" t="s">
        <v>429</v>
      </c>
      <c r="F775" t="s">
        <v>433</v>
      </c>
      <c r="G775" t="s">
        <v>32</v>
      </c>
      <c r="H775" t="s">
        <v>32</v>
      </c>
      <c r="I775" s="5">
        <v>93518</v>
      </c>
      <c r="J775">
        <f>IFERROR(VLOOKUP(G775,'LEAID Match'!$A$2:$B$183,2,FALSE),"")</f>
        <v>1600870</v>
      </c>
      <c r="K775">
        <f t="shared" si="12"/>
        <v>9</v>
      </c>
    </row>
    <row r="776" spans="1:11" x14ac:dyDescent="0.2">
      <c r="A776">
        <v>1600870</v>
      </c>
      <c r="B776">
        <v>2019</v>
      </c>
      <c r="C776">
        <v>43</v>
      </c>
      <c r="D776" t="s">
        <v>428</v>
      </c>
      <c r="E776" t="s">
        <v>429</v>
      </c>
      <c r="F776" t="s">
        <v>433</v>
      </c>
      <c r="G776" t="s">
        <v>32</v>
      </c>
      <c r="H776" t="s">
        <v>237</v>
      </c>
      <c r="I776" s="5">
        <v>99225</v>
      </c>
      <c r="J776">
        <f>IFERROR(VLOOKUP(G776,'LEAID Match'!$A$2:$B$183,2,FALSE),"")</f>
        <v>1600870</v>
      </c>
      <c r="K776">
        <f t="shared" si="12"/>
        <v>9</v>
      </c>
    </row>
    <row r="777" spans="1:11" x14ac:dyDescent="0.2">
      <c r="A777">
        <v>1600870</v>
      </c>
      <c r="B777">
        <v>2020</v>
      </c>
      <c r="C777">
        <v>43</v>
      </c>
      <c r="D777" t="s">
        <v>428</v>
      </c>
      <c r="E777" t="s">
        <v>429</v>
      </c>
      <c r="F777" t="s">
        <v>433</v>
      </c>
      <c r="G777" t="s">
        <v>32</v>
      </c>
      <c r="H777" t="s">
        <v>338</v>
      </c>
      <c r="I777" s="5">
        <v>115635</v>
      </c>
      <c r="J777">
        <f>IFERROR(VLOOKUP(G777,'LEAID Match'!$A$2:$B$183,2,FALSE),"")</f>
        <v>1600870</v>
      </c>
      <c r="K777">
        <f t="shared" si="12"/>
        <v>9</v>
      </c>
    </row>
    <row r="778" spans="1:11" x14ac:dyDescent="0.2">
      <c r="A778">
        <v>1600870</v>
      </c>
      <c r="B778">
        <v>2021</v>
      </c>
      <c r="C778">
        <v>43</v>
      </c>
      <c r="D778" t="s">
        <v>428</v>
      </c>
      <c r="E778" t="s">
        <v>429</v>
      </c>
      <c r="F778" t="s">
        <v>433</v>
      </c>
      <c r="G778" t="s">
        <v>32</v>
      </c>
      <c r="H778" t="s">
        <v>237</v>
      </c>
      <c r="I778" s="5">
        <v>121090</v>
      </c>
      <c r="J778">
        <f>IFERROR(VLOOKUP(G778,'LEAID Match'!$A$2:$B$183,2,FALSE),"")</f>
        <v>1600870</v>
      </c>
      <c r="K778">
        <f t="shared" si="12"/>
        <v>9</v>
      </c>
    </row>
    <row r="779" spans="1:11" x14ac:dyDescent="0.2">
      <c r="A779">
        <v>1600870</v>
      </c>
      <c r="B779">
        <v>2022</v>
      </c>
      <c r="C779">
        <v>43</v>
      </c>
      <c r="D779" t="s">
        <v>428</v>
      </c>
      <c r="E779" t="s">
        <v>429</v>
      </c>
      <c r="F779" t="s">
        <v>433</v>
      </c>
      <c r="G779" t="s">
        <v>32</v>
      </c>
      <c r="H779" t="s">
        <v>237</v>
      </c>
      <c r="I779" s="5">
        <v>132409</v>
      </c>
      <c r="J779">
        <f>IFERROR(VLOOKUP(G779,'LEAID Match'!$A$2:$B$183,2,FALSE),"")</f>
        <v>1600870</v>
      </c>
      <c r="K779">
        <f t="shared" si="12"/>
        <v>9</v>
      </c>
    </row>
    <row r="780" spans="1:11" x14ac:dyDescent="0.2">
      <c r="A780">
        <v>1600870</v>
      </c>
      <c r="B780">
        <v>2023</v>
      </c>
      <c r="C780">
        <v>43</v>
      </c>
      <c r="D780" t="s">
        <v>428</v>
      </c>
      <c r="E780" t="s">
        <v>429</v>
      </c>
      <c r="F780" t="s">
        <v>433</v>
      </c>
      <c r="G780" t="s">
        <v>32</v>
      </c>
      <c r="H780" t="s">
        <v>237</v>
      </c>
      <c r="I780" s="5">
        <v>127770</v>
      </c>
      <c r="J780">
        <f>IFERROR(VLOOKUP(G780,'LEAID Match'!$A$2:$B$183,2,FALSE),"")</f>
        <v>1600870</v>
      </c>
      <c r="K780">
        <f t="shared" si="12"/>
        <v>9</v>
      </c>
    </row>
    <row r="781" spans="1:11" x14ac:dyDescent="0.2">
      <c r="A781">
        <v>1600900</v>
      </c>
      <c r="B781">
        <v>2015</v>
      </c>
      <c r="C781">
        <v>44</v>
      </c>
      <c r="D781" t="s">
        <v>428</v>
      </c>
      <c r="E781" t="s">
        <v>429</v>
      </c>
      <c r="F781" t="s">
        <v>433</v>
      </c>
      <c r="G781" t="s">
        <v>33</v>
      </c>
      <c r="H781" t="s">
        <v>33</v>
      </c>
      <c r="I781" s="5">
        <v>133947</v>
      </c>
      <c r="J781">
        <f>IFERROR(VLOOKUP(G781,'LEAID Match'!$A$2:$B$183,2,FALSE),"")</f>
        <v>1600900</v>
      </c>
      <c r="K781">
        <f t="shared" si="12"/>
        <v>9</v>
      </c>
    </row>
    <row r="782" spans="1:11" x14ac:dyDescent="0.2">
      <c r="A782">
        <v>1600900</v>
      </c>
      <c r="B782">
        <v>2016</v>
      </c>
      <c r="C782">
        <v>44</v>
      </c>
      <c r="D782" t="s">
        <v>428</v>
      </c>
      <c r="E782" t="s">
        <v>429</v>
      </c>
      <c r="F782" t="s">
        <v>433</v>
      </c>
      <c r="G782" t="s">
        <v>33</v>
      </c>
      <c r="H782" t="s">
        <v>33</v>
      </c>
      <c r="I782" s="5">
        <v>129174</v>
      </c>
      <c r="J782">
        <f>IFERROR(VLOOKUP(G782,'LEAID Match'!$A$2:$B$183,2,FALSE),"")</f>
        <v>1600900</v>
      </c>
      <c r="K782">
        <f t="shared" si="12"/>
        <v>9</v>
      </c>
    </row>
    <row r="783" spans="1:11" x14ac:dyDescent="0.2">
      <c r="A783">
        <v>1600900</v>
      </c>
      <c r="B783">
        <v>2017</v>
      </c>
      <c r="C783">
        <v>44</v>
      </c>
      <c r="D783" t="s">
        <v>428</v>
      </c>
      <c r="E783" t="s">
        <v>429</v>
      </c>
      <c r="F783" t="s">
        <v>433</v>
      </c>
      <c r="G783" t="s">
        <v>33</v>
      </c>
      <c r="H783" t="s">
        <v>33</v>
      </c>
      <c r="I783" s="5">
        <v>133846</v>
      </c>
      <c r="J783">
        <f>IFERROR(VLOOKUP(G783,'LEAID Match'!$A$2:$B$183,2,FALSE),"")</f>
        <v>1600900</v>
      </c>
      <c r="K783">
        <f t="shared" si="12"/>
        <v>9</v>
      </c>
    </row>
    <row r="784" spans="1:11" x14ac:dyDescent="0.2">
      <c r="A784">
        <v>1600900</v>
      </c>
      <c r="B784">
        <v>2018</v>
      </c>
      <c r="C784">
        <v>44</v>
      </c>
      <c r="D784" t="s">
        <v>428</v>
      </c>
      <c r="E784" t="s">
        <v>429</v>
      </c>
      <c r="F784" t="s">
        <v>433</v>
      </c>
      <c r="G784" t="s">
        <v>33</v>
      </c>
      <c r="H784" t="s">
        <v>33</v>
      </c>
      <c r="I784" s="5">
        <v>136410</v>
      </c>
      <c r="J784">
        <f>IFERROR(VLOOKUP(G784,'LEAID Match'!$A$2:$B$183,2,FALSE),"")</f>
        <v>1600900</v>
      </c>
      <c r="K784">
        <f t="shared" si="12"/>
        <v>9</v>
      </c>
    </row>
    <row r="785" spans="1:11" x14ac:dyDescent="0.2">
      <c r="A785">
        <v>1600900</v>
      </c>
      <c r="B785">
        <v>2019</v>
      </c>
      <c r="C785">
        <v>44</v>
      </c>
      <c r="D785" t="s">
        <v>428</v>
      </c>
      <c r="E785" t="s">
        <v>429</v>
      </c>
      <c r="F785" t="s">
        <v>433</v>
      </c>
      <c r="G785" t="s">
        <v>33</v>
      </c>
      <c r="H785" t="s">
        <v>238</v>
      </c>
      <c r="I785" s="5">
        <v>139446</v>
      </c>
      <c r="J785">
        <f>IFERROR(VLOOKUP(G785,'LEAID Match'!$A$2:$B$183,2,FALSE),"")</f>
        <v>1600900</v>
      </c>
      <c r="K785">
        <f t="shared" si="12"/>
        <v>9</v>
      </c>
    </row>
    <row r="786" spans="1:11" x14ac:dyDescent="0.2">
      <c r="A786">
        <v>1600900</v>
      </c>
      <c r="B786">
        <v>2020</v>
      </c>
      <c r="C786">
        <v>44</v>
      </c>
      <c r="D786" t="s">
        <v>428</v>
      </c>
      <c r="E786" t="s">
        <v>429</v>
      </c>
      <c r="F786" t="s">
        <v>433</v>
      </c>
      <c r="G786" t="s">
        <v>33</v>
      </c>
      <c r="H786" t="s">
        <v>238</v>
      </c>
      <c r="I786" s="5">
        <v>154280</v>
      </c>
      <c r="J786">
        <f>IFERROR(VLOOKUP(G786,'LEAID Match'!$A$2:$B$183,2,FALSE),"")</f>
        <v>1600900</v>
      </c>
      <c r="K786">
        <f t="shared" si="12"/>
        <v>9</v>
      </c>
    </row>
    <row r="787" spans="1:11" x14ac:dyDescent="0.2">
      <c r="A787">
        <v>1600900</v>
      </c>
      <c r="B787">
        <v>2021</v>
      </c>
      <c r="C787">
        <v>44</v>
      </c>
      <c r="D787" t="s">
        <v>428</v>
      </c>
      <c r="E787" t="s">
        <v>429</v>
      </c>
      <c r="F787" t="s">
        <v>433</v>
      </c>
      <c r="G787" t="s">
        <v>33</v>
      </c>
      <c r="H787" t="s">
        <v>33</v>
      </c>
      <c r="I787" s="5">
        <v>157088</v>
      </c>
      <c r="J787">
        <f>IFERROR(VLOOKUP(G787,'LEAID Match'!$A$2:$B$183,2,FALSE),"")</f>
        <v>1600900</v>
      </c>
      <c r="K787">
        <f t="shared" si="12"/>
        <v>9</v>
      </c>
    </row>
    <row r="788" spans="1:11" x14ac:dyDescent="0.2">
      <c r="A788">
        <v>1600900</v>
      </c>
      <c r="B788">
        <v>2022</v>
      </c>
      <c r="C788">
        <v>44</v>
      </c>
      <c r="D788" t="s">
        <v>428</v>
      </c>
      <c r="E788" t="s">
        <v>429</v>
      </c>
      <c r="F788" t="s">
        <v>433</v>
      </c>
      <c r="G788" t="s">
        <v>33</v>
      </c>
      <c r="H788" t="s">
        <v>238</v>
      </c>
      <c r="I788" s="5">
        <v>161839</v>
      </c>
      <c r="J788">
        <f>IFERROR(VLOOKUP(G788,'LEAID Match'!$A$2:$B$183,2,FALSE),"")</f>
        <v>1600900</v>
      </c>
      <c r="K788">
        <f t="shared" si="12"/>
        <v>9</v>
      </c>
    </row>
    <row r="789" spans="1:11" x14ac:dyDescent="0.2">
      <c r="A789">
        <v>1600900</v>
      </c>
      <c r="B789">
        <v>2023</v>
      </c>
      <c r="C789">
        <v>44</v>
      </c>
      <c r="D789" t="s">
        <v>428</v>
      </c>
      <c r="E789" t="s">
        <v>429</v>
      </c>
      <c r="F789" t="s">
        <v>433</v>
      </c>
      <c r="G789" t="s">
        <v>33</v>
      </c>
      <c r="H789" t="s">
        <v>238</v>
      </c>
      <c r="I789" s="5">
        <v>160306</v>
      </c>
      <c r="J789">
        <f>IFERROR(VLOOKUP(G789,'LEAID Match'!$A$2:$B$183,2,FALSE),"")</f>
        <v>1600900</v>
      </c>
      <c r="K789">
        <f t="shared" si="12"/>
        <v>9</v>
      </c>
    </row>
    <row r="790" spans="1:11" x14ac:dyDescent="0.2">
      <c r="A790">
        <v>1600930</v>
      </c>
      <c r="B790">
        <v>2015</v>
      </c>
      <c r="C790">
        <v>18</v>
      </c>
      <c r="D790" t="s">
        <v>428</v>
      </c>
      <c r="E790" t="s">
        <v>429</v>
      </c>
      <c r="F790" t="s">
        <v>433</v>
      </c>
      <c r="G790" t="s">
        <v>13</v>
      </c>
      <c r="H790" t="s">
        <v>13</v>
      </c>
      <c r="I790" s="5">
        <v>4165658</v>
      </c>
      <c r="J790">
        <f>IFERROR(VLOOKUP(G790,'LEAID Match'!$A$2:$B$183,2,FALSE),"")</f>
        <v>1600930</v>
      </c>
      <c r="K790">
        <f t="shared" si="12"/>
        <v>9</v>
      </c>
    </row>
    <row r="791" spans="1:11" x14ac:dyDescent="0.2">
      <c r="A791">
        <v>1600930</v>
      </c>
      <c r="B791">
        <v>2016</v>
      </c>
      <c r="C791">
        <v>18</v>
      </c>
      <c r="D791" t="s">
        <v>428</v>
      </c>
      <c r="E791" t="s">
        <v>429</v>
      </c>
      <c r="F791" t="s">
        <v>433</v>
      </c>
      <c r="G791" t="s">
        <v>13</v>
      </c>
      <c r="H791" t="s">
        <v>13</v>
      </c>
      <c r="I791" s="5">
        <v>4334790</v>
      </c>
      <c r="J791">
        <f>IFERROR(VLOOKUP(G791,'LEAID Match'!$A$2:$B$183,2,FALSE),"")</f>
        <v>1600930</v>
      </c>
      <c r="K791">
        <f t="shared" si="12"/>
        <v>9</v>
      </c>
    </row>
    <row r="792" spans="1:11" x14ac:dyDescent="0.2">
      <c r="A792">
        <v>1600930</v>
      </c>
      <c r="B792">
        <v>2017</v>
      </c>
      <c r="C792">
        <v>18</v>
      </c>
      <c r="D792" t="s">
        <v>428</v>
      </c>
      <c r="E792" t="s">
        <v>429</v>
      </c>
      <c r="F792" t="s">
        <v>433</v>
      </c>
      <c r="G792" t="s">
        <v>13</v>
      </c>
      <c r="H792" t="s">
        <v>13</v>
      </c>
      <c r="I792" s="5">
        <v>4611370</v>
      </c>
      <c r="J792">
        <f>IFERROR(VLOOKUP(G792,'LEAID Match'!$A$2:$B$183,2,FALSE),"")</f>
        <v>1600930</v>
      </c>
      <c r="K792">
        <f t="shared" si="12"/>
        <v>9</v>
      </c>
    </row>
    <row r="793" spans="1:11" x14ac:dyDescent="0.2">
      <c r="A793">
        <v>1600930</v>
      </c>
      <c r="B793">
        <v>2018</v>
      </c>
      <c r="C793">
        <v>18</v>
      </c>
      <c r="D793" t="s">
        <v>428</v>
      </c>
      <c r="E793" t="s">
        <v>429</v>
      </c>
      <c r="F793" t="s">
        <v>433</v>
      </c>
      <c r="G793" t="s">
        <v>13</v>
      </c>
      <c r="H793" t="s">
        <v>13</v>
      </c>
      <c r="I793" s="5">
        <v>5169522</v>
      </c>
      <c r="J793">
        <f>IFERROR(VLOOKUP(G793,'LEAID Match'!$A$2:$B$183,2,FALSE),"")</f>
        <v>1600930</v>
      </c>
      <c r="K793">
        <f t="shared" si="12"/>
        <v>9</v>
      </c>
    </row>
    <row r="794" spans="1:11" x14ac:dyDescent="0.2">
      <c r="A794">
        <v>1600930</v>
      </c>
      <c r="B794">
        <v>2019</v>
      </c>
      <c r="C794">
        <v>18</v>
      </c>
      <c r="D794" t="s">
        <v>428</v>
      </c>
      <c r="E794" t="s">
        <v>429</v>
      </c>
      <c r="F794" t="s">
        <v>433</v>
      </c>
      <c r="G794" t="s">
        <v>13</v>
      </c>
      <c r="H794" t="s">
        <v>13</v>
      </c>
      <c r="I794" s="5">
        <v>5802877</v>
      </c>
      <c r="J794">
        <f>IFERROR(VLOOKUP(G794,'LEAID Match'!$A$2:$B$183,2,FALSE),"")</f>
        <v>1600930</v>
      </c>
      <c r="K794">
        <f t="shared" si="12"/>
        <v>9</v>
      </c>
    </row>
    <row r="795" spans="1:11" x14ac:dyDescent="0.2">
      <c r="A795">
        <v>1600930</v>
      </c>
      <c r="B795">
        <v>2020</v>
      </c>
      <c r="C795">
        <v>18</v>
      </c>
      <c r="D795" t="s">
        <v>428</v>
      </c>
      <c r="E795" t="s">
        <v>429</v>
      </c>
      <c r="F795" t="s">
        <v>433</v>
      </c>
      <c r="G795" t="s">
        <v>13</v>
      </c>
      <c r="H795" t="s">
        <v>13</v>
      </c>
      <c r="I795" s="5">
        <v>6478607</v>
      </c>
      <c r="J795">
        <f>IFERROR(VLOOKUP(G795,'LEAID Match'!$A$2:$B$183,2,FALSE),"")</f>
        <v>1600930</v>
      </c>
      <c r="K795">
        <f t="shared" si="12"/>
        <v>9</v>
      </c>
    </row>
    <row r="796" spans="1:11" x14ac:dyDescent="0.2">
      <c r="A796">
        <v>1600930</v>
      </c>
      <c r="B796">
        <v>2021</v>
      </c>
      <c r="C796">
        <v>18</v>
      </c>
      <c r="D796" t="s">
        <v>428</v>
      </c>
      <c r="E796" t="s">
        <v>429</v>
      </c>
      <c r="F796" t="s">
        <v>433</v>
      </c>
      <c r="G796" t="s">
        <v>13</v>
      </c>
      <c r="H796" t="s">
        <v>13</v>
      </c>
      <c r="I796" s="5">
        <v>7151500</v>
      </c>
      <c r="J796">
        <f>IFERROR(VLOOKUP(G796,'LEAID Match'!$A$2:$B$183,2,FALSE),"")</f>
        <v>1600930</v>
      </c>
      <c r="K796">
        <f t="shared" si="12"/>
        <v>9</v>
      </c>
    </row>
    <row r="797" spans="1:11" x14ac:dyDescent="0.2">
      <c r="A797">
        <v>1600930</v>
      </c>
      <c r="B797">
        <v>2022</v>
      </c>
      <c r="C797">
        <v>18</v>
      </c>
      <c r="D797" t="s">
        <v>428</v>
      </c>
      <c r="E797" t="s">
        <v>429</v>
      </c>
      <c r="F797" t="s">
        <v>433</v>
      </c>
      <c r="G797" t="s">
        <v>13</v>
      </c>
      <c r="H797" t="s">
        <v>13</v>
      </c>
      <c r="I797" s="5">
        <v>7524951</v>
      </c>
      <c r="J797">
        <f>IFERROR(VLOOKUP(G797,'LEAID Match'!$A$2:$B$183,2,FALSE),"")</f>
        <v>1600930</v>
      </c>
      <c r="K797">
        <f t="shared" si="12"/>
        <v>9</v>
      </c>
    </row>
    <row r="798" spans="1:11" x14ac:dyDescent="0.2">
      <c r="A798">
        <v>1600930</v>
      </c>
      <c r="B798">
        <v>2023</v>
      </c>
      <c r="C798">
        <v>18</v>
      </c>
      <c r="D798" t="s">
        <v>428</v>
      </c>
      <c r="E798" t="s">
        <v>429</v>
      </c>
      <c r="F798" t="s">
        <v>433</v>
      </c>
      <c r="G798" t="s">
        <v>13</v>
      </c>
      <c r="H798" t="s">
        <v>13</v>
      </c>
      <c r="I798" s="5">
        <v>7853067</v>
      </c>
      <c r="J798">
        <f>IFERROR(VLOOKUP(G798,'LEAID Match'!$A$2:$B$183,2,FALSE),"")</f>
        <v>1600930</v>
      </c>
      <c r="K798">
        <f t="shared" si="12"/>
        <v>9</v>
      </c>
    </row>
    <row r="799" spans="1:11" x14ac:dyDescent="0.2">
      <c r="A799">
        <v>1600960</v>
      </c>
      <c r="B799">
        <v>2015</v>
      </c>
      <c r="C799">
        <v>147</v>
      </c>
      <c r="D799" t="s">
        <v>428</v>
      </c>
      <c r="E799" t="s">
        <v>429</v>
      </c>
      <c r="F799" t="s">
        <v>433</v>
      </c>
      <c r="G799" t="s">
        <v>89</v>
      </c>
      <c r="H799" t="s">
        <v>89</v>
      </c>
      <c r="I799" s="5">
        <v>859694</v>
      </c>
      <c r="J799">
        <f>IFERROR(VLOOKUP(G799,'LEAID Match'!$A$2:$B$183,2,FALSE),"")</f>
        <v>1600960</v>
      </c>
      <c r="K799">
        <f t="shared" si="12"/>
        <v>9</v>
      </c>
    </row>
    <row r="800" spans="1:11" x14ac:dyDescent="0.2">
      <c r="A800">
        <v>1600960</v>
      </c>
      <c r="B800">
        <v>2016</v>
      </c>
      <c r="C800">
        <v>147</v>
      </c>
      <c r="D800" t="s">
        <v>428</v>
      </c>
      <c r="E800" t="s">
        <v>429</v>
      </c>
      <c r="F800" t="s">
        <v>433</v>
      </c>
      <c r="G800" t="s">
        <v>89</v>
      </c>
      <c r="H800" t="s">
        <v>89</v>
      </c>
      <c r="I800" s="5">
        <v>879994</v>
      </c>
      <c r="J800">
        <f>IFERROR(VLOOKUP(G800,'LEAID Match'!$A$2:$B$183,2,FALSE),"")</f>
        <v>1600960</v>
      </c>
      <c r="K800">
        <f t="shared" si="12"/>
        <v>9</v>
      </c>
    </row>
    <row r="801" spans="1:11" x14ac:dyDescent="0.2">
      <c r="A801">
        <v>1600960</v>
      </c>
      <c r="B801">
        <v>2017</v>
      </c>
      <c r="C801">
        <v>147</v>
      </c>
      <c r="D801" t="s">
        <v>428</v>
      </c>
      <c r="E801" t="s">
        <v>429</v>
      </c>
      <c r="F801" t="s">
        <v>433</v>
      </c>
      <c r="G801" t="s">
        <v>89</v>
      </c>
      <c r="H801" t="s">
        <v>89</v>
      </c>
      <c r="I801" s="5">
        <v>884361</v>
      </c>
      <c r="J801">
        <f>IFERROR(VLOOKUP(G801,'LEAID Match'!$A$2:$B$183,2,FALSE),"")</f>
        <v>1600960</v>
      </c>
      <c r="K801">
        <f t="shared" si="12"/>
        <v>9</v>
      </c>
    </row>
    <row r="802" spans="1:11" x14ac:dyDescent="0.2">
      <c r="A802">
        <v>1600960</v>
      </c>
      <c r="B802">
        <v>2018</v>
      </c>
      <c r="C802">
        <v>147</v>
      </c>
      <c r="D802" t="s">
        <v>428</v>
      </c>
      <c r="E802" t="s">
        <v>429</v>
      </c>
      <c r="F802" t="s">
        <v>433</v>
      </c>
      <c r="G802" t="s">
        <v>89</v>
      </c>
      <c r="H802" t="s">
        <v>89</v>
      </c>
      <c r="I802" s="5">
        <v>925826</v>
      </c>
      <c r="J802">
        <f>IFERROR(VLOOKUP(G802,'LEAID Match'!$A$2:$B$183,2,FALSE),"")</f>
        <v>1600960</v>
      </c>
      <c r="K802">
        <f t="shared" si="12"/>
        <v>9</v>
      </c>
    </row>
    <row r="803" spans="1:11" x14ac:dyDescent="0.2">
      <c r="A803">
        <v>1600960</v>
      </c>
      <c r="B803">
        <v>2019</v>
      </c>
      <c r="C803">
        <v>147</v>
      </c>
      <c r="D803" t="s">
        <v>428</v>
      </c>
      <c r="E803" t="s">
        <v>429</v>
      </c>
      <c r="F803" t="s">
        <v>433</v>
      </c>
      <c r="G803" t="s">
        <v>89</v>
      </c>
      <c r="H803" t="s">
        <v>299</v>
      </c>
      <c r="I803" s="5">
        <v>1011296</v>
      </c>
      <c r="J803">
        <f>IFERROR(VLOOKUP(G803,'LEAID Match'!$A$2:$B$183,2,FALSE),"")</f>
        <v>1600960</v>
      </c>
      <c r="K803">
        <f t="shared" si="12"/>
        <v>9</v>
      </c>
    </row>
    <row r="804" spans="1:11" x14ac:dyDescent="0.2">
      <c r="A804">
        <v>1600960</v>
      </c>
      <c r="B804">
        <v>2020</v>
      </c>
      <c r="C804">
        <v>147</v>
      </c>
      <c r="D804" t="s">
        <v>428</v>
      </c>
      <c r="E804" t="s">
        <v>429</v>
      </c>
      <c r="F804" t="s">
        <v>433</v>
      </c>
      <c r="G804" t="s">
        <v>89</v>
      </c>
      <c r="H804" t="s">
        <v>299</v>
      </c>
      <c r="I804" s="5">
        <v>1103745</v>
      </c>
      <c r="J804">
        <f>IFERROR(VLOOKUP(G804,'LEAID Match'!$A$2:$B$183,2,FALSE),"")</f>
        <v>1600960</v>
      </c>
      <c r="K804">
        <f t="shared" si="12"/>
        <v>9</v>
      </c>
    </row>
    <row r="805" spans="1:11" x14ac:dyDescent="0.2">
      <c r="A805">
        <v>1600960</v>
      </c>
      <c r="B805">
        <v>2021</v>
      </c>
      <c r="C805">
        <v>147</v>
      </c>
      <c r="D805" t="s">
        <v>428</v>
      </c>
      <c r="E805" t="s">
        <v>429</v>
      </c>
      <c r="F805" t="s">
        <v>433</v>
      </c>
      <c r="G805" t="s">
        <v>89</v>
      </c>
      <c r="H805" t="s">
        <v>89</v>
      </c>
      <c r="I805" s="5">
        <v>1195912</v>
      </c>
      <c r="J805">
        <f>IFERROR(VLOOKUP(G805,'LEAID Match'!$A$2:$B$183,2,FALSE),"")</f>
        <v>1600960</v>
      </c>
      <c r="K805">
        <f t="shared" si="12"/>
        <v>9</v>
      </c>
    </row>
    <row r="806" spans="1:11" x14ac:dyDescent="0.2">
      <c r="A806">
        <v>1600960</v>
      </c>
      <c r="B806">
        <v>2022</v>
      </c>
      <c r="C806">
        <v>147</v>
      </c>
      <c r="D806" t="s">
        <v>428</v>
      </c>
      <c r="E806" t="s">
        <v>429</v>
      </c>
      <c r="F806" t="s">
        <v>433</v>
      </c>
      <c r="G806" t="s">
        <v>89</v>
      </c>
      <c r="H806" t="s">
        <v>299</v>
      </c>
      <c r="I806" s="5">
        <v>1234682</v>
      </c>
      <c r="J806">
        <f>IFERROR(VLOOKUP(G806,'LEAID Match'!$A$2:$B$183,2,FALSE),"")</f>
        <v>1600960</v>
      </c>
      <c r="K806">
        <f t="shared" si="12"/>
        <v>9</v>
      </c>
    </row>
    <row r="807" spans="1:11" x14ac:dyDescent="0.2">
      <c r="A807">
        <v>1600960</v>
      </c>
      <c r="B807">
        <v>2023</v>
      </c>
      <c r="C807">
        <v>147</v>
      </c>
      <c r="D807" t="s">
        <v>428</v>
      </c>
      <c r="E807" t="s">
        <v>429</v>
      </c>
      <c r="F807" t="s">
        <v>433</v>
      </c>
      <c r="G807" t="s">
        <v>89</v>
      </c>
      <c r="H807" t="s">
        <v>299</v>
      </c>
      <c r="I807" s="5">
        <v>1243372</v>
      </c>
      <c r="J807">
        <f>IFERROR(VLOOKUP(G807,'LEAID Match'!$A$2:$B$183,2,FALSE),"")</f>
        <v>1600960</v>
      </c>
      <c r="K807">
        <f t="shared" si="12"/>
        <v>9</v>
      </c>
    </row>
    <row r="808" spans="1:11" x14ac:dyDescent="0.2">
      <c r="A808">
        <v>1601020</v>
      </c>
      <c r="B808">
        <v>2015</v>
      </c>
      <c r="C808">
        <v>49</v>
      </c>
      <c r="D808" t="s">
        <v>428</v>
      </c>
      <c r="E808" t="s">
        <v>429</v>
      </c>
      <c r="F808" t="s">
        <v>433</v>
      </c>
      <c r="G808" t="s">
        <v>34</v>
      </c>
      <c r="H808" t="s">
        <v>34</v>
      </c>
      <c r="I808" s="5">
        <v>1156034</v>
      </c>
      <c r="J808">
        <f>IFERROR(VLOOKUP(G808,'LEAID Match'!$A$2:$B$183,2,FALSE),"")</f>
        <v>1601020</v>
      </c>
      <c r="K808">
        <f t="shared" si="12"/>
        <v>9</v>
      </c>
    </row>
    <row r="809" spans="1:11" x14ac:dyDescent="0.2">
      <c r="A809">
        <v>1601020</v>
      </c>
      <c r="B809">
        <v>2016</v>
      </c>
      <c r="C809">
        <v>49</v>
      </c>
      <c r="D809" t="s">
        <v>428</v>
      </c>
      <c r="E809" t="s">
        <v>429</v>
      </c>
      <c r="F809" t="s">
        <v>433</v>
      </c>
      <c r="G809" t="s">
        <v>34</v>
      </c>
      <c r="H809" t="s">
        <v>34</v>
      </c>
      <c r="I809" s="5">
        <v>1184641</v>
      </c>
      <c r="J809">
        <f>IFERROR(VLOOKUP(G809,'LEAID Match'!$A$2:$B$183,2,FALSE),"")</f>
        <v>1601020</v>
      </c>
      <c r="K809">
        <f t="shared" si="12"/>
        <v>9</v>
      </c>
    </row>
    <row r="810" spans="1:11" x14ac:dyDescent="0.2">
      <c r="A810">
        <v>1601020</v>
      </c>
      <c r="B810">
        <v>2017</v>
      </c>
      <c r="C810">
        <v>49</v>
      </c>
      <c r="D810" t="s">
        <v>428</v>
      </c>
      <c r="E810" t="s">
        <v>429</v>
      </c>
      <c r="F810" t="s">
        <v>433</v>
      </c>
      <c r="G810" t="s">
        <v>34</v>
      </c>
      <c r="H810" t="s">
        <v>34</v>
      </c>
      <c r="I810" s="5">
        <v>1207762</v>
      </c>
      <c r="J810">
        <f>IFERROR(VLOOKUP(G810,'LEAID Match'!$A$2:$B$183,2,FALSE),"")</f>
        <v>1601020</v>
      </c>
      <c r="K810">
        <f t="shared" si="12"/>
        <v>9</v>
      </c>
    </row>
    <row r="811" spans="1:11" x14ac:dyDescent="0.2">
      <c r="A811">
        <v>1601020</v>
      </c>
      <c r="B811">
        <v>2018</v>
      </c>
      <c r="C811">
        <v>49</v>
      </c>
      <c r="D811" t="s">
        <v>428</v>
      </c>
      <c r="E811" t="s">
        <v>429</v>
      </c>
      <c r="F811" t="s">
        <v>433</v>
      </c>
      <c r="G811" t="s">
        <v>34</v>
      </c>
      <c r="H811" t="s">
        <v>34</v>
      </c>
      <c r="I811" s="5">
        <v>1255197</v>
      </c>
      <c r="J811">
        <f>IFERROR(VLOOKUP(G811,'LEAID Match'!$A$2:$B$183,2,FALSE),"")</f>
        <v>1601020</v>
      </c>
      <c r="K811">
        <f t="shared" si="12"/>
        <v>9</v>
      </c>
    </row>
    <row r="812" spans="1:11" x14ac:dyDescent="0.2">
      <c r="A812">
        <v>1601020</v>
      </c>
      <c r="B812">
        <v>2019</v>
      </c>
      <c r="C812">
        <v>49</v>
      </c>
      <c r="D812" t="s">
        <v>428</v>
      </c>
      <c r="E812" t="s">
        <v>429</v>
      </c>
      <c r="F812" t="s">
        <v>433</v>
      </c>
      <c r="G812" t="s">
        <v>34</v>
      </c>
      <c r="H812" t="s">
        <v>239</v>
      </c>
      <c r="I812" s="5">
        <v>1272823</v>
      </c>
      <c r="J812">
        <f>IFERROR(VLOOKUP(G812,'LEAID Match'!$A$2:$B$183,2,FALSE),"")</f>
        <v>1601020</v>
      </c>
      <c r="K812">
        <f t="shared" si="12"/>
        <v>9</v>
      </c>
    </row>
    <row r="813" spans="1:11" x14ac:dyDescent="0.2">
      <c r="A813">
        <v>1601020</v>
      </c>
      <c r="B813">
        <v>2020</v>
      </c>
      <c r="C813">
        <v>49</v>
      </c>
      <c r="D813" t="s">
        <v>428</v>
      </c>
      <c r="E813" t="s">
        <v>429</v>
      </c>
      <c r="F813" t="s">
        <v>433</v>
      </c>
      <c r="G813" t="s">
        <v>34</v>
      </c>
      <c r="H813" t="s">
        <v>239</v>
      </c>
      <c r="I813" s="5">
        <v>1436592</v>
      </c>
      <c r="J813">
        <f>IFERROR(VLOOKUP(G813,'LEAID Match'!$A$2:$B$183,2,FALSE),"")</f>
        <v>1601020</v>
      </c>
      <c r="K813">
        <f t="shared" si="12"/>
        <v>9</v>
      </c>
    </row>
    <row r="814" spans="1:11" x14ac:dyDescent="0.2">
      <c r="A814">
        <v>1601020</v>
      </c>
      <c r="B814">
        <v>2021</v>
      </c>
      <c r="C814">
        <v>49</v>
      </c>
      <c r="D814" t="s">
        <v>428</v>
      </c>
      <c r="E814" t="s">
        <v>429</v>
      </c>
      <c r="F814" t="s">
        <v>433</v>
      </c>
      <c r="G814" t="s">
        <v>34</v>
      </c>
      <c r="H814" t="s">
        <v>34</v>
      </c>
      <c r="I814" s="5">
        <v>1461632</v>
      </c>
      <c r="J814">
        <f>IFERROR(VLOOKUP(G814,'LEAID Match'!$A$2:$B$183,2,FALSE),"")</f>
        <v>1601020</v>
      </c>
      <c r="K814">
        <f t="shared" si="12"/>
        <v>9</v>
      </c>
    </row>
    <row r="815" spans="1:11" x14ac:dyDescent="0.2">
      <c r="A815">
        <v>1601020</v>
      </c>
      <c r="B815">
        <v>2022</v>
      </c>
      <c r="C815">
        <v>49</v>
      </c>
      <c r="D815" t="s">
        <v>428</v>
      </c>
      <c r="E815" t="s">
        <v>429</v>
      </c>
      <c r="F815" t="s">
        <v>433</v>
      </c>
      <c r="G815" t="s">
        <v>34</v>
      </c>
      <c r="H815" t="s">
        <v>239</v>
      </c>
      <c r="I815" s="5">
        <v>1536972</v>
      </c>
      <c r="J815">
        <f>IFERROR(VLOOKUP(G815,'LEAID Match'!$A$2:$B$183,2,FALSE),"")</f>
        <v>1601020</v>
      </c>
      <c r="K815">
        <f t="shared" si="12"/>
        <v>9</v>
      </c>
    </row>
    <row r="816" spans="1:11" x14ac:dyDescent="0.2">
      <c r="A816">
        <v>1601020</v>
      </c>
      <c r="B816">
        <v>2023</v>
      </c>
      <c r="C816">
        <v>49</v>
      </c>
      <c r="D816" t="s">
        <v>428</v>
      </c>
      <c r="E816" t="s">
        <v>429</v>
      </c>
      <c r="F816" t="s">
        <v>433</v>
      </c>
      <c r="G816" t="s">
        <v>34</v>
      </c>
      <c r="H816" t="s">
        <v>239</v>
      </c>
      <c r="I816" s="5">
        <v>1567588</v>
      </c>
      <c r="J816">
        <f>IFERROR(VLOOKUP(G816,'LEAID Match'!$A$2:$B$183,2,FALSE),"")</f>
        <v>1601020</v>
      </c>
      <c r="K816">
        <f t="shared" si="12"/>
        <v>9</v>
      </c>
    </row>
    <row r="817" spans="1:11" x14ac:dyDescent="0.2">
      <c r="A817">
        <v>1601050</v>
      </c>
      <c r="B817">
        <v>2015</v>
      </c>
      <c r="C817">
        <v>52</v>
      </c>
      <c r="D817" t="s">
        <v>428</v>
      </c>
      <c r="E817" t="s">
        <v>429</v>
      </c>
      <c r="F817" t="s">
        <v>433</v>
      </c>
      <c r="G817" t="s">
        <v>35</v>
      </c>
      <c r="H817" t="s">
        <v>35</v>
      </c>
      <c r="I817" s="5">
        <v>622626</v>
      </c>
      <c r="J817">
        <f>IFERROR(VLOOKUP(G817,'LEAID Match'!$A$2:$B$183,2,FALSE),"")</f>
        <v>1601050</v>
      </c>
      <c r="K817">
        <f t="shared" si="12"/>
        <v>9</v>
      </c>
    </row>
    <row r="818" spans="1:11" x14ac:dyDescent="0.2">
      <c r="A818">
        <v>1601050</v>
      </c>
      <c r="B818">
        <v>2016</v>
      </c>
      <c r="C818">
        <v>52</v>
      </c>
      <c r="D818" t="s">
        <v>428</v>
      </c>
      <c r="E818" t="s">
        <v>429</v>
      </c>
      <c r="F818" t="s">
        <v>433</v>
      </c>
      <c r="G818" t="s">
        <v>35</v>
      </c>
      <c r="H818" t="s">
        <v>35</v>
      </c>
      <c r="I818" s="5">
        <v>661913</v>
      </c>
      <c r="J818">
        <f>IFERROR(VLOOKUP(G818,'LEAID Match'!$A$2:$B$183,2,FALSE),"")</f>
        <v>1601050</v>
      </c>
      <c r="K818">
        <f t="shared" si="12"/>
        <v>9</v>
      </c>
    </row>
    <row r="819" spans="1:11" x14ac:dyDescent="0.2">
      <c r="A819">
        <v>1601050</v>
      </c>
      <c r="B819">
        <v>2017</v>
      </c>
      <c r="C819">
        <v>52</v>
      </c>
      <c r="D819" t="s">
        <v>428</v>
      </c>
      <c r="E819" t="s">
        <v>429</v>
      </c>
      <c r="F819" t="s">
        <v>433</v>
      </c>
      <c r="G819" t="s">
        <v>35</v>
      </c>
      <c r="H819" t="s">
        <v>35</v>
      </c>
      <c r="I819" s="5">
        <v>702280</v>
      </c>
      <c r="J819">
        <f>IFERROR(VLOOKUP(G819,'LEAID Match'!$A$2:$B$183,2,FALSE),"")</f>
        <v>1601050</v>
      </c>
      <c r="K819">
        <f t="shared" si="12"/>
        <v>9</v>
      </c>
    </row>
    <row r="820" spans="1:11" x14ac:dyDescent="0.2">
      <c r="A820">
        <v>1601050</v>
      </c>
      <c r="B820">
        <v>2018</v>
      </c>
      <c r="C820">
        <v>52</v>
      </c>
      <c r="D820" t="s">
        <v>428</v>
      </c>
      <c r="E820" t="s">
        <v>429</v>
      </c>
      <c r="F820" t="s">
        <v>433</v>
      </c>
      <c r="G820" t="s">
        <v>35</v>
      </c>
      <c r="H820" t="s">
        <v>35</v>
      </c>
      <c r="I820" s="5">
        <v>733275</v>
      </c>
      <c r="J820">
        <f>IFERROR(VLOOKUP(G820,'LEAID Match'!$A$2:$B$183,2,FALSE),"")</f>
        <v>1601050</v>
      </c>
      <c r="K820">
        <f t="shared" si="12"/>
        <v>9</v>
      </c>
    </row>
    <row r="821" spans="1:11" x14ac:dyDescent="0.2">
      <c r="A821">
        <v>1601050</v>
      </c>
      <c r="B821">
        <v>2019</v>
      </c>
      <c r="C821">
        <v>52</v>
      </c>
      <c r="D821" t="s">
        <v>428</v>
      </c>
      <c r="E821" t="s">
        <v>429</v>
      </c>
      <c r="F821" t="s">
        <v>433</v>
      </c>
      <c r="G821" t="s">
        <v>35</v>
      </c>
      <c r="H821" t="s">
        <v>240</v>
      </c>
      <c r="I821" s="5">
        <v>784735</v>
      </c>
      <c r="J821">
        <f>IFERROR(VLOOKUP(G821,'LEAID Match'!$A$2:$B$183,2,FALSE),"")</f>
        <v>1601050</v>
      </c>
      <c r="K821">
        <f t="shared" si="12"/>
        <v>9</v>
      </c>
    </row>
    <row r="822" spans="1:11" x14ac:dyDescent="0.2">
      <c r="A822">
        <v>1601050</v>
      </c>
      <c r="B822">
        <v>2020</v>
      </c>
      <c r="C822">
        <v>52</v>
      </c>
      <c r="D822" t="s">
        <v>428</v>
      </c>
      <c r="E822" t="s">
        <v>429</v>
      </c>
      <c r="F822" t="s">
        <v>433</v>
      </c>
      <c r="G822" t="s">
        <v>35</v>
      </c>
      <c r="H822" t="s">
        <v>240</v>
      </c>
      <c r="I822" s="5">
        <v>851869</v>
      </c>
      <c r="J822">
        <f>IFERROR(VLOOKUP(G822,'LEAID Match'!$A$2:$B$183,2,FALSE),"")</f>
        <v>1601050</v>
      </c>
      <c r="K822">
        <f t="shared" si="12"/>
        <v>9</v>
      </c>
    </row>
    <row r="823" spans="1:11" x14ac:dyDescent="0.2">
      <c r="A823">
        <v>1601050</v>
      </c>
      <c r="B823">
        <v>2021</v>
      </c>
      <c r="C823">
        <v>52</v>
      </c>
      <c r="D823" t="s">
        <v>428</v>
      </c>
      <c r="E823" t="s">
        <v>429</v>
      </c>
      <c r="F823" t="s">
        <v>433</v>
      </c>
      <c r="G823" t="s">
        <v>35</v>
      </c>
      <c r="H823" t="s">
        <v>35</v>
      </c>
      <c r="I823" s="5">
        <v>888880</v>
      </c>
      <c r="J823">
        <f>IFERROR(VLOOKUP(G823,'LEAID Match'!$A$2:$B$183,2,FALSE),"")</f>
        <v>1601050</v>
      </c>
      <c r="K823">
        <f t="shared" si="12"/>
        <v>9</v>
      </c>
    </row>
    <row r="824" spans="1:11" x14ac:dyDescent="0.2">
      <c r="A824">
        <v>1601050</v>
      </c>
      <c r="B824">
        <v>2022</v>
      </c>
      <c r="C824">
        <v>52</v>
      </c>
      <c r="D824" t="s">
        <v>428</v>
      </c>
      <c r="E824" t="s">
        <v>429</v>
      </c>
      <c r="F824" t="s">
        <v>433</v>
      </c>
      <c r="G824" t="s">
        <v>35</v>
      </c>
      <c r="H824" t="s">
        <v>240</v>
      </c>
      <c r="I824" s="5">
        <v>904829</v>
      </c>
      <c r="J824">
        <f>IFERROR(VLOOKUP(G824,'LEAID Match'!$A$2:$B$183,2,FALSE),"")</f>
        <v>1601050</v>
      </c>
      <c r="K824">
        <f t="shared" si="12"/>
        <v>9</v>
      </c>
    </row>
    <row r="825" spans="1:11" x14ac:dyDescent="0.2">
      <c r="A825">
        <v>1601050</v>
      </c>
      <c r="B825">
        <v>2023</v>
      </c>
      <c r="C825">
        <v>52</v>
      </c>
      <c r="D825" t="s">
        <v>428</v>
      </c>
      <c r="E825" t="s">
        <v>429</v>
      </c>
      <c r="F825" t="s">
        <v>433</v>
      </c>
      <c r="G825" t="s">
        <v>35</v>
      </c>
      <c r="H825" t="s">
        <v>240</v>
      </c>
      <c r="I825" s="5">
        <v>912116</v>
      </c>
      <c r="J825">
        <f>IFERROR(VLOOKUP(G825,'LEAID Match'!$A$2:$B$183,2,FALSE),"")</f>
        <v>1601050</v>
      </c>
      <c r="K825">
        <f t="shared" si="12"/>
        <v>9</v>
      </c>
    </row>
    <row r="826" spans="1:11" x14ac:dyDescent="0.2">
      <c r="A826">
        <v>1601080</v>
      </c>
      <c r="B826">
        <v>2015</v>
      </c>
      <c r="C826">
        <v>53</v>
      </c>
      <c r="D826" t="s">
        <v>428</v>
      </c>
      <c r="E826" t="s">
        <v>429</v>
      </c>
      <c r="F826" t="s">
        <v>433</v>
      </c>
      <c r="G826" t="s">
        <v>36</v>
      </c>
      <c r="H826" t="s">
        <v>36</v>
      </c>
      <c r="I826" s="5">
        <v>286611</v>
      </c>
      <c r="J826">
        <f>IFERROR(VLOOKUP(G826,'LEAID Match'!$A$2:$B$183,2,FALSE),"")</f>
        <v>1601080</v>
      </c>
      <c r="K826">
        <f t="shared" si="12"/>
        <v>9</v>
      </c>
    </row>
    <row r="827" spans="1:11" x14ac:dyDescent="0.2">
      <c r="A827">
        <v>1601080</v>
      </c>
      <c r="B827">
        <v>2016</v>
      </c>
      <c r="C827">
        <v>53</v>
      </c>
      <c r="D827" t="s">
        <v>428</v>
      </c>
      <c r="E827" t="s">
        <v>429</v>
      </c>
      <c r="F827" t="s">
        <v>433</v>
      </c>
      <c r="G827" t="s">
        <v>36</v>
      </c>
      <c r="H827" t="s">
        <v>36</v>
      </c>
      <c r="I827" s="5">
        <v>301285</v>
      </c>
      <c r="J827">
        <f>IFERROR(VLOOKUP(G827,'LEAID Match'!$A$2:$B$183,2,FALSE),"")</f>
        <v>1601080</v>
      </c>
      <c r="K827">
        <f t="shared" si="12"/>
        <v>9</v>
      </c>
    </row>
    <row r="828" spans="1:11" x14ac:dyDescent="0.2">
      <c r="A828">
        <v>1601080</v>
      </c>
      <c r="B828">
        <v>2017</v>
      </c>
      <c r="C828">
        <v>53</v>
      </c>
      <c r="D828" t="s">
        <v>428</v>
      </c>
      <c r="E828" t="s">
        <v>429</v>
      </c>
      <c r="F828" t="s">
        <v>433</v>
      </c>
      <c r="G828" t="s">
        <v>36</v>
      </c>
      <c r="H828" t="s">
        <v>36</v>
      </c>
      <c r="I828" s="5">
        <v>308076</v>
      </c>
      <c r="J828">
        <f>IFERROR(VLOOKUP(G828,'LEAID Match'!$A$2:$B$183,2,FALSE),"")</f>
        <v>1601080</v>
      </c>
      <c r="K828">
        <f t="shared" si="12"/>
        <v>9</v>
      </c>
    </row>
    <row r="829" spans="1:11" x14ac:dyDescent="0.2">
      <c r="A829">
        <v>1601080</v>
      </c>
      <c r="B829">
        <v>2018</v>
      </c>
      <c r="C829">
        <v>53</v>
      </c>
      <c r="D829" t="s">
        <v>428</v>
      </c>
      <c r="E829" t="s">
        <v>429</v>
      </c>
      <c r="F829" t="s">
        <v>433</v>
      </c>
      <c r="G829" t="s">
        <v>36</v>
      </c>
      <c r="H829" t="s">
        <v>36</v>
      </c>
      <c r="I829" s="5">
        <v>326165</v>
      </c>
      <c r="J829">
        <f>IFERROR(VLOOKUP(G829,'LEAID Match'!$A$2:$B$183,2,FALSE),"")</f>
        <v>1601080</v>
      </c>
      <c r="K829">
        <f t="shared" si="12"/>
        <v>9</v>
      </c>
    </row>
    <row r="830" spans="1:11" x14ac:dyDescent="0.2">
      <c r="A830">
        <v>1601080</v>
      </c>
      <c r="B830">
        <v>2019</v>
      </c>
      <c r="C830">
        <v>53</v>
      </c>
      <c r="D830" t="s">
        <v>428</v>
      </c>
      <c r="E830" t="s">
        <v>429</v>
      </c>
      <c r="F830" t="s">
        <v>433</v>
      </c>
      <c r="G830" t="s">
        <v>36</v>
      </c>
      <c r="H830" t="s">
        <v>241</v>
      </c>
      <c r="I830" s="5">
        <v>338820</v>
      </c>
      <c r="J830">
        <f>IFERROR(VLOOKUP(G830,'LEAID Match'!$A$2:$B$183,2,FALSE),"")</f>
        <v>1601080</v>
      </c>
      <c r="K830">
        <f t="shared" si="12"/>
        <v>9</v>
      </c>
    </row>
    <row r="831" spans="1:11" x14ac:dyDescent="0.2">
      <c r="A831">
        <v>1601080</v>
      </c>
      <c r="B831">
        <v>2020</v>
      </c>
      <c r="C831">
        <v>53</v>
      </c>
      <c r="D831" t="s">
        <v>428</v>
      </c>
      <c r="E831" t="s">
        <v>429</v>
      </c>
      <c r="F831" t="s">
        <v>433</v>
      </c>
      <c r="G831" t="s">
        <v>36</v>
      </c>
      <c r="H831" t="s">
        <v>241</v>
      </c>
      <c r="I831" s="5">
        <v>394625</v>
      </c>
      <c r="J831">
        <f>IFERROR(VLOOKUP(G831,'LEAID Match'!$A$2:$B$183,2,FALSE),"")</f>
        <v>1601080</v>
      </c>
      <c r="K831">
        <f t="shared" si="12"/>
        <v>9</v>
      </c>
    </row>
    <row r="832" spans="1:11" x14ac:dyDescent="0.2">
      <c r="A832">
        <v>1601080</v>
      </c>
      <c r="B832">
        <v>2021</v>
      </c>
      <c r="C832">
        <v>53</v>
      </c>
      <c r="D832" t="s">
        <v>428</v>
      </c>
      <c r="E832" t="s">
        <v>429</v>
      </c>
      <c r="F832" t="s">
        <v>433</v>
      </c>
      <c r="G832" t="s">
        <v>36</v>
      </c>
      <c r="H832" t="s">
        <v>36</v>
      </c>
      <c r="I832" s="5">
        <v>403206</v>
      </c>
      <c r="J832">
        <f>IFERROR(VLOOKUP(G832,'LEAID Match'!$A$2:$B$183,2,FALSE),"")</f>
        <v>1601080</v>
      </c>
      <c r="K832">
        <f t="shared" si="12"/>
        <v>9</v>
      </c>
    </row>
    <row r="833" spans="1:11" x14ac:dyDescent="0.2">
      <c r="A833">
        <v>1601080</v>
      </c>
      <c r="B833">
        <v>2022</v>
      </c>
      <c r="C833">
        <v>53</v>
      </c>
      <c r="D833" t="s">
        <v>428</v>
      </c>
      <c r="E833" t="s">
        <v>429</v>
      </c>
      <c r="F833" t="s">
        <v>433</v>
      </c>
      <c r="G833" t="s">
        <v>36</v>
      </c>
      <c r="H833" t="s">
        <v>241</v>
      </c>
      <c r="I833" s="5">
        <v>406661</v>
      </c>
      <c r="J833">
        <f>IFERROR(VLOOKUP(G833,'LEAID Match'!$A$2:$B$183,2,FALSE),"")</f>
        <v>1601080</v>
      </c>
      <c r="K833">
        <f t="shared" si="12"/>
        <v>9</v>
      </c>
    </row>
    <row r="834" spans="1:11" x14ac:dyDescent="0.2">
      <c r="A834">
        <v>1601080</v>
      </c>
      <c r="B834">
        <v>2023</v>
      </c>
      <c r="C834">
        <v>53</v>
      </c>
      <c r="D834" t="s">
        <v>428</v>
      </c>
      <c r="E834" t="s">
        <v>429</v>
      </c>
      <c r="F834" t="s">
        <v>433</v>
      </c>
      <c r="G834" t="s">
        <v>36</v>
      </c>
      <c r="H834" t="s">
        <v>241</v>
      </c>
      <c r="I834" s="5">
        <v>419259</v>
      </c>
      <c r="J834">
        <f>IFERROR(VLOOKUP(G834,'LEAID Match'!$A$2:$B$183,2,FALSE),"")</f>
        <v>1601080</v>
      </c>
      <c r="K834">
        <f t="shared" si="12"/>
        <v>9</v>
      </c>
    </row>
    <row r="835" spans="1:11" x14ac:dyDescent="0.2">
      <c r="A835">
        <v>1601110</v>
      </c>
      <c r="B835">
        <v>2015</v>
      </c>
      <c r="C835">
        <v>165</v>
      </c>
      <c r="D835" t="s">
        <v>428</v>
      </c>
      <c r="E835" t="s">
        <v>429</v>
      </c>
      <c r="F835" t="s">
        <v>433</v>
      </c>
      <c r="G835" t="s">
        <v>188</v>
      </c>
      <c r="H835" t="s">
        <v>101</v>
      </c>
      <c r="I835" s="5">
        <v>986340</v>
      </c>
      <c r="J835">
        <f>IFERROR(VLOOKUP(G835,'LEAID Match'!$A$2:$B$183,2,FALSE),"")</f>
        <v>1601110</v>
      </c>
      <c r="K835">
        <f t="shared" ref="K835:K898" si="13">COUNTIF($A$2:$A$1651,A835)</f>
        <v>9</v>
      </c>
    </row>
    <row r="836" spans="1:11" x14ac:dyDescent="0.2">
      <c r="A836">
        <v>1601110</v>
      </c>
      <c r="B836">
        <v>2016</v>
      </c>
      <c r="C836">
        <v>165</v>
      </c>
      <c r="D836" t="s">
        <v>428</v>
      </c>
      <c r="E836" t="s">
        <v>429</v>
      </c>
      <c r="F836" t="s">
        <v>433</v>
      </c>
      <c r="G836" t="s">
        <v>188</v>
      </c>
      <c r="H836" t="s">
        <v>188</v>
      </c>
      <c r="I836" s="5">
        <v>1006140</v>
      </c>
      <c r="J836">
        <f>IFERROR(VLOOKUP(G836,'LEAID Match'!$A$2:$B$183,2,FALSE),"")</f>
        <v>1601110</v>
      </c>
      <c r="K836">
        <f t="shared" si="13"/>
        <v>9</v>
      </c>
    </row>
    <row r="837" spans="1:11" x14ac:dyDescent="0.2">
      <c r="A837">
        <v>1601110</v>
      </c>
      <c r="B837">
        <v>2017</v>
      </c>
      <c r="C837">
        <v>165</v>
      </c>
      <c r="D837" t="s">
        <v>428</v>
      </c>
      <c r="E837" t="s">
        <v>429</v>
      </c>
      <c r="F837" t="s">
        <v>433</v>
      </c>
      <c r="G837" t="s">
        <v>188</v>
      </c>
      <c r="H837" t="s">
        <v>188</v>
      </c>
      <c r="I837" s="5">
        <v>1028653</v>
      </c>
      <c r="J837">
        <f>IFERROR(VLOOKUP(G837,'LEAID Match'!$A$2:$B$183,2,FALSE),"")</f>
        <v>1601110</v>
      </c>
      <c r="K837">
        <f t="shared" si="13"/>
        <v>9</v>
      </c>
    </row>
    <row r="838" spans="1:11" x14ac:dyDescent="0.2">
      <c r="A838">
        <v>1601110</v>
      </c>
      <c r="B838">
        <v>2018</v>
      </c>
      <c r="C838">
        <v>165</v>
      </c>
      <c r="D838" t="s">
        <v>428</v>
      </c>
      <c r="E838" t="s">
        <v>429</v>
      </c>
      <c r="F838" t="s">
        <v>433</v>
      </c>
      <c r="G838" t="s">
        <v>188</v>
      </c>
      <c r="H838" t="s">
        <v>205</v>
      </c>
      <c r="I838" s="5">
        <v>1071764</v>
      </c>
      <c r="J838">
        <f>IFERROR(VLOOKUP(G838,'LEAID Match'!$A$2:$B$183,2,FALSE),"")</f>
        <v>1601110</v>
      </c>
      <c r="K838">
        <f t="shared" si="13"/>
        <v>9</v>
      </c>
    </row>
    <row r="839" spans="1:11" x14ac:dyDescent="0.2">
      <c r="A839">
        <v>1601110</v>
      </c>
      <c r="B839">
        <v>2019</v>
      </c>
      <c r="C839">
        <v>165</v>
      </c>
      <c r="D839" t="s">
        <v>428</v>
      </c>
      <c r="E839" t="s">
        <v>429</v>
      </c>
      <c r="F839" t="s">
        <v>433</v>
      </c>
      <c r="G839" t="s">
        <v>188</v>
      </c>
      <c r="H839" t="s">
        <v>205</v>
      </c>
      <c r="I839" s="5">
        <v>1104932</v>
      </c>
      <c r="J839">
        <f>IFERROR(VLOOKUP(G839,'LEAID Match'!$A$2:$B$183,2,FALSE),"")</f>
        <v>1601110</v>
      </c>
      <c r="K839">
        <f t="shared" si="13"/>
        <v>9</v>
      </c>
    </row>
    <row r="840" spans="1:11" x14ac:dyDescent="0.2">
      <c r="A840">
        <v>1601110</v>
      </c>
      <c r="B840">
        <v>2020</v>
      </c>
      <c r="C840">
        <v>165</v>
      </c>
      <c r="D840" t="s">
        <v>428</v>
      </c>
      <c r="E840" t="s">
        <v>429</v>
      </c>
      <c r="F840" t="s">
        <v>433</v>
      </c>
      <c r="G840" t="s">
        <v>188</v>
      </c>
      <c r="H840" t="s">
        <v>374</v>
      </c>
      <c r="I840" s="5">
        <v>1220831</v>
      </c>
      <c r="J840">
        <f>IFERROR(VLOOKUP(G840,'LEAID Match'!$A$2:$B$183,2,FALSE),"")</f>
        <v>1601110</v>
      </c>
      <c r="K840">
        <f t="shared" si="13"/>
        <v>9</v>
      </c>
    </row>
    <row r="841" spans="1:11" x14ac:dyDescent="0.2">
      <c r="A841">
        <v>1601110</v>
      </c>
      <c r="B841">
        <v>2021</v>
      </c>
      <c r="C841">
        <v>165</v>
      </c>
      <c r="D841" t="s">
        <v>428</v>
      </c>
      <c r="E841" t="s">
        <v>429</v>
      </c>
      <c r="F841" t="s">
        <v>433</v>
      </c>
      <c r="G841" t="s">
        <v>188</v>
      </c>
      <c r="H841" t="s">
        <v>205</v>
      </c>
      <c r="I841" s="5">
        <v>1317791</v>
      </c>
      <c r="J841">
        <f>IFERROR(VLOOKUP(G841,'LEAID Match'!$A$2:$B$183,2,FALSE),"")</f>
        <v>1601110</v>
      </c>
      <c r="K841">
        <f t="shared" si="13"/>
        <v>9</v>
      </c>
    </row>
    <row r="842" spans="1:11" x14ac:dyDescent="0.2">
      <c r="A842">
        <v>1601110</v>
      </c>
      <c r="B842">
        <v>2022</v>
      </c>
      <c r="C842">
        <v>165</v>
      </c>
      <c r="D842" t="s">
        <v>428</v>
      </c>
      <c r="E842" t="s">
        <v>429</v>
      </c>
      <c r="F842" t="s">
        <v>433</v>
      </c>
      <c r="G842" t="s">
        <v>188</v>
      </c>
      <c r="H842" t="s">
        <v>402</v>
      </c>
      <c r="I842" s="5">
        <v>1371939</v>
      </c>
      <c r="J842">
        <f>IFERROR(VLOOKUP(G842,'LEAID Match'!$A$2:$B$183,2,FALSE),"")</f>
        <v>1601110</v>
      </c>
      <c r="K842">
        <f t="shared" si="13"/>
        <v>9</v>
      </c>
    </row>
    <row r="843" spans="1:11" x14ac:dyDescent="0.2">
      <c r="A843">
        <v>1601110</v>
      </c>
      <c r="B843">
        <v>2023</v>
      </c>
      <c r="C843">
        <v>165</v>
      </c>
      <c r="D843" t="s">
        <v>428</v>
      </c>
      <c r="E843" t="s">
        <v>429</v>
      </c>
      <c r="F843" t="s">
        <v>433</v>
      </c>
      <c r="G843" t="s">
        <v>188</v>
      </c>
      <c r="H843" t="s">
        <v>402</v>
      </c>
      <c r="I843" s="5">
        <v>1449939</v>
      </c>
      <c r="J843">
        <f>IFERROR(VLOOKUP(G843,'LEAID Match'!$A$2:$B$183,2,FALSE),"")</f>
        <v>1601110</v>
      </c>
      <c r="K843">
        <f t="shared" si="13"/>
        <v>9</v>
      </c>
    </row>
    <row r="844" spans="1:11" x14ac:dyDescent="0.2">
      <c r="A844">
        <v>1601140</v>
      </c>
      <c r="B844">
        <v>2015</v>
      </c>
      <c r="C844">
        <v>55</v>
      </c>
      <c r="D844" t="s">
        <v>428</v>
      </c>
      <c r="E844" t="s">
        <v>429</v>
      </c>
      <c r="F844" t="s">
        <v>433</v>
      </c>
      <c r="G844" t="s">
        <v>37</v>
      </c>
      <c r="H844" t="s">
        <v>37</v>
      </c>
      <c r="I844" s="5">
        <v>645084</v>
      </c>
      <c r="J844">
        <f>IFERROR(VLOOKUP(G844,'LEAID Match'!$A$2:$B$183,2,FALSE),"")</f>
        <v>1601140</v>
      </c>
      <c r="K844">
        <f t="shared" si="13"/>
        <v>9</v>
      </c>
    </row>
    <row r="845" spans="1:11" x14ac:dyDescent="0.2">
      <c r="A845">
        <v>1601140</v>
      </c>
      <c r="B845">
        <v>2016</v>
      </c>
      <c r="C845">
        <v>55</v>
      </c>
      <c r="D845" t="s">
        <v>428</v>
      </c>
      <c r="E845" t="s">
        <v>429</v>
      </c>
      <c r="F845" t="s">
        <v>433</v>
      </c>
      <c r="G845" t="s">
        <v>37</v>
      </c>
      <c r="H845" t="s">
        <v>37</v>
      </c>
      <c r="I845" s="5">
        <v>674505</v>
      </c>
      <c r="J845">
        <f>IFERROR(VLOOKUP(G845,'LEAID Match'!$A$2:$B$183,2,FALSE),"")</f>
        <v>1601140</v>
      </c>
      <c r="K845">
        <f t="shared" si="13"/>
        <v>9</v>
      </c>
    </row>
    <row r="846" spans="1:11" x14ac:dyDescent="0.2">
      <c r="A846">
        <v>1601140</v>
      </c>
      <c r="B846">
        <v>2017</v>
      </c>
      <c r="C846">
        <v>55</v>
      </c>
      <c r="D846" t="s">
        <v>428</v>
      </c>
      <c r="E846" t="s">
        <v>429</v>
      </c>
      <c r="F846" t="s">
        <v>433</v>
      </c>
      <c r="G846" t="s">
        <v>37</v>
      </c>
      <c r="H846" t="s">
        <v>37</v>
      </c>
      <c r="I846" s="5">
        <v>708945</v>
      </c>
      <c r="J846">
        <f>IFERROR(VLOOKUP(G846,'LEAID Match'!$A$2:$B$183,2,FALSE),"")</f>
        <v>1601140</v>
      </c>
      <c r="K846">
        <f t="shared" si="13"/>
        <v>9</v>
      </c>
    </row>
    <row r="847" spans="1:11" x14ac:dyDescent="0.2">
      <c r="A847">
        <v>1601140</v>
      </c>
      <c r="B847">
        <v>2018</v>
      </c>
      <c r="C847">
        <v>55</v>
      </c>
      <c r="D847" t="s">
        <v>428</v>
      </c>
      <c r="E847" t="s">
        <v>429</v>
      </c>
      <c r="F847" t="s">
        <v>433</v>
      </c>
      <c r="G847" t="s">
        <v>37</v>
      </c>
      <c r="H847" t="s">
        <v>37</v>
      </c>
      <c r="I847" s="5">
        <v>748874</v>
      </c>
      <c r="J847">
        <f>IFERROR(VLOOKUP(G847,'LEAID Match'!$A$2:$B$183,2,FALSE),"")</f>
        <v>1601140</v>
      </c>
      <c r="K847">
        <f t="shared" si="13"/>
        <v>9</v>
      </c>
    </row>
    <row r="848" spans="1:11" x14ac:dyDescent="0.2">
      <c r="A848">
        <v>1601140</v>
      </c>
      <c r="B848">
        <v>2019</v>
      </c>
      <c r="C848">
        <v>55</v>
      </c>
      <c r="D848" t="s">
        <v>428</v>
      </c>
      <c r="E848" t="s">
        <v>429</v>
      </c>
      <c r="F848" t="s">
        <v>433</v>
      </c>
      <c r="G848" t="s">
        <v>37</v>
      </c>
      <c r="H848" t="s">
        <v>242</v>
      </c>
      <c r="I848" s="5">
        <v>808596</v>
      </c>
      <c r="J848">
        <f>IFERROR(VLOOKUP(G848,'LEAID Match'!$A$2:$B$183,2,FALSE),"")</f>
        <v>1601140</v>
      </c>
      <c r="K848">
        <f t="shared" si="13"/>
        <v>9</v>
      </c>
    </row>
    <row r="849" spans="1:11" x14ac:dyDescent="0.2">
      <c r="A849">
        <v>1601140</v>
      </c>
      <c r="B849">
        <v>2020</v>
      </c>
      <c r="C849">
        <v>55</v>
      </c>
      <c r="D849" t="s">
        <v>428</v>
      </c>
      <c r="E849" t="s">
        <v>429</v>
      </c>
      <c r="F849" t="s">
        <v>433</v>
      </c>
      <c r="G849" t="s">
        <v>37</v>
      </c>
      <c r="H849" t="s">
        <v>242</v>
      </c>
      <c r="I849" s="5">
        <v>873260</v>
      </c>
      <c r="J849">
        <f>IFERROR(VLOOKUP(G849,'LEAID Match'!$A$2:$B$183,2,FALSE),"")</f>
        <v>1601140</v>
      </c>
      <c r="K849">
        <f t="shared" si="13"/>
        <v>9</v>
      </c>
    </row>
    <row r="850" spans="1:11" x14ac:dyDescent="0.2">
      <c r="A850">
        <v>1601140</v>
      </c>
      <c r="B850">
        <v>2021</v>
      </c>
      <c r="C850">
        <v>55</v>
      </c>
      <c r="D850" t="s">
        <v>428</v>
      </c>
      <c r="E850" t="s">
        <v>429</v>
      </c>
      <c r="F850" t="s">
        <v>433</v>
      </c>
      <c r="G850" t="s">
        <v>37</v>
      </c>
      <c r="H850" t="s">
        <v>37</v>
      </c>
      <c r="I850" s="5">
        <v>878559</v>
      </c>
      <c r="J850">
        <f>IFERROR(VLOOKUP(G850,'LEAID Match'!$A$2:$B$183,2,FALSE),"")</f>
        <v>1601140</v>
      </c>
      <c r="K850">
        <f t="shared" si="13"/>
        <v>9</v>
      </c>
    </row>
    <row r="851" spans="1:11" x14ac:dyDescent="0.2">
      <c r="A851">
        <v>1601140</v>
      </c>
      <c r="B851">
        <v>2022</v>
      </c>
      <c r="C851">
        <v>55</v>
      </c>
      <c r="D851" t="s">
        <v>428</v>
      </c>
      <c r="E851" t="s">
        <v>429</v>
      </c>
      <c r="F851" t="s">
        <v>433</v>
      </c>
      <c r="G851" t="s">
        <v>37</v>
      </c>
      <c r="H851" t="s">
        <v>242</v>
      </c>
      <c r="I851" s="5">
        <v>883406</v>
      </c>
      <c r="J851">
        <f>IFERROR(VLOOKUP(G851,'LEAID Match'!$A$2:$B$183,2,FALSE),"")</f>
        <v>1601140</v>
      </c>
      <c r="K851">
        <f t="shared" si="13"/>
        <v>9</v>
      </c>
    </row>
    <row r="852" spans="1:11" x14ac:dyDescent="0.2">
      <c r="A852">
        <v>1601140</v>
      </c>
      <c r="B852">
        <v>2023</v>
      </c>
      <c r="C852">
        <v>55</v>
      </c>
      <c r="D852" t="s">
        <v>428</v>
      </c>
      <c r="E852" t="s">
        <v>429</v>
      </c>
      <c r="F852" t="s">
        <v>433</v>
      </c>
      <c r="G852" t="s">
        <v>37</v>
      </c>
      <c r="H852" t="s">
        <v>242</v>
      </c>
      <c r="I852" s="5">
        <v>919917</v>
      </c>
      <c r="J852">
        <f>IFERROR(VLOOKUP(G852,'LEAID Match'!$A$2:$B$183,2,FALSE),"")</f>
        <v>1601140</v>
      </c>
      <c r="K852">
        <f t="shared" si="13"/>
        <v>9</v>
      </c>
    </row>
    <row r="853" spans="1:11" x14ac:dyDescent="0.2">
      <c r="A853">
        <v>1601170</v>
      </c>
      <c r="B853">
        <v>2015</v>
      </c>
      <c r="C853">
        <v>57</v>
      </c>
      <c r="D853" t="s">
        <v>428</v>
      </c>
      <c r="E853" t="s">
        <v>429</v>
      </c>
      <c r="F853" t="s">
        <v>433</v>
      </c>
      <c r="G853" t="s">
        <v>38</v>
      </c>
      <c r="H853" t="s">
        <v>38</v>
      </c>
      <c r="I853" s="5">
        <v>155770</v>
      </c>
      <c r="J853">
        <f>IFERROR(VLOOKUP(G853,'LEAID Match'!$A$2:$B$183,2,FALSE),"")</f>
        <v>1601170</v>
      </c>
      <c r="K853">
        <f t="shared" si="13"/>
        <v>9</v>
      </c>
    </row>
    <row r="854" spans="1:11" x14ac:dyDescent="0.2">
      <c r="A854">
        <v>1601170</v>
      </c>
      <c r="B854">
        <v>2016</v>
      </c>
      <c r="C854">
        <v>57</v>
      </c>
      <c r="D854" t="s">
        <v>428</v>
      </c>
      <c r="E854" t="s">
        <v>429</v>
      </c>
      <c r="F854" t="s">
        <v>433</v>
      </c>
      <c r="G854" t="s">
        <v>38</v>
      </c>
      <c r="H854" t="s">
        <v>38</v>
      </c>
      <c r="I854" s="5">
        <v>158620</v>
      </c>
      <c r="J854">
        <f>IFERROR(VLOOKUP(G854,'LEAID Match'!$A$2:$B$183,2,FALSE),"")</f>
        <v>1601170</v>
      </c>
      <c r="K854">
        <f t="shared" si="13"/>
        <v>9</v>
      </c>
    </row>
    <row r="855" spans="1:11" x14ac:dyDescent="0.2">
      <c r="A855">
        <v>1601170</v>
      </c>
      <c r="B855">
        <v>2017</v>
      </c>
      <c r="C855">
        <v>57</v>
      </c>
      <c r="D855" t="s">
        <v>428</v>
      </c>
      <c r="E855" t="s">
        <v>429</v>
      </c>
      <c r="F855" t="s">
        <v>433</v>
      </c>
      <c r="G855" t="s">
        <v>38</v>
      </c>
      <c r="H855" t="s">
        <v>38</v>
      </c>
      <c r="I855" s="5">
        <v>153186</v>
      </c>
      <c r="J855">
        <f>IFERROR(VLOOKUP(G855,'LEAID Match'!$A$2:$B$183,2,FALSE),"")</f>
        <v>1601170</v>
      </c>
      <c r="K855">
        <f t="shared" si="13"/>
        <v>9</v>
      </c>
    </row>
    <row r="856" spans="1:11" x14ac:dyDescent="0.2">
      <c r="A856">
        <v>1601170</v>
      </c>
      <c r="B856">
        <v>2018</v>
      </c>
      <c r="C856">
        <v>57</v>
      </c>
      <c r="D856" t="s">
        <v>428</v>
      </c>
      <c r="E856" t="s">
        <v>429</v>
      </c>
      <c r="F856" t="s">
        <v>433</v>
      </c>
      <c r="G856" t="s">
        <v>38</v>
      </c>
      <c r="H856" t="s">
        <v>38</v>
      </c>
      <c r="I856" s="5">
        <v>161487</v>
      </c>
      <c r="J856">
        <f>IFERROR(VLOOKUP(G856,'LEAID Match'!$A$2:$B$183,2,FALSE),"")</f>
        <v>1601170</v>
      </c>
      <c r="K856">
        <f t="shared" si="13"/>
        <v>9</v>
      </c>
    </row>
    <row r="857" spans="1:11" x14ac:dyDescent="0.2">
      <c r="A857">
        <v>1601170</v>
      </c>
      <c r="B857">
        <v>2019</v>
      </c>
      <c r="C857">
        <v>57</v>
      </c>
      <c r="D857" t="s">
        <v>428</v>
      </c>
      <c r="E857" t="s">
        <v>429</v>
      </c>
      <c r="F857" t="s">
        <v>433</v>
      </c>
      <c r="G857" t="s">
        <v>38</v>
      </c>
      <c r="H857" t="s">
        <v>244</v>
      </c>
      <c r="I857" s="5">
        <v>166305</v>
      </c>
      <c r="J857">
        <f>IFERROR(VLOOKUP(G857,'LEAID Match'!$A$2:$B$183,2,FALSE),"")</f>
        <v>1601170</v>
      </c>
      <c r="K857">
        <f t="shared" si="13"/>
        <v>9</v>
      </c>
    </row>
    <row r="858" spans="1:11" x14ac:dyDescent="0.2">
      <c r="A858">
        <v>1601170</v>
      </c>
      <c r="B858">
        <v>2020</v>
      </c>
      <c r="C858">
        <v>57</v>
      </c>
      <c r="D858" t="s">
        <v>428</v>
      </c>
      <c r="E858" t="s">
        <v>429</v>
      </c>
      <c r="F858" t="s">
        <v>433</v>
      </c>
      <c r="G858" t="s">
        <v>38</v>
      </c>
      <c r="H858" t="s">
        <v>342</v>
      </c>
      <c r="I858" s="5">
        <v>186880</v>
      </c>
      <c r="J858">
        <f>IFERROR(VLOOKUP(G858,'LEAID Match'!$A$2:$B$183,2,FALSE),"")</f>
        <v>1601170</v>
      </c>
      <c r="K858">
        <f t="shared" si="13"/>
        <v>9</v>
      </c>
    </row>
    <row r="859" spans="1:11" x14ac:dyDescent="0.2">
      <c r="A859">
        <v>1601170</v>
      </c>
      <c r="B859">
        <v>2021</v>
      </c>
      <c r="C859">
        <v>57</v>
      </c>
      <c r="D859" t="s">
        <v>428</v>
      </c>
      <c r="E859" t="s">
        <v>429</v>
      </c>
      <c r="F859" t="s">
        <v>433</v>
      </c>
      <c r="G859" t="s">
        <v>38</v>
      </c>
      <c r="H859" t="s">
        <v>244</v>
      </c>
      <c r="I859" s="5">
        <v>206499</v>
      </c>
      <c r="J859">
        <f>IFERROR(VLOOKUP(G859,'LEAID Match'!$A$2:$B$183,2,FALSE),"")</f>
        <v>1601170</v>
      </c>
      <c r="K859">
        <f t="shared" si="13"/>
        <v>9</v>
      </c>
    </row>
    <row r="860" spans="1:11" x14ac:dyDescent="0.2">
      <c r="A860">
        <v>1601170</v>
      </c>
      <c r="B860">
        <v>2022</v>
      </c>
      <c r="C860">
        <v>57</v>
      </c>
      <c r="D860" t="s">
        <v>428</v>
      </c>
      <c r="E860" t="s">
        <v>429</v>
      </c>
      <c r="F860" t="s">
        <v>433</v>
      </c>
      <c r="G860" t="s">
        <v>38</v>
      </c>
      <c r="H860" t="s">
        <v>244</v>
      </c>
      <c r="I860" s="5">
        <v>254090</v>
      </c>
      <c r="J860">
        <f>IFERROR(VLOOKUP(G860,'LEAID Match'!$A$2:$B$183,2,FALSE),"")</f>
        <v>1601170</v>
      </c>
      <c r="K860">
        <f t="shared" si="13"/>
        <v>9</v>
      </c>
    </row>
    <row r="861" spans="1:11" x14ac:dyDescent="0.2">
      <c r="A861">
        <v>1601170</v>
      </c>
      <c r="B861">
        <v>2023</v>
      </c>
      <c r="C861">
        <v>57</v>
      </c>
      <c r="D861" t="s">
        <v>428</v>
      </c>
      <c r="E861" t="s">
        <v>429</v>
      </c>
      <c r="F861" t="s">
        <v>433</v>
      </c>
      <c r="G861" t="s">
        <v>38</v>
      </c>
      <c r="H861" t="s">
        <v>244</v>
      </c>
      <c r="I861" s="5">
        <v>240576</v>
      </c>
      <c r="J861">
        <f>IFERROR(VLOOKUP(G861,'LEAID Match'!$A$2:$B$183,2,FALSE),"")</f>
        <v>1601170</v>
      </c>
      <c r="K861">
        <f t="shared" si="13"/>
        <v>9</v>
      </c>
    </row>
    <row r="862" spans="1:11" x14ac:dyDescent="0.2">
      <c r="A862">
        <v>1601200</v>
      </c>
      <c r="B862">
        <v>2015</v>
      </c>
      <c r="C862">
        <v>65</v>
      </c>
      <c r="D862" t="s">
        <v>428</v>
      </c>
      <c r="E862" t="s">
        <v>429</v>
      </c>
      <c r="F862" t="s">
        <v>433</v>
      </c>
      <c r="G862" t="s">
        <v>39</v>
      </c>
      <c r="H862" t="s">
        <v>39</v>
      </c>
      <c r="I862" s="5">
        <v>216442</v>
      </c>
      <c r="J862">
        <f>IFERROR(VLOOKUP(G862,'LEAID Match'!$A$2:$B$183,2,FALSE),"")</f>
        <v>1601200</v>
      </c>
      <c r="K862">
        <f t="shared" si="13"/>
        <v>9</v>
      </c>
    </row>
    <row r="863" spans="1:11" x14ac:dyDescent="0.2">
      <c r="A863">
        <v>1601200</v>
      </c>
      <c r="B863">
        <v>2016</v>
      </c>
      <c r="C863">
        <v>65</v>
      </c>
      <c r="D863" t="s">
        <v>428</v>
      </c>
      <c r="E863" t="s">
        <v>429</v>
      </c>
      <c r="F863" t="s">
        <v>433</v>
      </c>
      <c r="G863" t="s">
        <v>39</v>
      </c>
      <c r="H863" t="s">
        <v>39</v>
      </c>
      <c r="I863" s="5">
        <v>223757</v>
      </c>
      <c r="J863">
        <f>IFERROR(VLOOKUP(G863,'LEAID Match'!$A$2:$B$183,2,FALSE),"")</f>
        <v>1601200</v>
      </c>
      <c r="K863">
        <f t="shared" si="13"/>
        <v>9</v>
      </c>
    </row>
    <row r="864" spans="1:11" x14ac:dyDescent="0.2">
      <c r="A864">
        <v>1601200</v>
      </c>
      <c r="B864">
        <v>2017</v>
      </c>
      <c r="C864">
        <v>65</v>
      </c>
      <c r="D864" t="s">
        <v>428</v>
      </c>
      <c r="E864" t="s">
        <v>429</v>
      </c>
      <c r="F864" t="s">
        <v>433</v>
      </c>
      <c r="G864" t="s">
        <v>39</v>
      </c>
      <c r="H864" t="s">
        <v>39</v>
      </c>
      <c r="I864" s="5">
        <v>226551</v>
      </c>
      <c r="J864">
        <f>IFERROR(VLOOKUP(G864,'LEAID Match'!$A$2:$B$183,2,FALSE),"")</f>
        <v>1601200</v>
      </c>
      <c r="K864">
        <f t="shared" si="13"/>
        <v>9</v>
      </c>
    </row>
    <row r="865" spans="1:11" x14ac:dyDescent="0.2">
      <c r="A865">
        <v>1601200</v>
      </c>
      <c r="B865">
        <v>2018</v>
      </c>
      <c r="C865">
        <v>65</v>
      </c>
      <c r="D865" t="s">
        <v>428</v>
      </c>
      <c r="E865" t="s">
        <v>429</v>
      </c>
      <c r="F865" t="s">
        <v>433</v>
      </c>
      <c r="G865" t="s">
        <v>39</v>
      </c>
      <c r="H865" t="s">
        <v>39</v>
      </c>
      <c r="I865" s="5">
        <v>249159</v>
      </c>
      <c r="J865">
        <f>IFERROR(VLOOKUP(G865,'LEAID Match'!$A$2:$B$183,2,FALSE),"")</f>
        <v>1601200</v>
      </c>
      <c r="K865">
        <f t="shared" si="13"/>
        <v>9</v>
      </c>
    </row>
    <row r="866" spans="1:11" x14ac:dyDescent="0.2">
      <c r="A866">
        <v>1601200</v>
      </c>
      <c r="B866">
        <v>2019</v>
      </c>
      <c r="C866">
        <v>65</v>
      </c>
      <c r="D866" t="s">
        <v>428</v>
      </c>
      <c r="E866" t="s">
        <v>429</v>
      </c>
      <c r="F866" t="s">
        <v>433</v>
      </c>
      <c r="G866" t="s">
        <v>39</v>
      </c>
      <c r="H866" t="s">
        <v>248</v>
      </c>
      <c r="I866" s="5">
        <v>259809</v>
      </c>
      <c r="J866">
        <f>IFERROR(VLOOKUP(G866,'LEAID Match'!$A$2:$B$183,2,FALSE),"")</f>
        <v>1601200</v>
      </c>
      <c r="K866">
        <f t="shared" si="13"/>
        <v>9</v>
      </c>
    </row>
    <row r="867" spans="1:11" x14ac:dyDescent="0.2">
      <c r="A867">
        <v>1601200</v>
      </c>
      <c r="B867">
        <v>2020</v>
      </c>
      <c r="C867">
        <v>65</v>
      </c>
      <c r="D867" t="s">
        <v>428</v>
      </c>
      <c r="E867" t="s">
        <v>429</v>
      </c>
      <c r="F867" t="s">
        <v>433</v>
      </c>
      <c r="G867" t="s">
        <v>39</v>
      </c>
      <c r="H867" t="s">
        <v>248</v>
      </c>
      <c r="I867" s="5">
        <v>287471</v>
      </c>
      <c r="J867">
        <f>IFERROR(VLOOKUP(G867,'LEAID Match'!$A$2:$B$183,2,FALSE),"")</f>
        <v>1601200</v>
      </c>
      <c r="K867">
        <f t="shared" si="13"/>
        <v>9</v>
      </c>
    </row>
    <row r="868" spans="1:11" x14ac:dyDescent="0.2">
      <c r="A868">
        <v>1601200</v>
      </c>
      <c r="B868">
        <v>2021</v>
      </c>
      <c r="C868">
        <v>65</v>
      </c>
      <c r="D868" t="s">
        <v>428</v>
      </c>
      <c r="E868" t="s">
        <v>429</v>
      </c>
      <c r="F868" t="s">
        <v>433</v>
      </c>
      <c r="G868" t="s">
        <v>39</v>
      </c>
      <c r="H868" t="s">
        <v>39</v>
      </c>
      <c r="I868" s="5">
        <v>279954</v>
      </c>
      <c r="J868">
        <f>IFERROR(VLOOKUP(G868,'LEAID Match'!$A$2:$B$183,2,FALSE),"")</f>
        <v>1601200</v>
      </c>
      <c r="K868">
        <f t="shared" si="13"/>
        <v>9</v>
      </c>
    </row>
    <row r="869" spans="1:11" x14ac:dyDescent="0.2">
      <c r="A869">
        <v>1601200</v>
      </c>
      <c r="B869">
        <v>2022</v>
      </c>
      <c r="C869">
        <v>65</v>
      </c>
      <c r="D869" t="s">
        <v>428</v>
      </c>
      <c r="E869" t="s">
        <v>429</v>
      </c>
      <c r="F869" t="s">
        <v>433</v>
      </c>
      <c r="G869" t="s">
        <v>39</v>
      </c>
      <c r="H869" t="s">
        <v>248</v>
      </c>
      <c r="I869" s="5">
        <v>303396</v>
      </c>
      <c r="J869">
        <f>IFERROR(VLOOKUP(G869,'LEAID Match'!$A$2:$B$183,2,FALSE),"")</f>
        <v>1601200</v>
      </c>
      <c r="K869">
        <f t="shared" si="13"/>
        <v>9</v>
      </c>
    </row>
    <row r="870" spans="1:11" x14ac:dyDescent="0.2">
      <c r="A870">
        <v>1601200</v>
      </c>
      <c r="B870">
        <v>2023</v>
      </c>
      <c r="C870">
        <v>65</v>
      </c>
      <c r="D870" t="s">
        <v>428</v>
      </c>
      <c r="E870" t="s">
        <v>429</v>
      </c>
      <c r="F870" t="s">
        <v>433</v>
      </c>
      <c r="G870" t="s">
        <v>39</v>
      </c>
      <c r="H870" t="s">
        <v>248</v>
      </c>
      <c r="I870" s="5">
        <v>303382</v>
      </c>
      <c r="J870">
        <f>IFERROR(VLOOKUP(G870,'LEAID Match'!$A$2:$B$183,2,FALSE),"")</f>
        <v>1601200</v>
      </c>
      <c r="K870">
        <f t="shared" si="13"/>
        <v>9</v>
      </c>
    </row>
    <row r="871" spans="1:11" x14ac:dyDescent="0.2">
      <c r="A871">
        <v>1601230</v>
      </c>
      <c r="B871">
        <v>2015</v>
      </c>
      <c r="C871">
        <v>66</v>
      </c>
      <c r="D871" t="s">
        <v>428</v>
      </c>
      <c r="E871" t="s">
        <v>429</v>
      </c>
      <c r="F871" t="s">
        <v>433</v>
      </c>
      <c r="G871" t="s">
        <v>40</v>
      </c>
      <c r="H871" t="s">
        <v>40</v>
      </c>
      <c r="I871" s="5">
        <v>218800</v>
      </c>
      <c r="J871">
        <f>IFERROR(VLOOKUP(G871,'LEAID Match'!$A$2:$B$183,2,FALSE),"")</f>
        <v>1601230</v>
      </c>
      <c r="K871">
        <f t="shared" si="13"/>
        <v>9</v>
      </c>
    </row>
    <row r="872" spans="1:11" x14ac:dyDescent="0.2">
      <c r="A872">
        <v>1601230</v>
      </c>
      <c r="B872">
        <v>2016</v>
      </c>
      <c r="C872">
        <v>66</v>
      </c>
      <c r="D872" t="s">
        <v>428</v>
      </c>
      <c r="E872" t="s">
        <v>429</v>
      </c>
      <c r="F872" t="s">
        <v>433</v>
      </c>
      <c r="G872" t="s">
        <v>40</v>
      </c>
      <c r="H872" t="s">
        <v>40</v>
      </c>
      <c r="I872" s="5">
        <v>219678</v>
      </c>
      <c r="J872">
        <f>IFERROR(VLOOKUP(G872,'LEAID Match'!$A$2:$B$183,2,FALSE),"")</f>
        <v>1601230</v>
      </c>
      <c r="K872">
        <f t="shared" si="13"/>
        <v>9</v>
      </c>
    </row>
    <row r="873" spans="1:11" x14ac:dyDescent="0.2">
      <c r="A873">
        <v>1601230</v>
      </c>
      <c r="B873">
        <v>2017</v>
      </c>
      <c r="C873">
        <v>66</v>
      </c>
      <c r="D873" t="s">
        <v>428</v>
      </c>
      <c r="E873" t="s">
        <v>429</v>
      </c>
      <c r="F873" t="s">
        <v>433</v>
      </c>
      <c r="G873" t="s">
        <v>40</v>
      </c>
      <c r="H873" t="s">
        <v>40</v>
      </c>
      <c r="I873" s="5">
        <v>226198</v>
      </c>
      <c r="J873">
        <f>IFERROR(VLOOKUP(G873,'LEAID Match'!$A$2:$B$183,2,FALSE),"")</f>
        <v>1601230</v>
      </c>
      <c r="K873">
        <f t="shared" si="13"/>
        <v>9</v>
      </c>
    </row>
    <row r="874" spans="1:11" x14ac:dyDescent="0.2">
      <c r="A874">
        <v>1601230</v>
      </c>
      <c r="B874">
        <v>2018</v>
      </c>
      <c r="C874">
        <v>66</v>
      </c>
      <c r="D874" t="s">
        <v>428</v>
      </c>
      <c r="E874" t="s">
        <v>429</v>
      </c>
      <c r="F874" t="s">
        <v>433</v>
      </c>
      <c r="G874" t="s">
        <v>40</v>
      </c>
      <c r="H874" t="s">
        <v>40</v>
      </c>
      <c r="I874" s="5">
        <v>234156</v>
      </c>
      <c r="J874">
        <f>IFERROR(VLOOKUP(G874,'LEAID Match'!$A$2:$B$183,2,FALSE),"")</f>
        <v>1601230</v>
      </c>
      <c r="K874">
        <f t="shared" si="13"/>
        <v>9</v>
      </c>
    </row>
    <row r="875" spans="1:11" x14ac:dyDescent="0.2">
      <c r="A875">
        <v>1601230</v>
      </c>
      <c r="B875">
        <v>2019</v>
      </c>
      <c r="C875">
        <v>66</v>
      </c>
      <c r="D875" t="s">
        <v>428</v>
      </c>
      <c r="E875" t="s">
        <v>429</v>
      </c>
      <c r="F875" t="s">
        <v>433</v>
      </c>
      <c r="G875" t="s">
        <v>40</v>
      </c>
      <c r="H875" t="s">
        <v>249</v>
      </c>
      <c r="I875" s="5">
        <v>258692</v>
      </c>
      <c r="J875">
        <f>IFERROR(VLOOKUP(G875,'LEAID Match'!$A$2:$B$183,2,FALSE),"")</f>
        <v>1601230</v>
      </c>
      <c r="K875">
        <f t="shared" si="13"/>
        <v>9</v>
      </c>
    </row>
    <row r="876" spans="1:11" x14ac:dyDescent="0.2">
      <c r="A876">
        <v>1601230</v>
      </c>
      <c r="B876">
        <v>2020</v>
      </c>
      <c r="C876">
        <v>66</v>
      </c>
      <c r="D876" t="s">
        <v>428</v>
      </c>
      <c r="E876" t="s">
        <v>429</v>
      </c>
      <c r="F876" t="s">
        <v>433</v>
      </c>
      <c r="G876" t="s">
        <v>40</v>
      </c>
      <c r="H876" t="s">
        <v>345</v>
      </c>
      <c r="I876" s="5">
        <v>292836</v>
      </c>
      <c r="J876">
        <f>IFERROR(VLOOKUP(G876,'LEAID Match'!$A$2:$B$183,2,FALSE),"")</f>
        <v>1601230</v>
      </c>
      <c r="K876">
        <f t="shared" si="13"/>
        <v>9</v>
      </c>
    </row>
    <row r="877" spans="1:11" x14ac:dyDescent="0.2">
      <c r="A877">
        <v>1601230</v>
      </c>
      <c r="B877">
        <v>2021</v>
      </c>
      <c r="C877">
        <v>66</v>
      </c>
      <c r="D877" t="s">
        <v>428</v>
      </c>
      <c r="E877" t="s">
        <v>429</v>
      </c>
      <c r="F877" t="s">
        <v>433</v>
      </c>
      <c r="G877" t="s">
        <v>40</v>
      </c>
      <c r="H877" t="s">
        <v>249</v>
      </c>
      <c r="I877" s="5">
        <v>310795</v>
      </c>
      <c r="J877">
        <f>IFERROR(VLOOKUP(G877,'LEAID Match'!$A$2:$B$183,2,FALSE),"")</f>
        <v>1601230</v>
      </c>
      <c r="K877">
        <f t="shared" si="13"/>
        <v>9</v>
      </c>
    </row>
    <row r="878" spans="1:11" x14ac:dyDescent="0.2">
      <c r="A878">
        <v>1601230</v>
      </c>
      <c r="B878">
        <v>2022</v>
      </c>
      <c r="C878">
        <v>66</v>
      </c>
      <c r="D878" t="s">
        <v>428</v>
      </c>
      <c r="E878" t="s">
        <v>429</v>
      </c>
      <c r="F878" t="s">
        <v>433</v>
      </c>
      <c r="G878" t="s">
        <v>40</v>
      </c>
      <c r="H878" t="s">
        <v>249</v>
      </c>
      <c r="I878" s="5">
        <v>334659</v>
      </c>
      <c r="J878">
        <f>IFERROR(VLOOKUP(G878,'LEAID Match'!$A$2:$B$183,2,FALSE),"")</f>
        <v>1601230</v>
      </c>
      <c r="K878">
        <f t="shared" si="13"/>
        <v>9</v>
      </c>
    </row>
    <row r="879" spans="1:11" x14ac:dyDescent="0.2">
      <c r="A879">
        <v>1601230</v>
      </c>
      <c r="B879">
        <v>2023</v>
      </c>
      <c r="C879">
        <v>66</v>
      </c>
      <c r="D879" t="s">
        <v>428</v>
      </c>
      <c r="E879" t="s">
        <v>429</v>
      </c>
      <c r="F879" t="s">
        <v>433</v>
      </c>
      <c r="G879" t="s">
        <v>40</v>
      </c>
      <c r="H879" t="s">
        <v>249</v>
      </c>
      <c r="I879" s="5">
        <v>345338</v>
      </c>
      <c r="J879">
        <f>IFERROR(VLOOKUP(G879,'LEAID Match'!$A$2:$B$183,2,FALSE),"")</f>
        <v>1601230</v>
      </c>
      <c r="K879">
        <f t="shared" si="13"/>
        <v>9</v>
      </c>
    </row>
    <row r="880" spans="1:11" x14ac:dyDescent="0.2">
      <c r="A880">
        <v>1601260</v>
      </c>
      <c r="B880">
        <v>2015</v>
      </c>
      <c r="C880">
        <v>67</v>
      </c>
      <c r="D880" t="s">
        <v>428</v>
      </c>
      <c r="E880" t="s">
        <v>429</v>
      </c>
      <c r="F880" t="s">
        <v>433</v>
      </c>
      <c r="G880" t="s">
        <v>41</v>
      </c>
      <c r="H880" t="s">
        <v>41</v>
      </c>
      <c r="I880" s="5">
        <v>519039</v>
      </c>
      <c r="J880">
        <f>IFERROR(VLOOKUP(G880,'LEAID Match'!$A$2:$B$183,2,FALSE),"")</f>
        <v>1601260</v>
      </c>
      <c r="K880">
        <f t="shared" si="13"/>
        <v>9</v>
      </c>
    </row>
    <row r="881" spans="1:11" x14ac:dyDescent="0.2">
      <c r="A881">
        <v>1601260</v>
      </c>
      <c r="B881">
        <v>2016</v>
      </c>
      <c r="C881">
        <v>67</v>
      </c>
      <c r="D881" t="s">
        <v>428</v>
      </c>
      <c r="E881" t="s">
        <v>429</v>
      </c>
      <c r="F881" t="s">
        <v>433</v>
      </c>
      <c r="G881" t="s">
        <v>41</v>
      </c>
      <c r="H881" t="s">
        <v>41</v>
      </c>
      <c r="I881" s="5">
        <v>537379</v>
      </c>
      <c r="J881">
        <f>IFERROR(VLOOKUP(G881,'LEAID Match'!$A$2:$B$183,2,FALSE),"")</f>
        <v>1601260</v>
      </c>
      <c r="K881">
        <f t="shared" si="13"/>
        <v>9</v>
      </c>
    </row>
    <row r="882" spans="1:11" x14ac:dyDescent="0.2">
      <c r="A882">
        <v>1601260</v>
      </c>
      <c r="B882">
        <v>2017</v>
      </c>
      <c r="C882">
        <v>67</v>
      </c>
      <c r="D882" t="s">
        <v>428</v>
      </c>
      <c r="E882" t="s">
        <v>429</v>
      </c>
      <c r="F882" t="s">
        <v>433</v>
      </c>
      <c r="G882" t="s">
        <v>41</v>
      </c>
      <c r="H882" t="s">
        <v>41</v>
      </c>
      <c r="I882" s="5">
        <v>535450</v>
      </c>
      <c r="J882">
        <f>IFERROR(VLOOKUP(G882,'LEAID Match'!$A$2:$B$183,2,FALSE),"")</f>
        <v>1601260</v>
      </c>
      <c r="K882">
        <f t="shared" si="13"/>
        <v>9</v>
      </c>
    </row>
    <row r="883" spans="1:11" x14ac:dyDescent="0.2">
      <c r="A883">
        <v>1601260</v>
      </c>
      <c r="B883">
        <v>2018</v>
      </c>
      <c r="C883">
        <v>67</v>
      </c>
      <c r="D883" t="s">
        <v>428</v>
      </c>
      <c r="E883" t="s">
        <v>429</v>
      </c>
      <c r="F883" t="s">
        <v>433</v>
      </c>
      <c r="G883" t="s">
        <v>41</v>
      </c>
      <c r="H883" t="s">
        <v>41</v>
      </c>
      <c r="I883" s="5">
        <v>559597</v>
      </c>
      <c r="J883">
        <f>IFERROR(VLOOKUP(G883,'LEAID Match'!$A$2:$B$183,2,FALSE),"")</f>
        <v>1601260</v>
      </c>
      <c r="K883">
        <f t="shared" si="13"/>
        <v>9</v>
      </c>
    </row>
    <row r="884" spans="1:11" x14ac:dyDescent="0.2">
      <c r="A884">
        <v>1601260</v>
      </c>
      <c r="B884">
        <v>2019</v>
      </c>
      <c r="C884">
        <v>67</v>
      </c>
      <c r="D884" t="s">
        <v>428</v>
      </c>
      <c r="E884" t="s">
        <v>429</v>
      </c>
      <c r="F884" t="s">
        <v>433</v>
      </c>
      <c r="G884" t="s">
        <v>41</v>
      </c>
      <c r="H884" t="s">
        <v>250</v>
      </c>
      <c r="I884" s="5">
        <v>615732</v>
      </c>
      <c r="J884">
        <f>IFERROR(VLOOKUP(G884,'LEAID Match'!$A$2:$B$183,2,FALSE),"")</f>
        <v>1601260</v>
      </c>
      <c r="K884">
        <f t="shared" si="13"/>
        <v>9</v>
      </c>
    </row>
    <row r="885" spans="1:11" x14ac:dyDescent="0.2">
      <c r="A885">
        <v>1601260</v>
      </c>
      <c r="B885">
        <v>2020</v>
      </c>
      <c r="C885">
        <v>67</v>
      </c>
      <c r="D885" t="s">
        <v>428</v>
      </c>
      <c r="E885" t="s">
        <v>429</v>
      </c>
      <c r="F885" t="s">
        <v>433</v>
      </c>
      <c r="G885" t="s">
        <v>41</v>
      </c>
      <c r="H885" t="s">
        <v>346</v>
      </c>
      <c r="I885" s="5">
        <v>685425</v>
      </c>
      <c r="J885">
        <f>IFERROR(VLOOKUP(G885,'LEAID Match'!$A$2:$B$183,2,FALSE),"")</f>
        <v>1601260</v>
      </c>
      <c r="K885">
        <f t="shared" si="13"/>
        <v>9</v>
      </c>
    </row>
    <row r="886" spans="1:11" x14ac:dyDescent="0.2">
      <c r="A886">
        <v>1601260</v>
      </c>
      <c r="B886">
        <v>2021</v>
      </c>
      <c r="C886">
        <v>67</v>
      </c>
      <c r="D886" t="s">
        <v>428</v>
      </c>
      <c r="E886" t="s">
        <v>429</v>
      </c>
      <c r="F886" t="s">
        <v>433</v>
      </c>
      <c r="G886" t="s">
        <v>41</v>
      </c>
      <c r="H886" t="s">
        <v>250</v>
      </c>
      <c r="I886" s="5">
        <v>745209</v>
      </c>
      <c r="J886">
        <f>IFERROR(VLOOKUP(G886,'LEAID Match'!$A$2:$B$183,2,FALSE),"")</f>
        <v>1601260</v>
      </c>
      <c r="K886">
        <f t="shared" si="13"/>
        <v>9</v>
      </c>
    </row>
    <row r="887" spans="1:11" x14ac:dyDescent="0.2">
      <c r="A887">
        <v>1601260</v>
      </c>
      <c r="B887">
        <v>2022</v>
      </c>
      <c r="C887">
        <v>67</v>
      </c>
      <c r="D887" t="s">
        <v>428</v>
      </c>
      <c r="E887" t="s">
        <v>429</v>
      </c>
      <c r="F887" t="s">
        <v>433</v>
      </c>
      <c r="G887" t="s">
        <v>41</v>
      </c>
      <c r="H887" t="s">
        <v>250</v>
      </c>
      <c r="I887" s="5">
        <v>833504</v>
      </c>
      <c r="J887">
        <f>IFERROR(VLOOKUP(G887,'LEAID Match'!$A$2:$B$183,2,FALSE),"")</f>
        <v>1601260</v>
      </c>
      <c r="K887">
        <f t="shared" si="13"/>
        <v>9</v>
      </c>
    </row>
    <row r="888" spans="1:11" x14ac:dyDescent="0.2">
      <c r="A888">
        <v>1601260</v>
      </c>
      <c r="B888">
        <v>2023</v>
      </c>
      <c r="C888">
        <v>67</v>
      </c>
      <c r="D888" t="s">
        <v>428</v>
      </c>
      <c r="E888" t="s">
        <v>429</v>
      </c>
      <c r="F888" t="s">
        <v>433</v>
      </c>
      <c r="G888" t="s">
        <v>41</v>
      </c>
      <c r="H888" t="s">
        <v>250</v>
      </c>
      <c r="I888" s="5">
        <v>802761</v>
      </c>
      <c r="J888">
        <f>IFERROR(VLOOKUP(G888,'LEAID Match'!$A$2:$B$183,2,FALSE),"")</f>
        <v>1601260</v>
      </c>
      <c r="K888">
        <f t="shared" si="13"/>
        <v>9</v>
      </c>
    </row>
    <row r="889" spans="1:11" x14ac:dyDescent="0.2">
      <c r="A889">
        <v>1601290</v>
      </c>
      <c r="B889">
        <v>2015</v>
      </c>
      <c r="C889">
        <v>68</v>
      </c>
      <c r="D889" t="s">
        <v>428</v>
      </c>
      <c r="E889" t="s">
        <v>429</v>
      </c>
      <c r="F889" t="s">
        <v>433</v>
      </c>
      <c r="G889" t="s">
        <v>42</v>
      </c>
      <c r="H889" t="s">
        <v>42</v>
      </c>
      <c r="I889" s="5">
        <v>196784</v>
      </c>
      <c r="J889">
        <f>IFERROR(VLOOKUP(G889,'LEAID Match'!$A$2:$B$183,2,FALSE),"")</f>
        <v>1601290</v>
      </c>
      <c r="K889">
        <f t="shared" si="13"/>
        <v>9</v>
      </c>
    </row>
    <row r="890" spans="1:11" x14ac:dyDescent="0.2">
      <c r="A890">
        <v>1601290</v>
      </c>
      <c r="B890">
        <v>2016</v>
      </c>
      <c r="C890">
        <v>68</v>
      </c>
      <c r="D890" t="s">
        <v>428</v>
      </c>
      <c r="E890" t="s">
        <v>429</v>
      </c>
      <c r="F890" t="s">
        <v>433</v>
      </c>
      <c r="G890" t="s">
        <v>42</v>
      </c>
      <c r="H890" t="s">
        <v>42</v>
      </c>
      <c r="I890" s="5">
        <v>211694</v>
      </c>
      <c r="J890">
        <f>IFERROR(VLOOKUP(G890,'LEAID Match'!$A$2:$B$183,2,FALSE),"")</f>
        <v>1601290</v>
      </c>
      <c r="K890">
        <f t="shared" si="13"/>
        <v>9</v>
      </c>
    </row>
    <row r="891" spans="1:11" x14ac:dyDescent="0.2">
      <c r="A891">
        <v>1601290</v>
      </c>
      <c r="B891">
        <v>2017</v>
      </c>
      <c r="C891">
        <v>68</v>
      </c>
      <c r="D891" t="s">
        <v>428</v>
      </c>
      <c r="E891" t="s">
        <v>429</v>
      </c>
      <c r="F891" t="s">
        <v>433</v>
      </c>
      <c r="G891" t="s">
        <v>42</v>
      </c>
      <c r="H891" t="s">
        <v>42</v>
      </c>
      <c r="I891" s="5">
        <v>224361</v>
      </c>
      <c r="J891">
        <f>IFERROR(VLOOKUP(G891,'LEAID Match'!$A$2:$B$183,2,FALSE),"")</f>
        <v>1601290</v>
      </c>
      <c r="K891">
        <f t="shared" si="13"/>
        <v>9</v>
      </c>
    </row>
    <row r="892" spans="1:11" x14ac:dyDescent="0.2">
      <c r="A892">
        <v>1601290</v>
      </c>
      <c r="B892">
        <v>2018</v>
      </c>
      <c r="C892">
        <v>68</v>
      </c>
      <c r="D892" t="s">
        <v>428</v>
      </c>
      <c r="E892" t="s">
        <v>429</v>
      </c>
      <c r="F892" t="s">
        <v>433</v>
      </c>
      <c r="G892" t="s">
        <v>42</v>
      </c>
      <c r="H892" t="s">
        <v>42</v>
      </c>
      <c r="I892" s="5">
        <v>254456</v>
      </c>
      <c r="J892">
        <f>IFERROR(VLOOKUP(G892,'LEAID Match'!$A$2:$B$183,2,FALSE),"")</f>
        <v>1601290</v>
      </c>
      <c r="K892">
        <f t="shared" si="13"/>
        <v>9</v>
      </c>
    </row>
    <row r="893" spans="1:11" x14ac:dyDescent="0.2">
      <c r="A893">
        <v>1601290</v>
      </c>
      <c r="B893">
        <v>2019</v>
      </c>
      <c r="C893">
        <v>68</v>
      </c>
      <c r="D893" t="s">
        <v>428</v>
      </c>
      <c r="E893" t="s">
        <v>429</v>
      </c>
      <c r="F893" t="s">
        <v>433</v>
      </c>
      <c r="G893" t="s">
        <v>42</v>
      </c>
      <c r="H893" t="s">
        <v>251</v>
      </c>
      <c r="I893" s="5">
        <v>279282</v>
      </c>
      <c r="J893">
        <f>IFERROR(VLOOKUP(G893,'LEAID Match'!$A$2:$B$183,2,FALSE),"")</f>
        <v>1601290</v>
      </c>
      <c r="K893">
        <f t="shared" si="13"/>
        <v>9</v>
      </c>
    </row>
    <row r="894" spans="1:11" x14ac:dyDescent="0.2">
      <c r="A894">
        <v>1601290</v>
      </c>
      <c r="B894">
        <v>2020</v>
      </c>
      <c r="C894">
        <v>68</v>
      </c>
      <c r="D894" t="s">
        <v>428</v>
      </c>
      <c r="E894" t="s">
        <v>429</v>
      </c>
      <c r="F894" t="s">
        <v>433</v>
      </c>
      <c r="G894" t="s">
        <v>42</v>
      </c>
      <c r="H894" t="s">
        <v>251</v>
      </c>
      <c r="I894" s="5">
        <v>325663</v>
      </c>
      <c r="J894">
        <f>IFERROR(VLOOKUP(G894,'LEAID Match'!$A$2:$B$183,2,FALSE),"")</f>
        <v>1601290</v>
      </c>
      <c r="K894">
        <f t="shared" si="13"/>
        <v>9</v>
      </c>
    </row>
    <row r="895" spans="1:11" x14ac:dyDescent="0.2">
      <c r="A895">
        <v>1601290</v>
      </c>
      <c r="B895">
        <v>2021</v>
      </c>
      <c r="C895">
        <v>68</v>
      </c>
      <c r="D895" t="s">
        <v>428</v>
      </c>
      <c r="E895" t="s">
        <v>429</v>
      </c>
      <c r="F895" t="s">
        <v>433</v>
      </c>
      <c r="G895" t="s">
        <v>42</v>
      </c>
      <c r="H895" t="s">
        <v>42</v>
      </c>
      <c r="I895" s="5">
        <v>348475</v>
      </c>
      <c r="J895">
        <f>IFERROR(VLOOKUP(G895,'LEAID Match'!$A$2:$B$183,2,FALSE),"")</f>
        <v>1601290</v>
      </c>
      <c r="K895">
        <f t="shared" si="13"/>
        <v>9</v>
      </c>
    </row>
    <row r="896" spans="1:11" x14ac:dyDescent="0.2">
      <c r="A896">
        <v>1601290</v>
      </c>
      <c r="B896">
        <v>2022</v>
      </c>
      <c r="C896">
        <v>68</v>
      </c>
      <c r="D896" t="s">
        <v>428</v>
      </c>
      <c r="E896" t="s">
        <v>429</v>
      </c>
      <c r="F896" t="s">
        <v>433</v>
      </c>
      <c r="G896" t="s">
        <v>42</v>
      </c>
      <c r="H896" t="s">
        <v>251</v>
      </c>
      <c r="I896" s="5">
        <v>342753</v>
      </c>
      <c r="J896">
        <f>IFERROR(VLOOKUP(G896,'LEAID Match'!$A$2:$B$183,2,FALSE),"")</f>
        <v>1601290</v>
      </c>
      <c r="K896">
        <f t="shared" si="13"/>
        <v>9</v>
      </c>
    </row>
    <row r="897" spans="1:11" x14ac:dyDescent="0.2">
      <c r="A897">
        <v>1601290</v>
      </c>
      <c r="B897">
        <v>2023</v>
      </c>
      <c r="C897">
        <v>68</v>
      </c>
      <c r="D897" t="s">
        <v>428</v>
      </c>
      <c r="E897" t="s">
        <v>429</v>
      </c>
      <c r="F897" t="s">
        <v>433</v>
      </c>
      <c r="G897" t="s">
        <v>42</v>
      </c>
      <c r="H897" t="s">
        <v>251</v>
      </c>
      <c r="I897" s="5">
        <v>372392</v>
      </c>
      <c r="J897">
        <f>IFERROR(VLOOKUP(G897,'LEAID Match'!$A$2:$B$183,2,FALSE),"")</f>
        <v>1601290</v>
      </c>
      <c r="K897">
        <f t="shared" si="13"/>
        <v>9</v>
      </c>
    </row>
    <row r="898" spans="1:11" x14ac:dyDescent="0.2">
      <c r="A898">
        <v>1601380</v>
      </c>
      <c r="B898">
        <v>2015</v>
      </c>
      <c r="C898">
        <v>69</v>
      </c>
      <c r="D898" t="s">
        <v>428</v>
      </c>
      <c r="E898" t="s">
        <v>429</v>
      </c>
      <c r="F898" t="s">
        <v>433</v>
      </c>
      <c r="G898" t="s">
        <v>43</v>
      </c>
      <c r="H898" t="s">
        <v>43</v>
      </c>
      <c r="I898" s="5">
        <v>182554</v>
      </c>
      <c r="J898">
        <f>IFERROR(VLOOKUP(G898,'LEAID Match'!$A$2:$B$183,2,FALSE),"")</f>
        <v>1601380</v>
      </c>
      <c r="K898">
        <f t="shared" si="13"/>
        <v>9</v>
      </c>
    </row>
    <row r="899" spans="1:11" x14ac:dyDescent="0.2">
      <c r="A899">
        <v>1601380</v>
      </c>
      <c r="B899">
        <v>2016</v>
      </c>
      <c r="C899">
        <v>69</v>
      </c>
      <c r="D899" t="s">
        <v>428</v>
      </c>
      <c r="E899" t="s">
        <v>429</v>
      </c>
      <c r="F899" t="s">
        <v>433</v>
      </c>
      <c r="G899" t="s">
        <v>43</v>
      </c>
      <c r="H899" t="s">
        <v>43</v>
      </c>
      <c r="I899" s="5">
        <v>185583</v>
      </c>
      <c r="J899">
        <f>IFERROR(VLOOKUP(G899,'LEAID Match'!$A$2:$B$183,2,FALSE),"")</f>
        <v>1601380</v>
      </c>
      <c r="K899">
        <f t="shared" ref="K899:K962" si="14">COUNTIF($A$2:$A$1651,A899)</f>
        <v>9</v>
      </c>
    </row>
    <row r="900" spans="1:11" x14ac:dyDescent="0.2">
      <c r="A900">
        <v>1601380</v>
      </c>
      <c r="B900">
        <v>2017</v>
      </c>
      <c r="C900">
        <v>69</v>
      </c>
      <c r="D900" t="s">
        <v>428</v>
      </c>
      <c r="E900" t="s">
        <v>429</v>
      </c>
      <c r="F900" t="s">
        <v>433</v>
      </c>
      <c r="G900" t="s">
        <v>43</v>
      </c>
      <c r="H900" t="s">
        <v>43</v>
      </c>
      <c r="I900" s="5">
        <v>181371</v>
      </c>
      <c r="J900">
        <f>IFERROR(VLOOKUP(G900,'LEAID Match'!$A$2:$B$183,2,FALSE),"")</f>
        <v>1601380</v>
      </c>
      <c r="K900">
        <f t="shared" si="14"/>
        <v>9</v>
      </c>
    </row>
    <row r="901" spans="1:11" x14ac:dyDescent="0.2">
      <c r="A901">
        <v>1601380</v>
      </c>
      <c r="B901">
        <v>2018</v>
      </c>
      <c r="C901">
        <v>69</v>
      </c>
      <c r="D901" t="s">
        <v>428</v>
      </c>
      <c r="E901" t="s">
        <v>429</v>
      </c>
      <c r="F901" t="s">
        <v>433</v>
      </c>
      <c r="G901" t="s">
        <v>43</v>
      </c>
      <c r="H901" t="s">
        <v>43</v>
      </c>
      <c r="I901" s="5">
        <v>188241</v>
      </c>
      <c r="J901">
        <f>IFERROR(VLOOKUP(G901,'LEAID Match'!$A$2:$B$183,2,FALSE),"")</f>
        <v>1601380</v>
      </c>
      <c r="K901">
        <f t="shared" si="14"/>
        <v>9</v>
      </c>
    </row>
    <row r="902" spans="1:11" x14ac:dyDescent="0.2">
      <c r="A902">
        <v>1601380</v>
      </c>
      <c r="B902">
        <v>2019</v>
      </c>
      <c r="C902">
        <v>69</v>
      </c>
      <c r="D902" t="s">
        <v>428</v>
      </c>
      <c r="E902" t="s">
        <v>429</v>
      </c>
      <c r="F902" t="s">
        <v>433</v>
      </c>
      <c r="G902" t="s">
        <v>43</v>
      </c>
      <c r="H902" t="s">
        <v>252</v>
      </c>
      <c r="I902" s="5">
        <v>206612</v>
      </c>
      <c r="J902">
        <f>IFERROR(VLOOKUP(G902,'LEAID Match'!$A$2:$B$183,2,FALSE),"")</f>
        <v>1601380</v>
      </c>
      <c r="K902">
        <f t="shared" si="14"/>
        <v>9</v>
      </c>
    </row>
    <row r="903" spans="1:11" x14ac:dyDescent="0.2">
      <c r="A903">
        <v>1601380</v>
      </c>
      <c r="B903">
        <v>2020</v>
      </c>
      <c r="C903">
        <v>69</v>
      </c>
      <c r="D903" t="s">
        <v>428</v>
      </c>
      <c r="E903" t="s">
        <v>429</v>
      </c>
      <c r="F903" t="s">
        <v>433</v>
      </c>
      <c r="G903" t="s">
        <v>43</v>
      </c>
      <c r="H903" t="s">
        <v>347</v>
      </c>
      <c r="I903" s="5">
        <v>215142</v>
      </c>
      <c r="J903">
        <f>IFERROR(VLOOKUP(G903,'LEAID Match'!$A$2:$B$183,2,FALSE),"")</f>
        <v>1601380</v>
      </c>
      <c r="K903">
        <f t="shared" si="14"/>
        <v>9</v>
      </c>
    </row>
    <row r="904" spans="1:11" x14ac:dyDescent="0.2">
      <c r="A904">
        <v>1601380</v>
      </c>
      <c r="B904">
        <v>2021</v>
      </c>
      <c r="C904">
        <v>69</v>
      </c>
      <c r="D904" t="s">
        <v>428</v>
      </c>
      <c r="E904" t="s">
        <v>429</v>
      </c>
      <c r="F904" t="s">
        <v>433</v>
      </c>
      <c r="G904" t="s">
        <v>43</v>
      </c>
      <c r="H904" t="s">
        <v>252</v>
      </c>
      <c r="I904" s="5">
        <v>229548</v>
      </c>
      <c r="J904">
        <f>IFERROR(VLOOKUP(G904,'LEAID Match'!$A$2:$B$183,2,FALSE),"")</f>
        <v>1601380</v>
      </c>
      <c r="K904">
        <f t="shared" si="14"/>
        <v>9</v>
      </c>
    </row>
    <row r="905" spans="1:11" x14ac:dyDescent="0.2">
      <c r="A905">
        <v>1601380</v>
      </c>
      <c r="B905">
        <v>2022</v>
      </c>
      <c r="C905">
        <v>69</v>
      </c>
      <c r="D905" t="s">
        <v>428</v>
      </c>
      <c r="E905" t="s">
        <v>429</v>
      </c>
      <c r="F905" t="s">
        <v>433</v>
      </c>
      <c r="G905" t="s">
        <v>43</v>
      </c>
      <c r="H905" t="s">
        <v>252</v>
      </c>
      <c r="I905" s="5">
        <v>260089</v>
      </c>
      <c r="J905">
        <f>IFERROR(VLOOKUP(G905,'LEAID Match'!$A$2:$B$183,2,FALSE),"")</f>
        <v>1601380</v>
      </c>
      <c r="K905">
        <f t="shared" si="14"/>
        <v>9</v>
      </c>
    </row>
    <row r="906" spans="1:11" x14ac:dyDescent="0.2">
      <c r="A906">
        <v>1601380</v>
      </c>
      <c r="B906">
        <v>2023</v>
      </c>
      <c r="C906">
        <v>69</v>
      </c>
      <c r="D906" t="s">
        <v>428</v>
      </c>
      <c r="E906" t="s">
        <v>429</v>
      </c>
      <c r="F906" t="s">
        <v>433</v>
      </c>
      <c r="G906" t="s">
        <v>43</v>
      </c>
      <c r="H906" t="s">
        <v>252</v>
      </c>
      <c r="I906" s="5">
        <v>264340</v>
      </c>
      <c r="J906">
        <f>IFERROR(VLOOKUP(G906,'LEAID Match'!$A$2:$B$183,2,FALSE),"")</f>
        <v>1601380</v>
      </c>
      <c r="K906">
        <f t="shared" si="14"/>
        <v>9</v>
      </c>
    </row>
    <row r="907" spans="1:11" x14ac:dyDescent="0.2">
      <c r="A907">
        <v>1601410</v>
      </c>
      <c r="B907">
        <v>2015</v>
      </c>
      <c r="C907">
        <v>70</v>
      </c>
      <c r="D907" t="s">
        <v>428</v>
      </c>
      <c r="E907" t="s">
        <v>429</v>
      </c>
      <c r="F907" t="s">
        <v>433</v>
      </c>
      <c r="G907" t="s">
        <v>44</v>
      </c>
      <c r="H907" t="s">
        <v>44</v>
      </c>
      <c r="I907" s="5">
        <v>186989</v>
      </c>
      <c r="J907">
        <f>IFERROR(VLOOKUP(G907,'LEAID Match'!$A$2:$B$183,2,FALSE),"")</f>
        <v>1601410</v>
      </c>
      <c r="K907">
        <f t="shared" si="14"/>
        <v>9</v>
      </c>
    </row>
    <row r="908" spans="1:11" x14ac:dyDescent="0.2">
      <c r="A908">
        <v>1601410</v>
      </c>
      <c r="B908">
        <v>2016</v>
      </c>
      <c r="C908">
        <v>70</v>
      </c>
      <c r="D908" t="s">
        <v>428</v>
      </c>
      <c r="E908" t="s">
        <v>429</v>
      </c>
      <c r="F908" t="s">
        <v>433</v>
      </c>
      <c r="G908" t="s">
        <v>44</v>
      </c>
      <c r="H908" t="s">
        <v>44</v>
      </c>
      <c r="I908" s="5">
        <v>177537</v>
      </c>
      <c r="J908">
        <f>IFERROR(VLOOKUP(G908,'LEAID Match'!$A$2:$B$183,2,FALSE),"")</f>
        <v>1601410</v>
      </c>
      <c r="K908">
        <f t="shared" si="14"/>
        <v>9</v>
      </c>
    </row>
    <row r="909" spans="1:11" x14ac:dyDescent="0.2">
      <c r="A909">
        <v>1601410</v>
      </c>
      <c r="B909">
        <v>2017</v>
      </c>
      <c r="C909">
        <v>70</v>
      </c>
      <c r="D909" t="s">
        <v>428</v>
      </c>
      <c r="E909" t="s">
        <v>429</v>
      </c>
      <c r="F909" t="s">
        <v>433</v>
      </c>
      <c r="G909" t="s">
        <v>44</v>
      </c>
      <c r="H909" t="s">
        <v>44</v>
      </c>
      <c r="I909" s="5">
        <v>191825</v>
      </c>
      <c r="J909">
        <f>IFERROR(VLOOKUP(G909,'LEAID Match'!$A$2:$B$183,2,FALSE),"")</f>
        <v>1601410</v>
      </c>
      <c r="K909">
        <f t="shared" si="14"/>
        <v>9</v>
      </c>
    </row>
    <row r="910" spans="1:11" x14ac:dyDescent="0.2">
      <c r="A910">
        <v>1601410</v>
      </c>
      <c r="B910">
        <v>2018</v>
      </c>
      <c r="C910">
        <v>70</v>
      </c>
      <c r="D910" t="s">
        <v>428</v>
      </c>
      <c r="E910" t="s">
        <v>429</v>
      </c>
      <c r="F910" t="s">
        <v>433</v>
      </c>
      <c r="G910" t="s">
        <v>44</v>
      </c>
      <c r="H910" t="s">
        <v>44</v>
      </c>
      <c r="I910" s="5">
        <v>211598</v>
      </c>
      <c r="J910">
        <f>IFERROR(VLOOKUP(G910,'LEAID Match'!$A$2:$B$183,2,FALSE),"")</f>
        <v>1601410</v>
      </c>
      <c r="K910">
        <f t="shared" si="14"/>
        <v>9</v>
      </c>
    </row>
    <row r="911" spans="1:11" x14ac:dyDescent="0.2">
      <c r="A911">
        <v>1601410</v>
      </c>
      <c r="B911">
        <v>2019</v>
      </c>
      <c r="C911">
        <v>70</v>
      </c>
      <c r="D911" t="s">
        <v>428</v>
      </c>
      <c r="E911" t="s">
        <v>429</v>
      </c>
      <c r="F911" t="s">
        <v>433</v>
      </c>
      <c r="G911" t="s">
        <v>44</v>
      </c>
      <c r="H911" t="s">
        <v>253</v>
      </c>
      <c r="I911" s="5">
        <v>219673</v>
      </c>
      <c r="J911">
        <f>IFERROR(VLOOKUP(G911,'LEAID Match'!$A$2:$B$183,2,FALSE),"")</f>
        <v>1601410</v>
      </c>
      <c r="K911">
        <f t="shared" si="14"/>
        <v>9</v>
      </c>
    </row>
    <row r="912" spans="1:11" x14ac:dyDescent="0.2">
      <c r="A912">
        <v>1601410</v>
      </c>
      <c r="B912">
        <v>2020</v>
      </c>
      <c r="C912">
        <v>70</v>
      </c>
      <c r="D912" t="s">
        <v>428</v>
      </c>
      <c r="E912" t="s">
        <v>429</v>
      </c>
      <c r="F912" t="s">
        <v>433</v>
      </c>
      <c r="G912" t="s">
        <v>44</v>
      </c>
      <c r="H912" t="s">
        <v>253</v>
      </c>
      <c r="I912" s="5">
        <v>228850</v>
      </c>
      <c r="J912">
        <f>IFERROR(VLOOKUP(G912,'LEAID Match'!$A$2:$B$183,2,FALSE),"")</f>
        <v>1601410</v>
      </c>
      <c r="K912">
        <f t="shared" si="14"/>
        <v>9</v>
      </c>
    </row>
    <row r="913" spans="1:11" x14ac:dyDescent="0.2">
      <c r="A913">
        <v>1601410</v>
      </c>
      <c r="B913">
        <v>2021</v>
      </c>
      <c r="C913">
        <v>70</v>
      </c>
      <c r="D913" t="s">
        <v>428</v>
      </c>
      <c r="E913" t="s">
        <v>429</v>
      </c>
      <c r="F913" t="s">
        <v>433</v>
      </c>
      <c r="G913" t="s">
        <v>44</v>
      </c>
      <c r="H913" t="s">
        <v>44</v>
      </c>
      <c r="I913" s="5">
        <v>242433</v>
      </c>
      <c r="J913">
        <f>IFERROR(VLOOKUP(G913,'LEAID Match'!$A$2:$B$183,2,FALSE),"")</f>
        <v>1601410</v>
      </c>
      <c r="K913">
        <f t="shared" si="14"/>
        <v>9</v>
      </c>
    </row>
    <row r="914" spans="1:11" x14ac:dyDescent="0.2">
      <c r="A914">
        <v>1601410</v>
      </c>
      <c r="B914">
        <v>2022</v>
      </c>
      <c r="C914">
        <v>70</v>
      </c>
      <c r="D914" t="s">
        <v>428</v>
      </c>
      <c r="E914" t="s">
        <v>429</v>
      </c>
      <c r="F914" t="s">
        <v>433</v>
      </c>
      <c r="G914" t="s">
        <v>44</v>
      </c>
      <c r="H914" t="s">
        <v>253</v>
      </c>
      <c r="I914" s="5">
        <v>251753</v>
      </c>
      <c r="J914">
        <f>IFERROR(VLOOKUP(G914,'LEAID Match'!$A$2:$B$183,2,FALSE),"")</f>
        <v>1601410</v>
      </c>
      <c r="K914">
        <f t="shared" si="14"/>
        <v>9</v>
      </c>
    </row>
    <row r="915" spans="1:11" x14ac:dyDescent="0.2">
      <c r="A915">
        <v>1601410</v>
      </c>
      <c r="B915">
        <v>2023</v>
      </c>
      <c r="C915">
        <v>70</v>
      </c>
      <c r="D915" t="s">
        <v>428</v>
      </c>
      <c r="E915" t="s">
        <v>429</v>
      </c>
      <c r="F915" t="s">
        <v>433</v>
      </c>
      <c r="G915" t="s">
        <v>44</v>
      </c>
      <c r="H915" t="s">
        <v>253</v>
      </c>
      <c r="I915" s="5">
        <v>257665</v>
      </c>
      <c r="J915">
        <f>IFERROR(VLOOKUP(G915,'LEAID Match'!$A$2:$B$183,2,FALSE),"")</f>
        <v>1601410</v>
      </c>
      <c r="K915">
        <f t="shared" si="14"/>
        <v>9</v>
      </c>
    </row>
    <row r="916" spans="1:11" x14ac:dyDescent="0.2">
      <c r="A916">
        <v>1601440</v>
      </c>
      <c r="B916">
        <v>2015</v>
      </c>
      <c r="C916">
        <v>74</v>
      </c>
      <c r="D916" t="s">
        <v>428</v>
      </c>
      <c r="E916" t="s">
        <v>429</v>
      </c>
      <c r="F916" t="s">
        <v>433</v>
      </c>
      <c r="G916" t="s">
        <v>45</v>
      </c>
      <c r="H916" t="s">
        <v>45</v>
      </c>
      <c r="I916" s="5">
        <v>134888</v>
      </c>
      <c r="J916">
        <f>IFERROR(VLOOKUP(G916,'LEAID Match'!$A$2:$B$183,2,FALSE),"")</f>
        <v>1601440</v>
      </c>
      <c r="K916">
        <f t="shared" si="14"/>
        <v>9</v>
      </c>
    </row>
    <row r="917" spans="1:11" x14ac:dyDescent="0.2">
      <c r="A917">
        <v>1601440</v>
      </c>
      <c r="B917">
        <v>2016</v>
      </c>
      <c r="C917">
        <v>74</v>
      </c>
      <c r="D917" t="s">
        <v>428</v>
      </c>
      <c r="E917" t="s">
        <v>429</v>
      </c>
      <c r="F917" t="s">
        <v>433</v>
      </c>
      <c r="G917" t="s">
        <v>45</v>
      </c>
      <c r="H917" t="s">
        <v>45</v>
      </c>
      <c r="I917" s="5">
        <v>138414</v>
      </c>
      <c r="J917">
        <f>IFERROR(VLOOKUP(G917,'LEAID Match'!$A$2:$B$183,2,FALSE),"")</f>
        <v>1601440</v>
      </c>
      <c r="K917">
        <f t="shared" si="14"/>
        <v>9</v>
      </c>
    </row>
    <row r="918" spans="1:11" x14ac:dyDescent="0.2">
      <c r="A918">
        <v>1601440</v>
      </c>
      <c r="B918">
        <v>2017</v>
      </c>
      <c r="C918">
        <v>74</v>
      </c>
      <c r="D918" t="s">
        <v>428</v>
      </c>
      <c r="E918" t="s">
        <v>429</v>
      </c>
      <c r="F918" t="s">
        <v>433</v>
      </c>
      <c r="G918" t="s">
        <v>45</v>
      </c>
      <c r="H918" t="s">
        <v>45</v>
      </c>
      <c r="I918" s="5">
        <v>145158</v>
      </c>
      <c r="J918">
        <f>IFERROR(VLOOKUP(G918,'LEAID Match'!$A$2:$B$183,2,FALSE),"")</f>
        <v>1601440</v>
      </c>
      <c r="K918">
        <f t="shared" si="14"/>
        <v>9</v>
      </c>
    </row>
    <row r="919" spans="1:11" x14ac:dyDescent="0.2">
      <c r="A919">
        <v>1601440</v>
      </c>
      <c r="B919">
        <v>2018</v>
      </c>
      <c r="C919">
        <v>74</v>
      </c>
      <c r="D919" t="s">
        <v>428</v>
      </c>
      <c r="E919" t="s">
        <v>429</v>
      </c>
      <c r="F919" t="s">
        <v>433</v>
      </c>
      <c r="G919" t="s">
        <v>45</v>
      </c>
      <c r="H919" t="s">
        <v>45</v>
      </c>
      <c r="I919" s="5">
        <v>154136</v>
      </c>
      <c r="J919">
        <f>IFERROR(VLOOKUP(G919,'LEAID Match'!$A$2:$B$183,2,FALSE),"")</f>
        <v>1601440</v>
      </c>
      <c r="K919">
        <f t="shared" si="14"/>
        <v>9</v>
      </c>
    </row>
    <row r="920" spans="1:11" x14ac:dyDescent="0.2">
      <c r="A920">
        <v>1601440</v>
      </c>
      <c r="B920">
        <v>2019</v>
      </c>
      <c r="C920">
        <v>74</v>
      </c>
      <c r="D920" t="s">
        <v>428</v>
      </c>
      <c r="E920" t="s">
        <v>429</v>
      </c>
      <c r="F920" t="s">
        <v>433</v>
      </c>
      <c r="G920" t="s">
        <v>45</v>
      </c>
      <c r="H920" t="s">
        <v>254</v>
      </c>
      <c r="I920" s="5">
        <v>155558</v>
      </c>
      <c r="J920">
        <f>IFERROR(VLOOKUP(G920,'LEAID Match'!$A$2:$B$183,2,FALSE),"")</f>
        <v>1601440</v>
      </c>
      <c r="K920">
        <f t="shared" si="14"/>
        <v>9</v>
      </c>
    </row>
    <row r="921" spans="1:11" x14ac:dyDescent="0.2">
      <c r="A921">
        <v>1601440</v>
      </c>
      <c r="B921">
        <v>2020</v>
      </c>
      <c r="C921">
        <v>74</v>
      </c>
      <c r="D921" t="s">
        <v>428</v>
      </c>
      <c r="E921" t="s">
        <v>429</v>
      </c>
      <c r="F921" t="s">
        <v>433</v>
      </c>
      <c r="G921" t="s">
        <v>45</v>
      </c>
      <c r="H921" t="s">
        <v>348</v>
      </c>
      <c r="I921" s="5">
        <v>166241</v>
      </c>
      <c r="J921">
        <f>IFERROR(VLOOKUP(G921,'LEAID Match'!$A$2:$B$183,2,FALSE),"")</f>
        <v>1601440</v>
      </c>
      <c r="K921">
        <f t="shared" si="14"/>
        <v>9</v>
      </c>
    </row>
    <row r="922" spans="1:11" x14ac:dyDescent="0.2">
      <c r="A922">
        <v>1601440</v>
      </c>
      <c r="B922">
        <v>2021</v>
      </c>
      <c r="C922">
        <v>74</v>
      </c>
      <c r="D922" t="s">
        <v>428</v>
      </c>
      <c r="E922" t="s">
        <v>429</v>
      </c>
      <c r="F922" t="s">
        <v>433</v>
      </c>
      <c r="G922" t="s">
        <v>45</v>
      </c>
      <c r="H922" t="s">
        <v>254</v>
      </c>
      <c r="I922" s="5">
        <v>174572</v>
      </c>
      <c r="J922">
        <f>IFERROR(VLOOKUP(G922,'LEAID Match'!$A$2:$B$183,2,FALSE),"")</f>
        <v>1601440</v>
      </c>
      <c r="K922">
        <f t="shared" si="14"/>
        <v>9</v>
      </c>
    </row>
    <row r="923" spans="1:11" x14ac:dyDescent="0.2">
      <c r="A923">
        <v>1601440</v>
      </c>
      <c r="B923">
        <v>2022</v>
      </c>
      <c r="C923">
        <v>74</v>
      </c>
      <c r="D923" t="s">
        <v>428</v>
      </c>
      <c r="E923" t="s">
        <v>429</v>
      </c>
      <c r="F923" t="s">
        <v>433</v>
      </c>
      <c r="G923" t="s">
        <v>45</v>
      </c>
      <c r="H923" t="s">
        <v>254</v>
      </c>
      <c r="I923" s="5">
        <v>184701</v>
      </c>
      <c r="J923">
        <f>IFERROR(VLOOKUP(G923,'LEAID Match'!$A$2:$B$183,2,FALSE),"")</f>
        <v>1601440</v>
      </c>
      <c r="K923">
        <f t="shared" si="14"/>
        <v>9</v>
      </c>
    </row>
    <row r="924" spans="1:11" x14ac:dyDescent="0.2">
      <c r="A924">
        <v>1601440</v>
      </c>
      <c r="B924">
        <v>2023</v>
      </c>
      <c r="C924">
        <v>74</v>
      </c>
      <c r="D924" t="s">
        <v>428</v>
      </c>
      <c r="E924" t="s">
        <v>429</v>
      </c>
      <c r="F924" t="s">
        <v>433</v>
      </c>
      <c r="G924" t="s">
        <v>45</v>
      </c>
      <c r="H924" t="s">
        <v>254</v>
      </c>
      <c r="I924" s="5">
        <v>196534</v>
      </c>
      <c r="J924">
        <f>IFERROR(VLOOKUP(G924,'LEAID Match'!$A$2:$B$183,2,FALSE),"")</f>
        <v>1601440</v>
      </c>
      <c r="K924">
        <f t="shared" si="14"/>
        <v>9</v>
      </c>
    </row>
    <row r="925" spans="1:11" x14ac:dyDescent="0.2">
      <c r="A925">
        <v>1601470</v>
      </c>
      <c r="B925">
        <v>2015</v>
      </c>
      <c r="C925">
        <v>75</v>
      </c>
      <c r="D925" t="s">
        <v>428</v>
      </c>
      <c r="E925" t="s">
        <v>429</v>
      </c>
      <c r="F925" t="s">
        <v>433</v>
      </c>
      <c r="G925" t="s">
        <v>46</v>
      </c>
      <c r="H925" t="s">
        <v>46</v>
      </c>
      <c r="I925" s="5">
        <v>435431</v>
      </c>
      <c r="J925">
        <f>IFERROR(VLOOKUP(G925,'LEAID Match'!$A$2:$B$183,2,FALSE),"")</f>
        <v>1601470</v>
      </c>
      <c r="K925">
        <f t="shared" si="14"/>
        <v>9</v>
      </c>
    </row>
    <row r="926" spans="1:11" x14ac:dyDescent="0.2">
      <c r="A926">
        <v>1601470</v>
      </c>
      <c r="B926">
        <v>2016</v>
      </c>
      <c r="C926">
        <v>75</v>
      </c>
      <c r="D926" t="s">
        <v>428</v>
      </c>
      <c r="E926" t="s">
        <v>429</v>
      </c>
      <c r="F926" t="s">
        <v>433</v>
      </c>
      <c r="G926" t="s">
        <v>46</v>
      </c>
      <c r="H926" t="s">
        <v>46</v>
      </c>
      <c r="I926" s="5">
        <v>439253</v>
      </c>
      <c r="J926">
        <f>IFERROR(VLOOKUP(G926,'LEAID Match'!$A$2:$B$183,2,FALSE),"")</f>
        <v>1601470</v>
      </c>
      <c r="K926">
        <f t="shared" si="14"/>
        <v>9</v>
      </c>
    </row>
    <row r="927" spans="1:11" x14ac:dyDescent="0.2">
      <c r="A927">
        <v>1601470</v>
      </c>
      <c r="B927">
        <v>2017</v>
      </c>
      <c r="C927">
        <v>75</v>
      </c>
      <c r="D927" t="s">
        <v>428</v>
      </c>
      <c r="E927" t="s">
        <v>429</v>
      </c>
      <c r="F927" t="s">
        <v>433</v>
      </c>
      <c r="G927" t="s">
        <v>46</v>
      </c>
      <c r="H927" t="s">
        <v>46</v>
      </c>
      <c r="I927" s="5">
        <v>462948</v>
      </c>
      <c r="J927">
        <f>IFERROR(VLOOKUP(G927,'LEAID Match'!$A$2:$B$183,2,FALSE),"")</f>
        <v>1601470</v>
      </c>
      <c r="K927">
        <f t="shared" si="14"/>
        <v>9</v>
      </c>
    </row>
    <row r="928" spans="1:11" x14ac:dyDescent="0.2">
      <c r="A928">
        <v>1601470</v>
      </c>
      <c r="B928">
        <v>2018</v>
      </c>
      <c r="C928">
        <v>75</v>
      </c>
      <c r="D928" t="s">
        <v>428</v>
      </c>
      <c r="E928" t="s">
        <v>429</v>
      </c>
      <c r="F928" t="s">
        <v>433</v>
      </c>
      <c r="G928" t="s">
        <v>46</v>
      </c>
      <c r="H928" t="s">
        <v>46</v>
      </c>
      <c r="I928" s="5">
        <v>493509</v>
      </c>
      <c r="J928">
        <f>IFERROR(VLOOKUP(G928,'LEAID Match'!$A$2:$B$183,2,FALSE),"")</f>
        <v>1601470</v>
      </c>
      <c r="K928">
        <f t="shared" si="14"/>
        <v>9</v>
      </c>
    </row>
    <row r="929" spans="1:11" x14ac:dyDescent="0.2">
      <c r="A929">
        <v>1601470</v>
      </c>
      <c r="B929">
        <v>2019</v>
      </c>
      <c r="C929">
        <v>75</v>
      </c>
      <c r="D929" t="s">
        <v>428</v>
      </c>
      <c r="E929" t="s">
        <v>429</v>
      </c>
      <c r="F929" t="s">
        <v>433</v>
      </c>
      <c r="G929" t="s">
        <v>46</v>
      </c>
      <c r="H929" t="s">
        <v>255</v>
      </c>
      <c r="I929" s="5">
        <v>513344</v>
      </c>
      <c r="J929">
        <f>IFERROR(VLOOKUP(G929,'LEAID Match'!$A$2:$B$183,2,FALSE),"")</f>
        <v>1601470</v>
      </c>
      <c r="K929">
        <f t="shared" si="14"/>
        <v>9</v>
      </c>
    </row>
    <row r="930" spans="1:11" x14ac:dyDescent="0.2">
      <c r="A930">
        <v>1601470</v>
      </c>
      <c r="B930">
        <v>2020</v>
      </c>
      <c r="C930">
        <v>75</v>
      </c>
      <c r="D930" t="s">
        <v>428</v>
      </c>
      <c r="E930" t="s">
        <v>429</v>
      </c>
      <c r="F930" t="s">
        <v>433</v>
      </c>
      <c r="G930" t="s">
        <v>46</v>
      </c>
      <c r="H930" t="s">
        <v>255</v>
      </c>
      <c r="I930" s="5">
        <v>559228</v>
      </c>
      <c r="J930">
        <f>IFERROR(VLOOKUP(G930,'LEAID Match'!$A$2:$B$183,2,FALSE),"")</f>
        <v>1601470</v>
      </c>
      <c r="K930">
        <f t="shared" si="14"/>
        <v>9</v>
      </c>
    </row>
    <row r="931" spans="1:11" x14ac:dyDescent="0.2">
      <c r="A931">
        <v>1601470</v>
      </c>
      <c r="B931">
        <v>2021</v>
      </c>
      <c r="C931">
        <v>75</v>
      </c>
      <c r="D931" t="s">
        <v>428</v>
      </c>
      <c r="E931" t="s">
        <v>429</v>
      </c>
      <c r="F931" t="s">
        <v>433</v>
      </c>
      <c r="G931" t="s">
        <v>46</v>
      </c>
      <c r="H931" t="s">
        <v>46</v>
      </c>
      <c r="I931" s="5">
        <v>600679</v>
      </c>
      <c r="J931">
        <f>IFERROR(VLOOKUP(G931,'LEAID Match'!$A$2:$B$183,2,FALSE),"")</f>
        <v>1601470</v>
      </c>
      <c r="K931">
        <f t="shared" si="14"/>
        <v>9</v>
      </c>
    </row>
    <row r="932" spans="1:11" x14ac:dyDescent="0.2">
      <c r="A932">
        <v>1601470</v>
      </c>
      <c r="B932">
        <v>2022</v>
      </c>
      <c r="C932">
        <v>75</v>
      </c>
      <c r="D932" t="s">
        <v>428</v>
      </c>
      <c r="E932" t="s">
        <v>429</v>
      </c>
      <c r="F932" t="s">
        <v>433</v>
      </c>
      <c r="G932" t="s">
        <v>46</v>
      </c>
      <c r="H932" t="s">
        <v>255</v>
      </c>
      <c r="I932" s="5">
        <v>624661</v>
      </c>
      <c r="J932">
        <f>IFERROR(VLOOKUP(G932,'LEAID Match'!$A$2:$B$183,2,FALSE),"")</f>
        <v>1601470</v>
      </c>
      <c r="K932">
        <f t="shared" si="14"/>
        <v>9</v>
      </c>
    </row>
    <row r="933" spans="1:11" x14ac:dyDescent="0.2">
      <c r="A933">
        <v>1601470</v>
      </c>
      <c r="B933">
        <v>2023</v>
      </c>
      <c r="C933">
        <v>75</v>
      </c>
      <c r="D933" t="s">
        <v>428</v>
      </c>
      <c r="E933" t="s">
        <v>429</v>
      </c>
      <c r="F933" t="s">
        <v>433</v>
      </c>
      <c r="G933" t="s">
        <v>46</v>
      </c>
      <c r="H933" t="s">
        <v>255</v>
      </c>
      <c r="I933" s="5">
        <v>653272</v>
      </c>
      <c r="J933">
        <f>IFERROR(VLOOKUP(G933,'LEAID Match'!$A$2:$B$183,2,FALSE),"")</f>
        <v>1601470</v>
      </c>
      <c r="K933">
        <f t="shared" si="14"/>
        <v>9</v>
      </c>
    </row>
    <row r="934" spans="1:11" x14ac:dyDescent="0.2">
      <c r="A934">
        <v>1601500</v>
      </c>
      <c r="B934">
        <v>2015</v>
      </c>
      <c r="C934">
        <v>76</v>
      </c>
      <c r="D934" t="s">
        <v>428</v>
      </c>
      <c r="E934" t="s">
        <v>429</v>
      </c>
      <c r="F934" t="s">
        <v>433</v>
      </c>
      <c r="G934" t="s">
        <v>47</v>
      </c>
      <c r="H934" t="s">
        <v>47</v>
      </c>
      <c r="I934" s="5">
        <v>136098</v>
      </c>
      <c r="J934">
        <f>IFERROR(VLOOKUP(G934,'LEAID Match'!$A$2:$B$183,2,FALSE),"")</f>
        <v>1601500</v>
      </c>
      <c r="K934">
        <f t="shared" si="14"/>
        <v>9</v>
      </c>
    </row>
    <row r="935" spans="1:11" x14ac:dyDescent="0.2">
      <c r="A935">
        <v>1601500</v>
      </c>
      <c r="B935">
        <v>2016</v>
      </c>
      <c r="C935">
        <v>76</v>
      </c>
      <c r="D935" t="s">
        <v>428</v>
      </c>
      <c r="E935" t="s">
        <v>429</v>
      </c>
      <c r="F935" t="s">
        <v>433</v>
      </c>
      <c r="G935" t="s">
        <v>47</v>
      </c>
      <c r="H935" t="s">
        <v>47</v>
      </c>
      <c r="I935" s="5">
        <v>147258</v>
      </c>
      <c r="J935">
        <f>IFERROR(VLOOKUP(G935,'LEAID Match'!$A$2:$B$183,2,FALSE),"")</f>
        <v>1601500</v>
      </c>
      <c r="K935">
        <f t="shared" si="14"/>
        <v>9</v>
      </c>
    </row>
    <row r="936" spans="1:11" x14ac:dyDescent="0.2">
      <c r="A936">
        <v>1601500</v>
      </c>
      <c r="B936">
        <v>2017</v>
      </c>
      <c r="C936">
        <v>76</v>
      </c>
      <c r="D936" t="s">
        <v>428</v>
      </c>
      <c r="E936" t="s">
        <v>429</v>
      </c>
      <c r="F936" t="s">
        <v>433</v>
      </c>
      <c r="G936" t="s">
        <v>47</v>
      </c>
      <c r="H936" t="s">
        <v>47</v>
      </c>
      <c r="I936" s="5">
        <v>148393</v>
      </c>
      <c r="J936">
        <f>IFERROR(VLOOKUP(G936,'LEAID Match'!$A$2:$B$183,2,FALSE),"")</f>
        <v>1601500</v>
      </c>
      <c r="K936">
        <f t="shared" si="14"/>
        <v>9</v>
      </c>
    </row>
    <row r="937" spans="1:11" x14ac:dyDescent="0.2">
      <c r="A937">
        <v>1601500</v>
      </c>
      <c r="B937">
        <v>2018</v>
      </c>
      <c r="C937">
        <v>76</v>
      </c>
      <c r="D937" t="s">
        <v>428</v>
      </c>
      <c r="E937" t="s">
        <v>429</v>
      </c>
      <c r="F937" t="s">
        <v>433</v>
      </c>
      <c r="G937" t="s">
        <v>47</v>
      </c>
      <c r="H937" t="s">
        <v>47</v>
      </c>
      <c r="I937" s="5">
        <v>160875</v>
      </c>
      <c r="J937">
        <f>IFERROR(VLOOKUP(G937,'LEAID Match'!$A$2:$B$183,2,FALSE),"")</f>
        <v>1601500</v>
      </c>
      <c r="K937">
        <f t="shared" si="14"/>
        <v>9</v>
      </c>
    </row>
    <row r="938" spans="1:11" x14ac:dyDescent="0.2">
      <c r="A938">
        <v>1601500</v>
      </c>
      <c r="B938">
        <v>2019</v>
      </c>
      <c r="C938">
        <v>76</v>
      </c>
      <c r="D938" t="s">
        <v>428</v>
      </c>
      <c r="E938" t="s">
        <v>429</v>
      </c>
      <c r="F938" t="s">
        <v>433</v>
      </c>
      <c r="G938" t="s">
        <v>47</v>
      </c>
      <c r="H938" t="s">
        <v>256</v>
      </c>
      <c r="I938" s="5">
        <v>167798</v>
      </c>
      <c r="J938">
        <f>IFERROR(VLOOKUP(G938,'LEAID Match'!$A$2:$B$183,2,FALSE),"")</f>
        <v>1601500</v>
      </c>
      <c r="K938">
        <f t="shared" si="14"/>
        <v>9</v>
      </c>
    </row>
    <row r="939" spans="1:11" x14ac:dyDescent="0.2">
      <c r="A939">
        <v>1601500</v>
      </c>
      <c r="B939">
        <v>2020</v>
      </c>
      <c r="C939">
        <v>76</v>
      </c>
      <c r="D939" t="s">
        <v>428</v>
      </c>
      <c r="E939" t="s">
        <v>429</v>
      </c>
      <c r="F939" t="s">
        <v>433</v>
      </c>
      <c r="G939" t="s">
        <v>47</v>
      </c>
      <c r="H939" t="s">
        <v>349</v>
      </c>
      <c r="I939" s="5">
        <v>188947</v>
      </c>
      <c r="J939">
        <f>IFERROR(VLOOKUP(G939,'LEAID Match'!$A$2:$B$183,2,FALSE),"")</f>
        <v>1601500</v>
      </c>
      <c r="K939">
        <f t="shared" si="14"/>
        <v>9</v>
      </c>
    </row>
    <row r="940" spans="1:11" x14ac:dyDescent="0.2">
      <c r="A940">
        <v>1601500</v>
      </c>
      <c r="B940">
        <v>2021</v>
      </c>
      <c r="C940">
        <v>76</v>
      </c>
      <c r="D940" t="s">
        <v>428</v>
      </c>
      <c r="E940" t="s">
        <v>429</v>
      </c>
      <c r="F940" t="s">
        <v>433</v>
      </c>
      <c r="G940" t="s">
        <v>47</v>
      </c>
      <c r="H940" t="s">
        <v>256</v>
      </c>
      <c r="I940" s="5">
        <v>207128</v>
      </c>
      <c r="J940">
        <f>IFERROR(VLOOKUP(G940,'LEAID Match'!$A$2:$B$183,2,FALSE),"")</f>
        <v>1601500</v>
      </c>
      <c r="K940">
        <f t="shared" si="14"/>
        <v>9</v>
      </c>
    </row>
    <row r="941" spans="1:11" x14ac:dyDescent="0.2">
      <c r="A941">
        <v>1601500</v>
      </c>
      <c r="B941">
        <v>2022</v>
      </c>
      <c r="C941">
        <v>76</v>
      </c>
      <c r="D941" t="s">
        <v>428</v>
      </c>
      <c r="E941" t="s">
        <v>429</v>
      </c>
      <c r="F941" t="s">
        <v>433</v>
      </c>
      <c r="G941" t="s">
        <v>47</v>
      </c>
      <c r="H941" t="s">
        <v>256</v>
      </c>
      <c r="I941" s="5">
        <v>221748</v>
      </c>
      <c r="J941">
        <f>IFERROR(VLOOKUP(G941,'LEAID Match'!$A$2:$B$183,2,FALSE),"")</f>
        <v>1601500</v>
      </c>
      <c r="K941">
        <f t="shared" si="14"/>
        <v>9</v>
      </c>
    </row>
    <row r="942" spans="1:11" x14ac:dyDescent="0.2">
      <c r="A942">
        <v>1601500</v>
      </c>
      <c r="B942">
        <v>2023</v>
      </c>
      <c r="C942">
        <v>76</v>
      </c>
      <c r="D942" t="s">
        <v>428</v>
      </c>
      <c r="E942" t="s">
        <v>429</v>
      </c>
      <c r="F942" t="s">
        <v>433</v>
      </c>
      <c r="G942" t="s">
        <v>47</v>
      </c>
      <c r="H942" t="s">
        <v>256</v>
      </c>
      <c r="I942" s="5">
        <v>228095</v>
      </c>
      <c r="J942">
        <f>IFERROR(VLOOKUP(G942,'LEAID Match'!$A$2:$B$183,2,FALSE),"")</f>
        <v>1601500</v>
      </c>
      <c r="K942">
        <f t="shared" si="14"/>
        <v>9</v>
      </c>
    </row>
    <row r="943" spans="1:11" x14ac:dyDescent="0.2">
      <c r="A943">
        <v>1601530</v>
      </c>
      <c r="B943">
        <v>2015</v>
      </c>
      <c r="C943">
        <v>81</v>
      </c>
      <c r="D943" t="s">
        <v>428</v>
      </c>
      <c r="E943" t="s">
        <v>429</v>
      </c>
      <c r="F943" t="s">
        <v>433</v>
      </c>
      <c r="G943" t="s">
        <v>48</v>
      </c>
      <c r="H943" t="s">
        <v>48</v>
      </c>
      <c r="I943" s="5">
        <v>4041805</v>
      </c>
      <c r="J943">
        <f>IFERROR(VLOOKUP(G943,'LEAID Match'!$A$2:$B$183,2,FALSE),"")</f>
        <v>1601530</v>
      </c>
      <c r="K943">
        <f t="shared" si="14"/>
        <v>9</v>
      </c>
    </row>
    <row r="944" spans="1:11" x14ac:dyDescent="0.2">
      <c r="A944">
        <v>1601530</v>
      </c>
      <c r="B944">
        <v>2016</v>
      </c>
      <c r="C944">
        <v>81</v>
      </c>
      <c r="D944" t="s">
        <v>428</v>
      </c>
      <c r="E944" t="s">
        <v>429</v>
      </c>
      <c r="F944" t="s">
        <v>433</v>
      </c>
      <c r="G944" t="s">
        <v>48</v>
      </c>
      <c r="H944" t="s">
        <v>48</v>
      </c>
      <c r="I944" s="5">
        <v>4201186</v>
      </c>
      <c r="J944">
        <f>IFERROR(VLOOKUP(G944,'LEAID Match'!$A$2:$B$183,2,FALSE),"")</f>
        <v>1601530</v>
      </c>
      <c r="K944">
        <f t="shared" si="14"/>
        <v>9</v>
      </c>
    </row>
    <row r="945" spans="1:11" x14ac:dyDescent="0.2">
      <c r="A945">
        <v>1601530</v>
      </c>
      <c r="B945">
        <v>2017</v>
      </c>
      <c r="C945">
        <v>81</v>
      </c>
      <c r="D945" t="s">
        <v>428</v>
      </c>
      <c r="E945" t="s">
        <v>429</v>
      </c>
      <c r="F945" t="s">
        <v>433</v>
      </c>
      <c r="G945" t="s">
        <v>48</v>
      </c>
      <c r="H945" t="s">
        <v>48</v>
      </c>
      <c r="I945" s="5">
        <v>4409059</v>
      </c>
      <c r="J945">
        <f>IFERROR(VLOOKUP(G945,'LEAID Match'!$A$2:$B$183,2,FALSE),"")</f>
        <v>1601530</v>
      </c>
      <c r="K945">
        <f t="shared" si="14"/>
        <v>9</v>
      </c>
    </row>
    <row r="946" spans="1:11" x14ac:dyDescent="0.2">
      <c r="A946">
        <v>1601530</v>
      </c>
      <c r="B946">
        <v>2018</v>
      </c>
      <c r="C946">
        <v>81</v>
      </c>
      <c r="D946" t="s">
        <v>428</v>
      </c>
      <c r="E946" t="s">
        <v>429</v>
      </c>
      <c r="F946" t="s">
        <v>433</v>
      </c>
      <c r="G946" t="s">
        <v>48</v>
      </c>
      <c r="H946" t="s">
        <v>48</v>
      </c>
      <c r="I946" s="5">
        <v>4592950</v>
      </c>
      <c r="J946">
        <f>IFERROR(VLOOKUP(G946,'LEAID Match'!$A$2:$B$183,2,FALSE),"")</f>
        <v>1601530</v>
      </c>
      <c r="K946">
        <f t="shared" si="14"/>
        <v>9</v>
      </c>
    </row>
    <row r="947" spans="1:11" x14ac:dyDescent="0.2">
      <c r="A947">
        <v>1601530</v>
      </c>
      <c r="B947">
        <v>2019</v>
      </c>
      <c r="C947">
        <v>81</v>
      </c>
      <c r="D947" t="s">
        <v>428</v>
      </c>
      <c r="E947" t="s">
        <v>429</v>
      </c>
      <c r="F947" t="s">
        <v>433</v>
      </c>
      <c r="G947" t="s">
        <v>48</v>
      </c>
      <c r="H947" t="s">
        <v>258</v>
      </c>
      <c r="I947" s="5">
        <v>4850913</v>
      </c>
      <c r="J947">
        <f>IFERROR(VLOOKUP(G947,'LEAID Match'!$A$2:$B$183,2,FALSE),"")</f>
        <v>1601530</v>
      </c>
      <c r="K947">
        <f t="shared" si="14"/>
        <v>9</v>
      </c>
    </row>
    <row r="948" spans="1:11" x14ac:dyDescent="0.2">
      <c r="A948">
        <v>1601530</v>
      </c>
      <c r="B948">
        <v>2020</v>
      </c>
      <c r="C948">
        <v>81</v>
      </c>
      <c r="D948" t="s">
        <v>428</v>
      </c>
      <c r="E948" t="s">
        <v>429</v>
      </c>
      <c r="F948" t="s">
        <v>433</v>
      </c>
      <c r="G948" t="s">
        <v>48</v>
      </c>
      <c r="H948" t="s">
        <v>351</v>
      </c>
      <c r="I948" s="5">
        <v>5346131</v>
      </c>
      <c r="J948">
        <f>IFERROR(VLOOKUP(G948,'LEAID Match'!$A$2:$B$183,2,FALSE),"")</f>
        <v>1601530</v>
      </c>
      <c r="K948">
        <f t="shared" si="14"/>
        <v>9</v>
      </c>
    </row>
    <row r="949" spans="1:11" x14ac:dyDescent="0.2">
      <c r="A949">
        <v>1601530</v>
      </c>
      <c r="B949">
        <v>2021</v>
      </c>
      <c r="C949">
        <v>81</v>
      </c>
      <c r="D949" t="s">
        <v>428</v>
      </c>
      <c r="E949" t="s">
        <v>429</v>
      </c>
      <c r="F949" t="s">
        <v>433</v>
      </c>
      <c r="G949" t="s">
        <v>48</v>
      </c>
      <c r="H949" t="s">
        <v>258</v>
      </c>
      <c r="I949" s="5">
        <v>5790544</v>
      </c>
      <c r="J949">
        <f>IFERROR(VLOOKUP(G949,'LEAID Match'!$A$2:$B$183,2,FALSE),"")</f>
        <v>1601530</v>
      </c>
      <c r="K949">
        <f t="shared" si="14"/>
        <v>9</v>
      </c>
    </row>
    <row r="950" spans="1:11" x14ac:dyDescent="0.2">
      <c r="A950">
        <v>1601530</v>
      </c>
      <c r="B950">
        <v>2022</v>
      </c>
      <c r="C950">
        <v>81</v>
      </c>
      <c r="D950" t="s">
        <v>428</v>
      </c>
      <c r="E950" t="s">
        <v>429</v>
      </c>
      <c r="F950" t="s">
        <v>433</v>
      </c>
      <c r="G950" t="s">
        <v>48</v>
      </c>
      <c r="H950" t="s">
        <v>258</v>
      </c>
      <c r="I950" s="5">
        <v>6295146</v>
      </c>
      <c r="J950">
        <f>IFERROR(VLOOKUP(G950,'LEAID Match'!$A$2:$B$183,2,FALSE),"")</f>
        <v>1601530</v>
      </c>
      <c r="K950">
        <f t="shared" si="14"/>
        <v>9</v>
      </c>
    </row>
    <row r="951" spans="1:11" x14ac:dyDescent="0.2">
      <c r="A951">
        <v>1601530</v>
      </c>
      <c r="B951">
        <v>2023</v>
      </c>
      <c r="C951">
        <v>81</v>
      </c>
      <c r="D951" t="s">
        <v>428</v>
      </c>
      <c r="E951" t="s">
        <v>429</v>
      </c>
      <c r="F951" t="s">
        <v>433</v>
      </c>
      <c r="G951" t="s">
        <v>48</v>
      </c>
      <c r="H951" t="s">
        <v>258</v>
      </c>
      <c r="I951" s="5">
        <v>6852493</v>
      </c>
      <c r="J951">
        <f>IFERROR(VLOOKUP(G951,'LEAID Match'!$A$2:$B$183,2,FALSE),"")</f>
        <v>1601530</v>
      </c>
      <c r="K951">
        <f t="shared" si="14"/>
        <v>9</v>
      </c>
    </row>
    <row r="952" spans="1:11" x14ac:dyDescent="0.2">
      <c r="A952">
        <v>1601590</v>
      </c>
      <c r="B952">
        <v>2015</v>
      </c>
      <c r="C952">
        <v>87</v>
      </c>
      <c r="D952" t="s">
        <v>428</v>
      </c>
      <c r="E952" t="s">
        <v>429</v>
      </c>
      <c r="F952" t="s">
        <v>433</v>
      </c>
      <c r="G952" t="s">
        <v>49</v>
      </c>
      <c r="H952" t="s">
        <v>49</v>
      </c>
      <c r="I952" s="5">
        <v>1366172</v>
      </c>
      <c r="J952">
        <f>IFERROR(VLOOKUP(G952,'LEAID Match'!$A$2:$B$183,2,FALSE),"")</f>
        <v>1601590</v>
      </c>
      <c r="K952">
        <f t="shared" si="14"/>
        <v>9</v>
      </c>
    </row>
    <row r="953" spans="1:11" x14ac:dyDescent="0.2">
      <c r="A953">
        <v>1601590</v>
      </c>
      <c r="B953">
        <v>2016</v>
      </c>
      <c r="C953">
        <v>87</v>
      </c>
      <c r="D953" t="s">
        <v>428</v>
      </c>
      <c r="E953" t="s">
        <v>429</v>
      </c>
      <c r="F953" t="s">
        <v>433</v>
      </c>
      <c r="G953" t="s">
        <v>49</v>
      </c>
      <c r="H953" t="s">
        <v>49</v>
      </c>
      <c r="I953" s="5">
        <v>1427127</v>
      </c>
      <c r="J953">
        <f>IFERROR(VLOOKUP(G953,'LEAID Match'!$A$2:$B$183,2,FALSE),"")</f>
        <v>1601590</v>
      </c>
      <c r="K953">
        <f t="shared" si="14"/>
        <v>9</v>
      </c>
    </row>
    <row r="954" spans="1:11" x14ac:dyDescent="0.2">
      <c r="A954">
        <v>1601590</v>
      </c>
      <c r="B954">
        <v>2017</v>
      </c>
      <c r="C954">
        <v>87</v>
      </c>
      <c r="D954" t="s">
        <v>428</v>
      </c>
      <c r="E954" t="s">
        <v>429</v>
      </c>
      <c r="F954" t="s">
        <v>433</v>
      </c>
      <c r="G954" t="s">
        <v>49</v>
      </c>
      <c r="H954" t="s">
        <v>49</v>
      </c>
      <c r="I954" s="5">
        <v>1501617</v>
      </c>
      <c r="J954">
        <f>IFERROR(VLOOKUP(G954,'LEAID Match'!$A$2:$B$183,2,FALSE),"")</f>
        <v>1601590</v>
      </c>
      <c r="K954">
        <f t="shared" si="14"/>
        <v>9</v>
      </c>
    </row>
    <row r="955" spans="1:11" x14ac:dyDescent="0.2">
      <c r="A955">
        <v>1601590</v>
      </c>
      <c r="B955">
        <v>2018</v>
      </c>
      <c r="C955">
        <v>87</v>
      </c>
      <c r="D955" t="s">
        <v>428</v>
      </c>
      <c r="E955" t="s">
        <v>429</v>
      </c>
      <c r="F955" t="s">
        <v>433</v>
      </c>
      <c r="G955" t="s">
        <v>49</v>
      </c>
      <c r="H955" t="s">
        <v>49</v>
      </c>
      <c r="I955" s="5">
        <v>1591523</v>
      </c>
      <c r="J955">
        <f>IFERROR(VLOOKUP(G955,'LEAID Match'!$A$2:$B$183,2,FALSE),"")</f>
        <v>1601590</v>
      </c>
      <c r="K955">
        <f t="shared" si="14"/>
        <v>9</v>
      </c>
    </row>
    <row r="956" spans="1:11" x14ac:dyDescent="0.2">
      <c r="A956">
        <v>1601590</v>
      </c>
      <c r="B956">
        <v>2019</v>
      </c>
      <c r="C956">
        <v>87</v>
      </c>
      <c r="D956" t="s">
        <v>428</v>
      </c>
      <c r="E956" t="s">
        <v>429</v>
      </c>
      <c r="F956" t="s">
        <v>433</v>
      </c>
      <c r="G956" t="s">
        <v>49</v>
      </c>
      <c r="H956" t="s">
        <v>259</v>
      </c>
      <c r="I956" s="5">
        <v>1717823</v>
      </c>
      <c r="J956">
        <f>IFERROR(VLOOKUP(G956,'LEAID Match'!$A$2:$B$183,2,FALSE),"")</f>
        <v>1601590</v>
      </c>
      <c r="K956">
        <f t="shared" si="14"/>
        <v>9</v>
      </c>
    </row>
    <row r="957" spans="1:11" x14ac:dyDescent="0.2">
      <c r="A957">
        <v>1601590</v>
      </c>
      <c r="B957">
        <v>2020</v>
      </c>
      <c r="C957">
        <v>87</v>
      </c>
      <c r="D957" t="s">
        <v>428</v>
      </c>
      <c r="E957" t="s">
        <v>429</v>
      </c>
      <c r="F957" t="s">
        <v>433</v>
      </c>
      <c r="G957" t="s">
        <v>49</v>
      </c>
      <c r="H957" t="s">
        <v>259</v>
      </c>
      <c r="I957" s="5">
        <v>1945490</v>
      </c>
      <c r="J957">
        <f>IFERROR(VLOOKUP(G957,'LEAID Match'!$A$2:$B$183,2,FALSE),"")</f>
        <v>1601590</v>
      </c>
      <c r="K957">
        <f t="shared" si="14"/>
        <v>9</v>
      </c>
    </row>
    <row r="958" spans="1:11" x14ac:dyDescent="0.2">
      <c r="A958">
        <v>1601590</v>
      </c>
      <c r="B958">
        <v>2021</v>
      </c>
      <c r="C958">
        <v>87</v>
      </c>
      <c r="D958" t="s">
        <v>428</v>
      </c>
      <c r="E958" t="s">
        <v>429</v>
      </c>
      <c r="F958" t="s">
        <v>433</v>
      </c>
      <c r="G958" t="s">
        <v>49</v>
      </c>
      <c r="H958" t="s">
        <v>49</v>
      </c>
      <c r="I958" s="5">
        <v>2137896</v>
      </c>
      <c r="J958">
        <f>IFERROR(VLOOKUP(G958,'LEAID Match'!$A$2:$B$183,2,FALSE),"")</f>
        <v>1601590</v>
      </c>
      <c r="K958">
        <f t="shared" si="14"/>
        <v>9</v>
      </c>
    </row>
    <row r="959" spans="1:11" x14ac:dyDescent="0.2">
      <c r="A959">
        <v>1601590</v>
      </c>
      <c r="B959">
        <v>2022</v>
      </c>
      <c r="C959">
        <v>87</v>
      </c>
      <c r="D959" t="s">
        <v>428</v>
      </c>
      <c r="E959" t="s">
        <v>429</v>
      </c>
      <c r="F959" t="s">
        <v>433</v>
      </c>
      <c r="G959" t="s">
        <v>49</v>
      </c>
      <c r="H959" t="s">
        <v>259</v>
      </c>
      <c r="I959" s="5">
        <v>2187603</v>
      </c>
      <c r="J959">
        <f>IFERROR(VLOOKUP(G959,'LEAID Match'!$A$2:$B$183,2,FALSE),"")</f>
        <v>1601590</v>
      </c>
      <c r="K959">
        <f t="shared" si="14"/>
        <v>9</v>
      </c>
    </row>
    <row r="960" spans="1:11" x14ac:dyDescent="0.2">
      <c r="A960">
        <v>1601590</v>
      </c>
      <c r="B960">
        <v>2023</v>
      </c>
      <c r="C960">
        <v>87</v>
      </c>
      <c r="D960" t="s">
        <v>428</v>
      </c>
      <c r="E960" t="s">
        <v>429</v>
      </c>
      <c r="F960" t="s">
        <v>433</v>
      </c>
      <c r="G960" t="s">
        <v>49</v>
      </c>
      <c r="H960" t="s">
        <v>259</v>
      </c>
      <c r="I960" s="5">
        <v>2254566</v>
      </c>
      <c r="J960">
        <f>IFERROR(VLOOKUP(G960,'LEAID Match'!$A$2:$B$183,2,FALSE),"")</f>
        <v>1601590</v>
      </c>
      <c r="K960">
        <f t="shared" si="14"/>
        <v>9</v>
      </c>
    </row>
    <row r="961" spans="1:11" x14ac:dyDescent="0.2">
      <c r="A961">
        <v>1601620</v>
      </c>
      <c r="B961">
        <v>2015</v>
      </c>
      <c r="C961">
        <v>88</v>
      </c>
      <c r="D961" t="s">
        <v>428</v>
      </c>
      <c r="E961" t="s">
        <v>429</v>
      </c>
      <c r="F961" t="s">
        <v>433</v>
      </c>
      <c r="G961" t="s">
        <v>50</v>
      </c>
      <c r="H961" t="s">
        <v>50</v>
      </c>
      <c r="I961" s="5">
        <v>250386</v>
      </c>
      <c r="J961">
        <f>IFERROR(VLOOKUP(G961,'LEAID Match'!$A$2:$B$183,2,FALSE),"")</f>
        <v>1601620</v>
      </c>
      <c r="K961">
        <f t="shared" si="14"/>
        <v>9</v>
      </c>
    </row>
    <row r="962" spans="1:11" x14ac:dyDescent="0.2">
      <c r="A962">
        <v>1601620</v>
      </c>
      <c r="B962">
        <v>2016</v>
      </c>
      <c r="C962">
        <v>88</v>
      </c>
      <c r="D962" t="s">
        <v>428</v>
      </c>
      <c r="E962" t="s">
        <v>429</v>
      </c>
      <c r="F962" t="s">
        <v>433</v>
      </c>
      <c r="G962" t="s">
        <v>50</v>
      </c>
      <c r="H962" t="s">
        <v>50</v>
      </c>
      <c r="I962" s="5">
        <v>239523</v>
      </c>
      <c r="J962">
        <f>IFERROR(VLOOKUP(G962,'LEAID Match'!$A$2:$B$183,2,FALSE),"")</f>
        <v>1601620</v>
      </c>
      <c r="K962">
        <f t="shared" si="14"/>
        <v>9</v>
      </c>
    </row>
    <row r="963" spans="1:11" x14ac:dyDescent="0.2">
      <c r="A963">
        <v>1601620</v>
      </c>
      <c r="B963">
        <v>2017</v>
      </c>
      <c r="C963">
        <v>88</v>
      </c>
      <c r="D963" t="s">
        <v>428</v>
      </c>
      <c r="E963" t="s">
        <v>429</v>
      </c>
      <c r="F963" t="s">
        <v>433</v>
      </c>
      <c r="G963" t="s">
        <v>50</v>
      </c>
      <c r="H963" t="s">
        <v>50</v>
      </c>
      <c r="I963" s="5">
        <v>230825</v>
      </c>
      <c r="J963">
        <f>IFERROR(VLOOKUP(G963,'LEAID Match'!$A$2:$B$183,2,FALSE),"")</f>
        <v>1601620</v>
      </c>
      <c r="K963">
        <f t="shared" ref="K963:K1026" si="15">COUNTIF($A$2:$A$1651,A963)</f>
        <v>9</v>
      </c>
    </row>
    <row r="964" spans="1:11" x14ac:dyDescent="0.2">
      <c r="A964">
        <v>1601620</v>
      </c>
      <c r="B964">
        <v>2018</v>
      </c>
      <c r="C964">
        <v>88</v>
      </c>
      <c r="D964" t="s">
        <v>428</v>
      </c>
      <c r="E964" t="s">
        <v>429</v>
      </c>
      <c r="F964" t="s">
        <v>433</v>
      </c>
      <c r="G964" t="s">
        <v>50</v>
      </c>
      <c r="H964" t="s">
        <v>50</v>
      </c>
      <c r="I964" s="5">
        <v>238088</v>
      </c>
      <c r="J964">
        <f>IFERROR(VLOOKUP(G964,'LEAID Match'!$A$2:$B$183,2,FALSE),"")</f>
        <v>1601620</v>
      </c>
      <c r="K964">
        <f t="shared" si="15"/>
        <v>9</v>
      </c>
    </row>
    <row r="965" spans="1:11" x14ac:dyDescent="0.2">
      <c r="A965">
        <v>1601620</v>
      </c>
      <c r="B965">
        <v>2019</v>
      </c>
      <c r="C965">
        <v>88</v>
      </c>
      <c r="D965" t="s">
        <v>428</v>
      </c>
      <c r="E965" t="s">
        <v>429</v>
      </c>
      <c r="F965" t="s">
        <v>433</v>
      </c>
      <c r="G965" t="s">
        <v>50</v>
      </c>
      <c r="H965" t="s">
        <v>260</v>
      </c>
      <c r="I965" s="5">
        <v>246426</v>
      </c>
      <c r="J965">
        <f>IFERROR(VLOOKUP(G965,'LEAID Match'!$A$2:$B$183,2,FALSE),"")</f>
        <v>1601620</v>
      </c>
      <c r="K965">
        <f t="shared" si="15"/>
        <v>9</v>
      </c>
    </row>
    <row r="966" spans="1:11" x14ac:dyDescent="0.2">
      <c r="A966">
        <v>1601620</v>
      </c>
      <c r="B966">
        <v>2020</v>
      </c>
      <c r="C966">
        <v>88</v>
      </c>
      <c r="D966" t="s">
        <v>428</v>
      </c>
      <c r="E966" t="s">
        <v>429</v>
      </c>
      <c r="F966" t="s">
        <v>433</v>
      </c>
      <c r="G966" t="s">
        <v>50</v>
      </c>
      <c r="H966" t="s">
        <v>352</v>
      </c>
      <c r="I966" s="5">
        <v>286695</v>
      </c>
      <c r="J966">
        <f>IFERROR(VLOOKUP(G966,'LEAID Match'!$A$2:$B$183,2,FALSE),"")</f>
        <v>1601620</v>
      </c>
      <c r="K966">
        <f t="shared" si="15"/>
        <v>9</v>
      </c>
    </row>
    <row r="967" spans="1:11" x14ac:dyDescent="0.2">
      <c r="A967">
        <v>1601620</v>
      </c>
      <c r="B967">
        <v>2021</v>
      </c>
      <c r="C967">
        <v>88</v>
      </c>
      <c r="D967" t="s">
        <v>428</v>
      </c>
      <c r="E967" t="s">
        <v>429</v>
      </c>
      <c r="F967" t="s">
        <v>433</v>
      </c>
      <c r="G967" t="s">
        <v>50</v>
      </c>
      <c r="H967" t="s">
        <v>260</v>
      </c>
      <c r="I967" s="5">
        <v>326921</v>
      </c>
      <c r="J967">
        <f>IFERROR(VLOOKUP(G967,'LEAID Match'!$A$2:$B$183,2,FALSE),"")</f>
        <v>1601620</v>
      </c>
      <c r="K967">
        <f t="shared" si="15"/>
        <v>9</v>
      </c>
    </row>
    <row r="968" spans="1:11" x14ac:dyDescent="0.2">
      <c r="A968">
        <v>1601620</v>
      </c>
      <c r="B968">
        <v>2022</v>
      </c>
      <c r="C968">
        <v>88</v>
      </c>
      <c r="D968" t="s">
        <v>428</v>
      </c>
      <c r="E968" t="s">
        <v>429</v>
      </c>
      <c r="F968" t="s">
        <v>433</v>
      </c>
      <c r="G968" t="s">
        <v>50</v>
      </c>
      <c r="H968" t="s">
        <v>260</v>
      </c>
      <c r="I968" s="5">
        <v>317272</v>
      </c>
      <c r="J968">
        <f>IFERROR(VLOOKUP(G968,'LEAID Match'!$A$2:$B$183,2,FALSE),"")</f>
        <v>1601620</v>
      </c>
      <c r="K968">
        <f t="shared" si="15"/>
        <v>9</v>
      </c>
    </row>
    <row r="969" spans="1:11" x14ac:dyDescent="0.2">
      <c r="A969">
        <v>1601620</v>
      </c>
      <c r="B969">
        <v>2023</v>
      </c>
      <c r="C969">
        <v>88</v>
      </c>
      <c r="D969" t="s">
        <v>428</v>
      </c>
      <c r="E969" t="s">
        <v>429</v>
      </c>
      <c r="F969" t="s">
        <v>433</v>
      </c>
      <c r="G969" t="s">
        <v>50</v>
      </c>
      <c r="H969" t="s">
        <v>260</v>
      </c>
      <c r="I969" s="5">
        <v>336686</v>
      </c>
      <c r="J969">
        <f>IFERROR(VLOOKUP(G969,'LEAID Match'!$A$2:$B$183,2,FALSE),"")</f>
        <v>1601620</v>
      </c>
      <c r="K969">
        <f t="shared" si="15"/>
        <v>9</v>
      </c>
    </row>
    <row r="970" spans="1:11" x14ac:dyDescent="0.2">
      <c r="A970">
        <v>1601650</v>
      </c>
      <c r="B970">
        <v>2015</v>
      </c>
      <c r="C970">
        <v>89</v>
      </c>
      <c r="D970" t="s">
        <v>428</v>
      </c>
      <c r="E970" t="s">
        <v>429</v>
      </c>
      <c r="F970" t="s">
        <v>433</v>
      </c>
      <c r="G970" t="s">
        <v>51</v>
      </c>
      <c r="H970" t="s">
        <v>51</v>
      </c>
      <c r="I970" s="5">
        <v>672838</v>
      </c>
      <c r="J970">
        <f>IFERROR(VLOOKUP(G970,'LEAID Match'!$A$2:$B$183,2,FALSE),"")</f>
        <v>1601650</v>
      </c>
      <c r="K970">
        <f t="shared" si="15"/>
        <v>9</v>
      </c>
    </row>
    <row r="971" spans="1:11" x14ac:dyDescent="0.2">
      <c r="A971">
        <v>1601650</v>
      </c>
      <c r="B971">
        <v>2016</v>
      </c>
      <c r="C971">
        <v>89</v>
      </c>
      <c r="D971" t="s">
        <v>428</v>
      </c>
      <c r="E971" t="s">
        <v>429</v>
      </c>
      <c r="F971" t="s">
        <v>433</v>
      </c>
      <c r="G971" t="s">
        <v>51</v>
      </c>
      <c r="H971" t="s">
        <v>51</v>
      </c>
      <c r="I971" s="5">
        <v>634809</v>
      </c>
      <c r="J971">
        <f>IFERROR(VLOOKUP(G971,'LEAID Match'!$A$2:$B$183,2,FALSE),"")</f>
        <v>1601650</v>
      </c>
      <c r="K971">
        <f t="shared" si="15"/>
        <v>9</v>
      </c>
    </row>
    <row r="972" spans="1:11" x14ac:dyDescent="0.2">
      <c r="A972">
        <v>1601650</v>
      </c>
      <c r="B972">
        <v>2017</v>
      </c>
      <c r="C972">
        <v>89</v>
      </c>
      <c r="D972" t="s">
        <v>428</v>
      </c>
      <c r="E972" t="s">
        <v>429</v>
      </c>
      <c r="F972" t="s">
        <v>433</v>
      </c>
      <c r="G972" t="s">
        <v>51</v>
      </c>
      <c r="H972" t="s">
        <v>51</v>
      </c>
      <c r="I972" s="5">
        <v>624020</v>
      </c>
      <c r="J972">
        <f>IFERROR(VLOOKUP(G972,'LEAID Match'!$A$2:$B$183,2,FALSE),"")</f>
        <v>1601650</v>
      </c>
      <c r="K972">
        <f t="shared" si="15"/>
        <v>9</v>
      </c>
    </row>
    <row r="973" spans="1:11" x14ac:dyDescent="0.2">
      <c r="A973">
        <v>1601650</v>
      </c>
      <c r="B973">
        <v>2018</v>
      </c>
      <c r="C973">
        <v>89</v>
      </c>
      <c r="D973" t="s">
        <v>428</v>
      </c>
      <c r="E973" t="s">
        <v>429</v>
      </c>
      <c r="F973" t="s">
        <v>433</v>
      </c>
      <c r="G973" t="s">
        <v>51</v>
      </c>
      <c r="H973" t="s">
        <v>51</v>
      </c>
      <c r="I973" s="5">
        <v>665469</v>
      </c>
      <c r="J973">
        <f>IFERROR(VLOOKUP(G973,'LEAID Match'!$A$2:$B$183,2,FALSE),"")</f>
        <v>1601650</v>
      </c>
      <c r="K973">
        <f t="shared" si="15"/>
        <v>9</v>
      </c>
    </row>
    <row r="974" spans="1:11" x14ac:dyDescent="0.2">
      <c r="A974">
        <v>1601650</v>
      </c>
      <c r="B974">
        <v>2019</v>
      </c>
      <c r="C974">
        <v>89</v>
      </c>
      <c r="D974" t="s">
        <v>428</v>
      </c>
      <c r="E974" t="s">
        <v>429</v>
      </c>
      <c r="F974" t="s">
        <v>433</v>
      </c>
      <c r="G974" t="s">
        <v>51</v>
      </c>
      <c r="H974" t="s">
        <v>51</v>
      </c>
      <c r="I974" s="5">
        <v>701931</v>
      </c>
      <c r="J974">
        <f>IFERROR(VLOOKUP(G974,'LEAID Match'!$A$2:$B$183,2,FALSE),"")</f>
        <v>1601650</v>
      </c>
      <c r="K974">
        <f t="shared" si="15"/>
        <v>9</v>
      </c>
    </row>
    <row r="975" spans="1:11" x14ac:dyDescent="0.2">
      <c r="A975">
        <v>1601650</v>
      </c>
      <c r="B975">
        <v>2020</v>
      </c>
      <c r="C975">
        <v>89</v>
      </c>
      <c r="D975" t="s">
        <v>428</v>
      </c>
      <c r="E975" t="s">
        <v>429</v>
      </c>
      <c r="F975" t="s">
        <v>433</v>
      </c>
      <c r="G975" t="s">
        <v>51</v>
      </c>
      <c r="H975" t="s">
        <v>51</v>
      </c>
      <c r="I975" s="5">
        <v>779748</v>
      </c>
      <c r="J975">
        <f>IFERROR(VLOOKUP(G975,'LEAID Match'!$A$2:$B$183,2,FALSE),"")</f>
        <v>1601650</v>
      </c>
      <c r="K975">
        <f t="shared" si="15"/>
        <v>9</v>
      </c>
    </row>
    <row r="976" spans="1:11" x14ac:dyDescent="0.2">
      <c r="A976">
        <v>1601650</v>
      </c>
      <c r="B976">
        <v>2021</v>
      </c>
      <c r="C976">
        <v>89</v>
      </c>
      <c r="D976" t="s">
        <v>428</v>
      </c>
      <c r="E976" t="s">
        <v>429</v>
      </c>
      <c r="F976" t="s">
        <v>433</v>
      </c>
      <c r="G976" t="s">
        <v>51</v>
      </c>
      <c r="H976" t="s">
        <v>51</v>
      </c>
      <c r="I976" s="5">
        <v>805599</v>
      </c>
      <c r="J976">
        <f>IFERROR(VLOOKUP(G976,'LEAID Match'!$A$2:$B$183,2,FALSE),"")</f>
        <v>1601650</v>
      </c>
      <c r="K976">
        <f t="shared" si="15"/>
        <v>9</v>
      </c>
    </row>
    <row r="977" spans="1:11" x14ac:dyDescent="0.2">
      <c r="A977">
        <v>1601650</v>
      </c>
      <c r="B977">
        <v>2022</v>
      </c>
      <c r="C977">
        <v>89</v>
      </c>
      <c r="D977" t="s">
        <v>428</v>
      </c>
      <c r="E977" t="s">
        <v>429</v>
      </c>
      <c r="F977" t="s">
        <v>433</v>
      </c>
      <c r="G977" t="s">
        <v>51</v>
      </c>
      <c r="H977" t="s">
        <v>51</v>
      </c>
      <c r="I977" s="5">
        <v>839310</v>
      </c>
      <c r="J977">
        <f>IFERROR(VLOOKUP(G977,'LEAID Match'!$A$2:$B$183,2,FALSE),"")</f>
        <v>1601650</v>
      </c>
      <c r="K977">
        <f t="shared" si="15"/>
        <v>9</v>
      </c>
    </row>
    <row r="978" spans="1:11" x14ac:dyDescent="0.2">
      <c r="A978">
        <v>1601650</v>
      </c>
      <c r="B978">
        <v>2023</v>
      </c>
      <c r="C978">
        <v>89</v>
      </c>
      <c r="D978" t="s">
        <v>428</v>
      </c>
      <c r="E978" t="s">
        <v>429</v>
      </c>
      <c r="F978" t="s">
        <v>433</v>
      </c>
      <c r="G978" t="s">
        <v>51</v>
      </c>
      <c r="H978" t="s">
        <v>51</v>
      </c>
      <c r="I978" s="5">
        <v>857547</v>
      </c>
      <c r="J978">
        <f>IFERROR(VLOOKUP(G978,'LEAID Match'!$A$2:$B$183,2,FALSE),"")</f>
        <v>1601650</v>
      </c>
      <c r="K978">
        <f t="shared" si="15"/>
        <v>9</v>
      </c>
    </row>
    <row r="979" spans="1:11" x14ac:dyDescent="0.2">
      <c r="A979">
        <v>1601680</v>
      </c>
      <c r="B979">
        <v>2015</v>
      </c>
      <c r="C979">
        <v>90</v>
      </c>
      <c r="D979" t="s">
        <v>428</v>
      </c>
      <c r="E979" t="s">
        <v>429</v>
      </c>
      <c r="F979" t="s">
        <v>433</v>
      </c>
      <c r="G979" t="s">
        <v>52</v>
      </c>
      <c r="H979" t="s">
        <v>52</v>
      </c>
      <c r="I979" s="5">
        <v>184624</v>
      </c>
      <c r="J979">
        <f>IFERROR(VLOOKUP(G979,'LEAID Match'!$A$2:$B$183,2,FALSE),"")</f>
        <v>1601680</v>
      </c>
      <c r="K979">
        <f t="shared" si="15"/>
        <v>9</v>
      </c>
    </row>
    <row r="980" spans="1:11" x14ac:dyDescent="0.2">
      <c r="A980">
        <v>1601680</v>
      </c>
      <c r="B980">
        <v>2016</v>
      </c>
      <c r="C980">
        <v>90</v>
      </c>
      <c r="D980" t="s">
        <v>428</v>
      </c>
      <c r="E980" t="s">
        <v>429</v>
      </c>
      <c r="F980" t="s">
        <v>433</v>
      </c>
      <c r="G980" t="s">
        <v>52</v>
      </c>
      <c r="H980" t="s">
        <v>52</v>
      </c>
      <c r="I980" s="5">
        <v>178562</v>
      </c>
      <c r="J980">
        <f>IFERROR(VLOOKUP(G980,'LEAID Match'!$A$2:$B$183,2,FALSE),"")</f>
        <v>1601680</v>
      </c>
      <c r="K980">
        <f t="shared" si="15"/>
        <v>9</v>
      </c>
    </row>
    <row r="981" spans="1:11" x14ac:dyDescent="0.2">
      <c r="A981">
        <v>1601680</v>
      </c>
      <c r="B981">
        <v>2017</v>
      </c>
      <c r="C981">
        <v>90</v>
      </c>
      <c r="D981" t="s">
        <v>428</v>
      </c>
      <c r="E981" t="s">
        <v>429</v>
      </c>
      <c r="F981" t="s">
        <v>433</v>
      </c>
      <c r="G981" t="s">
        <v>52</v>
      </c>
      <c r="H981" t="s">
        <v>52</v>
      </c>
      <c r="I981" s="5">
        <v>177038</v>
      </c>
      <c r="J981">
        <f>IFERROR(VLOOKUP(G981,'LEAID Match'!$A$2:$B$183,2,FALSE),"")</f>
        <v>1601680</v>
      </c>
      <c r="K981">
        <f t="shared" si="15"/>
        <v>9</v>
      </c>
    </row>
    <row r="982" spans="1:11" x14ac:dyDescent="0.2">
      <c r="A982">
        <v>1601680</v>
      </c>
      <c r="B982">
        <v>2018</v>
      </c>
      <c r="C982">
        <v>90</v>
      </c>
      <c r="D982" t="s">
        <v>428</v>
      </c>
      <c r="E982" t="s">
        <v>429</v>
      </c>
      <c r="F982" t="s">
        <v>433</v>
      </c>
      <c r="G982" t="s">
        <v>52</v>
      </c>
      <c r="H982" t="s">
        <v>52</v>
      </c>
      <c r="I982" s="5">
        <v>172463</v>
      </c>
      <c r="J982">
        <f>IFERROR(VLOOKUP(G982,'LEAID Match'!$A$2:$B$183,2,FALSE),"")</f>
        <v>1601680</v>
      </c>
      <c r="K982">
        <f t="shared" si="15"/>
        <v>9</v>
      </c>
    </row>
    <row r="983" spans="1:11" x14ac:dyDescent="0.2">
      <c r="A983">
        <v>1601680</v>
      </c>
      <c r="B983">
        <v>2019</v>
      </c>
      <c r="C983">
        <v>90</v>
      </c>
      <c r="D983" t="s">
        <v>428</v>
      </c>
      <c r="E983" t="s">
        <v>429</v>
      </c>
      <c r="F983" t="s">
        <v>433</v>
      </c>
      <c r="G983" t="s">
        <v>52</v>
      </c>
      <c r="H983" t="s">
        <v>261</v>
      </c>
      <c r="I983" s="5">
        <v>192767</v>
      </c>
      <c r="J983">
        <f>IFERROR(VLOOKUP(G983,'LEAID Match'!$A$2:$B$183,2,FALSE),"")</f>
        <v>1601680</v>
      </c>
      <c r="K983">
        <f t="shared" si="15"/>
        <v>9</v>
      </c>
    </row>
    <row r="984" spans="1:11" x14ac:dyDescent="0.2">
      <c r="A984">
        <v>1601680</v>
      </c>
      <c r="B984">
        <v>2020</v>
      </c>
      <c r="C984">
        <v>90</v>
      </c>
      <c r="D984" t="s">
        <v>428</v>
      </c>
      <c r="E984" t="s">
        <v>429</v>
      </c>
      <c r="F984" t="s">
        <v>433</v>
      </c>
      <c r="G984" t="s">
        <v>52</v>
      </c>
      <c r="H984" t="s">
        <v>261</v>
      </c>
      <c r="I984" s="5">
        <v>205928</v>
      </c>
      <c r="J984">
        <f>IFERROR(VLOOKUP(G984,'LEAID Match'!$A$2:$B$183,2,FALSE),"")</f>
        <v>1601680</v>
      </c>
      <c r="K984">
        <f t="shared" si="15"/>
        <v>9</v>
      </c>
    </row>
    <row r="985" spans="1:11" x14ac:dyDescent="0.2">
      <c r="A985">
        <v>1601680</v>
      </c>
      <c r="B985">
        <v>2021</v>
      </c>
      <c r="C985">
        <v>90</v>
      </c>
      <c r="D985" t="s">
        <v>428</v>
      </c>
      <c r="E985" t="s">
        <v>429</v>
      </c>
      <c r="F985" t="s">
        <v>433</v>
      </c>
      <c r="G985" t="s">
        <v>52</v>
      </c>
      <c r="H985" t="s">
        <v>52</v>
      </c>
      <c r="I985" s="5">
        <v>210387</v>
      </c>
      <c r="J985">
        <f>IFERROR(VLOOKUP(G985,'LEAID Match'!$A$2:$B$183,2,FALSE),"")</f>
        <v>1601680</v>
      </c>
      <c r="K985">
        <f t="shared" si="15"/>
        <v>9</v>
      </c>
    </row>
    <row r="986" spans="1:11" x14ac:dyDescent="0.2">
      <c r="A986">
        <v>1601680</v>
      </c>
      <c r="B986">
        <v>2022</v>
      </c>
      <c r="C986">
        <v>90</v>
      </c>
      <c r="D986" t="s">
        <v>428</v>
      </c>
      <c r="E986" t="s">
        <v>429</v>
      </c>
      <c r="F986" t="s">
        <v>433</v>
      </c>
      <c r="G986" t="s">
        <v>52</v>
      </c>
      <c r="H986" t="s">
        <v>261</v>
      </c>
      <c r="I986" s="5">
        <v>230482</v>
      </c>
      <c r="J986">
        <f>IFERROR(VLOOKUP(G986,'LEAID Match'!$A$2:$B$183,2,FALSE),"")</f>
        <v>1601680</v>
      </c>
      <c r="K986">
        <f t="shared" si="15"/>
        <v>9</v>
      </c>
    </row>
    <row r="987" spans="1:11" x14ac:dyDescent="0.2">
      <c r="A987">
        <v>1601680</v>
      </c>
      <c r="B987">
        <v>2023</v>
      </c>
      <c r="C987">
        <v>90</v>
      </c>
      <c r="D987" t="s">
        <v>428</v>
      </c>
      <c r="E987" t="s">
        <v>429</v>
      </c>
      <c r="F987" t="s">
        <v>433</v>
      </c>
      <c r="G987" t="s">
        <v>52</v>
      </c>
      <c r="H987" t="s">
        <v>261</v>
      </c>
      <c r="I987" s="5">
        <v>233046</v>
      </c>
      <c r="J987">
        <f>IFERROR(VLOOKUP(G987,'LEAID Match'!$A$2:$B$183,2,FALSE),"")</f>
        <v>1601680</v>
      </c>
      <c r="K987">
        <f t="shared" si="15"/>
        <v>9</v>
      </c>
    </row>
    <row r="988" spans="1:11" x14ac:dyDescent="0.2">
      <c r="A988">
        <v>1601710</v>
      </c>
      <c r="B988">
        <v>2015</v>
      </c>
      <c r="C988">
        <v>91</v>
      </c>
      <c r="D988" t="s">
        <v>428</v>
      </c>
      <c r="E988" t="s">
        <v>429</v>
      </c>
      <c r="F988" t="s">
        <v>433</v>
      </c>
      <c r="G988" t="s">
        <v>53</v>
      </c>
      <c r="H988" t="s">
        <v>53</v>
      </c>
      <c r="I988" s="5">
        <v>676832</v>
      </c>
      <c r="J988">
        <f>IFERROR(VLOOKUP(G988,'LEAID Match'!$A$2:$B$183,2,FALSE),"")</f>
        <v>1601710</v>
      </c>
      <c r="K988">
        <f t="shared" si="15"/>
        <v>9</v>
      </c>
    </row>
    <row r="989" spans="1:11" x14ac:dyDescent="0.2">
      <c r="A989">
        <v>1601710</v>
      </c>
      <c r="B989">
        <v>2016</v>
      </c>
      <c r="C989">
        <v>91</v>
      </c>
      <c r="D989" t="s">
        <v>428</v>
      </c>
      <c r="E989" t="s">
        <v>429</v>
      </c>
      <c r="F989" t="s">
        <v>433</v>
      </c>
      <c r="G989" t="s">
        <v>53</v>
      </c>
      <c r="H989" t="s">
        <v>53</v>
      </c>
      <c r="I989" s="5">
        <v>721793</v>
      </c>
      <c r="J989">
        <f>IFERROR(VLOOKUP(G989,'LEAID Match'!$A$2:$B$183,2,FALSE),"")</f>
        <v>1601710</v>
      </c>
      <c r="K989">
        <f t="shared" si="15"/>
        <v>9</v>
      </c>
    </row>
    <row r="990" spans="1:11" x14ac:dyDescent="0.2">
      <c r="A990">
        <v>1601710</v>
      </c>
      <c r="B990">
        <v>2017</v>
      </c>
      <c r="C990">
        <v>91</v>
      </c>
      <c r="D990" t="s">
        <v>428</v>
      </c>
      <c r="E990" t="s">
        <v>429</v>
      </c>
      <c r="F990" t="s">
        <v>433</v>
      </c>
      <c r="G990" t="s">
        <v>53</v>
      </c>
      <c r="H990" t="s">
        <v>53</v>
      </c>
      <c r="I990" s="5">
        <v>787104</v>
      </c>
      <c r="J990">
        <f>IFERROR(VLOOKUP(G990,'LEAID Match'!$A$2:$B$183,2,FALSE),"")</f>
        <v>1601710</v>
      </c>
      <c r="K990">
        <f t="shared" si="15"/>
        <v>9</v>
      </c>
    </row>
    <row r="991" spans="1:11" x14ac:dyDescent="0.2">
      <c r="A991">
        <v>1601710</v>
      </c>
      <c r="B991">
        <v>2018</v>
      </c>
      <c r="C991">
        <v>91</v>
      </c>
      <c r="D991" t="s">
        <v>428</v>
      </c>
      <c r="E991" t="s">
        <v>429</v>
      </c>
      <c r="F991" t="s">
        <v>433</v>
      </c>
      <c r="G991" t="s">
        <v>53</v>
      </c>
      <c r="H991" t="s">
        <v>53</v>
      </c>
      <c r="I991" s="5">
        <v>857131</v>
      </c>
      <c r="J991">
        <f>IFERROR(VLOOKUP(G991,'LEAID Match'!$A$2:$B$183,2,FALSE),"")</f>
        <v>1601710</v>
      </c>
      <c r="K991">
        <f t="shared" si="15"/>
        <v>9</v>
      </c>
    </row>
    <row r="992" spans="1:11" x14ac:dyDescent="0.2">
      <c r="A992">
        <v>1601710</v>
      </c>
      <c r="B992">
        <v>2019</v>
      </c>
      <c r="C992">
        <v>91</v>
      </c>
      <c r="D992" t="s">
        <v>428</v>
      </c>
      <c r="E992" t="s">
        <v>429</v>
      </c>
      <c r="F992" t="s">
        <v>433</v>
      </c>
      <c r="G992" t="s">
        <v>53</v>
      </c>
      <c r="H992" t="s">
        <v>262</v>
      </c>
      <c r="I992" s="5">
        <v>915899</v>
      </c>
      <c r="J992">
        <f>IFERROR(VLOOKUP(G992,'LEAID Match'!$A$2:$B$183,2,FALSE),"")</f>
        <v>1601710</v>
      </c>
      <c r="K992">
        <f t="shared" si="15"/>
        <v>9</v>
      </c>
    </row>
    <row r="993" spans="1:11" x14ac:dyDescent="0.2">
      <c r="A993">
        <v>1601710</v>
      </c>
      <c r="B993">
        <v>2020</v>
      </c>
      <c r="C993">
        <v>91</v>
      </c>
      <c r="D993" t="s">
        <v>428</v>
      </c>
      <c r="E993" t="s">
        <v>429</v>
      </c>
      <c r="F993" t="s">
        <v>433</v>
      </c>
      <c r="G993" t="s">
        <v>53</v>
      </c>
      <c r="H993" t="s">
        <v>262</v>
      </c>
      <c r="I993" s="5">
        <v>1034317</v>
      </c>
      <c r="J993">
        <f>IFERROR(VLOOKUP(G993,'LEAID Match'!$A$2:$B$183,2,FALSE),"")</f>
        <v>1601710</v>
      </c>
      <c r="K993">
        <f t="shared" si="15"/>
        <v>9</v>
      </c>
    </row>
    <row r="994" spans="1:11" x14ac:dyDescent="0.2">
      <c r="A994">
        <v>1601710</v>
      </c>
      <c r="B994">
        <v>2021</v>
      </c>
      <c r="C994">
        <v>91</v>
      </c>
      <c r="D994" t="s">
        <v>428</v>
      </c>
      <c r="E994" t="s">
        <v>429</v>
      </c>
      <c r="F994" t="s">
        <v>433</v>
      </c>
      <c r="G994" t="s">
        <v>53</v>
      </c>
      <c r="H994" t="s">
        <v>53</v>
      </c>
      <c r="I994" s="5">
        <v>1095999</v>
      </c>
      <c r="J994">
        <f>IFERROR(VLOOKUP(G994,'LEAID Match'!$A$2:$B$183,2,FALSE),"")</f>
        <v>1601710</v>
      </c>
      <c r="K994">
        <f t="shared" si="15"/>
        <v>9</v>
      </c>
    </row>
    <row r="995" spans="1:11" x14ac:dyDescent="0.2">
      <c r="A995">
        <v>1601710</v>
      </c>
      <c r="B995">
        <v>2022</v>
      </c>
      <c r="C995">
        <v>91</v>
      </c>
      <c r="D995" t="s">
        <v>428</v>
      </c>
      <c r="E995" t="s">
        <v>429</v>
      </c>
      <c r="F995" t="s">
        <v>433</v>
      </c>
      <c r="G995" t="s">
        <v>53</v>
      </c>
      <c r="H995" t="s">
        <v>262</v>
      </c>
      <c r="I995" s="5">
        <v>1135022</v>
      </c>
      <c r="J995">
        <f>IFERROR(VLOOKUP(G995,'LEAID Match'!$A$2:$B$183,2,FALSE),"")</f>
        <v>1601710</v>
      </c>
      <c r="K995">
        <f t="shared" si="15"/>
        <v>9</v>
      </c>
    </row>
    <row r="996" spans="1:11" x14ac:dyDescent="0.2">
      <c r="A996">
        <v>1601710</v>
      </c>
      <c r="B996">
        <v>2023</v>
      </c>
      <c r="C996">
        <v>91</v>
      </c>
      <c r="D996" t="s">
        <v>428</v>
      </c>
      <c r="E996" t="s">
        <v>429</v>
      </c>
      <c r="F996" t="s">
        <v>433</v>
      </c>
      <c r="G996" t="s">
        <v>53</v>
      </c>
      <c r="H996" t="s">
        <v>262</v>
      </c>
      <c r="I996" s="5">
        <v>1182504</v>
      </c>
      <c r="J996">
        <f>IFERROR(VLOOKUP(G996,'LEAID Match'!$A$2:$B$183,2,FALSE),"")</f>
        <v>1601710</v>
      </c>
      <c r="K996">
        <f t="shared" si="15"/>
        <v>9</v>
      </c>
    </row>
    <row r="997" spans="1:11" x14ac:dyDescent="0.2">
      <c r="A997">
        <v>1601740</v>
      </c>
      <c r="B997">
        <v>2015</v>
      </c>
      <c r="C997">
        <v>93</v>
      </c>
      <c r="D997" t="s">
        <v>428</v>
      </c>
      <c r="E997" t="s">
        <v>429</v>
      </c>
      <c r="F997" t="s">
        <v>433</v>
      </c>
      <c r="G997" t="s">
        <v>54</v>
      </c>
      <c r="H997" t="s">
        <v>54</v>
      </c>
      <c r="I997" s="5">
        <v>133916</v>
      </c>
      <c r="J997">
        <f>IFERROR(VLOOKUP(G997,'LEAID Match'!$A$2:$B$183,2,FALSE),"")</f>
        <v>1601740</v>
      </c>
      <c r="K997">
        <f t="shared" si="15"/>
        <v>9</v>
      </c>
    </row>
    <row r="998" spans="1:11" x14ac:dyDescent="0.2">
      <c r="A998">
        <v>1601740</v>
      </c>
      <c r="B998">
        <v>2016</v>
      </c>
      <c r="C998">
        <v>93</v>
      </c>
      <c r="D998" t="s">
        <v>428</v>
      </c>
      <c r="E998" t="s">
        <v>429</v>
      </c>
      <c r="F998" t="s">
        <v>433</v>
      </c>
      <c r="G998" t="s">
        <v>54</v>
      </c>
      <c r="H998" t="s">
        <v>54</v>
      </c>
      <c r="I998" s="5">
        <v>133809</v>
      </c>
      <c r="J998">
        <f>IFERROR(VLOOKUP(G998,'LEAID Match'!$A$2:$B$183,2,FALSE),"")</f>
        <v>1601740</v>
      </c>
      <c r="K998">
        <f t="shared" si="15"/>
        <v>9</v>
      </c>
    </row>
    <row r="999" spans="1:11" x14ac:dyDescent="0.2">
      <c r="A999">
        <v>1601740</v>
      </c>
      <c r="B999">
        <v>2017</v>
      </c>
      <c r="C999">
        <v>93</v>
      </c>
      <c r="D999" t="s">
        <v>428</v>
      </c>
      <c r="E999" t="s">
        <v>429</v>
      </c>
      <c r="F999" t="s">
        <v>433</v>
      </c>
      <c r="G999" t="s">
        <v>54</v>
      </c>
      <c r="H999" t="s">
        <v>54</v>
      </c>
      <c r="I999" s="5">
        <v>131666</v>
      </c>
      <c r="J999">
        <f>IFERROR(VLOOKUP(G999,'LEAID Match'!$A$2:$B$183,2,FALSE),"")</f>
        <v>1601740</v>
      </c>
      <c r="K999">
        <f t="shared" si="15"/>
        <v>9</v>
      </c>
    </row>
    <row r="1000" spans="1:11" x14ac:dyDescent="0.2">
      <c r="A1000">
        <v>1601740</v>
      </c>
      <c r="B1000">
        <v>2018</v>
      </c>
      <c r="C1000">
        <v>93</v>
      </c>
      <c r="D1000" t="s">
        <v>428</v>
      </c>
      <c r="E1000" t="s">
        <v>429</v>
      </c>
      <c r="F1000" t="s">
        <v>433</v>
      </c>
      <c r="G1000" t="s">
        <v>54</v>
      </c>
      <c r="H1000" t="s">
        <v>54</v>
      </c>
      <c r="I1000" s="5">
        <v>124314</v>
      </c>
      <c r="J1000">
        <f>IFERROR(VLOOKUP(G1000,'LEAID Match'!$A$2:$B$183,2,FALSE),"")</f>
        <v>1601740</v>
      </c>
      <c r="K1000">
        <f t="shared" si="15"/>
        <v>9</v>
      </c>
    </row>
    <row r="1001" spans="1:11" x14ac:dyDescent="0.2">
      <c r="A1001">
        <v>1601740</v>
      </c>
      <c r="B1001">
        <v>2019</v>
      </c>
      <c r="C1001">
        <v>93</v>
      </c>
      <c r="D1001" t="s">
        <v>428</v>
      </c>
      <c r="E1001" t="s">
        <v>429</v>
      </c>
      <c r="F1001" t="s">
        <v>433</v>
      </c>
      <c r="G1001" t="s">
        <v>54</v>
      </c>
      <c r="H1001" t="s">
        <v>54</v>
      </c>
      <c r="I1001" s="5">
        <v>148486</v>
      </c>
      <c r="J1001">
        <f>IFERROR(VLOOKUP(G1001,'LEAID Match'!$A$2:$B$183,2,FALSE),"")</f>
        <v>1601740</v>
      </c>
      <c r="K1001">
        <f t="shared" si="15"/>
        <v>9</v>
      </c>
    </row>
    <row r="1002" spans="1:11" x14ac:dyDescent="0.2">
      <c r="A1002">
        <v>1601740</v>
      </c>
      <c r="B1002">
        <v>2020</v>
      </c>
      <c r="C1002">
        <v>93</v>
      </c>
      <c r="D1002" t="s">
        <v>428</v>
      </c>
      <c r="E1002" t="s">
        <v>429</v>
      </c>
      <c r="F1002" t="s">
        <v>433</v>
      </c>
      <c r="G1002" t="s">
        <v>54</v>
      </c>
      <c r="H1002" t="s">
        <v>54</v>
      </c>
      <c r="I1002" s="5">
        <v>180676</v>
      </c>
      <c r="J1002">
        <f>IFERROR(VLOOKUP(G1002,'LEAID Match'!$A$2:$B$183,2,FALSE),"")</f>
        <v>1601740</v>
      </c>
      <c r="K1002">
        <f t="shared" si="15"/>
        <v>9</v>
      </c>
    </row>
    <row r="1003" spans="1:11" x14ac:dyDescent="0.2">
      <c r="A1003">
        <v>1601740</v>
      </c>
      <c r="B1003">
        <v>2021</v>
      </c>
      <c r="C1003">
        <v>93</v>
      </c>
      <c r="D1003" t="s">
        <v>428</v>
      </c>
      <c r="E1003" t="s">
        <v>429</v>
      </c>
      <c r="F1003" t="s">
        <v>433</v>
      </c>
      <c r="G1003" t="s">
        <v>54</v>
      </c>
      <c r="H1003" t="s">
        <v>54</v>
      </c>
      <c r="I1003" s="5">
        <v>192442</v>
      </c>
      <c r="J1003">
        <f>IFERROR(VLOOKUP(G1003,'LEAID Match'!$A$2:$B$183,2,FALSE),"")</f>
        <v>1601740</v>
      </c>
      <c r="K1003">
        <f t="shared" si="15"/>
        <v>9</v>
      </c>
    </row>
    <row r="1004" spans="1:11" x14ac:dyDescent="0.2">
      <c r="A1004">
        <v>1601740</v>
      </c>
      <c r="B1004">
        <v>2022</v>
      </c>
      <c r="C1004">
        <v>93</v>
      </c>
      <c r="D1004" t="s">
        <v>428</v>
      </c>
      <c r="E1004" t="s">
        <v>429</v>
      </c>
      <c r="F1004" t="s">
        <v>433</v>
      </c>
      <c r="G1004" t="s">
        <v>54</v>
      </c>
      <c r="H1004" t="s">
        <v>54</v>
      </c>
      <c r="I1004" s="5">
        <v>210605</v>
      </c>
      <c r="J1004">
        <f>IFERROR(VLOOKUP(G1004,'LEAID Match'!$A$2:$B$183,2,FALSE),"")</f>
        <v>1601740</v>
      </c>
      <c r="K1004">
        <f t="shared" si="15"/>
        <v>9</v>
      </c>
    </row>
    <row r="1005" spans="1:11" x14ac:dyDescent="0.2">
      <c r="A1005">
        <v>1601740</v>
      </c>
      <c r="B1005">
        <v>2023</v>
      </c>
      <c r="C1005">
        <v>93</v>
      </c>
      <c r="D1005" t="s">
        <v>428</v>
      </c>
      <c r="E1005" t="s">
        <v>429</v>
      </c>
      <c r="F1005" t="s">
        <v>433</v>
      </c>
      <c r="G1005" t="s">
        <v>54</v>
      </c>
      <c r="H1005" t="s">
        <v>54</v>
      </c>
      <c r="I1005" s="5">
        <v>213215</v>
      </c>
      <c r="J1005">
        <f>IFERROR(VLOOKUP(G1005,'LEAID Match'!$A$2:$B$183,2,FALSE),"")</f>
        <v>1601740</v>
      </c>
      <c r="K1005">
        <f t="shared" si="15"/>
        <v>9</v>
      </c>
    </row>
    <row r="1006" spans="1:11" x14ac:dyDescent="0.2">
      <c r="A1006">
        <v>1601770</v>
      </c>
      <c r="B1006">
        <v>2015</v>
      </c>
      <c r="C1006">
        <v>95</v>
      </c>
      <c r="D1006" t="s">
        <v>428</v>
      </c>
      <c r="E1006" t="s">
        <v>429</v>
      </c>
      <c r="F1006" t="s">
        <v>433</v>
      </c>
      <c r="G1006" t="s">
        <v>55</v>
      </c>
      <c r="H1006" t="s">
        <v>55</v>
      </c>
      <c r="I1006" s="5">
        <v>2125337</v>
      </c>
      <c r="J1006">
        <f>IFERROR(VLOOKUP(G1006,'LEAID Match'!$A$2:$B$183,2,FALSE),"")</f>
        <v>1601770</v>
      </c>
      <c r="K1006">
        <f t="shared" si="15"/>
        <v>9</v>
      </c>
    </row>
    <row r="1007" spans="1:11" x14ac:dyDescent="0.2">
      <c r="A1007">
        <v>1601770</v>
      </c>
      <c r="B1007">
        <v>2016</v>
      </c>
      <c r="C1007">
        <v>95</v>
      </c>
      <c r="D1007" t="s">
        <v>428</v>
      </c>
      <c r="E1007" t="s">
        <v>429</v>
      </c>
      <c r="F1007" t="s">
        <v>433</v>
      </c>
      <c r="G1007" t="s">
        <v>55</v>
      </c>
      <c r="H1007" t="s">
        <v>55</v>
      </c>
      <c r="I1007" s="5">
        <v>2249461</v>
      </c>
      <c r="J1007">
        <f>IFERROR(VLOOKUP(G1007,'LEAID Match'!$A$2:$B$183,2,FALSE),"")</f>
        <v>1601770</v>
      </c>
      <c r="K1007">
        <f t="shared" si="15"/>
        <v>9</v>
      </c>
    </row>
    <row r="1008" spans="1:11" x14ac:dyDescent="0.2">
      <c r="A1008">
        <v>1601770</v>
      </c>
      <c r="B1008">
        <v>2017</v>
      </c>
      <c r="C1008">
        <v>95</v>
      </c>
      <c r="D1008" t="s">
        <v>428</v>
      </c>
      <c r="E1008" t="s">
        <v>429</v>
      </c>
      <c r="F1008" t="s">
        <v>433</v>
      </c>
      <c r="G1008" t="s">
        <v>55</v>
      </c>
      <c r="H1008" t="s">
        <v>55</v>
      </c>
      <c r="I1008" s="5">
        <v>2334089</v>
      </c>
      <c r="J1008">
        <f>IFERROR(VLOOKUP(G1008,'LEAID Match'!$A$2:$B$183,2,FALSE),"")</f>
        <v>1601770</v>
      </c>
      <c r="K1008">
        <f t="shared" si="15"/>
        <v>9</v>
      </c>
    </row>
    <row r="1009" spans="1:11" x14ac:dyDescent="0.2">
      <c r="A1009">
        <v>1601770</v>
      </c>
      <c r="B1009">
        <v>2018</v>
      </c>
      <c r="C1009">
        <v>95</v>
      </c>
      <c r="D1009" t="s">
        <v>428</v>
      </c>
      <c r="E1009" t="s">
        <v>429</v>
      </c>
      <c r="F1009" t="s">
        <v>433</v>
      </c>
      <c r="G1009" t="s">
        <v>55</v>
      </c>
      <c r="H1009" t="s">
        <v>55</v>
      </c>
      <c r="I1009" s="5">
        <v>2453061</v>
      </c>
      <c r="J1009">
        <f>IFERROR(VLOOKUP(G1009,'LEAID Match'!$A$2:$B$183,2,FALSE),"")</f>
        <v>1601770</v>
      </c>
      <c r="K1009">
        <f t="shared" si="15"/>
        <v>9</v>
      </c>
    </row>
    <row r="1010" spans="1:11" x14ac:dyDescent="0.2">
      <c r="A1010">
        <v>1601770</v>
      </c>
      <c r="B1010">
        <v>2019</v>
      </c>
      <c r="C1010">
        <v>95</v>
      </c>
      <c r="D1010" t="s">
        <v>428</v>
      </c>
      <c r="E1010" t="s">
        <v>429</v>
      </c>
      <c r="F1010" t="s">
        <v>433</v>
      </c>
      <c r="G1010" t="s">
        <v>55</v>
      </c>
      <c r="H1010" t="s">
        <v>263</v>
      </c>
      <c r="I1010" s="5">
        <v>2549672</v>
      </c>
      <c r="J1010">
        <f>IFERROR(VLOOKUP(G1010,'LEAID Match'!$A$2:$B$183,2,FALSE),"")</f>
        <v>1601770</v>
      </c>
      <c r="K1010">
        <f t="shared" si="15"/>
        <v>9</v>
      </c>
    </row>
    <row r="1011" spans="1:11" x14ac:dyDescent="0.2">
      <c r="A1011">
        <v>1601770</v>
      </c>
      <c r="B1011">
        <v>2020</v>
      </c>
      <c r="C1011">
        <v>95</v>
      </c>
      <c r="D1011" t="s">
        <v>428</v>
      </c>
      <c r="E1011" t="s">
        <v>429</v>
      </c>
      <c r="F1011" t="s">
        <v>433</v>
      </c>
      <c r="G1011" t="s">
        <v>55</v>
      </c>
      <c r="H1011" t="s">
        <v>353</v>
      </c>
      <c r="I1011" s="5">
        <v>2962260</v>
      </c>
      <c r="J1011">
        <f>IFERROR(VLOOKUP(G1011,'LEAID Match'!$A$2:$B$183,2,FALSE),"")</f>
        <v>1601770</v>
      </c>
      <c r="K1011">
        <f t="shared" si="15"/>
        <v>9</v>
      </c>
    </row>
    <row r="1012" spans="1:11" x14ac:dyDescent="0.2">
      <c r="A1012">
        <v>1601770</v>
      </c>
      <c r="B1012">
        <v>2021</v>
      </c>
      <c r="C1012">
        <v>95</v>
      </c>
      <c r="D1012" t="s">
        <v>428</v>
      </c>
      <c r="E1012" t="s">
        <v>429</v>
      </c>
      <c r="F1012" t="s">
        <v>433</v>
      </c>
      <c r="G1012" t="s">
        <v>55</v>
      </c>
      <c r="H1012" t="s">
        <v>263</v>
      </c>
      <c r="I1012" s="5">
        <v>2996948</v>
      </c>
      <c r="J1012">
        <f>IFERROR(VLOOKUP(G1012,'LEAID Match'!$A$2:$B$183,2,FALSE),"")</f>
        <v>1601770</v>
      </c>
      <c r="K1012">
        <f t="shared" si="15"/>
        <v>9</v>
      </c>
    </row>
    <row r="1013" spans="1:11" x14ac:dyDescent="0.2">
      <c r="A1013">
        <v>1601770</v>
      </c>
      <c r="B1013">
        <v>2022</v>
      </c>
      <c r="C1013">
        <v>95</v>
      </c>
      <c r="D1013" t="s">
        <v>428</v>
      </c>
      <c r="E1013" t="s">
        <v>429</v>
      </c>
      <c r="F1013" t="s">
        <v>433</v>
      </c>
      <c r="G1013" t="s">
        <v>55</v>
      </c>
      <c r="H1013" t="s">
        <v>263</v>
      </c>
      <c r="I1013" s="5">
        <v>3387692</v>
      </c>
      <c r="J1013">
        <f>IFERROR(VLOOKUP(G1013,'LEAID Match'!$A$2:$B$183,2,FALSE),"")</f>
        <v>1601770</v>
      </c>
      <c r="K1013">
        <f t="shared" si="15"/>
        <v>9</v>
      </c>
    </row>
    <row r="1014" spans="1:11" x14ac:dyDescent="0.2">
      <c r="A1014">
        <v>1601770</v>
      </c>
      <c r="B1014">
        <v>2023</v>
      </c>
      <c r="C1014">
        <v>95</v>
      </c>
      <c r="D1014" t="s">
        <v>428</v>
      </c>
      <c r="E1014" t="s">
        <v>429</v>
      </c>
      <c r="F1014" t="s">
        <v>433</v>
      </c>
      <c r="G1014" t="s">
        <v>55</v>
      </c>
      <c r="H1014" t="s">
        <v>263</v>
      </c>
      <c r="I1014" s="5">
        <v>3577268</v>
      </c>
      <c r="J1014">
        <f>IFERROR(VLOOKUP(G1014,'LEAID Match'!$A$2:$B$183,2,FALSE),"")</f>
        <v>1601770</v>
      </c>
      <c r="K1014">
        <f t="shared" si="15"/>
        <v>9</v>
      </c>
    </row>
    <row r="1015" spans="1:11" x14ac:dyDescent="0.2">
      <c r="A1015">
        <v>1601800</v>
      </c>
      <c r="B1015">
        <v>2015</v>
      </c>
      <c r="C1015">
        <v>97</v>
      </c>
      <c r="D1015" t="s">
        <v>428</v>
      </c>
      <c r="E1015" t="s">
        <v>429</v>
      </c>
      <c r="F1015" t="s">
        <v>433</v>
      </c>
      <c r="G1015" t="s">
        <v>57</v>
      </c>
      <c r="H1015" t="s">
        <v>57</v>
      </c>
      <c r="I1015" s="5">
        <v>2073479</v>
      </c>
      <c r="J1015">
        <f>IFERROR(VLOOKUP(G1015,'LEAID Match'!$A$2:$B$183,2,FALSE),"")</f>
        <v>1601800</v>
      </c>
      <c r="K1015">
        <f t="shared" si="15"/>
        <v>9</v>
      </c>
    </row>
    <row r="1016" spans="1:11" x14ac:dyDescent="0.2">
      <c r="A1016">
        <v>1601800</v>
      </c>
      <c r="B1016">
        <v>2016</v>
      </c>
      <c r="C1016">
        <v>97</v>
      </c>
      <c r="D1016" t="s">
        <v>428</v>
      </c>
      <c r="E1016" t="s">
        <v>429</v>
      </c>
      <c r="F1016" t="s">
        <v>433</v>
      </c>
      <c r="G1016" t="s">
        <v>57</v>
      </c>
      <c r="H1016" t="s">
        <v>57</v>
      </c>
      <c r="I1016" s="5">
        <v>2091857</v>
      </c>
      <c r="J1016">
        <f>IFERROR(VLOOKUP(G1016,'LEAID Match'!$A$2:$B$183,2,FALSE),"")</f>
        <v>1601800</v>
      </c>
      <c r="K1016">
        <f t="shared" si="15"/>
        <v>9</v>
      </c>
    </row>
    <row r="1017" spans="1:11" x14ac:dyDescent="0.2">
      <c r="A1017">
        <v>1601800</v>
      </c>
      <c r="B1017">
        <v>2017</v>
      </c>
      <c r="C1017">
        <v>97</v>
      </c>
      <c r="D1017" t="s">
        <v>428</v>
      </c>
      <c r="E1017" t="s">
        <v>429</v>
      </c>
      <c r="F1017" t="s">
        <v>433</v>
      </c>
      <c r="G1017" t="s">
        <v>57</v>
      </c>
      <c r="H1017" t="s">
        <v>57</v>
      </c>
      <c r="I1017" s="5">
        <v>2205750</v>
      </c>
      <c r="J1017">
        <f>IFERROR(VLOOKUP(G1017,'LEAID Match'!$A$2:$B$183,2,FALSE),"")</f>
        <v>1601800</v>
      </c>
      <c r="K1017">
        <f t="shared" si="15"/>
        <v>9</v>
      </c>
    </row>
    <row r="1018" spans="1:11" x14ac:dyDescent="0.2">
      <c r="A1018">
        <v>1601800</v>
      </c>
      <c r="B1018">
        <v>2018</v>
      </c>
      <c r="C1018">
        <v>97</v>
      </c>
      <c r="D1018" t="s">
        <v>428</v>
      </c>
      <c r="E1018" t="s">
        <v>429</v>
      </c>
      <c r="F1018" t="s">
        <v>433</v>
      </c>
      <c r="G1018" t="s">
        <v>57</v>
      </c>
      <c r="H1018" t="s">
        <v>57</v>
      </c>
      <c r="I1018" s="5">
        <v>2380913</v>
      </c>
      <c r="J1018">
        <f>IFERROR(VLOOKUP(G1018,'LEAID Match'!$A$2:$B$183,2,FALSE),"")</f>
        <v>1601800</v>
      </c>
      <c r="K1018">
        <f t="shared" si="15"/>
        <v>9</v>
      </c>
    </row>
    <row r="1019" spans="1:11" x14ac:dyDescent="0.2">
      <c r="A1019">
        <v>1601800</v>
      </c>
      <c r="B1019">
        <v>2019</v>
      </c>
      <c r="C1019">
        <v>97</v>
      </c>
      <c r="D1019" t="s">
        <v>428</v>
      </c>
      <c r="E1019" t="s">
        <v>429</v>
      </c>
      <c r="F1019" t="s">
        <v>433</v>
      </c>
      <c r="G1019" t="s">
        <v>57</v>
      </c>
      <c r="H1019" t="s">
        <v>265</v>
      </c>
      <c r="I1019" s="5">
        <v>2610047</v>
      </c>
      <c r="J1019">
        <f>IFERROR(VLOOKUP(G1019,'LEAID Match'!$A$2:$B$183,2,FALSE),"")</f>
        <v>1601800</v>
      </c>
      <c r="K1019">
        <f t="shared" si="15"/>
        <v>9</v>
      </c>
    </row>
    <row r="1020" spans="1:11" x14ac:dyDescent="0.2">
      <c r="A1020">
        <v>1601800</v>
      </c>
      <c r="B1020">
        <v>2020</v>
      </c>
      <c r="C1020">
        <v>97</v>
      </c>
      <c r="D1020" t="s">
        <v>428</v>
      </c>
      <c r="E1020" t="s">
        <v>429</v>
      </c>
      <c r="F1020" t="s">
        <v>433</v>
      </c>
      <c r="G1020" t="s">
        <v>57</v>
      </c>
      <c r="H1020" t="s">
        <v>265</v>
      </c>
      <c r="I1020" s="5">
        <v>2941902</v>
      </c>
      <c r="J1020">
        <f>IFERROR(VLOOKUP(G1020,'LEAID Match'!$A$2:$B$183,2,FALSE),"")</f>
        <v>1601800</v>
      </c>
      <c r="K1020">
        <f t="shared" si="15"/>
        <v>9</v>
      </c>
    </row>
    <row r="1021" spans="1:11" x14ac:dyDescent="0.2">
      <c r="A1021">
        <v>1601800</v>
      </c>
      <c r="B1021">
        <v>2021</v>
      </c>
      <c r="C1021">
        <v>97</v>
      </c>
      <c r="D1021" t="s">
        <v>428</v>
      </c>
      <c r="E1021" t="s">
        <v>429</v>
      </c>
      <c r="F1021" t="s">
        <v>433</v>
      </c>
      <c r="G1021" t="s">
        <v>57</v>
      </c>
      <c r="H1021" t="s">
        <v>57</v>
      </c>
      <c r="I1021" s="5">
        <v>2969846</v>
      </c>
      <c r="J1021">
        <f>IFERROR(VLOOKUP(G1021,'LEAID Match'!$A$2:$B$183,2,FALSE),"")</f>
        <v>1601800</v>
      </c>
      <c r="K1021">
        <f t="shared" si="15"/>
        <v>9</v>
      </c>
    </row>
    <row r="1022" spans="1:11" x14ac:dyDescent="0.2">
      <c r="A1022">
        <v>1601800</v>
      </c>
      <c r="B1022">
        <v>2022</v>
      </c>
      <c r="C1022">
        <v>97</v>
      </c>
      <c r="D1022" t="s">
        <v>428</v>
      </c>
      <c r="E1022" t="s">
        <v>429</v>
      </c>
      <c r="F1022" t="s">
        <v>433</v>
      </c>
      <c r="G1022" t="s">
        <v>57</v>
      </c>
      <c r="H1022" t="s">
        <v>265</v>
      </c>
      <c r="I1022" s="5">
        <v>3337342</v>
      </c>
      <c r="J1022">
        <f>IFERROR(VLOOKUP(G1022,'LEAID Match'!$A$2:$B$183,2,FALSE),"")</f>
        <v>1601800</v>
      </c>
      <c r="K1022">
        <f t="shared" si="15"/>
        <v>9</v>
      </c>
    </row>
    <row r="1023" spans="1:11" x14ac:dyDescent="0.2">
      <c r="A1023">
        <v>1601800</v>
      </c>
      <c r="B1023">
        <v>2023</v>
      </c>
      <c r="C1023">
        <v>97</v>
      </c>
      <c r="D1023" t="s">
        <v>428</v>
      </c>
      <c r="E1023" t="s">
        <v>429</v>
      </c>
      <c r="F1023" t="s">
        <v>433</v>
      </c>
      <c r="G1023" t="s">
        <v>57</v>
      </c>
      <c r="H1023" t="s">
        <v>265</v>
      </c>
      <c r="I1023" s="5">
        <v>3654027</v>
      </c>
      <c r="J1023">
        <f>IFERROR(VLOOKUP(G1023,'LEAID Match'!$A$2:$B$183,2,FALSE),"")</f>
        <v>1601800</v>
      </c>
      <c r="K1023">
        <f t="shared" si="15"/>
        <v>9</v>
      </c>
    </row>
    <row r="1024" spans="1:11" x14ac:dyDescent="0.2">
      <c r="A1024">
        <v>1601830</v>
      </c>
      <c r="B1024">
        <v>2015</v>
      </c>
      <c r="C1024">
        <v>98</v>
      </c>
      <c r="D1024" t="s">
        <v>428</v>
      </c>
      <c r="E1024" t="s">
        <v>429</v>
      </c>
      <c r="F1024" t="s">
        <v>433</v>
      </c>
      <c r="G1024" t="s">
        <v>58</v>
      </c>
      <c r="H1024" t="s">
        <v>58</v>
      </c>
      <c r="I1024" s="5">
        <v>440307</v>
      </c>
      <c r="J1024">
        <f>IFERROR(VLOOKUP(G1024,'LEAID Match'!$A$2:$B$183,2,FALSE),"")</f>
        <v>1601830</v>
      </c>
      <c r="K1024">
        <f t="shared" si="15"/>
        <v>9</v>
      </c>
    </row>
    <row r="1025" spans="1:11" x14ac:dyDescent="0.2">
      <c r="A1025">
        <v>1601830</v>
      </c>
      <c r="B1025">
        <v>2016</v>
      </c>
      <c r="C1025">
        <v>98</v>
      </c>
      <c r="D1025" t="s">
        <v>428</v>
      </c>
      <c r="E1025" t="s">
        <v>429</v>
      </c>
      <c r="F1025" t="s">
        <v>433</v>
      </c>
      <c r="G1025" t="s">
        <v>58</v>
      </c>
      <c r="H1025" t="s">
        <v>58</v>
      </c>
      <c r="I1025" s="5">
        <v>481588</v>
      </c>
      <c r="J1025">
        <f>IFERROR(VLOOKUP(G1025,'LEAID Match'!$A$2:$B$183,2,FALSE),"")</f>
        <v>1601830</v>
      </c>
      <c r="K1025">
        <f t="shared" si="15"/>
        <v>9</v>
      </c>
    </row>
    <row r="1026" spans="1:11" x14ac:dyDescent="0.2">
      <c r="A1026">
        <v>1601830</v>
      </c>
      <c r="B1026">
        <v>2017</v>
      </c>
      <c r="C1026">
        <v>98</v>
      </c>
      <c r="D1026" t="s">
        <v>428</v>
      </c>
      <c r="E1026" t="s">
        <v>429</v>
      </c>
      <c r="F1026" t="s">
        <v>433</v>
      </c>
      <c r="G1026" t="s">
        <v>58</v>
      </c>
      <c r="H1026" t="s">
        <v>58</v>
      </c>
      <c r="I1026" s="5">
        <v>467637</v>
      </c>
      <c r="J1026">
        <f>IFERROR(VLOOKUP(G1026,'LEAID Match'!$A$2:$B$183,2,FALSE),"")</f>
        <v>1601830</v>
      </c>
      <c r="K1026">
        <f t="shared" si="15"/>
        <v>9</v>
      </c>
    </row>
    <row r="1027" spans="1:11" x14ac:dyDescent="0.2">
      <c r="A1027">
        <v>1601830</v>
      </c>
      <c r="B1027">
        <v>2018</v>
      </c>
      <c r="C1027">
        <v>98</v>
      </c>
      <c r="D1027" t="s">
        <v>428</v>
      </c>
      <c r="E1027" t="s">
        <v>429</v>
      </c>
      <c r="F1027" t="s">
        <v>433</v>
      </c>
      <c r="G1027" t="s">
        <v>58</v>
      </c>
      <c r="H1027" t="s">
        <v>58</v>
      </c>
      <c r="I1027" s="5">
        <v>458634</v>
      </c>
      <c r="J1027">
        <f>IFERROR(VLOOKUP(G1027,'LEAID Match'!$A$2:$B$183,2,FALSE),"")</f>
        <v>1601830</v>
      </c>
      <c r="K1027">
        <f t="shared" ref="K1027:K1090" si="16">COUNTIF($A$2:$A$1651,A1027)</f>
        <v>9</v>
      </c>
    </row>
    <row r="1028" spans="1:11" x14ac:dyDescent="0.2">
      <c r="A1028">
        <v>1601830</v>
      </c>
      <c r="B1028">
        <v>2019</v>
      </c>
      <c r="C1028">
        <v>98</v>
      </c>
      <c r="D1028" t="s">
        <v>428</v>
      </c>
      <c r="E1028" t="s">
        <v>429</v>
      </c>
      <c r="F1028" t="s">
        <v>433</v>
      </c>
      <c r="G1028" t="s">
        <v>58</v>
      </c>
      <c r="H1028" t="s">
        <v>266</v>
      </c>
      <c r="I1028" s="5">
        <v>511076</v>
      </c>
      <c r="J1028">
        <f>IFERROR(VLOOKUP(G1028,'LEAID Match'!$A$2:$B$183,2,FALSE),"")</f>
        <v>1601830</v>
      </c>
      <c r="K1028">
        <f t="shared" si="16"/>
        <v>9</v>
      </c>
    </row>
    <row r="1029" spans="1:11" x14ac:dyDescent="0.2">
      <c r="A1029">
        <v>1601830</v>
      </c>
      <c r="B1029">
        <v>2020</v>
      </c>
      <c r="C1029">
        <v>98</v>
      </c>
      <c r="D1029" t="s">
        <v>428</v>
      </c>
      <c r="E1029" t="s">
        <v>429</v>
      </c>
      <c r="F1029" t="s">
        <v>433</v>
      </c>
      <c r="G1029" t="s">
        <v>58</v>
      </c>
      <c r="H1029" t="s">
        <v>266</v>
      </c>
      <c r="I1029" s="5">
        <v>588936</v>
      </c>
      <c r="J1029">
        <f>IFERROR(VLOOKUP(G1029,'LEAID Match'!$A$2:$B$183,2,FALSE),"")</f>
        <v>1601830</v>
      </c>
      <c r="K1029">
        <f t="shared" si="16"/>
        <v>9</v>
      </c>
    </row>
    <row r="1030" spans="1:11" x14ac:dyDescent="0.2">
      <c r="A1030">
        <v>1601830</v>
      </c>
      <c r="B1030">
        <v>2021</v>
      </c>
      <c r="C1030">
        <v>98</v>
      </c>
      <c r="D1030" t="s">
        <v>428</v>
      </c>
      <c r="E1030" t="s">
        <v>429</v>
      </c>
      <c r="F1030" t="s">
        <v>433</v>
      </c>
      <c r="G1030" t="s">
        <v>58</v>
      </c>
      <c r="H1030" t="s">
        <v>58</v>
      </c>
      <c r="I1030" s="5">
        <v>614999</v>
      </c>
      <c r="J1030">
        <f>IFERROR(VLOOKUP(G1030,'LEAID Match'!$A$2:$B$183,2,FALSE),"")</f>
        <v>1601830</v>
      </c>
      <c r="K1030">
        <f t="shared" si="16"/>
        <v>9</v>
      </c>
    </row>
    <row r="1031" spans="1:11" x14ac:dyDescent="0.2">
      <c r="A1031">
        <v>1601830</v>
      </c>
      <c r="B1031">
        <v>2022</v>
      </c>
      <c r="C1031">
        <v>98</v>
      </c>
      <c r="D1031" t="s">
        <v>428</v>
      </c>
      <c r="E1031" t="s">
        <v>429</v>
      </c>
      <c r="F1031" t="s">
        <v>433</v>
      </c>
      <c r="G1031" t="s">
        <v>58</v>
      </c>
      <c r="H1031" t="s">
        <v>266</v>
      </c>
      <c r="I1031" s="5">
        <v>627852</v>
      </c>
      <c r="J1031">
        <f>IFERROR(VLOOKUP(G1031,'LEAID Match'!$A$2:$B$183,2,FALSE),"")</f>
        <v>1601830</v>
      </c>
      <c r="K1031">
        <f t="shared" si="16"/>
        <v>9</v>
      </c>
    </row>
    <row r="1032" spans="1:11" x14ac:dyDescent="0.2">
      <c r="A1032">
        <v>1601830</v>
      </c>
      <c r="B1032">
        <v>2023</v>
      </c>
      <c r="C1032">
        <v>98</v>
      </c>
      <c r="D1032" t="s">
        <v>428</v>
      </c>
      <c r="E1032" t="s">
        <v>429</v>
      </c>
      <c r="F1032" t="s">
        <v>433</v>
      </c>
      <c r="G1032" t="s">
        <v>58</v>
      </c>
      <c r="H1032" t="s">
        <v>266</v>
      </c>
      <c r="I1032" s="5">
        <v>657212</v>
      </c>
      <c r="J1032">
        <f>IFERROR(VLOOKUP(G1032,'LEAID Match'!$A$2:$B$183,2,FALSE),"")</f>
        <v>1601830</v>
      </c>
      <c r="K1032">
        <f t="shared" si="16"/>
        <v>9</v>
      </c>
    </row>
    <row r="1033" spans="1:11" x14ac:dyDescent="0.2">
      <c r="A1033">
        <v>1601860</v>
      </c>
      <c r="B1033">
        <v>2015</v>
      </c>
      <c r="C1033">
        <v>100</v>
      </c>
      <c r="D1033" t="s">
        <v>428</v>
      </c>
      <c r="E1033" t="s">
        <v>429</v>
      </c>
      <c r="F1033" t="s">
        <v>433</v>
      </c>
      <c r="G1033" t="s">
        <v>59</v>
      </c>
      <c r="H1033" t="s">
        <v>59</v>
      </c>
      <c r="I1033" s="5">
        <v>2684833</v>
      </c>
      <c r="J1033">
        <f>IFERROR(VLOOKUP(G1033,'LEAID Match'!$A$2:$B$183,2,FALSE),"")</f>
        <v>1601860</v>
      </c>
      <c r="K1033">
        <f t="shared" si="16"/>
        <v>9</v>
      </c>
    </row>
    <row r="1034" spans="1:11" x14ac:dyDescent="0.2">
      <c r="A1034">
        <v>1601860</v>
      </c>
      <c r="B1034">
        <v>2016</v>
      </c>
      <c r="C1034">
        <v>100</v>
      </c>
      <c r="D1034" t="s">
        <v>428</v>
      </c>
      <c r="E1034" t="s">
        <v>429</v>
      </c>
      <c r="F1034" t="s">
        <v>433</v>
      </c>
      <c r="G1034" t="s">
        <v>59</v>
      </c>
      <c r="H1034" t="s">
        <v>59</v>
      </c>
      <c r="I1034" s="5">
        <v>2722505</v>
      </c>
      <c r="J1034">
        <f>IFERROR(VLOOKUP(G1034,'LEAID Match'!$A$2:$B$183,2,FALSE),"")</f>
        <v>1601860</v>
      </c>
      <c r="K1034">
        <f t="shared" si="16"/>
        <v>9</v>
      </c>
    </row>
    <row r="1035" spans="1:11" x14ac:dyDescent="0.2">
      <c r="A1035">
        <v>1601860</v>
      </c>
      <c r="B1035">
        <v>2017</v>
      </c>
      <c r="C1035">
        <v>100</v>
      </c>
      <c r="D1035" t="s">
        <v>428</v>
      </c>
      <c r="E1035" t="s">
        <v>429</v>
      </c>
      <c r="F1035" t="s">
        <v>433</v>
      </c>
      <c r="G1035" t="s">
        <v>59</v>
      </c>
      <c r="H1035" t="s">
        <v>59</v>
      </c>
      <c r="I1035" s="5">
        <v>2855274</v>
      </c>
      <c r="J1035">
        <f>IFERROR(VLOOKUP(G1035,'LEAID Match'!$A$2:$B$183,2,FALSE),"")</f>
        <v>1601860</v>
      </c>
      <c r="K1035">
        <f t="shared" si="16"/>
        <v>9</v>
      </c>
    </row>
    <row r="1036" spans="1:11" x14ac:dyDescent="0.2">
      <c r="A1036">
        <v>1601860</v>
      </c>
      <c r="B1036">
        <v>2018</v>
      </c>
      <c r="C1036">
        <v>100</v>
      </c>
      <c r="D1036" t="s">
        <v>428</v>
      </c>
      <c r="E1036" t="s">
        <v>429</v>
      </c>
      <c r="F1036" t="s">
        <v>433</v>
      </c>
      <c r="G1036" t="s">
        <v>59</v>
      </c>
      <c r="H1036" t="s">
        <v>59</v>
      </c>
      <c r="I1036" s="5">
        <v>3007933</v>
      </c>
      <c r="J1036">
        <f>IFERROR(VLOOKUP(G1036,'LEAID Match'!$A$2:$B$183,2,FALSE),"")</f>
        <v>1601860</v>
      </c>
      <c r="K1036">
        <f t="shared" si="16"/>
        <v>9</v>
      </c>
    </row>
    <row r="1037" spans="1:11" x14ac:dyDescent="0.2">
      <c r="A1037">
        <v>1601860</v>
      </c>
      <c r="B1037">
        <v>2019</v>
      </c>
      <c r="C1037">
        <v>100</v>
      </c>
      <c r="D1037" t="s">
        <v>428</v>
      </c>
      <c r="E1037" t="s">
        <v>429</v>
      </c>
      <c r="F1037" t="s">
        <v>433</v>
      </c>
      <c r="G1037" t="s">
        <v>59</v>
      </c>
      <c r="H1037" t="s">
        <v>267</v>
      </c>
      <c r="I1037" s="5">
        <v>3159993</v>
      </c>
      <c r="J1037">
        <f>IFERROR(VLOOKUP(G1037,'LEAID Match'!$A$2:$B$183,2,FALSE),"")</f>
        <v>1601860</v>
      </c>
      <c r="K1037">
        <f t="shared" si="16"/>
        <v>9</v>
      </c>
    </row>
    <row r="1038" spans="1:11" x14ac:dyDescent="0.2">
      <c r="A1038">
        <v>1601860</v>
      </c>
      <c r="B1038">
        <v>2020</v>
      </c>
      <c r="C1038">
        <v>100</v>
      </c>
      <c r="D1038" t="s">
        <v>428</v>
      </c>
      <c r="E1038" t="s">
        <v>429</v>
      </c>
      <c r="F1038" t="s">
        <v>433</v>
      </c>
      <c r="G1038" t="s">
        <v>59</v>
      </c>
      <c r="H1038" t="s">
        <v>354</v>
      </c>
      <c r="I1038" s="5">
        <v>3448293</v>
      </c>
      <c r="J1038">
        <f>IFERROR(VLOOKUP(G1038,'LEAID Match'!$A$2:$B$183,2,FALSE),"")</f>
        <v>1601860</v>
      </c>
      <c r="K1038">
        <f t="shared" si="16"/>
        <v>9</v>
      </c>
    </row>
    <row r="1039" spans="1:11" x14ac:dyDescent="0.2">
      <c r="A1039">
        <v>1601860</v>
      </c>
      <c r="B1039">
        <v>2021</v>
      </c>
      <c r="C1039">
        <v>100</v>
      </c>
      <c r="D1039" t="s">
        <v>428</v>
      </c>
      <c r="E1039" t="s">
        <v>429</v>
      </c>
      <c r="F1039" t="s">
        <v>433</v>
      </c>
      <c r="G1039" t="s">
        <v>59</v>
      </c>
      <c r="H1039" t="s">
        <v>267</v>
      </c>
      <c r="I1039" s="5">
        <v>3542042</v>
      </c>
      <c r="J1039">
        <f>IFERROR(VLOOKUP(G1039,'LEAID Match'!$A$2:$B$183,2,FALSE),"")</f>
        <v>1601860</v>
      </c>
      <c r="K1039">
        <f t="shared" si="16"/>
        <v>9</v>
      </c>
    </row>
    <row r="1040" spans="1:11" x14ac:dyDescent="0.2">
      <c r="A1040">
        <v>1601860</v>
      </c>
      <c r="B1040">
        <v>2022</v>
      </c>
      <c r="C1040">
        <v>100</v>
      </c>
      <c r="D1040" t="s">
        <v>428</v>
      </c>
      <c r="E1040" t="s">
        <v>429</v>
      </c>
      <c r="F1040" t="s">
        <v>433</v>
      </c>
      <c r="G1040" t="s">
        <v>59</v>
      </c>
      <c r="H1040" t="s">
        <v>267</v>
      </c>
      <c r="I1040" s="5">
        <v>3829507</v>
      </c>
      <c r="J1040">
        <f>IFERROR(VLOOKUP(G1040,'LEAID Match'!$A$2:$B$183,2,FALSE),"")</f>
        <v>1601860</v>
      </c>
      <c r="K1040">
        <f t="shared" si="16"/>
        <v>9</v>
      </c>
    </row>
    <row r="1041" spans="1:11" x14ac:dyDescent="0.2">
      <c r="A1041">
        <v>1601860</v>
      </c>
      <c r="B1041">
        <v>2023</v>
      </c>
      <c r="C1041">
        <v>100</v>
      </c>
      <c r="D1041" t="s">
        <v>428</v>
      </c>
      <c r="E1041" t="s">
        <v>429</v>
      </c>
      <c r="F1041" t="s">
        <v>433</v>
      </c>
      <c r="G1041" t="s">
        <v>59</v>
      </c>
      <c r="H1041" t="s">
        <v>267</v>
      </c>
      <c r="I1041" s="5">
        <v>3997362</v>
      </c>
      <c r="J1041">
        <f>IFERROR(VLOOKUP(G1041,'LEAID Match'!$A$2:$B$183,2,FALSE),"")</f>
        <v>1601860</v>
      </c>
      <c r="K1041">
        <f t="shared" si="16"/>
        <v>9</v>
      </c>
    </row>
    <row r="1042" spans="1:11" x14ac:dyDescent="0.2">
      <c r="A1042">
        <v>1601900</v>
      </c>
      <c r="B1042">
        <v>2015</v>
      </c>
      <c r="C1042">
        <v>102</v>
      </c>
      <c r="D1042" t="s">
        <v>428</v>
      </c>
      <c r="E1042" t="s">
        <v>429</v>
      </c>
      <c r="F1042" t="s">
        <v>433</v>
      </c>
      <c r="G1042" t="s">
        <v>60</v>
      </c>
      <c r="H1042" t="s">
        <v>60</v>
      </c>
      <c r="I1042" s="5">
        <v>112279</v>
      </c>
      <c r="J1042">
        <f>IFERROR(VLOOKUP(G1042,'LEAID Match'!$A$2:$B$183,2,FALSE),"")</f>
        <v>1601900</v>
      </c>
      <c r="K1042">
        <f t="shared" si="16"/>
        <v>9</v>
      </c>
    </row>
    <row r="1043" spans="1:11" x14ac:dyDescent="0.2">
      <c r="A1043">
        <v>1601900</v>
      </c>
      <c r="B1043">
        <v>2016</v>
      </c>
      <c r="C1043">
        <v>102</v>
      </c>
      <c r="D1043" t="s">
        <v>428</v>
      </c>
      <c r="E1043" t="s">
        <v>429</v>
      </c>
      <c r="F1043" t="s">
        <v>433</v>
      </c>
      <c r="G1043" t="s">
        <v>60</v>
      </c>
      <c r="H1043" t="s">
        <v>60</v>
      </c>
      <c r="I1043" s="5">
        <v>114607</v>
      </c>
      <c r="J1043">
        <f>IFERROR(VLOOKUP(G1043,'LEAID Match'!$A$2:$B$183,2,FALSE),"")</f>
        <v>1601900</v>
      </c>
      <c r="K1043">
        <f t="shared" si="16"/>
        <v>9</v>
      </c>
    </row>
    <row r="1044" spans="1:11" x14ac:dyDescent="0.2">
      <c r="A1044">
        <v>1601900</v>
      </c>
      <c r="B1044">
        <v>2017</v>
      </c>
      <c r="C1044">
        <v>102</v>
      </c>
      <c r="D1044" t="s">
        <v>428</v>
      </c>
      <c r="E1044" t="s">
        <v>429</v>
      </c>
      <c r="F1044" t="s">
        <v>433</v>
      </c>
      <c r="G1044" t="s">
        <v>60</v>
      </c>
      <c r="H1044" t="s">
        <v>60</v>
      </c>
      <c r="I1044" s="5">
        <v>123686</v>
      </c>
      <c r="J1044">
        <f>IFERROR(VLOOKUP(G1044,'LEAID Match'!$A$2:$B$183,2,FALSE),"")</f>
        <v>1601900</v>
      </c>
      <c r="K1044">
        <f t="shared" si="16"/>
        <v>9</v>
      </c>
    </row>
    <row r="1045" spans="1:11" x14ac:dyDescent="0.2">
      <c r="A1045">
        <v>1601900</v>
      </c>
      <c r="B1045">
        <v>2018</v>
      </c>
      <c r="C1045">
        <v>102</v>
      </c>
      <c r="D1045" t="s">
        <v>428</v>
      </c>
      <c r="E1045" t="s">
        <v>429</v>
      </c>
      <c r="F1045" t="s">
        <v>433</v>
      </c>
      <c r="G1045" t="s">
        <v>60</v>
      </c>
      <c r="H1045" t="s">
        <v>60</v>
      </c>
      <c r="I1045" s="5">
        <v>123236</v>
      </c>
      <c r="J1045">
        <f>IFERROR(VLOOKUP(G1045,'LEAID Match'!$A$2:$B$183,2,FALSE),"")</f>
        <v>1601900</v>
      </c>
      <c r="K1045">
        <f t="shared" si="16"/>
        <v>9</v>
      </c>
    </row>
    <row r="1046" spans="1:11" x14ac:dyDescent="0.2">
      <c r="A1046">
        <v>1601900</v>
      </c>
      <c r="B1046">
        <v>2019</v>
      </c>
      <c r="C1046">
        <v>102</v>
      </c>
      <c r="D1046" t="s">
        <v>428</v>
      </c>
      <c r="E1046" t="s">
        <v>429</v>
      </c>
      <c r="F1046" t="s">
        <v>433</v>
      </c>
      <c r="G1046" t="s">
        <v>60</v>
      </c>
      <c r="H1046" t="s">
        <v>268</v>
      </c>
      <c r="I1046" s="5">
        <v>136157</v>
      </c>
      <c r="J1046">
        <f>IFERROR(VLOOKUP(G1046,'LEAID Match'!$A$2:$B$183,2,FALSE),"")</f>
        <v>1601900</v>
      </c>
      <c r="K1046">
        <f t="shared" si="16"/>
        <v>9</v>
      </c>
    </row>
    <row r="1047" spans="1:11" x14ac:dyDescent="0.2">
      <c r="A1047">
        <v>1601900</v>
      </c>
      <c r="B1047">
        <v>2020</v>
      </c>
      <c r="C1047">
        <v>102</v>
      </c>
      <c r="D1047" t="s">
        <v>428</v>
      </c>
      <c r="E1047" t="s">
        <v>429</v>
      </c>
      <c r="F1047" t="s">
        <v>433</v>
      </c>
      <c r="G1047" t="s">
        <v>60</v>
      </c>
      <c r="H1047" t="s">
        <v>268</v>
      </c>
      <c r="I1047" s="5">
        <v>139006</v>
      </c>
      <c r="J1047">
        <f>IFERROR(VLOOKUP(G1047,'LEAID Match'!$A$2:$B$183,2,FALSE),"")</f>
        <v>1601900</v>
      </c>
      <c r="K1047">
        <f t="shared" si="16"/>
        <v>9</v>
      </c>
    </row>
    <row r="1048" spans="1:11" x14ac:dyDescent="0.2">
      <c r="A1048">
        <v>1601900</v>
      </c>
      <c r="B1048">
        <v>2021</v>
      </c>
      <c r="C1048">
        <v>102</v>
      </c>
      <c r="D1048" t="s">
        <v>428</v>
      </c>
      <c r="E1048" t="s">
        <v>429</v>
      </c>
      <c r="F1048" t="s">
        <v>433</v>
      </c>
      <c r="G1048" t="s">
        <v>60</v>
      </c>
      <c r="H1048" t="s">
        <v>60</v>
      </c>
      <c r="I1048" s="5">
        <v>159610</v>
      </c>
      <c r="J1048">
        <f>IFERROR(VLOOKUP(G1048,'LEAID Match'!$A$2:$B$183,2,FALSE),"")</f>
        <v>1601900</v>
      </c>
      <c r="K1048">
        <f t="shared" si="16"/>
        <v>9</v>
      </c>
    </row>
    <row r="1049" spans="1:11" x14ac:dyDescent="0.2">
      <c r="A1049">
        <v>1601900</v>
      </c>
      <c r="B1049">
        <v>2022</v>
      </c>
      <c r="C1049">
        <v>102</v>
      </c>
      <c r="D1049" t="s">
        <v>428</v>
      </c>
      <c r="E1049" t="s">
        <v>429</v>
      </c>
      <c r="F1049" t="s">
        <v>433</v>
      </c>
      <c r="G1049" t="s">
        <v>60</v>
      </c>
      <c r="H1049" t="s">
        <v>268</v>
      </c>
      <c r="I1049" s="5">
        <v>160658</v>
      </c>
      <c r="J1049">
        <f>IFERROR(VLOOKUP(G1049,'LEAID Match'!$A$2:$B$183,2,FALSE),"")</f>
        <v>1601900</v>
      </c>
      <c r="K1049">
        <f t="shared" si="16"/>
        <v>9</v>
      </c>
    </row>
    <row r="1050" spans="1:11" x14ac:dyDescent="0.2">
      <c r="A1050">
        <v>1601900</v>
      </c>
      <c r="B1050">
        <v>2023</v>
      </c>
      <c r="C1050">
        <v>102</v>
      </c>
      <c r="D1050" t="s">
        <v>428</v>
      </c>
      <c r="E1050" t="s">
        <v>429</v>
      </c>
      <c r="F1050" t="s">
        <v>433</v>
      </c>
      <c r="G1050" t="s">
        <v>60</v>
      </c>
      <c r="H1050" t="s">
        <v>268</v>
      </c>
      <c r="I1050" s="5">
        <v>163041</v>
      </c>
      <c r="J1050">
        <f>IFERROR(VLOOKUP(G1050,'LEAID Match'!$A$2:$B$183,2,FALSE),"")</f>
        <v>1601900</v>
      </c>
      <c r="K1050">
        <f t="shared" si="16"/>
        <v>9</v>
      </c>
    </row>
    <row r="1051" spans="1:11" x14ac:dyDescent="0.2">
      <c r="A1051">
        <v>1601920</v>
      </c>
      <c r="B1051">
        <v>2015</v>
      </c>
      <c r="C1051">
        <v>103</v>
      </c>
      <c r="D1051" t="s">
        <v>428</v>
      </c>
      <c r="E1051" t="s">
        <v>429</v>
      </c>
      <c r="F1051" t="s">
        <v>433</v>
      </c>
      <c r="G1051" t="s">
        <v>61</v>
      </c>
      <c r="H1051" t="s">
        <v>61</v>
      </c>
      <c r="I1051" s="5">
        <v>1946151</v>
      </c>
      <c r="J1051">
        <f>IFERROR(VLOOKUP(G1051,'LEAID Match'!$A$2:$B$183,2,FALSE),"")</f>
        <v>1601920</v>
      </c>
      <c r="K1051">
        <f t="shared" si="16"/>
        <v>9</v>
      </c>
    </row>
    <row r="1052" spans="1:11" x14ac:dyDescent="0.2">
      <c r="A1052">
        <v>1601920</v>
      </c>
      <c r="B1052">
        <v>2016</v>
      </c>
      <c r="C1052">
        <v>103</v>
      </c>
      <c r="D1052" t="s">
        <v>428</v>
      </c>
      <c r="E1052" t="s">
        <v>429</v>
      </c>
      <c r="F1052" t="s">
        <v>433</v>
      </c>
      <c r="G1052" t="s">
        <v>61</v>
      </c>
      <c r="H1052" t="s">
        <v>61</v>
      </c>
      <c r="I1052" s="5">
        <v>2065452</v>
      </c>
      <c r="J1052">
        <f>IFERROR(VLOOKUP(G1052,'LEAID Match'!$A$2:$B$183,2,FALSE),"")</f>
        <v>1601920</v>
      </c>
      <c r="K1052">
        <f t="shared" si="16"/>
        <v>9</v>
      </c>
    </row>
    <row r="1053" spans="1:11" x14ac:dyDescent="0.2">
      <c r="A1053">
        <v>1601920</v>
      </c>
      <c r="B1053">
        <v>2017</v>
      </c>
      <c r="C1053">
        <v>103</v>
      </c>
      <c r="D1053" t="s">
        <v>428</v>
      </c>
      <c r="E1053" t="s">
        <v>429</v>
      </c>
      <c r="F1053" t="s">
        <v>433</v>
      </c>
      <c r="G1053" t="s">
        <v>61</v>
      </c>
      <c r="H1053" t="s">
        <v>61</v>
      </c>
      <c r="I1053" s="5">
        <v>2168525</v>
      </c>
      <c r="J1053">
        <f>IFERROR(VLOOKUP(G1053,'LEAID Match'!$A$2:$B$183,2,FALSE),"")</f>
        <v>1601920</v>
      </c>
      <c r="K1053">
        <f t="shared" si="16"/>
        <v>9</v>
      </c>
    </row>
    <row r="1054" spans="1:11" x14ac:dyDescent="0.2">
      <c r="A1054">
        <v>1601920</v>
      </c>
      <c r="B1054">
        <v>2018</v>
      </c>
      <c r="C1054">
        <v>103</v>
      </c>
      <c r="D1054" t="s">
        <v>428</v>
      </c>
      <c r="E1054" t="s">
        <v>429</v>
      </c>
      <c r="F1054" t="s">
        <v>433</v>
      </c>
      <c r="G1054" t="s">
        <v>61</v>
      </c>
      <c r="H1054" t="s">
        <v>61</v>
      </c>
      <c r="I1054" s="5">
        <v>2304503</v>
      </c>
      <c r="J1054">
        <f>IFERROR(VLOOKUP(G1054,'LEAID Match'!$A$2:$B$183,2,FALSE),"")</f>
        <v>1601920</v>
      </c>
      <c r="K1054">
        <f t="shared" si="16"/>
        <v>9</v>
      </c>
    </row>
    <row r="1055" spans="1:11" x14ac:dyDescent="0.2">
      <c r="A1055">
        <v>1601920</v>
      </c>
      <c r="B1055">
        <v>2019</v>
      </c>
      <c r="C1055">
        <v>103</v>
      </c>
      <c r="D1055" t="s">
        <v>428</v>
      </c>
      <c r="E1055" t="s">
        <v>429</v>
      </c>
      <c r="F1055" t="s">
        <v>433</v>
      </c>
      <c r="G1055" t="s">
        <v>61</v>
      </c>
      <c r="H1055" t="s">
        <v>269</v>
      </c>
      <c r="I1055" s="5">
        <v>2406300</v>
      </c>
      <c r="J1055">
        <f>IFERROR(VLOOKUP(G1055,'LEAID Match'!$A$2:$B$183,2,FALSE),"")</f>
        <v>1601920</v>
      </c>
      <c r="K1055">
        <f t="shared" si="16"/>
        <v>9</v>
      </c>
    </row>
    <row r="1056" spans="1:11" x14ac:dyDescent="0.2">
      <c r="A1056">
        <v>1601920</v>
      </c>
      <c r="B1056">
        <v>2020</v>
      </c>
      <c r="C1056">
        <v>103</v>
      </c>
      <c r="D1056" t="s">
        <v>428</v>
      </c>
      <c r="E1056" t="s">
        <v>429</v>
      </c>
      <c r="F1056" t="s">
        <v>433</v>
      </c>
      <c r="G1056" t="s">
        <v>61</v>
      </c>
      <c r="H1056" t="s">
        <v>269</v>
      </c>
      <c r="I1056" s="5">
        <v>2717381</v>
      </c>
      <c r="J1056">
        <f>IFERROR(VLOOKUP(G1056,'LEAID Match'!$A$2:$B$183,2,FALSE),"")</f>
        <v>1601920</v>
      </c>
      <c r="K1056">
        <f t="shared" si="16"/>
        <v>9</v>
      </c>
    </row>
    <row r="1057" spans="1:11" x14ac:dyDescent="0.2">
      <c r="A1057">
        <v>1601920</v>
      </c>
      <c r="B1057">
        <v>2021</v>
      </c>
      <c r="C1057">
        <v>103</v>
      </c>
      <c r="D1057" t="s">
        <v>428</v>
      </c>
      <c r="E1057" t="s">
        <v>429</v>
      </c>
      <c r="F1057" t="s">
        <v>433</v>
      </c>
      <c r="G1057" t="s">
        <v>61</v>
      </c>
      <c r="H1057" t="s">
        <v>61</v>
      </c>
      <c r="I1057" s="5">
        <v>2954407</v>
      </c>
      <c r="J1057">
        <f>IFERROR(VLOOKUP(G1057,'LEAID Match'!$A$2:$B$183,2,FALSE),"")</f>
        <v>1601920</v>
      </c>
      <c r="K1057">
        <f t="shared" si="16"/>
        <v>9</v>
      </c>
    </row>
    <row r="1058" spans="1:11" x14ac:dyDescent="0.2">
      <c r="A1058">
        <v>1601920</v>
      </c>
      <c r="B1058">
        <v>2022</v>
      </c>
      <c r="C1058">
        <v>103</v>
      </c>
      <c r="D1058" t="s">
        <v>428</v>
      </c>
      <c r="E1058" t="s">
        <v>429</v>
      </c>
      <c r="F1058" t="s">
        <v>433</v>
      </c>
      <c r="G1058" t="s">
        <v>61</v>
      </c>
      <c r="H1058" t="s">
        <v>269</v>
      </c>
      <c r="I1058" s="5">
        <v>3240298</v>
      </c>
      <c r="J1058">
        <f>IFERROR(VLOOKUP(G1058,'LEAID Match'!$A$2:$B$183,2,FALSE),"")</f>
        <v>1601920</v>
      </c>
      <c r="K1058">
        <f t="shared" si="16"/>
        <v>9</v>
      </c>
    </row>
    <row r="1059" spans="1:11" x14ac:dyDescent="0.2">
      <c r="A1059">
        <v>1601920</v>
      </c>
      <c r="B1059">
        <v>2023</v>
      </c>
      <c r="C1059">
        <v>103</v>
      </c>
      <c r="D1059" t="s">
        <v>428</v>
      </c>
      <c r="E1059" t="s">
        <v>429</v>
      </c>
      <c r="F1059" t="s">
        <v>433</v>
      </c>
      <c r="G1059" t="s">
        <v>61</v>
      </c>
      <c r="H1059" t="s">
        <v>269</v>
      </c>
      <c r="I1059" s="5">
        <v>3219236</v>
      </c>
      <c r="J1059">
        <f>IFERROR(VLOOKUP(G1059,'LEAID Match'!$A$2:$B$183,2,FALSE),"")</f>
        <v>1601920</v>
      </c>
      <c r="K1059">
        <f t="shared" si="16"/>
        <v>9</v>
      </c>
    </row>
    <row r="1060" spans="1:11" x14ac:dyDescent="0.2">
      <c r="A1060">
        <v>1601950</v>
      </c>
      <c r="B1060">
        <v>2015</v>
      </c>
      <c r="C1060">
        <v>104</v>
      </c>
      <c r="D1060" t="s">
        <v>428</v>
      </c>
      <c r="E1060" t="s">
        <v>429</v>
      </c>
      <c r="F1060" t="s">
        <v>433</v>
      </c>
      <c r="G1060" t="s">
        <v>62</v>
      </c>
      <c r="H1060" t="s">
        <v>62</v>
      </c>
      <c r="I1060" s="5">
        <v>465562</v>
      </c>
      <c r="J1060">
        <f>IFERROR(VLOOKUP(G1060,'LEAID Match'!$A$2:$B$183,2,FALSE),"")</f>
        <v>1601950</v>
      </c>
      <c r="K1060">
        <f t="shared" si="16"/>
        <v>9</v>
      </c>
    </row>
    <row r="1061" spans="1:11" x14ac:dyDescent="0.2">
      <c r="A1061">
        <v>1601950</v>
      </c>
      <c r="B1061">
        <v>2016</v>
      </c>
      <c r="C1061">
        <v>104</v>
      </c>
      <c r="D1061" t="s">
        <v>428</v>
      </c>
      <c r="E1061" t="s">
        <v>429</v>
      </c>
      <c r="F1061" t="s">
        <v>433</v>
      </c>
      <c r="G1061" t="s">
        <v>62</v>
      </c>
      <c r="H1061" t="s">
        <v>62</v>
      </c>
      <c r="I1061" s="5">
        <v>474836</v>
      </c>
      <c r="J1061">
        <f>IFERROR(VLOOKUP(G1061,'LEAID Match'!$A$2:$B$183,2,FALSE),"")</f>
        <v>1601950</v>
      </c>
      <c r="K1061">
        <f t="shared" si="16"/>
        <v>9</v>
      </c>
    </row>
    <row r="1062" spans="1:11" x14ac:dyDescent="0.2">
      <c r="A1062">
        <v>1601950</v>
      </c>
      <c r="B1062">
        <v>2017</v>
      </c>
      <c r="C1062">
        <v>104</v>
      </c>
      <c r="D1062" t="s">
        <v>428</v>
      </c>
      <c r="E1062" t="s">
        <v>429</v>
      </c>
      <c r="F1062" t="s">
        <v>433</v>
      </c>
      <c r="G1062" t="s">
        <v>62</v>
      </c>
      <c r="H1062" t="s">
        <v>62</v>
      </c>
      <c r="I1062" s="5">
        <v>457709</v>
      </c>
      <c r="J1062">
        <f>IFERROR(VLOOKUP(G1062,'LEAID Match'!$A$2:$B$183,2,FALSE),"")</f>
        <v>1601950</v>
      </c>
      <c r="K1062">
        <f t="shared" si="16"/>
        <v>9</v>
      </c>
    </row>
    <row r="1063" spans="1:11" x14ac:dyDescent="0.2">
      <c r="A1063">
        <v>1601950</v>
      </c>
      <c r="B1063">
        <v>2018</v>
      </c>
      <c r="C1063">
        <v>104</v>
      </c>
      <c r="D1063" t="s">
        <v>428</v>
      </c>
      <c r="E1063" t="s">
        <v>429</v>
      </c>
      <c r="F1063" t="s">
        <v>433</v>
      </c>
      <c r="G1063" t="s">
        <v>62</v>
      </c>
      <c r="H1063" t="s">
        <v>62</v>
      </c>
      <c r="I1063" s="5">
        <v>489631</v>
      </c>
      <c r="J1063">
        <f>IFERROR(VLOOKUP(G1063,'LEAID Match'!$A$2:$B$183,2,FALSE),"")</f>
        <v>1601950</v>
      </c>
      <c r="K1063">
        <f t="shared" si="16"/>
        <v>9</v>
      </c>
    </row>
    <row r="1064" spans="1:11" x14ac:dyDescent="0.2">
      <c r="A1064">
        <v>1601950</v>
      </c>
      <c r="B1064">
        <v>2019</v>
      </c>
      <c r="C1064">
        <v>104</v>
      </c>
      <c r="D1064" t="s">
        <v>428</v>
      </c>
      <c r="E1064" t="s">
        <v>429</v>
      </c>
      <c r="F1064" t="s">
        <v>433</v>
      </c>
      <c r="G1064" t="s">
        <v>62</v>
      </c>
      <c r="H1064" t="s">
        <v>270</v>
      </c>
      <c r="I1064" s="5">
        <v>537910</v>
      </c>
      <c r="J1064">
        <f>IFERROR(VLOOKUP(G1064,'LEAID Match'!$A$2:$B$183,2,FALSE),"")</f>
        <v>1601950</v>
      </c>
      <c r="K1064">
        <f t="shared" si="16"/>
        <v>9</v>
      </c>
    </row>
    <row r="1065" spans="1:11" x14ac:dyDescent="0.2">
      <c r="A1065">
        <v>1601950</v>
      </c>
      <c r="B1065">
        <v>2020</v>
      </c>
      <c r="C1065">
        <v>104</v>
      </c>
      <c r="D1065" t="s">
        <v>428</v>
      </c>
      <c r="E1065" t="s">
        <v>429</v>
      </c>
      <c r="F1065" t="s">
        <v>433</v>
      </c>
      <c r="G1065" t="s">
        <v>62</v>
      </c>
      <c r="H1065" t="s">
        <v>355</v>
      </c>
      <c r="I1065" s="5">
        <v>588912</v>
      </c>
      <c r="J1065">
        <f>IFERROR(VLOOKUP(G1065,'LEAID Match'!$A$2:$B$183,2,FALSE),"")</f>
        <v>1601950</v>
      </c>
      <c r="K1065">
        <f t="shared" si="16"/>
        <v>9</v>
      </c>
    </row>
    <row r="1066" spans="1:11" x14ac:dyDescent="0.2">
      <c r="A1066">
        <v>1601950</v>
      </c>
      <c r="B1066">
        <v>2021</v>
      </c>
      <c r="C1066">
        <v>104</v>
      </c>
      <c r="D1066" t="s">
        <v>428</v>
      </c>
      <c r="E1066" t="s">
        <v>429</v>
      </c>
      <c r="F1066" t="s">
        <v>433</v>
      </c>
      <c r="G1066" t="s">
        <v>62</v>
      </c>
      <c r="H1066" t="s">
        <v>270</v>
      </c>
      <c r="I1066" s="5">
        <v>631661</v>
      </c>
      <c r="J1066">
        <f>IFERROR(VLOOKUP(G1066,'LEAID Match'!$A$2:$B$183,2,FALSE),"")</f>
        <v>1601950</v>
      </c>
      <c r="K1066">
        <f t="shared" si="16"/>
        <v>9</v>
      </c>
    </row>
    <row r="1067" spans="1:11" x14ac:dyDescent="0.2">
      <c r="A1067">
        <v>1601950</v>
      </c>
      <c r="B1067">
        <v>2022</v>
      </c>
      <c r="C1067">
        <v>104</v>
      </c>
      <c r="D1067" t="s">
        <v>428</v>
      </c>
      <c r="E1067" t="s">
        <v>429</v>
      </c>
      <c r="F1067" t="s">
        <v>433</v>
      </c>
      <c r="G1067" t="s">
        <v>62</v>
      </c>
      <c r="H1067" t="s">
        <v>270</v>
      </c>
      <c r="I1067" s="5">
        <v>670394</v>
      </c>
      <c r="J1067">
        <f>IFERROR(VLOOKUP(G1067,'LEAID Match'!$A$2:$B$183,2,FALSE),"")</f>
        <v>1601950</v>
      </c>
      <c r="K1067">
        <f t="shared" si="16"/>
        <v>9</v>
      </c>
    </row>
    <row r="1068" spans="1:11" x14ac:dyDescent="0.2">
      <c r="A1068">
        <v>1601950</v>
      </c>
      <c r="B1068">
        <v>2023</v>
      </c>
      <c r="C1068">
        <v>104</v>
      </c>
      <c r="D1068" t="s">
        <v>428</v>
      </c>
      <c r="E1068" t="s">
        <v>429</v>
      </c>
      <c r="F1068" t="s">
        <v>433</v>
      </c>
      <c r="G1068" t="s">
        <v>62</v>
      </c>
      <c r="H1068" t="s">
        <v>270</v>
      </c>
      <c r="I1068" s="5">
        <v>718554</v>
      </c>
      <c r="J1068">
        <f>IFERROR(VLOOKUP(G1068,'LEAID Match'!$A$2:$B$183,2,FALSE),"")</f>
        <v>1601950</v>
      </c>
      <c r="K1068">
        <f t="shared" si="16"/>
        <v>9</v>
      </c>
    </row>
    <row r="1069" spans="1:11" x14ac:dyDescent="0.2">
      <c r="A1069">
        <v>1601980</v>
      </c>
      <c r="B1069">
        <v>2015</v>
      </c>
      <c r="C1069">
        <v>105</v>
      </c>
      <c r="D1069" t="s">
        <v>428</v>
      </c>
      <c r="E1069" t="s">
        <v>429</v>
      </c>
      <c r="F1069" t="s">
        <v>433</v>
      </c>
      <c r="G1069" t="s">
        <v>63</v>
      </c>
      <c r="H1069" t="s">
        <v>63</v>
      </c>
      <c r="I1069" s="5">
        <v>351311</v>
      </c>
      <c r="J1069">
        <f>IFERROR(VLOOKUP(G1069,'LEAID Match'!$A$2:$B$183,2,FALSE),"")</f>
        <v>1601980</v>
      </c>
      <c r="K1069">
        <f t="shared" si="16"/>
        <v>9</v>
      </c>
    </row>
    <row r="1070" spans="1:11" x14ac:dyDescent="0.2">
      <c r="A1070">
        <v>1601980</v>
      </c>
      <c r="B1070">
        <v>2016</v>
      </c>
      <c r="C1070">
        <v>105</v>
      </c>
      <c r="D1070" t="s">
        <v>428</v>
      </c>
      <c r="E1070" t="s">
        <v>429</v>
      </c>
      <c r="F1070" t="s">
        <v>433</v>
      </c>
      <c r="G1070" t="s">
        <v>63</v>
      </c>
      <c r="H1070" t="s">
        <v>63</v>
      </c>
      <c r="I1070" s="5">
        <v>361240</v>
      </c>
      <c r="J1070">
        <f>IFERROR(VLOOKUP(G1070,'LEAID Match'!$A$2:$B$183,2,FALSE),"")</f>
        <v>1601980</v>
      </c>
      <c r="K1070">
        <f t="shared" si="16"/>
        <v>9</v>
      </c>
    </row>
    <row r="1071" spans="1:11" x14ac:dyDescent="0.2">
      <c r="A1071">
        <v>1601980</v>
      </c>
      <c r="B1071">
        <v>2017</v>
      </c>
      <c r="C1071">
        <v>105</v>
      </c>
      <c r="D1071" t="s">
        <v>428</v>
      </c>
      <c r="E1071" t="s">
        <v>429</v>
      </c>
      <c r="F1071" t="s">
        <v>433</v>
      </c>
      <c r="G1071" t="s">
        <v>63</v>
      </c>
      <c r="H1071" t="s">
        <v>63</v>
      </c>
      <c r="I1071" s="5">
        <v>380099</v>
      </c>
      <c r="J1071">
        <f>IFERROR(VLOOKUP(G1071,'LEAID Match'!$A$2:$B$183,2,FALSE),"")</f>
        <v>1601980</v>
      </c>
      <c r="K1071">
        <f t="shared" si="16"/>
        <v>9</v>
      </c>
    </row>
    <row r="1072" spans="1:11" x14ac:dyDescent="0.2">
      <c r="A1072">
        <v>1601980</v>
      </c>
      <c r="B1072">
        <v>2018</v>
      </c>
      <c r="C1072">
        <v>105</v>
      </c>
      <c r="D1072" t="s">
        <v>428</v>
      </c>
      <c r="E1072" t="s">
        <v>429</v>
      </c>
      <c r="F1072" t="s">
        <v>433</v>
      </c>
      <c r="G1072" t="s">
        <v>63</v>
      </c>
      <c r="H1072" t="s">
        <v>63</v>
      </c>
      <c r="I1072" s="5">
        <v>400092</v>
      </c>
      <c r="J1072">
        <f>IFERROR(VLOOKUP(G1072,'LEAID Match'!$A$2:$B$183,2,FALSE),"")</f>
        <v>1601980</v>
      </c>
      <c r="K1072">
        <f t="shared" si="16"/>
        <v>9</v>
      </c>
    </row>
    <row r="1073" spans="1:11" x14ac:dyDescent="0.2">
      <c r="A1073">
        <v>1601980</v>
      </c>
      <c r="B1073">
        <v>2019</v>
      </c>
      <c r="C1073">
        <v>105</v>
      </c>
      <c r="D1073" t="s">
        <v>428</v>
      </c>
      <c r="E1073" t="s">
        <v>429</v>
      </c>
      <c r="F1073" t="s">
        <v>433</v>
      </c>
      <c r="G1073" t="s">
        <v>63</v>
      </c>
      <c r="H1073" t="s">
        <v>271</v>
      </c>
      <c r="I1073" s="5">
        <v>414463</v>
      </c>
      <c r="J1073">
        <f>IFERROR(VLOOKUP(G1073,'LEAID Match'!$A$2:$B$183,2,FALSE),"")</f>
        <v>1601980</v>
      </c>
      <c r="K1073">
        <f t="shared" si="16"/>
        <v>9</v>
      </c>
    </row>
    <row r="1074" spans="1:11" x14ac:dyDescent="0.2">
      <c r="A1074">
        <v>1601980</v>
      </c>
      <c r="B1074">
        <v>2020</v>
      </c>
      <c r="C1074">
        <v>105</v>
      </c>
      <c r="D1074" t="s">
        <v>428</v>
      </c>
      <c r="E1074" t="s">
        <v>429</v>
      </c>
      <c r="F1074" t="s">
        <v>433</v>
      </c>
      <c r="G1074" t="s">
        <v>63</v>
      </c>
      <c r="H1074" t="s">
        <v>271</v>
      </c>
      <c r="I1074" s="5">
        <v>461521</v>
      </c>
      <c r="J1074">
        <f>IFERROR(VLOOKUP(G1074,'LEAID Match'!$A$2:$B$183,2,FALSE),"")</f>
        <v>1601980</v>
      </c>
      <c r="K1074">
        <f t="shared" si="16"/>
        <v>9</v>
      </c>
    </row>
    <row r="1075" spans="1:11" x14ac:dyDescent="0.2">
      <c r="A1075">
        <v>1601980</v>
      </c>
      <c r="B1075">
        <v>2021</v>
      </c>
      <c r="C1075">
        <v>105</v>
      </c>
      <c r="D1075" t="s">
        <v>428</v>
      </c>
      <c r="E1075" t="s">
        <v>429</v>
      </c>
      <c r="F1075" t="s">
        <v>433</v>
      </c>
      <c r="G1075" t="s">
        <v>63</v>
      </c>
      <c r="H1075" t="s">
        <v>63</v>
      </c>
      <c r="I1075" s="5">
        <v>487483</v>
      </c>
      <c r="J1075">
        <f>IFERROR(VLOOKUP(G1075,'LEAID Match'!$A$2:$B$183,2,FALSE),"")</f>
        <v>1601980</v>
      </c>
      <c r="K1075">
        <f t="shared" si="16"/>
        <v>9</v>
      </c>
    </row>
    <row r="1076" spans="1:11" x14ac:dyDescent="0.2">
      <c r="A1076">
        <v>1601980</v>
      </c>
      <c r="B1076">
        <v>2022</v>
      </c>
      <c r="C1076">
        <v>105</v>
      </c>
      <c r="D1076" t="s">
        <v>428</v>
      </c>
      <c r="E1076" t="s">
        <v>429</v>
      </c>
      <c r="F1076" t="s">
        <v>433</v>
      </c>
      <c r="G1076" t="s">
        <v>63</v>
      </c>
      <c r="H1076" t="s">
        <v>271</v>
      </c>
      <c r="I1076" s="5">
        <v>528915</v>
      </c>
      <c r="J1076">
        <f>IFERROR(VLOOKUP(G1076,'LEAID Match'!$A$2:$B$183,2,FALSE),"")</f>
        <v>1601980</v>
      </c>
      <c r="K1076">
        <f t="shared" si="16"/>
        <v>9</v>
      </c>
    </row>
    <row r="1077" spans="1:11" x14ac:dyDescent="0.2">
      <c r="A1077">
        <v>1601980</v>
      </c>
      <c r="B1077">
        <v>2023</v>
      </c>
      <c r="C1077">
        <v>105</v>
      </c>
      <c r="D1077" t="s">
        <v>428</v>
      </c>
      <c r="E1077" t="s">
        <v>429</v>
      </c>
      <c r="F1077" t="s">
        <v>433</v>
      </c>
      <c r="G1077" t="s">
        <v>63</v>
      </c>
      <c r="H1077" t="s">
        <v>271</v>
      </c>
      <c r="I1077" s="5">
        <v>582366</v>
      </c>
      <c r="J1077">
        <f>IFERROR(VLOOKUP(G1077,'LEAID Match'!$A$2:$B$183,2,FALSE),"")</f>
        <v>1601980</v>
      </c>
      <c r="K1077">
        <f t="shared" si="16"/>
        <v>9</v>
      </c>
    </row>
    <row r="1078" spans="1:11" x14ac:dyDescent="0.2">
      <c r="A1078">
        <v>1602030</v>
      </c>
      <c r="B1078">
        <v>2015</v>
      </c>
      <c r="C1078">
        <v>106</v>
      </c>
      <c r="D1078" t="s">
        <v>428</v>
      </c>
      <c r="E1078" t="s">
        <v>429</v>
      </c>
      <c r="F1078" t="s">
        <v>433</v>
      </c>
      <c r="G1078" t="s">
        <v>64</v>
      </c>
      <c r="H1078" t="s">
        <v>64</v>
      </c>
      <c r="I1078" s="5">
        <v>759831</v>
      </c>
      <c r="J1078">
        <f>IFERROR(VLOOKUP(G1078,'LEAID Match'!$A$2:$B$183,2,FALSE),"")</f>
        <v>1602030</v>
      </c>
      <c r="K1078">
        <f t="shared" si="16"/>
        <v>9</v>
      </c>
    </row>
    <row r="1079" spans="1:11" x14ac:dyDescent="0.2">
      <c r="A1079">
        <v>1602030</v>
      </c>
      <c r="B1079">
        <v>2016</v>
      </c>
      <c r="C1079">
        <v>106</v>
      </c>
      <c r="D1079" t="s">
        <v>428</v>
      </c>
      <c r="E1079" t="s">
        <v>429</v>
      </c>
      <c r="F1079" t="s">
        <v>433</v>
      </c>
      <c r="G1079" t="s">
        <v>64</v>
      </c>
      <c r="H1079" t="s">
        <v>64</v>
      </c>
      <c r="I1079" s="5">
        <v>787680</v>
      </c>
      <c r="J1079">
        <f>IFERROR(VLOOKUP(G1079,'LEAID Match'!$A$2:$B$183,2,FALSE),"")</f>
        <v>1602030</v>
      </c>
      <c r="K1079">
        <f t="shared" si="16"/>
        <v>9</v>
      </c>
    </row>
    <row r="1080" spans="1:11" x14ac:dyDescent="0.2">
      <c r="A1080">
        <v>1602030</v>
      </c>
      <c r="B1080">
        <v>2017</v>
      </c>
      <c r="C1080">
        <v>106</v>
      </c>
      <c r="D1080" t="s">
        <v>428</v>
      </c>
      <c r="E1080" t="s">
        <v>429</v>
      </c>
      <c r="F1080" t="s">
        <v>433</v>
      </c>
      <c r="G1080" t="s">
        <v>64</v>
      </c>
      <c r="H1080" t="s">
        <v>64</v>
      </c>
      <c r="I1080" s="5">
        <v>802895</v>
      </c>
      <c r="J1080">
        <f>IFERROR(VLOOKUP(G1080,'LEAID Match'!$A$2:$B$183,2,FALSE),"")</f>
        <v>1602030</v>
      </c>
      <c r="K1080">
        <f t="shared" si="16"/>
        <v>9</v>
      </c>
    </row>
    <row r="1081" spans="1:11" x14ac:dyDescent="0.2">
      <c r="A1081">
        <v>1602030</v>
      </c>
      <c r="B1081">
        <v>2018</v>
      </c>
      <c r="C1081">
        <v>106</v>
      </c>
      <c r="D1081" t="s">
        <v>428</v>
      </c>
      <c r="E1081" t="s">
        <v>429</v>
      </c>
      <c r="F1081" t="s">
        <v>433</v>
      </c>
      <c r="G1081" t="s">
        <v>64</v>
      </c>
      <c r="H1081" t="s">
        <v>64</v>
      </c>
      <c r="I1081" s="5">
        <v>846815</v>
      </c>
      <c r="J1081">
        <f>IFERROR(VLOOKUP(G1081,'LEAID Match'!$A$2:$B$183,2,FALSE),"")</f>
        <v>1602030</v>
      </c>
      <c r="K1081">
        <f t="shared" si="16"/>
        <v>9</v>
      </c>
    </row>
    <row r="1082" spans="1:11" x14ac:dyDescent="0.2">
      <c r="A1082">
        <v>1602030</v>
      </c>
      <c r="B1082">
        <v>2019</v>
      </c>
      <c r="C1082">
        <v>106</v>
      </c>
      <c r="D1082" t="s">
        <v>428</v>
      </c>
      <c r="E1082" t="s">
        <v>429</v>
      </c>
      <c r="F1082" t="s">
        <v>433</v>
      </c>
      <c r="G1082" t="s">
        <v>64</v>
      </c>
      <c r="H1082" t="s">
        <v>272</v>
      </c>
      <c r="I1082" s="5">
        <v>895516</v>
      </c>
      <c r="J1082">
        <f>IFERROR(VLOOKUP(G1082,'LEAID Match'!$A$2:$B$183,2,FALSE),"")</f>
        <v>1602030</v>
      </c>
      <c r="K1082">
        <f t="shared" si="16"/>
        <v>9</v>
      </c>
    </row>
    <row r="1083" spans="1:11" x14ac:dyDescent="0.2">
      <c r="A1083">
        <v>1602030</v>
      </c>
      <c r="B1083">
        <v>2020</v>
      </c>
      <c r="C1083">
        <v>106</v>
      </c>
      <c r="D1083" t="s">
        <v>428</v>
      </c>
      <c r="E1083" t="s">
        <v>429</v>
      </c>
      <c r="F1083" t="s">
        <v>433</v>
      </c>
      <c r="G1083" t="s">
        <v>64</v>
      </c>
      <c r="H1083" t="s">
        <v>356</v>
      </c>
      <c r="I1083" s="5">
        <v>1034404</v>
      </c>
      <c r="J1083">
        <f>IFERROR(VLOOKUP(G1083,'LEAID Match'!$A$2:$B$183,2,FALSE),"")</f>
        <v>1602030</v>
      </c>
      <c r="K1083">
        <f t="shared" si="16"/>
        <v>9</v>
      </c>
    </row>
    <row r="1084" spans="1:11" x14ac:dyDescent="0.2">
      <c r="A1084">
        <v>1602030</v>
      </c>
      <c r="B1084">
        <v>2021</v>
      </c>
      <c r="C1084">
        <v>106</v>
      </c>
      <c r="D1084" t="s">
        <v>428</v>
      </c>
      <c r="E1084" t="s">
        <v>429</v>
      </c>
      <c r="F1084" t="s">
        <v>433</v>
      </c>
      <c r="G1084" t="s">
        <v>64</v>
      </c>
      <c r="H1084" t="s">
        <v>272</v>
      </c>
      <c r="I1084" s="5">
        <v>1079513</v>
      </c>
      <c r="J1084">
        <f>IFERROR(VLOOKUP(G1084,'LEAID Match'!$A$2:$B$183,2,FALSE),"")</f>
        <v>1602030</v>
      </c>
      <c r="K1084">
        <f t="shared" si="16"/>
        <v>9</v>
      </c>
    </row>
    <row r="1085" spans="1:11" x14ac:dyDescent="0.2">
      <c r="A1085">
        <v>1602030</v>
      </c>
      <c r="B1085">
        <v>2022</v>
      </c>
      <c r="C1085">
        <v>106</v>
      </c>
      <c r="D1085" t="s">
        <v>428</v>
      </c>
      <c r="E1085" t="s">
        <v>429</v>
      </c>
      <c r="F1085" t="s">
        <v>433</v>
      </c>
      <c r="G1085" t="s">
        <v>64</v>
      </c>
      <c r="H1085" t="s">
        <v>272</v>
      </c>
      <c r="I1085" s="5">
        <v>1151515</v>
      </c>
      <c r="J1085">
        <f>IFERROR(VLOOKUP(G1085,'LEAID Match'!$A$2:$B$183,2,FALSE),"")</f>
        <v>1602030</v>
      </c>
      <c r="K1085">
        <f t="shared" si="16"/>
        <v>9</v>
      </c>
    </row>
    <row r="1086" spans="1:11" x14ac:dyDescent="0.2">
      <c r="A1086">
        <v>1602030</v>
      </c>
      <c r="B1086">
        <v>2023</v>
      </c>
      <c r="C1086">
        <v>106</v>
      </c>
      <c r="D1086" t="s">
        <v>428</v>
      </c>
      <c r="E1086" t="s">
        <v>429</v>
      </c>
      <c r="F1086" t="s">
        <v>433</v>
      </c>
      <c r="G1086" t="s">
        <v>64</v>
      </c>
      <c r="H1086" t="s">
        <v>272</v>
      </c>
      <c r="I1086" s="5">
        <v>1253465</v>
      </c>
      <c r="J1086">
        <f>IFERROR(VLOOKUP(G1086,'LEAID Match'!$A$2:$B$183,2,FALSE),"")</f>
        <v>1602030</v>
      </c>
      <c r="K1086">
        <f t="shared" si="16"/>
        <v>9</v>
      </c>
    </row>
    <row r="1087" spans="1:11" x14ac:dyDescent="0.2">
      <c r="A1087">
        <v>1602060</v>
      </c>
      <c r="B1087">
        <v>2015</v>
      </c>
      <c r="C1087">
        <v>107</v>
      </c>
      <c r="D1087" t="s">
        <v>428</v>
      </c>
      <c r="E1087" t="s">
        <v>429</v>
      </c>
      <c r="F1087" t="s">
        <v>433</v>
      </c>
      <c r="G1087" t="s">
        <v>65</v>
      </c>
      <c r="H1087" t="s">
        <v>65</v>
      </c>
      <c r="I1087" s="5">
        <v>96955</v>
      </c>
      <c r="J1087">
        <f>IFERROR(VLOOKUP(G1087,'LEAID Match'!$A$2:$B$183,2,FALSE),"")</f>
        <v>1602060</v>
      </c>
      <c r="K1087">
        <f t="shared" si="16"/>
        <v>9</v>
      </c>
    </row>
    <row r="1088" spans="1:11" x14ac:dyDescent="0.2">
      <c r="A1088">
        <v>1602060</v>
      </c>
      <c r="B1088">
        <v>2016</v>
      </c>
      <c r="C1088">
        <v>107</v>
      </c>
      <c r="D1088" t="s">
        <v>428</v>
      </c>
      <c r="E1088" t="s">
        <v>429</v>
      </c>
      <c r="F1088" t="s">
        <v>433</v>
      </c>
      <c r="G1088" t="s">
        <v>65</v>
      </c>
      <c r="H1088" t="s">
        <v>65</v>
      </c>
      <c r="I1088" s="5">
        <v>108321</v>
      </c>
      <c r="J1088">
        <f>IFERROR(VLOOKUP(G1088,'LEAID Match'!$A$2:$B$183,2,FALSE),"")</f>
        <v>1602060</v>
      </c>
      <c r="K1088">
        <f t="shared" si="16"/>
        <v>9</v>
      </c>
    </row>
    <row r="1089" spans="1:11" x14ac:dyDescent="0.2">
      <c r="A1089">
        <v>1602060</v>
      </c>
      <c r="B1089">
        <v>2017</v>
      </c>
      <c r="C1089">
        <v>107</v>
      </c>
      <c r="D1089" t="s">
        <v>428</v>
      </c>
      <c r="E1089" t="s">
        <v>429</v>
      </c>
      <c r="F1089" t="s">
        <v>433</v>
      </c>
      <c r="G1089" t="s">
        <v>65</v>
      </c>
      <c r="H1089" t="s">
        <v>65</v>
      </c>
      <c r="I1089" s="5">
        <v>113952</v>
      </c>
      <c r="J1089">
        <f>IFERROR(VLOOKUP(G1089,'LEAID Match'!$A$2:$B$183,2,FALSE),"")</f>
        <v>1602060</v>
      </c>
      <c r="K1089">
        <f t="shared" si="16"/>
        <v>9</v>
      </c>
    </row>
    <row r="1090" spans="1:11" x14ac:dyDescent="0.2">
      <c r="A1090">
        <v>1602060</v>
      </c>
      <c r="B1090">
        <v>2018</v>
      </c>
      <c r="C1090">
        <v>107</v>
      </c>
      <c r="D1090" t="s">
        <v>428</v>
      </c>
      <c r="E1090" t="s">
        <v>429</v>
      </c>
      <c r="F1090" t="s">
        <v>433</v>
      </c>
      <c r="G1090" t="s">
        <v>65</v>
      </c>
      <c r="H1090" t="s">
        <v>65</v>
      </c>
      <c r="I1090" s="5">
        <v>117853</v>
      </c>
      <c r="J1090">
        <f>IFERROR(VLOOKUP(G1090,'LEAID Match'!$A$2:$B$183,2,FALSE),"")</f>
        <v>1602060</v>
      </c>
      <c r="K1090">
        <f t="shared" si="16"/>
        <v>9</v>
      </c>
    </row>
    <row r="1091" spans="1:11" x14ac:dyDescent="0.2">
      <c r="A1091">
        <v>1602060</v>
      </c>
      <c r="B1091">
        <v>2019</v>
      </c>
      <c r="C1091">
        <v>107</v>
      </c>
      <c r="D1091" t="s">
        <v>428</v>
      </c>
      <c r="E1091" t="s">
        <v>429</v>
      </c>
      <c r="F1091" t="s">
        <v>433</v>
      </c>
      <c r="G1091" t="s">
        <v>65</v>
      </c>
      <c r="H1091" t="s">
        <v>273</v>
      </c>
      <c r="I1091" s="5">
        <v>120467</v>
      </c>
      <c r="J1091">
        <f>IFERROR(VLOOKUP(G1091,'LEAID Match'!$A$2:$B$183,2,FALSE),"")</f>
        <v>1602060</v>
      </c>
      <c r="K1091">
        <f t="shared" ref="K1091:K1154" si="17">COUNTIF($A$2:$A$1651,A1091)</f>
        <v>9</v>
      </c>
    </row>
    <row r="1092" spans="1:11" x14ac:dyDescent="0.2">
      <c r="A1092">
        <v>1602060</v>
      </c>
      <c r="B1092">
        <v>2020</v>
      </c>
      <c r="C1092">
        <v>107</v>
      </c>
      <c r="D1092" t="s">
        <v>428</v>
      </c>
      <c r="E1092" t="s">
        <v>429</v>
      </c>
      <c r="F1092" t="s">
        <v>433</v>
      </c>
      <c r="G1092" t="s">
        <v>65</v>
      </c>
      <c r="H1092" t="s">
        <v>357</v>
      </c>
      <c r="I1092" s="5">
        <v>142907</v>
      </c>
      <c r="J1092">
        <f>IFERROR(VLOOKUP(G1092,'LEAID Match'!$A$2:$B$183,2,FALSE),"")</f>
        <v>1602060</v>
      </c>
      <c r="K1092">
        <f t="shared" si="17"/>
        <v>9</v>
      </c>
    </row>
    <row r="1093" spans="1:11" x14ac:dyDescent="0.2">
      <c r="A1093">
        <v>1602060</v>
      </c>
      <c r="B1093">
        <v>2021</v>
      </c>
      <c r="C1093">
        <v>107</v>
      </c>
      <c r="D1093" t="s">
        <v>428</v>
      </c>
      <c r="E1093" t="s">
        <v>429</v>
      </c>
      <c r="F1093" t="s">
        <v>433</v>
      </c>
      <c r="G1093" t="s">
        <v>65</v>
      </c>
      <c r="H1093" t="s">
        <v>273</v>
      </c>
      <c r="I1093" s="5">
        <v>141042</v>
      </c>
      <c r="J1093">
        <f>IFERROR(VLOOKUP(G1093,'LEAID Match'!$A$2:$B$183,2,FALSE),"")</f>
        <v>1602060</v>
      </c>
      <c r="K1093">
        <f t="shared" si="17"/>
        <v>9</v>
      </c>
    </row>
    <row r="1094" spans="1:11" x14ac:dyDescent="0.2">
      <c r="A1094">
        <v>1602060</v>
      </c>
      <c r="B1094">
        <v>2022</v>
      </c>
      <c r="C1094">
        <v>107</v>
      </c>
      <c r="D1094" t="s">
        <v>428</v>
      </c>
      <c r="E1094" t="s">
        <v>429</v>
      </c>
      <c r="F1094" t="s">
        <v>433</v>
      </c>
      <c r="G1094" t="s">
        <v>65</v>
      </c>
      <c r="H1094" t="s">
        <v>273</v>
      </c>
      <c r="I1094" s="5">
        <v>157074</v>
      </c>
      <c r="J1094">
        <f>IFERROR(VLOOKUP(G1094,'LEAID Match'!$A$2:$B$183,2,FALSE),"")</f>
        <v>1602060</v>
      </c>
      <c r="K1094">
        <f t="shared" si="17"/>
        <v>9</v>
      </c>
    </row>
    <row r="1095" spans="1:11" x14ac:dyDescent="0.2">
      <c r="A1095">
        <v>1602060</v>
      </c>
      <c r="B1095">
        <v>2023</v>
      </c>
      <c r="C1095">
        <v>107</v>
      </c>
      <c r="D1095" t="s">
        <v>428</v>
      </c>
      <c r="E1095" t="s">
        <v>429</v>
      </c>
      <c r="F1095" t="s">
        <v>433</v>
      </c>
      <c r="G1095" t="s">
        <v>65</v>
      </c>
      <c r="H1095" t="s">
        <v>273</v>
      </c>
      <c r="I1095" s="5">
        <v>163532</v>
      </c>
      <c r="J1095">
        <f>IFERROR(VLOOKUP(G1095,'LEAID Match'!$A$2:$B$183,2,FALSE),"")</f>
        <v>1602060</v>
      </c>
      <c r="K1095">
        <f t="shared" si="17"/>
        <v>9</v>
      </c>
    </row>
    <row r="1096" spans="1:11" x14ac:dyDescent="0.2">
      <c r="A1096">
        <v>1602070</v>
      </c>
      <c r="B1096">
        <v>2015</v>
      </c>
      <c r="C1096">
        <v>108</v>
      </c>
      <c r="D1096" t="s">
        <v>428</v>
      </c>
      <c r="E1096" t="s">
        <v>429</v>
      </c>
      <c r="F1096" t="s">
        <v>433</v>
      </c>
      <c r="G1096" t="s">
        <v>66</v>
      </c>
      <c r="H1096" t="s">
        <v>66</v>
      </c>
      <c r="I1096" s="5">
        <v>308658</v>
      </c>
      <c r="J1096">
        <f>IFERROR(VLOOKUP(G1096,'LEAID Match'!$A$2:$B$183,2,FALSE),"")</f>
        <v>1602070</v>
      </c>
      <c r="K1096">
        <f t="shared" si="17"/>
        <v>9</v>
      </c>
    </row>
    <row r="1097" spans="1:11" x14ac:dyDescent="0.2">
      <c r="A1097">
        <v>1602070</v>
      </c>
      <c r="B1097">
        <v>2016</v>
      </c>
      <c r="C1097">
        <v>108</v>
      </c>
      <c r="D1097" t="s">
        <v>428</v>
      </c>
      <c r="E1097" t="s">
        <v>429</v>
      </c>
      <c r="F1097" t="s">
        <v>433</v>
      </c>
      <c r="G1097" t="s">
        <v>66</v>
      </c>
      <c r="H1097" t="s">
        <v>66</v>
      </c>
      <c r="I1097" s="5">
        <v>307771</v>
      </c>
      <c r="J1097">
        <f>IFERROR(VLOOKUP(G1097,'LEAID Match'!$A$2:$B$183,2,FALSE),"")</f>
        <v>1602070</v>
      </c>
      <c r="K1097">
        <f t="shared" si="17"/>
        <v>9</v>
      </c>
    </row>
    <row r="1098" spans="1:11" x14ac:dyDescent="0.2">
      <c r="A1098">
        <v>1602070</v>
      </c>
      <c r="B1098">
        <v>2017</v>
      </c>
      <c r="C1098">
        <v>108</v>
      </c>
      <c r="D1098" t="s">
        <v>428</v>
      </c>
      <c r="E1098" t="s">
        <v>429</v>
      </c>
      <c r="F1098" t="s">
        <v>433</v>
      </c>
      <c r="G1098" t="s">
        <v>66</v>
      </c>
      <c r="H1098" t="s">
        <v>66</v>
      </c>
      <c r="I1098" s="5">
        <v>317639</v>
      </c>
      <c r="J1098">
        <f>IFERROR(VLOOKUP(G1098,'LEAID Match'!$A$2:$B$183,2,FALSE),"")</f>
        <v>1602070</v>
      </c>
      <c r="K1098">
        <f t="shared" si="17"/>
        <v>9</v>
      </c>
    </row>
    <row r="1099" spans="1:11" x14ac:dyDescent="0.2">
      <c r="A1099">
        <v>1602070</v>
      </c>
      <c r="B1099">
        <v>2018</v>
      </c>
      <c r="C1099">
        <v>108</v>
      </c>
      <c r="D1099" t="s">
        <v>428</v>
      </c>
      <c r="E1099" t="s">
        <v>429</v>
      </c>
      <c r="F1099" t="s">
        <v>433</v>
      </c>
      <c r="G1099" t="s">
        <v>66</v>
      </c>
      <c r="H1099" t="s">
        <v>66</v>
      </c>
      <c r="I1099" s="5">
        <v>347282</v>
      </c>
      <c r="J1099">
        <f>IFERROR(VLOOKUP(G1099,'LEAID Match'!$A$2:$B$183,2,FALSE),"")</f>
        <v>1602070</v>
      </c>
      <c r="K1099">
        <f t="shared" si="17"/>
        <v>9</v>
      </c>
    </row>
    <row r="1100" spans="1:11" x14ac:dyDescent="0.2">
      <c r="A1100">
        <v>1602070</v>
      </c>
      <c r="B1100">
        <v>2019</v>
      </c>
      <c r="C1100">
        <v>108</v>
      </c>
      <c r="D1100" t="s">
        <v>428</v>
      </c>
      <c r="E1100" t="s">
        <v>429</v>
      </c>
      <c r="F1100" t="s">
        <v>433</v>
      </c>
      <c r="G1100" t="s">
        <v>66</v>
      </c>
      <c r="H1100" t="s">
        <v>274</v>
      </c>
      <c r="I1100" s="5">
        <v>372026</v>
      </c>
      <c r="J1100">
        <f>IFERROR(VLOOKUP(G1100,'LEAID Match'!$A$2:$B$183,2,FALSE),"")</f>
        <v>1602070</v>
      </c>
      <c r="K1100">
        <f t="shared" si="17"/>
        <v>9</v>
      </c>
    </row>
    <row r="1101" spans="1:11" x14ac:dyDescent="0.2">
      <c r="A1101">
        <v>1602070</v>
      </c>
      <c r="B1101">
        <v>2020</v>
      </c>
      <c r="C1101">
        <v>108</v>
      </c>
      <c r="D1101" t="s">
        <v>428</v>
      </c>
      <c r="E1101" t="s">
        <v>429</v>
      </c>
      <c r="F1101" t="s">
        <v>433</v>
      </c>
      <c r="G1101" t="s">
        <v>66</v>
      </c>
      <c r="H1101" t="s">
        <v>274</v>
      </c>
      <c r="I1101" s="5">
        <v>423903</v>
      </c>
      <c r="J1101">
        <f>IFERROR(VLOOKUP(G1101,'LEAID Match'!$A$2:$B$183,2,FALSE),"")</f>
        <v>1602070</v>
      </c>
      <c r="K1101">
        <f t="shared" si="17"/>
        <v>9</v>
      </c>
    </row>
    <row r="1102" spans="1:11" x14ac:dyDescent="0.2">
      <c r="A1102">
        <v>1602070</v>
      </c>
      <c r="B1102">
        <v>2021</v>
      </c>
      <c r="C1102">
        <v>108</v>
      </c>
      <c r="D1102" t="s">
        <v>428</v>
      </c>
      <c r="E1102" t="s">
        <v>429</v>
      </c>
      <c r="F1102" t="s">
        <v>433</v>
      </c>
      <c r="G1102" t="s">
        <v>66</v>
      </c>
      <c r="H1102" t="s">
        <v>66</v>
      </c>
      <c r="I1102" s="5">
        <v>430339</v>
      </c>
      <c r="J1102">
        <f>IFERROR(VLOOKUP(G1102,'LEAID Match'!$A$2:$B$183,2,FALSE),"")</f>
        <v>1602070</v>
      </c>
      <c r="K1102">
        <f t="shared" si="17"/>
        <v>9</v>
      </c>
    </row>
    <row r="1103" spans="1:11" x14ac:dyDescent="0.2">
      <c r="A1103">
        <v>1602070</v>
      </c>
      <c r="B1103">
        <v>2022</v>
      </c>
      <c r="C1103">
        <v>108</v>
      </c>
      <c r="D1103" t="s">
        <v>428</v>
      </c>
      <c r="E1103" t="s">
        <v>429</v>
      </c>
      <c r="F1103" t="s">
        <v>433</v>
      </c>
      <c r="G1103" t="s">
        <v>66</v>
      </c>
      <c r="H1103" t="s">
        <v>274</v>
      </c>
      <c r="I1103" s="5">
        <v>470022</v>
      </c>
      <c r="J1103">
        <f>IFERROR(VLOOKUP(G1103,'LEAID Match'!$A$2:$B$183,2,FALSE),"")</f>
        <v>1602070</v>
      </c>
      <c r="K1103">
        <f t="shared" si="17"/>
        <v>9</v>
      </c>
    </row>
    <row r="1104" spans="1:11" x14ac:dyDescent="0.2">
      <c r="A1104">
        <v>1602070</v>
      </c>
      <c r="B1104">
        <v>2023</v>
      </c>
      <c r="C1104">
        <v>108</v>
      </c>
      <c r="D1104" t="s">
        <v>428</v>
      </c>
      <c r="E1104" t="s">
        <v>429</v>
      </c>
      <c r="F1104" t="s">
        <v>433</v>
      </c>
      <c r="G1104" t="s">
        <v>66</v>
      </c>
      <c r="H1104" t="s">
        <v>274</v>
      </c>
      <c r="I1104" s="5">
        <v>483726</v>
      </c>
      <c r="J1104">
        <f>IFERROR(VLOOKUP(G1104,'LEAID Match'!$A$2:$B$183,2,FALSE),"")</f>
        <v>1602070</v>
      </c>
      <c r="K1104">
        <f t="shared" si="17"/>
        <v>9</v>
      </c>
    </row>
    <row r="1105" spans="1:11" x14ac:dyDescent="0.2">
      <c r="A1105">
        <v>1602130</v>
      </c>
      <c r="B1105">
        <v>2015</v>
      </c>
      <c r="C1105">
        <v>111</v>
      </c>
      <c r="D1105" t="s">
        <v>428</v>
      </c>
      <c r="E1105" t="s">
        <v>429</v>
      </c>
      <c r="F1105" t="s">
        <v>433</v>
      </c>
      <c r="G1105" t="s">
        <v>67</v>
      </c>
      <c r="H1105" t="s">
        <v>67</v>
      </c>
      <c r="I1105" s="5">
        <v>1407492</v>
      </c>
      <c r="J1105">
        <f>IFERROR(VLOOKUP(G1105,'LEAID Match'!$A$2:$B$183,2,FALSE),"")</f>
        <v>1602130</v>
      </c>
      <c r="K1105">
        <f t="shared" si="17"/>
        <v>9</v>
      </c>
    </row>
    <row r="1106" spans="1:11" x14ac:dyDescent="0.2">
      <c r="A1106">
        <v>1602130</v>
      </c>
      <c r="B1106">
        <v>2016</v>
      </c>
      <c r="C1106">
        <v>111</v>
      </c>
      <c r="D1106" t="s">
        <v>428</v>
      </c>
      <c r="E1106" t="s">
        <v>429</v>
      </c>
      <c r="F1106" t="s">
        <v>433</v>
      </c>
      <c r="G1106" t="s">
        <v>67</v>
      </c>
      <c r="H1106" t="s">
        <v>67</v>
      </c>
      <c r="I1106" s="5">
        <v>1479879</v>
      </c>
      <c r="J1106">
        <f>IFERROR(VLOOKUP(G1106,'LEAID Match'!$A$2:$B$183,2,FALSE),"")</f>
        <v>1602130</v>
      </c>
      <c r="K1106">
        <f t="shared" si="17"/>
        <v>9</v>
      </c>
    </row>
    <row r="1107" spans="1:11" x14ac:dyDescent="0.2">
      <c r="A1107">
        <v>1602130</v>
      </c>
      <c r="B1107">
        <v>2017</v>
      </c>
      <c r="C1107">
        <v>111</v>
      </c>
      <c r="D1107" t="s">
        <v>428</v>
      </c>
      <c r="E1107" t="s">
        <v>429</v>
      </c>
      <c r="F1107" t="s">
        <v>433</v>
      </c>
      <c r="G1107" t="s">
        <v>67</v>
      </c>
      <c r="H1107" t="s">
        <v>67</v>
      </c>
      <c r="I1107" s="5">
        <v>1559316</v>
      </c>
      <c r="J1107">
        <f>IFERROR(VLOOKUP(G1107,'LEAID Match'!$A$2:$B$183,2,FALSE),"")</f>
        <v>1602130</v>
      </c>
      <c r="K1107">
        <f t="shared" si="17"/>
        <v>9</v>
      </c>
    </row>
    <row r="1108" spans="1:11" x14ac:dyDescent="0.2">
      <c r="A1108">
        <v>1602130</v>
      </c>
      <c r="B1108">
        <v>2018</v>
      </c>
      <c r="C1108">
        <v>111</v>
      </c>
      <c r="D1108" t="s">
        <v>428</v>
      </c>
      <c r="E1108" t="s">
        <v>429</v>
      </c>
      <c r="F1108" t="s">
        <v>433</v>
      </c>
      <c r="G1108" t="s">
        <v>67</v>
      </c>
      <c r="H1108" t="s">
        <v>67</v>
      </c>
      <c r="I1108" s="5">
        <v>1661056</v>
      </c>
      <c r="J1108">
        <f>IFERROR(VLOOKUP(G1108,'LEAID Match'!$A$2:$B$183,2,FALSE),"")</f>
        <v>1602130</v>
      </c>
      <c r="K1108">
        <f t="shared" si="17"/>
        <v>9</v>
      </c>
    </row>
    <row r="1109" spans="1:11" x14ac:dyDescent="0.2">
      <c r="A1109">
        <v>1602130</v>
      </c>
      <c r="B1109">
        <v>2019</v>
      </c>
      <c r="C1109">
        <v>111</v>
      </c>
      <c r="D1109" t="s">
        <v>428</v>
      </c>
      <c r="E1109" t="s">
        <v>429</v>
      </c>
      <c r="F1109" t="s">
        <v>433</v>
      </c>
      <c r="G1109" t="s">
        <v>67</v>
      </c>
      <c r="H1109" t="s">
        <v>276</v>
      </c>
      <c r="I1109" s="5">
        <v>1742403</v>
      </c>
      <c r="J1109">
        <f>IFERROR(VLOOKUP(G1109,'LEAID Match'!$A$2:$B$183,2,FALSE),"")</f>
        <v>1602130</v>
      </c>
      <c r="K1109">
        <f t="shared" si="17"/>
        <v>9</v>
      </c>
    </row>
    <row r="1110" spans="1:11" x14ac:dyDescent="0.2">
      <c r="A1110">
        <v>1602130</v>
      </c>
      <c r="B1110">
        <v>2020</v>
      </c>
      <c r="C1110">
        <v>111</v>
      </c>
      <c r="D1110" t="s">
        <v>428</v>
      </c>
      <c r="E1110" t="s">
        <v>429</v>
      </c>
      <c r="F1110" t="s">
        <v>433</v>
      </c>
      <c r="G1110" t="s">
        <v>67</v>
      </c>
      <c r="H1110" t="s">
        <v>358</v>
      </c>
      <c r="I1110" s="5">
        <v>1915232</v>
      </c>
      <c r="J1110">
        <f>IFERROR(VLOOKUP(G1110,'LEAID Match'!$A$2:$B$183,2,FALSE),"")</f>
        <v>1602130</v>
      </c>
      <c r="K1110">
        <f t="shared" si="17"/>
        <v>9</v>
      </c>
    </row>
    <row r="1111" spans="1:11" x14ac:dyDescent="0.2">
      <c r="A1111">
        <v>1602130</v>
      </c>
      <c r="B1111">
        <v>2021</v>
      </c>
      <c r="C1111">
        <v>111</v>
      </c>
      <c r="D1111" t="s">
        <v>428</v>
      </c>
      <c r="E1111" t="s">
        <v>429</v>
      </c>
      <c r="F1111" t="s">
        <v>433</v>
      </c>
      <c r="G1111" t="s">
        <v>67</v>
      </c>
      <c r="H1111" t="s">
        <v>276</v>
      </c>
      <c r="I1111" s="5">
        <v>1924777</v>
      </c>
      <c r="J1111">
        <f>IFERROR(VLOOKUP(G1111,'LEAID Match'!$A$2:$B$183,2,FALSE),"")</f>
        <v>1602130</v>
      </c>
      <c r="K1111">
        <f t="shared" si="17"/>
        <v>9</v>
      </c>
    </row>
    <row r="1112" spans="1:11" x14ac:dyDescent="0.2">
      <c r="A1112">
        <v>1602130</v>
      </c>
      <c r="B1112">
        <v>2022</v>
      </c>
      <c r="C1112">
        <v>111</v>
      </c>
      <c r="D1112" t="s">
        <v>428</v>
      </c>
      <c r="E1112" t="s">
        <v>429</v>
      </c>
      <c r="F1112" t="s">
        <v>433</v>
      </c>
      <c r="G1112" t="s">
        <v>67</v>
      </c>
      <c r="H1112" t="s">
        <v>276</v>
      </c>
      <c r="I1112" s="5">
        <v>2106537</v>
      </c>
      <c r="J1112">
        <f>IFERROR(VLOOKUP(G1112,'LEAID Match'!$A$2:$B$183,2,FALSE),"")</f>
        <v>1602130</v>
      </c>
      <c r="K1112">
        <f t="shared" si="17"/>
        <v>9</v>
      </c>
    </row>
    <row r="1113" spans="1:11" x14ac:dyDescent="0.2">
      <c r="A1113">
        <v>1602130</v>
      </c>
      <c r="B1113">
        <v>2023</v>
      </c>
      <c r="C1113">
        <v>111</v>
      </c>
      <c r="D1113" t="s">
        <v>428</v>
      </c>
      <c r="E1113" t="s">
        <v>429</v>
      </c>
      <c r="F1113" t="s">
        <v>433</v>
      </c>
      <c r="G1113" t="s">
        <v>67</v>
      </c>
      <c r="H1113" t="s">
        <v>276</v>
      </c>
      <c r="I1113" s="5">
        <v>2397421</v>
      </c>
      <c r="J1113">
        <f>IFERROR(VLOOKUP(G1113,'LEAID Match'!$A$2:$B$183,2,FALSE),"")</f>
        <v>1602130</v>
      </c>
      <c r="K1113">
        <f t="shared" si="17"/>
        <v>9</v>
      </c>
    </row>
    <row r="1114" spans="1:11" x14ac:dyDescent="0.2">
      <c r="A1114">
        <v>1602160</v>
      </c>
      <c r="B1114">
        <v>2015</v>
      </c>
      <c r="C1114">
        <v>112</v>
      </c>
      <c r="D1114" t="s">
        <v>428</v>
      </c>
      <c r="E1114" t="s">
        <v>429</v>
      </c>
      <c r="F1114" t="s">
        <v>433</v>
      </c>
      <c r="G1114" t="s">
        <v>68</v>
      </c>
      <c r="H1114" t="s">
        <v>68</v>
      </c>
      <c r="I1114" s="5">
        <v>92244</v>
      </c>
      <c r="J1114">
        <f>IFERROR(VLOOKUP(G1114,'LEAID Match'!$A$2:$B$183,2,FALSE),"")</f>
        <v>1602160</v>
      </c>
      <c r="K1114">
        <f t="shared" si="17"/>
        <v>9</v>
      </c>
    </row>
    <row r="1115" spans="1:11" x14ac:dyDescent="0.2">
      <c r="A1115">
        <v>1602160</v>
      </c>
      <c r="B1115">
        <v>2016</v>
      </c>
      <c r="C1115">
        <v>112</v>
      </c>
      <c r="D1115" t="s">
        <v>428</v>
      </c>
      <c r="E1115" t="s">
        <v>429</v>
      </c>
      <c r="F1115" t="s">
        <v>433</v>
      </c>
      <c r="G1115" t="s">
        <v>68</v>
      </c>
      <c r="H1115" t="s">
        <v>68</v>
      </c>
      <c r="I1115" s="5">
        <v>85297</v>
      </c>
      <c r="J1115">
        <f>IFERROR(VLOOKUP(G1115,'LEAID Match'!$A$2:$B$183,2,FALSE),"")</f>
        <v>1602160</v>
      </c>
      <c r="K1115">
        <f t="shared" si="17"/>
        <v>9</v>
      </c>
    </row>
    <row r="1116" spans="1:11" x14ac:dyDescent="0.2">
      <c r="A1116">
        <v>1602160</v>
      </c>
      <c r="B1116">
        <v>2017</v>
      </c>
      <c r="C1116">
        <v>112</v>
      </c>
      <c r="D1116" t="s">
        <v>428</v>
      </c>
      <c r="E1116" t="s">
        <v>429</v>
      </c>
      <c r="F1116" t="s">
        <v>433</v>
      </c>
      <c r="G1116" t="s">
        <v>68</v>
      </c>
      <c r="H1116" t="s">
        <v>68</v>
      </c>
      <c r="I1116" s="5">
        <v>88588</v>
      </c>
      <c r="J1116">
        <f>IFERROR(VLOOKUP(G1116,'LEAID Match'!$A$2:$B$183,2,FALSE),"")</f>
        <v>1602160</v>
      </c>
      <c r="K1116">
        <f t="shared" si="17"/>
        <v>9</v>
      </c>
    </row>
    <row r="1117" spans="1:11" x14ac:dyDescent="0.2">
      <c r="A1117">
        <v>1602160</v>
      </c>
      <c r="B1117">
        <v>2018</v>
      </c>
      <c r="C1117">
        <v>112</v>
      </c>
      <c r="D1117" t="s">
        <v>428</v>
      </c>
      <c r="E1117" t="s">
        <v>429</v>
      </c>
      <c r="F1117" t="s">
        <v>433</v>
      </c>
      <c r="G1117" t="s">
        <v>68</v>
      </c>
      <c r="H1117" t="s">
        <v>68</v>
      </c>
      <c r="I1117" s="5">
        <v>91320</v>
      </c>
      <c r="J1117">
        <f>IFERROR(VLOOKUP(G1117,'LEAID Match'!$A$2:$B$183,2,FALSE),"")</f>
        <v>1602160</v>
      </c>
      <c r="K1117">
        <f t="shared" si="17"/>
        <v>9</v>
      </c>
    </row>
    <row r="1118" spans="1:11" x14ac:dyDescent="0.2">
      <c r="A1118">
        <v>1602160</v>
      </c>
      <c r="B1118">
        <v>2019</v>
      </c>
      <c r="C1118">
        <v>112</v>
      </c>
      <c r="D1118" t="s">
        <v>428</v>
      </c>
      <c r="E1118" t="s">
        <v>429</v>
      </c>
      <c r="F1118" t="s">
        <v>433</v>
      </c>
      <c r="G1118" t="s">
        <v>68</v>
      </c>
      <c r="H1118" t="s">
        <v>277</v>
      </c>
      <c r="I1118" s="5">
        <v>101913</v>
      </c>
      <c r="J1118">
        <f>IFERROR(VLOOKUP(G1118,'LEAID Match'!$A$2:$B$183,2,FALSE),"")</f>
        <v>1602160</v>
      </c>
      <c r="K1118">
        <f t="shared" si="17"/>
        <v>9</v>
      </c>
    </row>
    <row r="1119" spans="1:11" x14ac:dyDescent="0.2">
      <c r="A1119">
        <v>1602160</v>
      </c>
      <c r="B1119">
        <v>2020</v>
      </c>
      <c r="C1119">
        <v>112</v>
      </c>
      <c r="D1119" t="s">
        <v>428</v>
      </c>
      <c r="E1119" t="s">
        <v>429</v>
      </c>
      <c r="F1119" t="s">
        <v>433</v>
      </c>
      <c r="G1119" t="s">
        <v>68</v>
      </c>
      <c r="H1119" t="s">
        <v>277</v>
      </c>
      <c r="I1119" s="5">
        <v>110388</v>
      </c>
      <c r="J1119">
        <f>IFERROR(VLOOKUP(G1119,'LEAID Match'!$A$2:$B$183,2,FALSE),"")</f>
        <v>1602160</v>
      </c>
      <c r="K1119">
        <f t="shared" si="17"/>
        <v>9</v>
      </c>
    </row>
    <row r="1120" spans="1:11" x14ac:dyDescent="0.2">
      <c r="A1120">
        <v>1602160</v>
      </c>
      <c r="B1120">
        <v>2021</v>
      </c>
      <c r="C1120">
        <v>112</v>
      </c>
      <c r="D1120" t="s">
        <v>428</v>
      </c>
      <c r="E1120" t="s">
        <v>429</v>
      </c>
      <c r="F1120" t="s">
        <v>433</v>
      </c>
      <c r="G1120" t="s">
        <v>68</v>
      </c>
      <c r="H1120" t="s">
        <v>68</v>
      </c>
      <c r="I1120" s="5">
        <v>125017</v>
      </c>
      <c r="J1120">
        <f>IFERROR(VLOOKUP(G1120,'LEAID Match'!$A$2:$B$183,2,FALSE),"")</f>
        <v>1602160</v>
      </c>
      <c r="K1120">
        <f t="shared" si="17"/>
        <v>9</v>
      </c>
    </row>
    <row r="1121" spans="1:11" x14ac:dyDescent="0.2">
      <c r="A1121">
        <v>1602160</v>
      </c>
      <c r="B1121">
        <v>2022</v>
      </c>
      <c r="C1121">
        <v>112</v>
      </c>
      <c r="D1121" t="s">
        <v>428</v>
      </c>
      <c r="E1121" t="s">
        <v>429</v>
      </c>
      <c r="F1121" t="s">
        <v>433</v>
      </c>
      <c r="G1121" t="s">
        <v>68</v>
      </c>
      <c r="H1121" t="s">
        <v>277</v>
      </c>
      <c r="I1121" s="5">
        <v>131074</v>
      </c>
      <c r="J1121">
        <f>IFERROR(VLOOKUP(G1121,'LEAID Match'!$A$2:$B$183,2,FALSE),"")</f>
        <v>1602160</v>
      </c>
      <c r="K1121">
        <f t="shared" si="17"/>
        <v>9</v>
      </c>
    </row>
    <row r="1122" spans="1:11" x14ac:dyDescent="0.2">
      <c r="A1122">
        <v>1602160</v>
      </c>
      <c r="B1122">
        <v>2023</v>
      </c>
      <c r="C1122">
        <v>112</v>
      </c>
      <c r="D1122" t="s">
        <v>428</v>
      </c>
      <c r="E1122" t="s">
        <v>429</v>
      </c>
      <c r="F1122" t="s">
        <v>433</v>
      </c>
      <c r="G1122" t="s">
        <v>68</v>
      </c>
      <c r="H1122" t="s">
        <v>277</v>
      </c>
      <c r="I1122" s="5">
        <v>129413</v>
      </c>
      <c r="J1122">
        <f>IFERROR(VLOOKUP(G1122,'LEAID Match'!$A$2:$B$183,2,FALSE),"")</f>
        <v>1602160</v>
      </c>
      <c r="K1122">
        <f t="shared" si="17"/>
        <v>9</v>
      </c>
    </row>
    <row r="1123" spans="1:11" x14ac:dyDescent="0.2">
      <c r="A1123">
        <v>1602190</v>
      </c>
      <c r="B1123">
        <v>2015</v>
      </c>
      <c r="C1123">
        <v>113</v>
      </c>
      <c r="D1123" t="s">
        <v>428</v>
      </c>
      <c r="E1123" t="s">
        <v>429</v>
      </c>
      <c r="F1123" t="s">
        <v>433</v>
      </c>
      <c r="G1123" t="s">
        <v>69</v>
      </c>
      <c r="H1123" t="s">
        <v>69</v>
      </c>
      <c r="I1123" s="5">
        <v>1675091</v>
      </c>
      <c r="J1123">
        <f>IFERROR(VLOOKUP(G1123,'LEAID Match'!$A$2:$B$183,2,FALSE),"")</f>
        <v>1602190</v>
      </c>
      <c r="K1123">
        <f t="shared" si="17"/>
        <v>9</v>
      </c>
    </row>
    <row r="1124" spans="1:11" x14ac:dyDescent="0.2">
      <c r="A1124">
        <v>1602190</v>
      </c>
      <c r="B1124">
        <v>2016</v>
      </c>
      <c r="C1124">
        <v>113</v>
      </c>
      <c r="D1124" t="s">
        <v>428</v>
      </c>
      <c r="E1124" t="s">
        <v>429</v>
      </c>
      <c r="F1124" t="s">
        <v>433</v>
      </c>
      <c r="G1124" t="s">
        <v>69</v>
      </c>
      <c r="H1124" t="s">
        <v>69</v>
      </c>
      <c r="I1124" s="5">
        <v>1749133</v>
      </c>
      <c r="J1124">
        <f>IFERROR(VLOOKUP(G1124,'LEAID Match'!$A$2:$B$183,2,FALSE),"")</f>
        <v>1602190</v>
      </c>
      <c r="K1124">
        <f t="shared" si="17"/>
        <v>9</v>
      </c>
    </row>
    <row r="1125" spans="1:11" x14ac:dyDescent="0.2">
      <c r="A1125">
        <v>1602190</v>
      </c>
      <c r="B1125">
        <v>2017</v>
      </c>
      <c r="C1125">
        <v>113</v>
      </c>
      <c r="D1125" t="s">
        <v>428</v>
      </c>
      <c r="E1125" t="s">
        <v>429</v>
      </c>
      <c r="F1125" t="s">
        <v>433</v>
      </c>
      <c r="G1125" t="s">
        <v>69</v>
      </c>
      <c r="H1125" t="s">
        <v>69</v>
      </c>
      <c r="I1125" s="5">
        <v>1844185</v>
      </c>
      <c r="J1125">
        <f>IFERROR(VLOOKUP(G1125,'LEAID Match'!$A$2:$B$183,2,FALSE),"")</f>
        <v>1602190</v>
      </c>
      <c r="K1125">
        <f t="shared" si="17"/>
        <v>9</v>
      </c>
    </row>
    <row r="1126" spans="1:11" x14ac:dyDescent="0.2">
      <c r="A1126">
        <v>1602190</v>
      </c>
      <c r="B1126">
        <v>2018</v>
      </c>
      <c r="C1126">
        <v>113</v>
      </c>
      <c r="D1126" t="s">
        <v>428</v>
      </c>
      <c r="E1126" t="s">
        <v>429</v>
      </c>
      <c r="F1126" t="s">
        <v>433</v>
      </c>
      <c r="G1126" t="s">
        <v>69</v>
      </c>
      <c r="H1126" t="s">
        <v>69</v>
      </c>
      <c r="I1126" s="5">
        <v>1938079</v>
      </c>
      <c r="J1126">
        <f>IFERROR(VLOOKUP(G1126,'LEAID Match'!$A$2:$B$183,2,FALSE),"")</f>
        <v>1602190</v>
      </c>
      <c r="K1126">
        <f t="shared" si="17"/>
        <v>9</v>
      </c>
    </row>
    <row r="1127" spans="1:11" x14ac:dyDescent="0.2">
      <c r="A1127">
        <v>1602190</v>
      </c>
      <c r="B1127">
        <v>2019</v>
      </c>
      <c r="C1127">
        <v>113</v>
      </c>
      <c r="D1127" t="s">
        <v>428</v>
      </c>
      <c r="E1127" t="s">
        <v>429</v>
      </c>
      <c r="F1127" t="s">
        <v>433</v>
      </c>
      <c r="G1127" t="s">
        <v>69</v>
      </c>
      <c r="H1127" t="s">
        <v>278</v>
      </c>
      <c r="I1127" s="5">
        <v>2069035</v>
      </c>
      <c r="J1127">
        <f>IFERROR(VLOOKUP(G1127,'LEAID Match'!$A$2:$B$183,2,FALSE),"")</f>
        <v>1602190</v>
      </c>
      <c r="K1127">
        <f t="shared" si="17"/>
        <v>9</v>
      </c>
    </row>
    <row r="1128" spans="1:11" x14ac:dyDescent="0.2">
      <c r="A1128">
        <v>1602190</v>
      </c>
      <c r="B1128">
        <v>2020</v>
      </c>
      <c r="C1128">
        <v>113</v>
      </c>
      <c r="D1128" t="s">
        <v>428</v>
      </c>
      <c r="E1128" t="s">
        <v>429</v>
      </c>
      <c r="F1128" t="s">
        <v>433</v>
      </c>
      <c r="G1128" t="s">
        <v>69</v>
      </c>
      <c r="H1128" t="s">
        <v>359</v>
      </c>
      <c r="I1128" s="5">
        <v>2281087</v>
      </c>
      <c r="J1128">
        <f>IFERROR(VLOOKUP(G1128,'LEAID Match'!$A$2:$B$183,2,FALSE),"")</f>
        <v>1602190</v>
      </c>
      <c r="K1128">
        <f t="shared" si="17"/>
        <v>9</v>
      </c>
    </row>
    <row r="1129" spans="1:11" x14ac:dyDescent="0.2">
      <c r="A1129">
        <v>1602190</v>
      </c>
      <c r="B1129">
        <v>2021</v>
      </c>
      <c r="C1129">
        <v>113</v>
      </c>
      <c r="D1129" t="s">
        <v>428</v>
      </c>
      <c r="E1129" t="s">
        <v>429</v>
      </c>
      <c r="F1129" t="s">
        <v>433</v>
      </c>
      <c r="G1129" t="s">
        <v>69</v>
      </c>
      <c r="H1129" t="s">
        <v>278</v>
      </c>
      <c r="I1129" s="5">
        <v>2398109</v>
      </c>
      <c r="J1129">
        <f>IFERROR(VLOOKUP(G1129,'LEAID Match'!$A$2:$B$183,2,FALSE),"")</f>
        <v>1602190</v>
      </c>
      <c r="K1129">
        <f t="shared" si="17"/>
        <v>9</v>
      </c>
    </row>
    <row r="1130" spans="1:11" x14ac:dyDescent="0.2">
      <c r="A1130">
        <v>1602190</v>
      </c>
      <c r="B1130">
        <v>2022</v>
      </c>
      <c r="C1130">
        <v>113</v>
      </c>
      <c r="D1130" t="s">
        <v>428</v>
      </c>
      <c r="E1130" t="s">
        <v>429</v>
      </c>
      <c r="F1130" t="s">
        <v>433</v>
      </c>
      <c r="G1130" t="s">
        <v>69</v>
      </c>
      <c r="H1130" t="s">
        <v>278</v>
      </c>
      <c r="I1130" s="5">
        <v>2536373</v>
      </c>
      <c r="J1130">
        <f>IFERROR(VLOOKUP(G1130,'LEAID Match'!$A$2:$B$183,2,FALSE),"")</f>
        <v>1602190</v>
      </c>
      <c r="K1130">
        <f t="shared" si="17"/>
        <v>9</v>
      </c>
    </row>
    <row r="1131" spans="1:11" x14ac:dyDescent="0.2">
      <c r="A1131">
        <v>1602190</v>
      </c>
      <c r="B1131">
        <v>2023</v>
      </c>
      <c r="C1131">
        <v>113</v>
      </c>
      <c r="D1131" t="s">
        <v>428</v>
      </c>
      <c r="E1131" t="s">
        <v>429</v>
      </c>
      <c r="F1131" t="s">
        <v>433</v>
      </c>
      <c r="G1131" t="s">
        <v>69</v>
      </c>
      <c r="H1131" t="s">
        <v>359</v>
      </c>
      <c r="I1131" s="5">
        <v>2653407</v>
      </c>
      <c r="J1131">
        <f>IFERROR(VLOOKUP(G1131,'LEAID Match'!$A$2:$B$183,2,FALSE),"")</f>
        <v>1602190</v>
      </c>
      <c r="K1131">
        <f t="shared" si="17"/>
        <v>9</v>
      </c>
    </row>
    <row r="1132" spans="1:11" x14ac:dyDescent="0.2">
      <c r="A1132">
        <v>1602220</v>
      </c>
      <c r="B1132">
        <v>2015</v>
      </c>
      <c r="C1132">
        <v>117</v>
      </c>
      <c r="D1132" t="s">
        <v>428</v>
      </c>
      <c r="E1132" t="s">
        <v>429</v>
      </c>
      <c r="F1132" t="s">
        <v>433</v>
      </c>
      <c r="G1132" t="s">
        <v>70</v>
      </c>
      <c r="H1132" t="s">
        <v>70</v>
      </c>
      <c r="I1132" s="5">
        <v>1688610</v>
      </c>
      <c r="J1132">
        <f>IFERROR(VLOOKUP(G1132,'LEAID Match'!$A$2:$B$183,2,FALSE),"")</f>
        <v>1602220</v>
      </c>
      <c r="K1132">
        <f t="shared" si="17"/>
        <v>9</v>
      </c>
    </row>
    <row r="1133" spans="1:11" x14ac:dyDescent="0.2">
      <c r="A1133">
        <v>1602220</v>
      </c>
      <c r="B1133">
        <v>2016</v>
      </c>
      <c r="C1133">
        <v>117</v>
      </c>
      <c r="D1133" t="s">
        <v>428</v>
      </c>
      <c r="E1133" t="s">
        <v>429</v>
      </c>
      <c r="F1133" t="s">
        <v>433</v>
      </c>
      <c r="G1133" t="s">
        <v>70</v>
      </c>
      <c r="H1133" t="s">
        <v>70</v>
      </c>
      <c r="I1133" s="5">
        <v>1754455</v>
      </c>
      <c r="J1133">
        <f>IFERROR(VLOOKUP(G1133,'LEAID Match'!$A$2:$B$183,2,FALSE),"")</f>
        <v>1602220</v>
      </c>
      <c r="K1133">
        <f t="shared" si="17"/>
        <v>9</v>
      </c>
    </row>
    <row r="1134" spans="1:11" x14ac:dyDescent="0.2">
      <c r="A1134">
        <v>1602220</v>
      </c>
      <c r="B1134">
        <v>2017</v>
      </c>
      <c r="C1134">
        <v>117</v>
      </c>
      <c r="D1134" t="s">
        <v>428</v>
      </c>
      <c r="E1134" t="s">
        <v>429</v>
      </c>
      <c r="F1134" t="s">
        <v>433</v>
      </c>
      <c r="G1134" t="s">
        <v>70</v>
      </c>
      <c r="H1134" t="s">
        <v>70</v>
      </c>
      <c r="I1134" s="5">
        <v>1853247</v>
      </c>
      <c r="J1134">
        <f>IFERROR(VLOOKUP(G1134,'LEAID Match'!$A$2:$B$183,2,FALSE),"")</f>
        <v>1602220</v>
      </c>
      <c r="K1134">
        <f t="shared" si="17"/>
        <v>9</v>
      </c>
    </row>
    <row r="1135" spans="1:11" x14ac:dyDescent="0.2">
      <c r="A1135">
        <v>1602220</v>
      </c>
      <c r="B1135">
        <v>2018</v>
      </c>
      <c r="C1135">
        <v>117</v>
      </c>
      <c r="D1135" t="s">
        <v>428</v>
      </c>
      <c r="E1135" t="s">
        <v>429</v>
      </c>
      <c r="F1135" t="s">
        <v>433</v>
      </c>
      <c r="G1135" t="s">
        <v>70</v>
      </c>
      <c r="H1135" t="s">
        <v>70</v>
      </c>
      <c r="I1135" s="5">
        <v>1941996</v>
      </c>
      <c r="J1135">
        <f>IFERROR(VLOOKUP(G1135,'LEAID Match'!$A$2:$B$183,2,FALSE),"")</f>
        <v>1602220</v>
      </c>
      <c r="K1135">
        <f t="shared" si="17"/>
        <v>9</v>
      </c>
    </row>
    <row r="1136" spans="1:11" x14ac:dyDescent="0.2">
      <c r="A1136">
        <v>1602220</v>
      </c>
      <c r="B1136">
        <v>2019</v>
      </c>
      <c r="C1136">
        <v>117</v>
      </c>
      <c r="D1136" t="s">
        <v>428</v>
      </c>
      <c r="E1136" t="s">
        <v>429</v>
      </c>
      <c r="F1136" t="s">
        <v>433</v>
      </c>
      <c r="G1136" t="s">
        <v>70</v>
      </c>
      <c r="H1136" t="s">
        <v>279</v>
      </c>
      <c r="I1136" s="5">
        <v>1783053</v>
      </c>
      <c r="J1136">
        <f>IFERROR(VLOOKUP(G1136,'LEAID Match'!$A$2:$B$183,2,FALSE),"")</f>
        <v>1602220</v>
      </c>
      <c r="K1136">
        <f t="shared" si="17"/>
        <v>9</v>
      </c>
    </row>
    <row r="1137" spans="1:11" x14ac:dyDescent="0.2">
      <c r="A1137">
        <v>1602220</v>
      </c>
      <c r="B1137">
        <v>2020</v>
      </c>
      <c r="C1137">
        <v>117</v>
      </c>
      <c r="D1137" t="s">
        <v>428</v>
      </c>
      <c r="E1137" t="s">
        <v>429</v>
      </c>
      <c r="F1137" t="s">
        <v>433</v>
      </c>
      <c r="G1137" t="s">
        <v>70</v>
      </c>
      <c r="H1137" t="s">
        <v>279</v>
      </c>
      <c r="I1137" s="5">
        <v>1983125</v>
      </c>
      <c r="J1137">
        <f>IFERROR(VLOOKUP(G1137,'LEAID Match'!$A$2:$B$183,2,FALSE),"")</f>
        <v>1602220</v>
      </c>
      <c r="K1137">
        <f t="shared" si="17"/>
        <v>9</v>
      </c>
    </row>
    <row r="1138" spans="1:11" x14ac:dyDescent="0.2">
      <c r="A1138">
        <v>1602220</v>
      </c>
      <c r="B1138">
        <v>2021</v>
      </c>
      <c r="C1138">
        <v>117</v>
      </c>
      <c r="D1138" t="s">
        <v>428</v>
      </c>
      <c r="E1138" t="s">
        <v>429</v>
      </c>
      <c r="F1138" t="s">
        <v>433</v>
      </c>
      <c r="G1138" t="s">
        <v>70</v>
      </c>
      <c r="H1138" t="s">
        <v>70</v>
      </c>
      <c r="I1138" s="5">
        <v>2011062</v>
      </c>
      <c r="J1138">
        <f>IFERROR(VLOOKUP(G1138,'LEAID Match'!$A$2:$B$183,2,FALSE),"")</f>
        <v>1602220</v>
      </c>
      <c r="K1138">
        <f t="shared" si="17"/>
        <v>9</v>
      </c>
    </row>
    <row r="1139" spans="1:11" x14ac:dyDescent="0.2">
      <c r="A1139">
        <v>1602220</v>
      </c>
      <c r="B1139">
        <v>2022</v>
      </c>
      <c r="C1139">
        <v>117</v>
      </c>
      <c r="D1139" t="s">
        <v>428</v>
      </c>
      <c r="E1139" t="s">
        <v>429</v>
      </c>
      <c r="F1139" t="s">
        <v>433</v>
      </c>
      <c r="G1139" t="s">
        <v>70</v>
      </c>
      <c r="H1139" t="s">
        <v>279</v>
      </c>
      <c r="I1139" s="5">
        <v>2096248</v>
      </c>
      <c r="J1139">
        <f>IFERROR(VLOOKUP(G1139,'LEAID Match'!$A$2:$B$183,2,FALSE),"")</f>
        <v>1602220</v>
      </c>
      <c r="K1139">
        <f t="shared" si="17"/>
        <v>9</v>
      </c>
    </row>
    <row r="1140" spans="1:11" x14ac:dyDescent="0.2">
      <c r="A1140">
        <v>1602220</v>
      </c>
      <c r="B1140">
        <v>2023</v>
      </c>
      <c r="C1140">
        <v>117</v>
      </c>
      <c r="D1140" t="s">
        <v>428</v>
      </c>
      <c r="E1140" t="s">
        <v>429</v>
      </c>
      <c r="F1140" t="s">
        <v>433</v>
      </c>
      <c r="G1140" t="s">
        <v>70</v>
      </c>
      <c r="H1140" t="s">
        <v>279</v>
      </c>
      <c r="I1140" s="5">
        <v>2121089</v>
      </c>
      <c r="J1140">
        <f>IFERROR(VLOOKUP(G1140,'LEAID Match'!$A$2:$B$183,2,FALSE),"")</f>
        <v>1602220</v>
      </c>
      <c r="K1140">
        <f t="shared" si="17"/>
        <v>9</v>
      </c>
    </row>
    <row r="1141" spans="1:11" x14ac:dyDescent="0.2">
      <c r="A1141">
        <v>1602250</v>
      </c>
      <c r="B1141">
        <v>2015</v>
      </c>
      <c r="C1141">
        <v>119</v>
      </c>
      <c r="D1141" t="s">
        <v>428</v>
      </c>
      <c r="E1141" t="s">
        <v>429</v>
      </c>
      <c r="F1141" t="s">
        <v>433</v>
      </c>
      <c r="G1141" t="s">
        <v>71</v>
      </c>
      <c r="H1141" t="s">
        <v>71</v>
      </c>
      <c r="I1141" s="5">
        <v>1572710</v>
      </c>
      <c r="J1141">
        <f>IFERROR(VLOOKUP(G1141,'LEAID Match'!$A$2:$B$183,2,FALSE),"")</f>
        <v>1602250</v>
      </c>
      <c r="K1141">
        <f t="shared" si="17"/>
        <v>9</v>
      </c>
    </row>
    <row r="1142" spans="1:11" x14ac:dyDescent="0.2">
      <c r="A1142">
        <v>1602250</v>
      </c>
      <c r="B1142">
        <v>2016</v>
      </c>
      <c r="C1142">
        <v>119</v>
      </c>
      <c r="D1142" t="s">
        <v>428</v>
      </c>
      <c r="E1142" t="s">
        <v>429</v>
      </c>
      <c r="F1142" t="s">
        <v>433</v>
      </c>
      <c r="G1142" t="s">
        <v>71</v>
      </c>
      <c r="H1142" t="s">
        <v>71</v>
      </c>
      <c r="I1142" s="5">
        <v>1604526</v>
      </c>
      <c r="J1142">
        <f>IFERROR(VLOOKUP(G1142,'LEAID Match'!$A$2:$B$183,2,FALSE),"")</f>
        <v>1602250</v>
      </c>
      <c r="K1142">
        <f t="shared" si="17"/>
        <v>9</v>
      </c>
    </row>
    <row r="1143" spans="1:11" x14ac:dyDescent="0.2">
      <c r="A1143">
        <v>1602250</v>
      </c>
      <c r="B1143">
        <v>2017</v>
      </c>
      <c r="C1143">
        <v>119</v>
      </c>
      <c r="D1143" t="s">
        <v>428</v>
      </c>
      <c r="E1143" t="s">
        <v>429</v>
      </c>
      <c r="F1143" t="s">
        <v>433</v>
      </c>
      <c r="G1143" t="s">
        <v>71</v>
      </c>
      <c r="H1143" t="s">
        <v>71</v>
      </c>
      <c r="I1143" s="5">
        <v>1652616</v>
      </c>
      <c r="J1143">
        <f>IFERROR(VLOOKUP(G1143,'LEAID Match'!$A$2:$B$183,2,FALSE),"")</f>
        <v>1602250</v>
      </c>
      <c r="K1143">
        <f t="shared" si="17"/>
        <v>9</v>
      </c>
    </row>
    <row r="1144" spans="1:11" x14ac:dyDescent="0.2">
      <c r="A1144">
        <v>1602250</v>
      </c>
      <c r="B1144">
        <v>2018</v>
      </c>
      <c r="C1144">
        <v>119</v>
      </c>
      <c r="D1144" t="s">
        <v>428</v>
      </c>
      <c r="E1144" t="s">
        <v>429</v>
      </c>
      <c r="F1144" t="s">
        <v>433</v>
      </c>
      <c r="G1144" t="s">
        <v>71</v>
      </c>
      <c r="H1144" t="s">
        <v>71</v>
      </c>
      <c r="I1144" s="5">
        <v>1685203</v>
      </c>
      <c r="J1144">
        <f>IFERROR(VLOOKUP(G1144,'LEAID Match'!$A$2:$B$183,2,FALSE),"")</f>
        <v>1602250</v>
      </c>
      <c r="K1144">
        <f t="shared" si="17"/>
        <v>9</v>
      </c>
    </row>
    <row r="1145" spans="1:11" x14ac:dyDescent="0.2">
      <c r="A1145">
        <v>1602250</v>
      </c>
      <c r="B1145">
        <v>2019</v>
      </c>
      <c r="C1145">
        <v>119</v>
      </c>
      <c r="D1145" t="s">
        <v>428</v>
      </c>
      <c r="E1145" t="s">
        <v>429</v>
      </c>
      <c r="F1145" t="s">
        <v>433</v>
      </c>
      <c r="G1145" t="s">
        <v>71</v>
      </c>
      <c r="H1145" t="s">
        <v>280</v>
      </c>
      <c r="I1145" s="5">
        <v>1715605</v>
      </c>
      <c r="J1145">
        <f>IFERROR(VLOOKUP(G1145,'LEAID Match'!$A$2:$B$183,2,FALSE),"")</f>
        <v>1602250</v>
      </c>
      <c r="K1145">
        <f t="shared" si="17"/>
        <v>9</v>
      </c>
    </row>
    <row r="1146" spans="1:11" x14ac:dyDescent="0.2">
      <c r="A1146">
        <v>1602250</v>
      </c>
      <c r="B1146">
        <v>2020</v>
      </c>
      <c r="C1146">
        <v>119</v>
      </c>
      <c r="D1146" t="s">
        <v>428</v>
      </c>
      <c r="E1146" t="s">
        <v>429</v>
      </c>
      <c r="F1146" t="s">
        <v>433</v>
      </c>
      <c r="G1146" t="s">
        <v>71</v>
      </c>
      <c r="H1146" t="s">
        <v>360</v>
      </c>
      <c r="I1146" s="5">
        <v>1892070</v>
      </c>
      <c r="J1146">
        <f>IFERROR(VLOOKUP(G1146,'LEAID Match'!$A$2:$B$183,2,FALSE),"")</f>
        <v>1602250</v>
      </c>
      <c r="K1146">
        <f t="shared" si="17"/>
        <v>9</v>
      </c>
    </row>
    <row r="1147" spans="1:11" x14ac:dyDescent="0.2">
      <c r="A1147">
        <v>1602250</v>
      </c>
      <c r="B1147">
        <v>2021</v>
      </c>
      <c r="C1147">
        <v>119</v>
      </c>
      <c r="D1147" t="s">
        <v>428</v>
      </c>
      <c r="E1147" t="s">
        <v>429</v>
      </c>
      <c r="F1147" t="s">
        <v>433</v>
      </c>
      <c r="G1147" t="s">
        <v>71</v>
      </c>
      <c r="H1147" t="s">
        <v>280</v>
      </c>
      <c r="I1147" s="5">
        <v>1989052</v>
      </c>
      <c r="J1147">
        <f>IFERROR(VLOOKUP(G1147,'LEAID Match'!$A$2:$B$183,2,FALSE),"")</f>
        <v>1602250</v>
      </c>
      <c r="K1147">
        <f t="shared" si="17"/>
        <v>9</v>
      </c>
    </row>
    <row r="1148" spans="1:11" x14ac:dyDescent="0.2">
      <c r="A1148">
        <v>1602250</v>
      </c>
      <c r="B1148">
        <v>2022</v>
      </c>
      <c r="C1148">
        <v>119</v>
      </c>
      <c r="D1148" t="s">
        <v>428</v>
      </c>
      <c r="E1148" t="s">
        <v>429</v>
      </c>
      <c r="F1148" t="s">
        <v>433</v>
      </c>
      <c r="G1148" t="s">
        <v>71</v>
      </c>
      <c r="H1148" t="s">
        <v>280</v>
      </c>
      <c r="I1148" s="5">
        <v>2091765</v>
      </c>
      <c r="J1148">
        <f>IFERROR(VLOOKUP(G1148,'LEAID Match'!$A$2:$B$183,2,FALSE),"")</f>
        <v>1602250</v>
      </c>
      <c r="K1148">
        <f t="shared" si="17"/>
        <v>9</v>
      </c>
    </row>
    <row r="1149" spans="1:11" x14ac:dyDescent="0.2">
      <c r="A1149">
        <v>1602250</v>
      </c>
      <c r="B1149">
        <v>2023</v>
      </c>
      <c r="C1149">
        <v>119</v>
      </c>
      <c r="D1149" t="s">
        <v>428</v>
      </c>
      <c r="E1149" t="s">
        <v>429</v>
      </c>
      <c r="F1149" t="s">
        <v>433</v>
      </c>
      <c r="G1149" t="s">
        <v>71</v>
      </c>
      <c r="H1149" t="s">
        <v>280</v>
      </c>
      <c r="I1149" s="5">
        <v>2273918</v>
      </c>
      <c r="J1149">
        <f>IFERROR(VLOOKUP(G1149,'LEAID Match'!$A$2:$B$183,2,FALSE),"")</f>
        <v>1602250</v>
      </c>
      <c r="K1149">
        <f t="shared" si="17"/>
        <v>9</v>
      </c>
    </row>
    <row r="1150" spans="1:11" x14ac:dyDescent="0.2">
      <c r="A1150">
        <v>1602280</v>
      </c>
      <c r="B1150">
        <v>2015</v>
      </c>
      <c r="C1150">
        <v>121</v>
      </c>
      <c r="D1150" t="s">
        <v>428</v>
      </c>
      <c r="E1150" t="s">
        <v>429</v>
      </c>
      <c r="F1150" t="s">
        <v>433</v>
      </c>
      <c r="G1150" t="s">
        <v>73</v>
      </c>
      <c r="H1150" t="s">
        <v>73</v>
      </c>
      <c r="I1150" s="5">
        <v>127898</v>
      </c>
      <c r="J1150">
        <f>IFERROR(VLOOKUP(G1150,'LEAID Match'!$A$2:$B$183,2,FALSE),"")</f>
        <v>1602280</v>
      </c>
      <c r="K1150">
        <f t="shared" si="17"/>
        <v>9</v>
      </c>
    </row>
    <row r="1151" spans="1:11" x14ac:dyDescent="0.2">
      <c r="A1151">
        <v>1602280</v>
      </c>
      <c r="B1151">
        <v>2016</v>
      </c>
      <c r="C1151">
        <v>121</v>
      </c>
      <c r="D1151" t="s">
        <v>428</v>
      </c>
      <c r="E1151" t="s">
        <v>429</v>
      </c>
      <c r="F1151" t="s">
        <v>433</v>
      </c>
      <c r="G1151" t="s">
        <v>73</v>
      </c>
      <c r="H1151" t="s">
        <v>73</v>
      </c>
      <c r="I1151" s="5">
        <v>126562</v>
      </c>
      <c r="J1151">
        <f>IFERROR(VLOOKUP(G1151,'LEAID Match'!$A$2:$B$183,2,FALSE),"")</f>
        <v>1602280</v>
      </c>
      <c r="K1151">
        <f t="shared" si="17"/>
        <v>9</v>
      </c>
    </row>
    <row r="1152" spans="1:11" x14ac:dyDescent="0.2">
      <c r="A1152">
        <v>1602280</v>
      </c>
      <c r="B1152">
        <v>2017</v>
      </c>
      <c r="C1152">
        <v>121</v>
      </c>
      <c r="D1152" t="s">
        <v>428</v>
      </c>
      <c r="E1152" t="s">
        <v>429</v>
      </c>
      <c r="F1152" t="s">
        <v>433</v>
      </c>
      <c r="G1152" t="s">
        <v>73</v>
      </c>
      <c r="H1152" t="s">
        <v>73</v>
      </c>
      <c r="I1152" s="5">
        <v>127711</v>
      </c>
      <c r="J1152">
        <f>IFERROR(VLOOKUP(G1152,'LEAID Match'!$A$2:$B$183,2,FALSE),"")</f>
        <v>1602280</v>
      </c>
      <c r="K1152">
        <f t="shared" si="17"/>
        <v>9</v>
      </c>
    </row>
    <row r="1153" spans="1:11" x14ac:dyDescent="0.2">
      <c r="A1153">
        <v>1602280</v>
      </c>
      <c r="B1153">
        <v>2018</v>
      </c>
      <c r="C1153">
        <v>121</v>
      </c>
      <c r="D1153" t="s">
        <v>428</v>
      </c>
      <c r="E1153" t="s">
        <v>429</v>
      </c>
      <c r="F1153" t="s">
        <v>433</v>
      </c>
      <c r="G1153" t="s">
        <v>73</v>
      </c>
      <c r="H1153" t="s">
        <v>73</v>
      </c>
      <c r="I1153" s="5">
        <v>136528</v>
      </c>
      <c r="J1153">
        <f>IFERROR(VLOOKUP(G1153,'LEAID Match'!$A$2:$B$183,2,FALSE),"")</f>
        <v>1602280</v>
      </c>
      <c r="K1153">
        <f t="shared" si="17"/>
        <v>9</v>
      </c>
    </row>
    <row r="1154" spans="1:11" x14ac:dyDescent="0.2">
      <c r="A1154">
        <v>1602280</v>
      </c>
      <c r="B1154">
        <v>2019</v>
      </c>
      <c r="C1154">
        <v>121</v>
      </c>
      <c r="D1154" t="s">
        <v>428</v>
      </c>
      <c r="E1154" t="s">
        <v>429</v>
      </c>
      <c r="F1154" t="s">
        <v>433</v>
      </c>
      <c r="G1154" t="s">
        <v>73</v>
      </c>
      <c r="H1154" t="s">
        <v>281</v>
      </c>
      <c r="I1154" s="5">
        <v>141226</v>
      </c>
      <c r="J1154">
        <f>IFERROR(VLOOKUP(G1154,'LEAID Match'!$A$2:$B$183,2,FALSE),"")</f>
        <v>1602280</v>
      </c>
      <c r="K1154">
        <f t="shared" si="17"/>
        <v>9</v>
      </c>
    </row>
    <row r="1155" spans="1:11" x14ac:dyDescent="0.2">
      <c r="A1155">
        <v>1602280</v>
      </c>
      <c r="B1155">
        <v>2020</v>
      </c>
      <c r="C1155">
        <v>121</v>
      </c>
      <c r="D1155" t="s">
        <v>428</v>
      </c>
      <c r="E1155" t="s">
        <v>429</v>
      </c>
      <c r="F1155" t="s">
        <v>433</v>
      </c>
      <c r="G1155" t="s">
        <v>73</v>
      </c>
      <c r="H1155" t="s">
        <v>281</v>
      </c>
      <c r="I1155" s="5">
        <v>165062</v>
      </c>
      <c r="J1155">
        <f>IFERROR(VLOOKUP(G1155,'LEAID Match'!$A$2:$B$183,2,FALSE),"")</f>
        <v>1602280</v>
      </c>
      <c r="K1155">
        <f t="shared" ref="K1155:K1218" si="18">COUNTIF($A$2:$A$1651,A1155)</f>
        <v>9</v>
      </c>
    </row>
    <row r="1156" spans="1:11" x14ac:dyDescent="0.2">
      <c r="A1156">
        <v>1602280</v>
      </c>
      <c r="B1156">
        <v>2021</v>
      </c>
      <c r="C1156">
        <v>121</v>
      </c>
      <c r="D1156" t="s">
        <v>428</v>
      </c>
      <c r="E1156" t="s">
        <v>429</v>
      </c>
      <c r="F1156" t="s">
        <v>433</v>
      </c>
      <c r="G1156" t="s">
        <v>73</v>
      </c>
      <c r="H1156" t="s">
        <v>73</v>
      </c>
      <c r="I1156" s="5">
        <v>169418</v>
      </c>
      <c r="J1156">
        <f>IFERROR(VLOOKUP(G1156,'LEAID Match'!$A$2:$B$183,2,FALSE),"")</f>
        <v>1602280</v>
      </c>
      <c r="K1156">
        <f t="shared" si="18"/>
        <v>9</v>
      </c>
    </row>
    <row r="1157" spans="1:11" x14ac:dyDescent="0.2">
      <c r="A1157">
        <v>1602280</v>
      </c>
      <c r="B1157">
        <v>2022</v>
      </c>
      <c r="C1157">
        <v>121</v>
      </c>
      <c r="D1157" t="s">
        <v>428</v>
      </c>
      <c r="E1157" t="s">
        <v>429</v>
      </c>
      <c r="F1157" t="s">
        <v>433</v>
      </c>
      <c r="G1157" t="s">
        <v>73</v>
      </c>
      <c r="H1157" t="s">
        <v>281</v>
      </c>
      <c r="I1157" s="5">
        <v>170596</v>
      </c>
      <c r="J1157">
        <f>IFERROR(VLOOKUP(G1157,'LEAID Match'!$A$2:$B$183,2,FALSE),"")</f>
        <v>1602280</v>
      </c>
      <c r="K1157">
        <f t="shared" si="18"/>
        <v>9</v>
      </c>
    </row>
    <row r="1158" spans="1:11" x14ac:dyDescent="0.2">
      <c r="A1158">
        <v>1602280</v>
      </c>
      <c r="B1158">
        <v>2023</v>
      </c>
      <c r="C1158">
        <v>121</v>
      </c>
      <c r="D1158" t="s">
        <v>428</v>
      </c>
      <c r="E1158" t="s">
        <v>429</v>
      </c>
      <c r="F1158" t="s">
        <v>433</v>
      </c>
      <c r="G1158" t="s">
        <v>73</v>
      </c>
      <c r="H1158" t="s">
        <v>281</v>
      </c>
      <c r="I1158" s="5">
        <v>174383</v>
      </c>
      <c r="J1158">
        <f>IFERROR(VLOOKUP(G1158,'LEAID Match'!$A$2:$B$183,2,FALSE),"")</f>
        <v>1602280</v>
      </c>
      <c r="K1158">
        <f t="shared" si="18"/>
        <v>9</v>
      </c>
    </row>
    <row r="1159" spans="1:11" x14ac:dyDescent="0.2">
      <c r="A1159">
        <v>1602310</v>
      </c>
      <c r="B1159">
        <v>2015</v>
      </c>
      <c r="C1159">
        <v>122</v>
      </c>
      <c r="D1159" t="s">
        <v>428</v>
      </c>
      <c r="E1159" t="s">
        <v>429</v>
      </c>
      <c r="F1159" t="s">
        <v>433</v>
      </c>
      <c r="G1159" t="s">
        <v>74</v>
      </c>
      <c r="H1159" t="s">
        <v>74</v>
      </c>
      <c r="I1159" s="5">
        <v>138494</v>
      </c>
      <c r="J1159">
        <f>IFERROR(VLOOKUP(G1159,'LEAID Match'!$A$2:$B$183,2,FALSE),"")</f>
        <v>1602310</v>
      </c>
      <c r="K1159">
        <f t="shared" si="18"/>
        <v>9</v>
      </c>
    </row>
    <row r="1160" spans="1:11" x14ac:dyDescent="0.2">
      <c r="A1160">
        <v>1602310</v>
      </c>
      <c r="B1160">
        <v>2016</v>
      </c>
      <c r="C1160">
        <v>122</v>
      </c>
      <c r="D1160" t="s">
        <v>428</v>
      </c>
      <c r="E1160" t="s">
        <v>429</v>
      </c>
      <c r="F1160" t="s">
        <v>433</v>
      </c>
      <c r="G1160" t="s">
        <v>74</v>
      </c>
      <c r="H1160" t="s">
        <v>74</v>
      </c>
      <c r="I1160" s="5">
        <v>144762</v>
      </c>
      <c r="J1160">
        <f>IFERROR(VLOOKUP(G1160,'LEAID Match'!$A$2:$B$183,2,FALSE),"")</f>
        <v>1602310</v>
      </c>
      <c r="K1160">
        <f t="shared" si="18"/>
        <v>9</v>
      </c>
    </row>
    <row r="1161" spans="1:11" x14ac:dyDescent="0.2">
      <c r="A1161">
        <v>1602310</v>
      </c>
      <c r="B1161">
        <v>2017</v>
      </c>
      <c r="C1161">
        <v>122</v>
      </c>
      <c r="D1161" t="s">
        <v>428</v>
      </c>
      <c r="E1161" t="s">
        <v>429</v>
      </c>
      <c r="F1161" t="s">
        <v>433</v>
      </c>
      <c r="G1161" t="s">
        <v>74</v>
      </c>
      <c r="H1161" t="s">
        <v>74</v>
      </c>
      <c r="I1161" s="5">
        <v>154596</v>
      </c>
      <c r="J1161">
        <f>IFERROR(VLOOKUP(G1161,'LEAID Match'!$A$2:$B$183,2,FALSE),"")</f>
        <v>1602310</v>
      </c>
      <c r="K1161">
        <f t="shared" si="18"/>
        <v>9</v>
      </c>
    </row>
    <row r="1162" spans="1:11" x14ac:dyDescent="0.2">
      <c r="A1162">
        <v>1602310</v>
      </c>
      <c r="B1162">
        <v>2018</v>
      </c>
      <c r="C1162">
        <v>122</v>
      </c>
      <c r="D1162" t="s">
        <v>428</v>
      </c>
      <c r="E1162" t="s">
        <v>429</v>
      </c>
      <c r="F1162" t="s">
        <v>433</v>
      </c>
      <c r="G1162" t="s">
        <v>74</v>
      </c>
      <c r="H1162" t="s">
        <v>74</v>
      </c>
      <c r="I1162" s="5">
        <v>174836</v>
      </c>
      <c r="J1162">
        <f>IFERROR(VLOOKUP(G1162,'LEAID Match'!$A$2:$B$183,2,FALSE),"")</f>
        <v>1602310</v>
      </c>
      <c r="K1162">
        <f t="shared" si="18"/>
        <v>9</v>
      </c>
    </row>
    <row r="1163" spans="1:11" x14ac:dyDescent="0.2">
      <c r="A1163">
        <v>1602310</v>
      </c>
      <c r="B1163">
        <v>2019</v>
      </c>
      <c r="C1163">
        <v>122</v>
      </c>
      <c r="D1163" t="s">
        <v>428</v>
      </c>
      <c r="E1163" t="s">
        <v>429</v>
      </c>
      <c r="F1163" t="s">
        <v>433</v>
      </c>
      <c r="G1163" t="s">
        <v>74</v>
      </c>
      <c r="H1163" t="s">
        <v>282</v>
      </c>
      <c r="I1163" s="5">
        <v>200664</v>
      </c>
      <c r="J1163">
        <f>IFERROR(VLOOKUP(G1163,'LEAID Match'!$A$2:$B$183,2,FALSE),"")</f>
        <v>1602310</v>
      </c>
      <c r="K1163">
        <f t="shared" si="18"/>
        <v>9</v>
      </c>
    </row>
    <row r="1164" spans="1:11" x14ac:dyDescent="0.2">
      <c r="A1164">
        <v>1602310</v>
      </c>
      <c r="B1164">
        <v>2020</v>
      </c>
      <c r="C1164">
        <v>122</v>
      </c>
      <c r="D1164" t="s">
        <v>428</v>
      </c>
      <c r="E1164" t="s">
        <v>429</v>
      </c>
      <c r="F1164" t="s">
        <v>433</v>
      </c>
      <c r="G1164" t="s">
        <v>74</v>
      </c>
      <c r="H1164" t="s">
        <v>282</v>
      </c>
      <c r="I1164" s="5">
        <v>223302</v>
      </c>
      <c r="J1164">
        <f>IFERROR(VLOOKUP(G1164,'LEAID Match'!$A$2:$B$183,2,FALSE),"")</f>
        <v>1602310</v>
      </c>
      <c r="K1164">
        <f t="shared" si="18"/>
        <v>9</v>
      </c>
    </row>
    <row r="1165" spans="1:11" x14ac:dyDescent="0.2">
      <c r="A1165">
        <v>1602310</v>
      </c>
      <c r="B1165">
        <v>2021</v>
      </c>
      <c r="C1165">
        <v>122</v>
      </c>
      <c r="D1165" t="s">
        <v>428</v>
      </c>
      <c r="E1165" t="s">
        <v>429</v>
      </c>
      <c r="F1165" t="s">
        <v>433</v>
      </c>
      <c r="G1165" t="s">
        <v>74</v>
      </c>
      <c r="H1165" t="s">
        <v>74</v>
      </c>
      <c r="I1165" s="5">
        <v>250496</v>
      </c>
      <c r="J1165">
        <f>IFERROR(VLOOKUP(G1165,'LEAID Match'!$A$2:$B$183,2,FALSE),"")</f>
        <v>1602310</v>
      </c>
      <c r="K1165">
        <f t="shared" si="18"/>
        <v>9</v>
      </c>
    </row>
    <row r="1166" spans="1:11" x14ac:dyDescent="0.2">
      <c r="A1166">
        <v>1602310</v>
      </c>
      <c r="B1166">
        <v>2022</v>
      </c>
      <c r="C1166">
        <v>122</v>
      </c>
      <c r="D1166" t="s">
        <v>428</v>
      </c>
      <c r="E1166" t="s">
        <v>429</v>
      </c>
      <c r="F1166" t="s">
        <v>433</v>
      </c>
      <c r="G1166" t="s">
        <v>74</v>
      </c>
      <c r="H1166" t="s">
        <v>282</v>
      </c>
      <c r="I1166" s="5">
        <v>283211</v>
      </c>
      <c r="J1166">
        <f>IFERROR(VLOOKUP(G1166,'LEAID Match'!$A$2:$B$183,2,FALSE),"")</f>
        <v>1602310</v>
      </c>
      <c r="K1166">
        <f t="shared" si="18"/>
        <v>9</v>
      </c>
    </row>
    <row r="1167" spans="1:11" x14ac:dyDescent="0.2">
      <c r="A1167">
        <v>1602310</v>
      </c>
      <c r="B1167">
        <v>2023</v>
      </c>
      <c r="C1167">
        <v>122</v>
      </c>
      <c r="D1167" t="s">
        <v>428</v>
      </c>
      <c r="E1167" t="s">
        <v>429</v>
      </c>
      <c r="F1167" t="s">
        <v>433</v>
      </c>
      <c r="G1167" t="s">
        <v>74</v>
      </c>
      <c r="H1167" t="s">
        <v>282</v>
      </c>
      <c r="I1167" s="5">
        <v>277967</v>
      </c>
      <c r="J1167">
        <f>IFERROR(VLOOKUP(G1167,'LEAID Match'!$A$2:$B$183,2,FALSE),"")</f>
        <v>1602310</v>
      </c>
      <c r="K1167">
        <f t="shared" si="18"/>
        <v>9</v>
      </c>
    </row>
    <row r="1168" spans="1:11" x14ac:dyDescent="0.2">
      <c r="A1168">
        <v>1602340</v>
      </c>
      <c r="B1168">
        <v>2015</v>
      </c>
      <c r="C1168">
        <v>123</v>
      </c>
      <c r="D1168" t="s">
        <v>428</v>
      </c>
      <c r="E1168" t="s">
        <v>429</v>
      </c>
      <c r="F1168" t="s">
        <v>433</v>
      </c>
      <c r="G1168" t="s">
        <v>75</v>
      </c>
      <c r="H1168" t="s">
        <v>75</v>
      </c>
      <c r="I1168" s="5">
        <v>5273462</v>
      </c>
      <c r="J1168">
        <f>IFERROR(VLOOKUP(G1168,'LEAID Match'!$A$2:$B$183,2,FALSE),"")</f>
        <v>1602340</v>
      </c>
      <c r="K1168">
        <f t="shared" si="18"/>
        <v>9</v>
      </c>
    </row>
    <row r="1169" spans="1:11" x14ac:dyDescent="0.2">
      <c r="A1169">
        <v>1602340</v>
      </c>
      <c r="B1169">
        <v>2016</v>
      </c>
      <c r="C1169">
        <v>123</v>
      </c>
      <c r="D1169" t="s">
        <v>428</v>
      </c>
      <c r="E1169" t="s">
        <v>429</v>
      </c>
      <c r="F1169" t="s">
        <v>433</v>
      </c>
      <c r="G1169" t="s">
        <v>75</v>
      </c>
      <c r="H1169" t="s">
        <v>75</v>
      </c>
      <c r="I1169" s="5">
        <v>5553646</v>
      </c>
      <c r="J1169">
        <f>IFERROR(VLOOKUP(G1169,'LEAID Match'!$A$2:$B$183,2,FALSE),"")</f>
        <v>1602340</v>
      </c>
      <c r="K1169">
        <f t="shared" si="18"/>
        <v>9</v>
      </c>
    </row>
    <row r="1170" spans="1:11" x14ac:dyDescent="0.2">
      <c r="A1170">
        <v>1602340</v>
      </c>
      <c r="B1170">
        <v>2017</v>
      </c>
      <c r="C1170">
        <v>123</v>
      </c>
      <c r="D1170" t="s">
        <v>428</v>
      </c>
      <c r="E1170" t="s">
        <v>429</v>
      </c>
      <c r="F1170" t="s">
        <v>433</v>
      </c>
      <c r="G1170" t="s">
        <v>75</v>
      </c>
      <c r="H1170" t="s">
        <v>75</v>
      </c>
      <c r="I1170" s="5">
        <v>5765439</v>
      </c>
      <c r="J1170">
        <f>IFERROR(VLOOKUP(G1170,'LEAID Match'!$A$2:$B$183,2,FALSE),"")</f>
        <v>1602340</v>
      </c>
      <c r="K1170">
        <f t="shared" si="18"/>
        <v>9</v>
      </c>
    </row>
    <row r="1171" spans="1:11" x14ac:dyDescent="0.2">
      <c r="A1171">
        <v>1602340</v>
      </c>
      <c r="B1171">
        <v>2018</v>
      </c>
      <c r="C1171">
        <v>123</v>
      </c>
      <c r="D1171" t="s">
        <v>428</v>
      </c>
      <c r="E1171" t="s">
        <v>429</v>
      </c>
      <c r="F1171" t="s">
        <v>433</v>
      </c>
      <c r="G1171" t="s">
        <v>75</v>
      </c>
      <c r="H1171" t="s">
        <v>75</v>
      </c>
      <c r="I1171" s="5">
        <v>6221589</v>
      </c>
      <c r="J1171">
        <f>IFERROR(VLOOKUP(G1171,'LEAID Match'!$A$2:$B$183,2,FALSE),"")</f>
        <v>1602340</v>
      </c>
      <c r="K1171">
        <f t="shared" si="18"/>
        <v>9</v>
      </c>
    </row>
    <row r="1172" spans="1:11" x14ac:dyDescent="0.2">
      <c r="A1172">
        <v>1602340</v>
      </c>
      <c r="B1172">
        <v>2019</v>
      </c>
      <c r="C1172">
        <v>123</v>
      </c>
      <c r="D1172" t="s">
        <v>428</v>
      </c>
      <c r="E1172" t="s">
        <v>429</v>
      </c>
      <c r="F1172" t="s">
        <v>433</v>
      </c>
      <c r="G1172" t="s">
        <v>75</v>
      </c>
      <c r="H1172" t="s">
        <v>283</v>
      </c>
      <c r="I1172" s="5">
        <v>6330769</v>
      </c>
      <c r="J1172">
        <f>IFERROR(VLOOKUP(G1172,'LEAID Match'!$A$2:$B$183,2,FALSE),"")</f>
        <v>1602340</v>
      </c>
      <c r="K1172">
        <f t="shared" si="18"/>
        <v>9</v>
      </c>
    </row>
    <row r="1173" spans="1:11" x14ac:dyDescent="0.2">
      <c r="A1173">
        <v>1602340</v>
      </c>
      <c r="B1173">
        <v>2020</v>
      </c>
      <c r="C1173">
        <v>123</v>
      </c>
      <c r="D1173" t="s">
        <v>428</v>
      </c>
      <c r="E1173" t="s">
        <v>429</v>
      </c>
      <c r="F1173" t="s">
        <v>433</v>
      </c>
      <c r="G1173" t="s">
        <v>75</v>
      </c>
      <c r="H1173" t="s">
        <v>283</v>
      </c>
      <c r="I1173" s="5">
        <v>6999906</v>
      </c>
      <c r="J1173">
        <f>IFERROR(VLOOKUP(G1173,'LEAID Match'!$A$2:$B$183,2,FALSE),"")</f>
        <v>1602340</v>
      </c>
      <c r="K1173">
        <f t="shared" si="18"/>
        <v>9</v>
      </c>
    </row>
    <row r="1174" spans="1:11" x14ac:dyDescent="0.2">
      <c r="A1174">
        <v>1602340</v>
      </c>
      <c r="B1174">
        <v>2021</v>
      </c>
      <c r="C1174">
        <v>123</v>
      </c>
      <c r="D1174" t="s">
        <v>428</v>
      </c>
      <c r="E1174" t="s">
        <v>429</v>
      </c>
      <c r="F1174" t="s">
        <v>433</v>
      </c>
      <c r="G1174" t="s">
        <v>75</v>
      </c>
      <c r="H1174" t="s">
        <v>75</v>
      </c>
      <c r="I1174" s="5">
        <v>7436290</v>
      </c>
      <c r="J1174">
        <f>IFERROR(VLOOKUP(G1174,'LEAID Match'!$A$2:$B$183,2,FALSE),"")</f>
        <v>1602340</v>
      </c>
      <c r="K1174">
        <f t="shared" si="18"/>
        <v>9</v>
      </c>
    </row>
    <row r="1175" spans="1:11" x14ac:dyDescent="0.2">
      <c r="A1175">
        <v>1602340</v>
      </c>
      <c r="B1175">
        <v>2022</v>
      </c>
      <c r="C1175">
        <v>123</v>
      </c>
      <c r="D1175" t="s">
        <v>428</v>
      </c>
      <c r="E1175" t="s">
        <v>429</v>
      </c>
      <c r="F1175" t="s">
        <v>433</v>
      </c>
      <c r="G1175" t="s">
        <v>75</v>
      </c>
      <c r="H1175" t="s">
        <v>283</v>
      </c>
      <c r="I1175" s="5">
        <v>7695940</v>
      </c>
      <c r="J1175">
        <f>IFERROR(VLOOKUP(G1175,'LEAID Match'!$A$2:$B$183,2,FALSE),"")</f>
        <v>1602340</v>
      </c>
      <c r="K1175">
        <f t="shared" si="18"/>
        <v>9</v>
      </c>
    </row>
    <row r="1176" spans="1:11" x14ac:dyDescent="0.2">
      <c r="A1176">
        <v>1602340</v>
      </c>
      <c r="B1176">
        <v>2023</v>
      </c>
      <c r="C1176">
        <v>123</v>
      </c>
      <c r="D1176" t="s">
        <v>428</v>
      </c>
      <c r="E1176" t="s">
        <v>429</v>
      </c>
      <c r="F1176" t="s">
        <v>433</v>
      </c>
      <c r="G1176" t="s">
        <v>75</v>
      </c>
      <c r="H1176" t="s">
        <v>283</v>
      </c>
      <c r="I1176" s="5">
        <v>8052065</v>
      </c>
      <c r="J1176">
        <f>IFERROR(VLOOKUP(G1176,'LEAID Match'!$A$2:$B$183,2,FALSE),"")</f>
        <v>1602340</v>
      </c>
      <c r="K1176">
        <f t="shared" si="18"/>
        <v>9</v>
      </c>
    </row>
    <row r="1177" spans="1:11" x14ac:dyDescent="0.2">
      <c r="A1177">
        <v>1602370</v>
      </c>
      <c r="B1177">
        <v>2015</v>
      </c>
      <c r="C1177">
        <v>124</v>
      </c>
      <c r="D1177" t="s">
        <v>428</v>
      </c>
      <c r="E1177" t="s">
        <v>429</v>
      </c>
      <c r="F1177" t="s">
        <v>433</v>
      </c>
      <c r="G1177" t="s">
        <v>76</v>
      </c>
      <c r="H1177" t="s">
        <v>76</v>
      </c>
      <c r="I1177" s="5">
        <v>441821</v>
      </c>
      <c r="J1177">
        <f>IFERROR(VLOOKUP(G1177,'LEAID Match'!$A$2:$B$183,2,FALSE),"")</f>
        <v>1602370</v>
      </c>
      <c r="K1177">
        <f t="shared" si="18"/>
        <v>9</v>
      </c>
    </row>
    <row r="1178" spans="1:11" x14ac:dyDescent="0.2">
      <c r="A1178">
        <v>1602370</v>
      </c>
      <c r="B1178">
        <v>2016</v>
      </c>
      <c r="C1178">
        <v>124</v>
      </c>
      <c r="D1178" t="s">
        <v>428</v>
      </c>
      <c r="E1178" t="s">
        <v>429</v>
      </c>
      <c r="F1178" t="s">
        <v>433</v>
      </c>
      <c r="G1178" t="s">
        <v>76</v>
      </c>
      <c r="H1178" t="s">
        <v>76</v>
      </c>
      <c r="I1178" s="5">
        <v>445013</v>
      </c>
      <c r="J1178">
        <f>IFERROR(VLOOKUP(G1178,'LEAID Match'!$A$2:$B$183,2,FALSE),"")</f>
        <v>1602370</v>
      </c>
      <c r="K1178">
        <f t="shared" si="18"/>
        <v>9</v>
      </c>
    </row>
    <row r="1179" spans="1:11" x14ac:dyDescent="0.2">
      <c r="A1179">
        <v>1602370</v>
      </c>
      <c r="B1179">
        <v>2017</v>
      </c>
      <c r="C1179">
        <v>124</v>
      </c>
      <c r="D1179" t="s">
        <v>428</v>
      </c>
      <c r="E1179" t="s">
        <v>429</v>
      </c>
      <c r="F1179" t="s">
        <v>433</v>
      </c>
      <c r="G1179" t="s">
        <v>76</v>
      </c>
      <c r="H1179" t="s">
        <v>76</v>
      </c>
      <c r="I1179" s="5">
        <v>469407</v>
      </c>
      <c r="J1179">
        <f>IFERROR(VLOOKUP(G1179,'LEAID Match'!$A$2:$B$183,2,FALSE),"")</f>
        <v>1602370</v>
      </c>
      <c r="K1179">
        <f t="shared" si="18"/>
        <v>9</v>
      </c>
    </row>
    <row r="1180" spans="1:11" x14ac:dyDescent="0.2">
      <c r="A1180">
        <v>1602370</v>
      </c>
      <c r="B1180">
        <v>2018</v>
      </c>
      <c r="C1180">
        <v>124</v>
      </c>
      <c r="D1180" t="s">
        <v>428</v>
      </c>
      <c r="E1180" t="s">
        <v>429</v>
      </c>
      <c r="F1180" t="s">
        <v>433</v>
      </c>
      <c r="G1180" t="s">
        <v>76</v>
      </c>
      <c r="H1180" t="s">
        <v>76</v>
      </c>
      <c r="I1180" s="5">
        <v>498797</v>
      </c>
      <c r="J1180">
        <f>IFERROR(VLOOKUP(G1180,'LEAID Match'!$A$2:$B$183,2,FALSE),"")</f>
        <v>1602370</v>
      </c>
      <c r="K1180">
        <f t="shared" si="18"/>
        <v>9</v>
      </c>
    </row>
    <row r="1181" spans="1:11" x14ac:dyDescent="0.2">
      <c r="A1181">
        <v>1602370</v>
      </c>
      <c r="B1181">
        <v>2019</v>
      </c>
      <c r="C1181">
        <v>124</v>
      </c>
      <c r="D1181" t="s">
        <v>428</v>
      </c>
      <c r="E1181" t="s">
        <v>429</v>
      </c>
      <c r="F1181" t="s">
        <v>433</v>
      </c>
      <c r="G1181" t="s">
        <v>76</v>
      </c>
      <c r="H1181" t="s">
        <v>284</v>
      </c>
      <c r="I1181" s="5">
        <v>493144</v>
      </c>
      <c r="J1181">
        <f>IFERROR(VLOOKUP(G1181,'LEAID Match'!$A$2:$B$183,2,FALSE),"")</f>
        <v>1602370</v>
      </c>
      <c r="K1181">
        <f t="shared" si="18"/>
        <v>9</v>
      </c>
    </row>
    <row r="1182" spans="1:11" x14ac:dyDescent="0.2">
      <c r="A1182">
        <v>1602370</v>
      </c>
      <c r="B1182">
        <v>2020</v>
      </c>
      <c r="C1182">
        <v>124</v>
      </c>
      <c r="D1182" t="s">
        <v>428</v>
      </c>
      <c r="E1182" t="s">
        <v>429</v>
      </c>
      <c r="F1182" t="s">
        <v>433</v>
      </c>
      <c r="G1182" t="s">
        <v>76</v>
      </c>
      <c r="H1182" t="s">
        <v>361</v>
      </c>
      <c r="I1182" s="5">
        <v>566893</v>
      </c>
      <c r="J1182">
        <f>IFERROR(VLOOKUP(G1182,'LEAID Match'!$A$2:$B$183,2,FALSE),"")</f>
        <v>1602370</v>
      </c>
      <c r="K1182">
        <f t="shared" si="18"/>
        <v>9</v>
      </c>
    </row>
    <row r="1183" spans="1:11" x14ac:dyDescent="0.2">
      <c r="A1183">
        <v>1602370</v>
      </c>
      <c r="B1183">
        <v>2021</v>
      </c>
      <c r="C1183">
        <v>124</v>
      </c>
      <c r="D1183" t="s">
        <v>428</v>
      </c>
      <c r="E1183" t="s">
        <v>429</v>
      </c>
      <c r="F1183" t="s">
        <v>433</v>
      </c>
      <c r="G1183" t="s">
        <v>76</v>
      </c>
      <c r="H1183" t="s">
        <v>284</v>
      </c>
      <c r="I1183" s="5">
        <v>570940</v>
      </c>
      <c r="J1183">
        <f>IFERROR(VLOOKUP(G1183,'LEAID Match'!$A$2:$B$183,2,FALSE),"")</f>
        <v>1602370</v>
      </c>
      <c r="K1183">
        <f t="shared" si="18"/>
        <v>9</v>
      </c>
    </row>
    <row r="1184" spans="1:11" x14ac:dyDescent="0.2">
      <c r="A1184">
        <v>1602370</v>
      </c>
      <c r="B1184">
        <v>2022</v>
      </c>
      <c r="C1184">
        <v>124</v>
      </c>
      <c r="D1184" t="s">
        <v>428</v>
      </c>
      <c r="E1184" t="s">
        <v>429</v>
      </c>
      <c r="F1184" t="s">
        <v>433</v>
      </c>
      <c r="G1184" t="s">
        <v>76</v>
      </c>
      <c r="H1184" t="s">
        <v>284</v>
      </c>
      <c r="I1184" s="5">
        <v>630779</v>
      </c>
      <c r="J1184">
        <f>IFERROR(VLOOKUP(G1184,'LEAID Match'!$A$2:$B$183,2,FALSE),"")</f>
        <v>1602370</v>
      </c>
      <c r="K1184">
        <f t="shared" si="18"/>
        <v>9</v>
      </c>
    </row>
    <row r="1185" spans="1:11" x14ac:dyDescent="0.2">
      <c r="A1185">
        <v>1602370</v>
      </c>
      <c r="B1185">
        <v>2023</v>
      </c>
      <c r="C1185">
        <v>124</v>
      </c>
      <c r="D1185" t="s">
        <v>428</v>
      </c>
      <c r="E1185" t="s">
        <v>429</v>
      </c>
      <c r="F1185" t="s">
        <v>433</v>
      </c>
      <c r="G1185" t="s">
        <v>76</v>
      </c>
      <c r="H1185" t="s">
        <v>284</v>
      </c>
      <c r="I1185" s="5">
        <v>643333</v>
      </c>
      <c r="J1185">
        <f>IFERROR(VLOOKUP(G1185,'LEAID Match'!$A$2:$B$183,2,FALSE),"")</f>
        <v>1602370</v>
      </c>
      <c r="K1185">
        <f t="shared" si="18"/>
        <v>9</v>
      </c>
    </row>
    <row r="1186" spans="1:11" x14ac:dyDescent="0.2">
      <c r="A1186">
        <v>1602400</v>
      </c>
      <c r="B1186">
        <v>2015</v>
      </c>
      <c r="C1186">
        <v>125</v>
      </c>
      <c r="D1186" t="s">
        <v>428</v>
      </c>
      <c r="E1186" t="s">
        <v>429</v>
      </c>
      <c r="F1186" t="s">
        <v>433</v>
      </c>
      <c r="G1186" t="s">
        <v>77</v>
      </c>
      <c r="H1186" t="s">
        <v>77</v>
      </c>
      <c r="I1186" s="5">
        <v>124117</v>
      </c>
      <c r="J1186">
        <f>IFERROR(VLOOKUP(G1186,'LEAID Match'!$A$2:$B$183,2,FALSE),"")</f>
        <v>1602400</v>
      </c>
      <c r="K1186">
        <f t="shared" si="18"/>
        <v>9</v>
      </c>
    </row>
    <row r="1187" spans="1:11" x14ac:dyDescent="0.2">
      <c r="A1187">
        <v>1602400</v>
      </c>
      <c r="B1187">
        <v>2016</v>
      </c>
      <c r="C1187">
        <v>125</v>
      </c>
      <c r="D1187" t="s">
        <v>428</v>
      </c>
      <c r="E1187" t="s">
        <v>429</v>
      </c>
      <c r="F1187" t="s">
        <v>433</v>
      </c>
      <c r="G1187" t="s">
        <v>77</v>
      </c>
      <c r="H1187" t="s">
        <v>77</v>
      </c>
      <c r="I1187" s="5">
        <v>125893</v>
      </c>
      <c r="J1187">
        <f>IFERROR(VLOOKUP(G1187,'LEAID Match'!$A$2:$B$183,2,FALSE),"")</f>
        <v>1602400</v>
      </c>
      <c r="K1187">
        <f t="shared" si="18"/>
        <v>9</v>
      </c>
    </row>
    <row r="1188" spans="1:11" x14ac:dyDescent="0.2">
      <c r="A1188">
        <v>1602400</v>
      </c>
      <c r="B1188">
        <v>2017</v>
      </c>
      <c r="C1188">
        <v>125</v>
      </c>
      <c r="D1188" t="s">
        <v>428</v>
      </c>
      <c r="E1188" t="s">
        <v>429</v>
      </c>
      <c r="F1188" t="s">
        <v>433</v>
      </c>
      <c r="G1188" t="s">
        <v>77</v>
      </c>
      <c r="H1188" t="s">
        <v>77</v>
      </c>
      <c r="I1188" s="5">
        <v>123346</v>
      </c>
      <c r="J1188">
        <f>IFERROR(VLOOKUP(G1188,'LEAID Match'!$A$2:$B$183,2,FALSE),"")</f>
        <v>1602400</v>
      </c>
      <c r="K1188">
        <f t="shared" si="18"/>
        <v>9</v>
      </c>
    </row>
    <row r="1189" spans="1:11" x14ac:dyDescent="0.2">
      <c r="A1189">
        <v>1602400</v>
      </c>
      <c r="B1189">
        <v>2018</v>
      </c>
      <c r="C1189">
        <v>125</v>
      </c>
      <c r="D1189" t="s">
        <v>428</v>
      </c>
      <c r="E1189" t="s">
        <v>429</v>
      </c>
      <c r="F1189" t="s">
        <v>433</v>
      </c>
      <c r="G1189" t="s">
        <v>77</v>
      </c>
      <c r="H1189" t="s">
        <v>201</v>
      </c>
      <c r="I1189" s="5">
        <v>128261</v>
      </c>
      <c r="J1189">
        <f>IFERROR(VLOOKUP(G1189,'LEAID Match'!$A$2:$B$183,2,FALSE),"")</f>
        <v>1602400</v>
      </c>
      <c r="K1189">
        <f t="shared" si="18"/>
        <v>9</v>
      </c>
    </row>
    <row r="1190" spans="1:11" x14ac:dyDescent="0.2">
      <c r="A1190">
        <v>1602400</v>
      </c>
      <c r="B1190">
        <v>2019</v>
      </c>
      <c r="C1190">
        <v>125</v>
      </c>
      <c r="D1190" t="s">
        <v>428</v>
      </c>
      <c r="E1190" t="s">
        <v>429</v>
      </c>
      <c r="F1190" t="s">
        <v>433</v>
      </c>
      <c r="G1190" t="s">
        <v>77</v>
      </c>
      <c r="H1190" t="s">
        <v>285</v>
      </c>
      <c r="I1190" s="5">
        <v>140911</v>
      </c>
      <c r="J1190">
        <f>IFERROR(VLOOKUP(G1190,'LEAID Match'!$A$2:$B$183,2,FALSE),"")</f>
        <v>1602400</v>
      </c>
      <c r="K1190">
        <f t="shared" si="18"/>
        <v>9</v>
      </c>
    </row>
    <row r="1191" spans="1:11" x14ac:dyDescent="0.2">
      <c r="A1191">
        <v>1602400</v>
      </c>
      <c r="B1191">
        <v>2020</v>
      </c>
      <c r="C1191">
        <v>125</v>
      </c>
      <c r="D1191" t="s">
        <v>428</v>
      </c>
      <c r="E1191" t="s">
        <v>429</v>
      </c>
      <c r="F1191" t="s">
        <v>433</v>
      </c>
      <c r="G1191" t="s">
        <v>77</v>
      </c>
      <c r="H1191" t="s">
        <v>362</v>
      </c>
      <c r="I1191" s="5">
        <v>155623</v>
      </c>
      <c r="J1191">
        <f>IFERROR(VLOOKUP(G1191,'LEAID Match'!$A$2:$B$183,2,FALSE),"")</f>
        <v>1602400</v>
      </c>
      <c r="K1191">
        <f t="shared" si="18"/>
        <v>9</v>
      </c>
    </row>
    <row r="1192" spans="1:11" x14ac:dyDescent="0.2">
      <c r="A1192">
        <v>1602400</v>
      </c>
      <c r="B1192">
        <v>2021</v>
      </c>
      <c r="C1192">
        <v>125</v>
      </c>
      <c r="D1192" t="s">
        <v>428</v>
      </c>
      <c r="E1192" t="s">
        <v>429</v>
      </c>
      <c r="F1192" t="s">
        <v>433</v>
      </c>
      <c r="G1192" t="s">
        <v>77</v>
      </c>
      <c r="H1192" t="s">
        <v>285</v>
      </c>
      <c r="I1192" s="5">
        <v>166375</v>
      </c>
      <c r="J1192">
        <f>IFERROR(VLOOKUP(G1192,'LEAID Match'!$A$2:$B$183,2,FALSE),"")</f>
        <v>1602400</v>
      </c>
      <c r="K1192">
        <f t="shared" si="18"/>
        <v>9</v>
      </c>
    </row>
    <row r="1193" spans="1:11" x14ac:dyDescent="0.2">
      <c r="A1193">
        <v>1602400</v>
      </c>
      <c r="B1193">
        <v>2022</v>
      </c>
      <c r="C1193">
        <v>125</v>
      </c>
      <c r="D1193" t="s">
        <v>428</v>
      </c>
      <c r="E1193" t="s">
        <v>429</v>
      </c>
      <c r="F1193" t="s">
        <v>433</v>
      </c>
      <c r="G1193" t="s">
        <v>77</v>
      </c>
      <c r="H1193" t="s">
        <v>285</v>
      </c>
      <c r="I1193" s="5">
        <v>176086</v>
      </c>
      <c r="J1193">
        <f>IFERROR(VLOOKUP(G1193,'LEAID Match'!$A$2:$B$183,2,FALSE),"")</f>
        <v>1602400</v>
      </c>
      <c r="K1193">
        <f t="shared" si="18"/>
        <v>9</v>
      </c>
    </row>
    <row r="1194" spans="1:11" x14ac:dyDescent="0.2">
      <c r="A1194">
        <v>1602400</v>
      </c>
      <c r="B1194">
        <v>2023</v>
      </c>
      <c r="C1194">
        <v>125</v>
      </c>
      <c r="D1194" t="s">
        <v>428</v>
      </c>
      <c r="E1194" t="s">
        <v>429</v>
      </c>
      <c r="F1194" t="s">
        <v>433</v>
      </c>
      <c r="G1194" t="s">
        <v>77</v>
      </c>
      <c r="H1194" t="s">
        <v>285</v>
      </c>
      <c r="I1194" s="5">
        <v>184373</v>
      </c>
      <c r="J1194">
        <f>IFERROR(VLOOKUP(G1194,'LEAID Match'!$A$2:$B$183,2,FALSE),"")</f>
        <v>1602400</v>
      </c>
      <c r="K1194">
        <f t="shared" si="18"/>
        <v>9</v>
      </c>
    </row>
    <row r="1195" spans="1:11" x14ac:dyDescent="0.2">
      <c r="A1195">
        <v>1602430</v>
      </c>
      <c r="B1195">
        <v>2015</v>
      </c>
      <c r="C1195">
        <v>126</v>
      </c>
      <c r="D1195" t="s">
        <v>428</v>
      </c>
      <c r="E1195" t="s">
        <v>429</v>
      </c>
      <c r="F1195" t="s">
        <v>433</v>
      </c>
      <c r="G1195" t="s">
        <v>78</v>
      </c>
      <c r="H1195" t="s">
        <v>78</v>
      </c>
      <c r="I1195" s="5">
        <v>118587</v>
      </c>
      <c r="J1195">
        <f>IFERROR(VLOOKUP(G1195,'LEAID Match'!$A$2:$B$183,2,FALSE),"")</f>
        <v>1602430</v>
      </c>
      <c r="K1195">
        <f t="shared" si="18"/>
        <v>9</v>
      </c>
    </row>
    <row r="1196" spans="1:11" x14ac:dyDescent="0.2">
      <c r="A1196">
        <v>1602430</v>
      </c>
      <c r="B1196">
        <v>2016</v>
      </c>
      <c r="C1196">
        <v>126</v>
      </c>
      <c r="D1196" t="s">
        <v>428</v>
      </c>
      <c r="E1196" t="s">
        <v>429</v>
      </c>
      <c r="F1196" t="s">
        <v>433</v>
      </c>
      <c r="G1196" t="s">
        <v>78</v>
      </c>
      <c r="H1196" t="s">
        <v>78</v>
      </c>
      <c r="I1196" s="5">
        <v>114912</v>
      </c>
      <c r="J1196">
        <f>IFERROR(VLOOKUP(G1196,'LEAID Match'!$A$2:$B$183,2,FALSE),"")</f>
        <v>1602430</v>
      </c>
      <c r="K1196">
        <f t="shared" si="18"/>
        <v>9</v>
      </c>
    </row>
    <row r="1197" spans="1:11" x14ac:dyDescent="0.2">
      <c r="A1197">
        <v>1602430</v>
      </c>
      <c r="B1197">
        <v>2017</v>
      </c>
      <c r="C1197">
        <v>126</v>
      </c>
      <c r="D1197" t="s">
        <v>428</v>
      </c>
      <c r="E1197" t="s">
        <v>429</v>
      </c>
      <c r="F1197" t="s">
        <v>433</v>
      </c>
      <c r="G1197" t="s">
        <v>78</v>
      </c>
      <c r="H1197" t="s">
        <v>78</v>
      </c>
      <c r="I1197" s="5">
        <v>110395</v>
      </c>
      <c r="J1197">
        <f>IFERROR(VLOOKUP(G1197,'LEAID Match'!$A$2:$B$183,2,FALSE),"")</f>
        <v>1602430</v>
      </c>
      <c r="K1197">
        <f t="shared" si="18"/>
        <v>9</v>
      </c>
    </row>
    <row r="1198" spans="1:11" x14ac:dyDescent="0.2">
      <c r="A1198">
        <v>1602430</v>
      </c>
      <c r="B1198">
        <v>2018</v>
      </c>
      <c r="C1198">
        <v>126</v>
      </c>
      <c r="D1198" t="s">
        <v>428</v>
      </c>
      <c r="E1198" t="s">
        <v>429</v>
      </c>
      <c r="F1198" t="s">
        <v>433</v>
      </c>
      <c r="G1198" t="s">
        <v>78</v>
      </c>
      <c r="H1198" t="s">
        <v>78</v>
      </c>
      <c r="I1198" s="5">
        <v>118441</v>
      </c>
      <c r="J1198">
        <f>IFERROR(VLOOKUP(G1198,'LEAID Match'!$A$2:$B$183,2,FALSE),"")</f>
        <v>1602430</v>
      </c>
      <c r="K1198">
        <f t="shared" si="18"/>
        <v>9</v>
      </c>
    </row>
    <row r="1199" spans="1:11" x14ac:dyDescent="0.2">
      <c r="A1199">
        <v>1602430</v>
      </c>
      <c r="B1199">
        <v>2019</v>
      </c>
      <c r="C1199">
        <v>126</v>
      </c>
      <c r="D1199" t="s">
        <v>428</v>
      </c>
      <c r="E1199" t="s">
        <v>429</v>
      </c>
      <c r="F1199" t="s">
        <v>433</v>
      </c>
      <c r="G1199" t="s">
        <v>78</v>
      </c>
      <c r="H1199" t="s">
        <v>286</v>
      </c>
      <c r="I1199" s="5">
        <v>125728</v>
      </c>
      <c r="J1199">
        <f>IFERROR(VLOOKUP(G1199,'LEAID Match'!$A$2:$B$183,2,FALSE),"")</f>
        <v>1602430</v>
      </c>
      <c r="K1199">
        <f t="shared" si="18"/>
        <v>9</v>
      </c>
    </row>
    <row r="1200" spans="1:11" x14ac:dyDescent="0.2">
      <c r="A1200">
        <v>1602430</v>
      </c>
      <c r="B1200">
        <v>2020</v>
      </c>
      <c r="C1200">
        <v>126</v>
      </c>
      <c r="D1200" t="s">
        <v>428</v>
      </c>
      <c r="E1200" t="s">
        <v>429</v>
      </c>
      <c r="F1200" t="s">
        <v>433</v>
      </c>
      <c r="G1200" t="s">
        <v>78</v>
      </c>
      <c r="H1200" t="s">
        <v>363</v>
      </c>
      <c r="I1200" s="5">
        <v>140897</v>
      </c>
      <c r="J1200">
        <f>IFERROR(VLOOKUP(G1200,'LEAID Match'!$A$2:$B$183,2,FALSE),"")</f>
        <v>1602430</v>
      </c>
      <c r="K1200">
        <f t="shared" si="18"/>
        <v>9</v>
      </c>
    </row>
    <row r="1201" spans="1:11" x14ac:dyDescent="0.2">
      <c r="A1201">
        <v>1602430</v>
      </c>
      <c r="B1201">
        <v>2021</v>
      </c>
      <c r="C1201">
        <v>126</v>
      </c>
      <c r="D1201" t="s">
        <v>428</v>
      </c>
      <c r="E1201" t="s">
        <v>429</v>
      </c>
      <c r="F1201" t="s">
        <v>433</v>
      </c>
      <c r="G1201" t="s">
        <v>78</v>
      </c>
      <c r="H1201" t="s">
        <v>286</v>
      </c>
      <c r="I1201" s="5">
        <v>136784</v>
      </c>
      <c r="J1201">
        <f>IFERROR(VLOOKUP(G1201,'LEAID Match'!$A$2:$B$183,2,FALSE),"")</f>
        <v>1602430</v>
      </c>
      <c r="K1201">
        <f t="shared" si="18"/>
        <v>9</v>
      </c>
    </row>
    <row r="1202" spans="1:11" x14ac:dyDescent="0.2">
      <c r="A1202">
        <v>1602430</v>
      </c>
      <c r="B1202">
        <v>2022</v>
      </c>
      <c r="C1202">
        <v>126</v>
      </c>
      <c r="D1202" t="s">
        <v>428</v>
      </c>
      <c r="E1202" t="s">
        <v>429</v>
      </c>
      <c r="F1202" t="s">
        <v>433</v>
      </c>
      <c r="G1202" t="s">
        <v>78</v>
      </c>
      <c r="H1202" t="s">
        <v>286</v>
      </c>
      <c r="I1202" s="5">
        <v>143816</v>
      </c>
      <c r="J1202">
        <f>IFERROR(VLOOKUP(G1202,'LEAID Match'!$A$2:$B$183,2,FALSE),"")</f>
        <v>1602430</v>
      </c>
      <c r="K1202">
        <f t="shared" si="18"/>
        <v>9</v>
      </c>
    </row>
    <row r="1203" spans="1:11" x14ac:dyDescent="0.2">
      <c r="A1203">
        <v>1602430</v>
      </c>
      <c r="B1203">
        <v>2023</v>
      </c>
      <c r="C1203">
        <v>126</v>
      </c>
      <c r="D1203" t="s">
        <v>428</v>
      </c>
      <c r="E1203" t="s">
        <v>429</v>
      </c>
      <c r="F1203" t="s">
        <v>433</v>
      </c>
      <c r="G1203" t="s">
        <v>78</v>
      </c>
      <c r="H1203" t="s">
        <v>286</v>
      </c>
      <c r="I1203" s="5">
        <v>173552</v>
      </c>
      <c r="J1203">
        <f>IFERROR(VLOOKUP(G1203,'LEAID Match'!$A$2:$B$183,2,FALSE),"")</f>
        <v>1602430</v>
      </c>
      <c r="K1203">
        <f t="shared" si="18"/>
        <v>9</v>
      </c>
    </row>
    <row r="1204" spans="1:11" x14ac:dyDescent="0.2">
      <c r="A1204">
        <v>1602460</v>
      </c>
      <c r="B1204">
        <v>2015</v>
      </c>
      <c r="C1204">
        <v>130</v>
      </c>
      <c r="D1204" t="s">
        <v>428</v>
      </c>
      <c r="E1204" t="s">
        <v>429</v>
      </c>
      <c r="F1204" t="s">
        <v>433</v>
      </c>
      <c r="G1204" t="s">
        <v>79</v>
      </c>
      <c r="H1204" t="s">
        <v>79</v>
      </c>
      <c r="I1204" s="5">
        <v>180528</v>
      </c>
      <c r="J1204">
        <f>IFERROR(VLOOKUP(G1204,'LEAID Match'!$A$2:$B$183,2,FALSE),"")</f>
        <v>1602460</v>
      </c>
      <c r="K1204">
        <f t="shared" si="18"/>
        <v>9</v>
      </c>
    </row>
    <row r="1205" spans="1:11" x14ac:dyDescent="0.2">
      <c r="A1205">
        <v>1602460</v>
      </c>
      <c r="B1205">
        <v>2016</v>
      </c>
      <c r="C1205">
        <v>130</v>
      </c>
      <c r="D1205" t="s">
        <v>428</v>
      </c>
      <c r="E1205" t="s">
        <v>429</v>
      </c>
      <c r="F1205" t="s">
        <v>433</v>
      </c>
      <c r="G1205" t="s">
        <v>79</v>
      </c>
      <c r="H1205" t="s">
        <v>79</v>
      </c>
      <c r="I1205" s="5">
        <v>196947</v>
      </c>
      <c r="J1205">
        <f>IFERROR(VLOOKUP(G1205,'LEAID Match'!$A$2:$B$183,2,FALSE),"")</f>
        <v>1602460</v>
      </c>
      <c r="K1205">
        <f t="shared" si="18"/>
        <v>9</v>
      </c>
    </row>
    <row r="1206" spans="1:11" x14ac:dyDescent="0.2">
      <c r="A1206">
        <v>1602460</v>
      </c>
      <c r="B1206">
        <v>2017</v>
      </c>
      <c r="C1206">
        <v>130</v>
      </c>
      <c r="D1206" t="s">
        <v>428</v>
      </c>
      <c r="E1206" t="s">
        <v>429</v>
      </c>
      <c r="F1206" t="s">
        <v>433</v>
      </c>
      <c r="G1206" t="s">
        <v>79</v>
      </c>
      <c r="H1206" t="s">
        <v>79</v>
      </c>
      <c r="I1206" s="5">
        <v>222183</v>
      </c>
      <c r="J1206">
        <f>IFERROR(VLOOKUP(G1206,'LEAID Match'!$A$2:$B$183,2,FALSE),"")</f>
        <v>1602460</v>
      </c>
      <c r="K1206">
        <f t="shared" si="18"/>
        <v>9</v>
      </c>
    </row>
    <row r="1207" spans="1:11" x14ac:dyDescent="0.2">
      <c r="A1207">
        <v>1602460</v>
      </c>
      <c r="B1207">
        <v>2018</v>
      </c>
      <c r="C1207">
        <v>130</v>
      </c>
      <c r="D1207" t="s">
        <v>428</v>
      </c>
      <c r="E1207" t="s">
        <v>429</v>
      </c>
      <c r="F1207" t="s">
        <v>433</v>
      </c>
      <c r="G1207" t="s">
        <v>79</v>
      </c>
      <c r="H1207" t="s">
        <v>79</v>
      </c>
      <c r="I1207" s="5">
        <v>227301</v>
      </c>
      <c r="J1207">
        <f>IFERROR(VLOOKUP(G1207,'LEAID Match'!$A$2:$B$183,2,FALSE),"")</f>
        <v>1602460</v>
      </c>
      <c r="K1207">
        <f t="shared" si="18"/>
        <v>9</v>
      </c>
    </row>
    <row r="1208" spans="1:11" x14ac:dyDescent="0.2">
      <c r="A1208">
        <v>1602460</v>
      </c>
      <c r="B1208">
        <v>2019</v>
      </c>
      <c r="C1208">
        <v>130</v>
      </c>
      <c r="D1208" t="s">
        <v>428</v>
      </c>
      <c r="E1208" t="s">
        <v>429</v>
      </c>
      <c r="F1208" t="s">
        <v>433</v>
      </c>
      <c r="G1208" t="s">
        <v>79</v>
      </c>
      <c r="H1208" t="s">
        <v>287</v>
      </c>
      <c r="I1208" s="5">
        <v>233696</v>
      </c>
      <c r="J1208">
        <f>IFERROR(VLOOKUP(G1208,'LEAID Match'!$A$2:$B$183,2,FALSE),"")</f>
        <v>1602460</v>
      </c>
      <c r="K1208">
        <f t="shared" si="18"/>
        <v>9</v>
      </c>
    </row>
    <row r="1209" spans="1:11" x14ac:dyDescent="0.2">
      <c r="A1209">
        <v>1602460</v>
      </c>
      <c r="B1209">
        <v>2020</v>
      </c>
      <c r="C1209">
        <v>130</v>
      </c>
      <c r="D1209" t="s">
        <v>428</v>
      </c>
      <c r="E1209" t="s">
        <v>429</v>
      </c>
      <c r="F1209" t="s">
        <v>433</v>
      </c>
      <c r="G1209" t="s">
        <v>79</v>
      </c>
      <c r="H1209" t="s">
        <v>287</v>
      </c>
      <c r="I1209" s="5">
        <v>262248</v>
      </c>
      <c r="J1209">
        <f>IFERROR(VLOOKUP(G1209,'LEAID Match'!$A$2:$B$183,2,FALSE),"")</f>
        <v>1602460</v>
      </c>
      <c r="K1209">
        <f t="shared" si="18"/>
        <v>9</v>
      </c>
    </row>
    <row r="1210" spans="1:11" x14ac:dyDescent="0.2">
      <c r="A1210">
        <v>1602460</v>
      </c>
      <c r="B1210">
        <v>2021</v>
      </c>
      <c r="C1210">
        <v>130</v>
      </c>
      <c r="D1210" t="s">
        <v>428</v>
      </c>
      <c r="E1210" t="s">
        <v>429</v>
      </c>
      <c r="F1210" t="s">
        <v>433</v>
      </c>
      <c r="G1210" t="s">
        <v>79</v>
      </c>
      <c r="H1210" t="s">
        <v>79</v>
      </c>
      <c r="I1210" s="5">
        <v>265366</v>
      </c>
      <c r="J1210">
        <f>IFERROR(VLOOKUP(G1210,'LEAID Match'!$A$2:$B$183,2,FALSE),"")</f>
        <v>1602460</v>
      </c>
      <c r="K1210">
        <f t="shared" si="18"/>
        <v>9</v>
      </c>
    </row>
    <row r="1211" spans="1:11" x14ac:dyDescent="0.2">
      <c r="A1211">
        <v>1602460</v>
      </c>
      <c r="B1211">
        <v>2022</v>
      </c>
      <c r="C1211">
        <v>130</v>
      </c>
      <c r="D1211" t="s">
        <v>428</v>
      </c>
      <c r="E1211" t="s">
        <v>429</v>
      </c>
      <c r="F1211" t="s">
        <v>433</v>
      </c>
      <c r="G1211" t="s">
        <v>79</v>
      </c>
      <c r="H1211" t="s">
        <v>287</v>
      </c>
      <c r="I1211" s="5">
        <v>236900</v>
      </c>
      <c r="J1211">
        <f>IFERROR(VLOOKUP(G1211,'LEAID Match'!$A$2:$B$183,2,FALSE),"")</f>
        <v>1602460</v>
      </c>
      <c r="K1211">
        <f t="shared" si="18"/>
        <v>9</v>
      </c>
    </row>
    <row r="1212" spans="1:11" x14ac:dyDescent="0.2">
      <c r="A1212">
        <v>1602460</v>
      </c>
      <c r="B1212">
        <v>2023</v>
      </c>
      <c r="C1212">
        <v>130</v>
      </c>
      <c r="D1212" t="s">
        <v>428</v>
      </c>
      <c r="E1212" t="s">
        <v>429</v>
      </c>
      <c r="F1212" t="s">
        <v>433</v>
      </c>
      <c r="G1212" t="s">
        <v>79</v>
      </c>
      <c r="H1212" t="s">
        <v>287</v>
      </c>
      <c r="I1212" s="5">
        <v>245208</v>
      </c>
      <c r="J1212">
        <f>IFERROR(VLOOKUP(G1212,'LEAID Match'!$A$2:$B$183,2,FALSE),"")</f>
        <v>1602460</v>
      </c>
      <c r="K1212">
        <f t="shared" si="18"/>
        <v>9</v>
      </c>
    </row>
    <row r="1213" spans="1:11" x14ac:dyDescent="0.2">
      <c r="A1213">
        <v>1602490</v>
      </c>
      <c r="B1213">
        <v>2015</v>
      </c>
      <c r="C1213">
        <v>131</v>
      </c>
      <c r="D1213" t="s">
        <v>428</v>
      </c>
      <c r="E1213" t="s">
        <v>429</v>
      </c>
      <c r="F1213" t="s">
        <v>433</v>
      </c>
      <c r="G1213" t="s">
        <v>80</v>
      </c>
      <c r="H1213" t="s">
        <v>80</v>
      </c>
      <c r="I1213" s="5">
        <v>351350</v>
      </c>
      <c r="J1213">
        <f>IFERROR(VLOOKUP(G1213,'LEAID Match'!$A$2:$B$183,2,FALSE),"")</f>
        <v>1602490</v>
      </c>
      <c r="K1213">
        <f t="shared" si="18"/>
        <v>9</v>
      </c>
    </row>
    <row r="1214" spans="1:11" x14ac:dyDescent="0.2">
      <c r="A1214">
        <v>1602490</v>
      </c>
      <c r="B1214">
        <v>2016</v>
      </c>
      <c r="C1214">
        <v>131</v>
      </c>
      <c r="D1214" t="s">
        <v>428</v>
      </c>
      <c r="E1214" t="s">
        <v>429</v>
      </c>
      <c r="F1214" t="s">
        <v>433</v>
      </c>
      <c r="G1214" t="s">
        <v>80</v>
      </c>
      <c r="H1214" t="s">
        <v>80</v>
      </c>
      <c r="I1214" s="5">
        <v>369893</v>
      </c>
      <c r="J1214">
        <f>IFERROR(VLOOKUP(G1214,'LEAID Match'!$A$2:$B$183,2,FALSE),"")</f>
        <v>1602490</v>
      </c>
      <c r="K1214">
        <f t="shared" si="18"/>
        <v>9</v>
      </c>
    </row>
    <row r="1215" spans="1:11" x14ac:dyDescent="0.2">
      <c r="A1215">
        <v>1602490</v>
      </c>
      <c r="B1215">
        <v>2017</v>
      </c>
      <c r="C1215">
        <v>131</v>
      </c>
      <c r="D1215" t="s">
        <v>428</v>
      </c>
      <c r="E1215" t="s">
        <v>429</v>
      </c>
      <c r="F1215" t="s">
        <v>433</v>
      </c>
      <c r="G1215" t="s">
        <v>80</v>
      </c>
      <c r="H1215" t="s">
        <v>80</v>
      </c>
      <c r="I1215" s="5">
        <v>363565</v>
      </c>
      <c r="J1215">
        <f>IFERROR(VLOOKUP(G1215,'LEAID Match'!$A$2:$B$183,2,FALSE),"")</f>
        <v>1602490</v>
      </c>
      <c r="K1215">
        <f t="shared" si="18"/>
        <v>9</v>
      </c>
    </row>
    <row r="1216" spans="1:11" x14ac:dyDescent="0.2">
      <c r="A1216">
        <v>1602490</v>
      </c>
      <c r="B1216">
        <v>2018</v>
      </c>
      <c r="C1216">
        <v>131</v>
      </c>
      <c r="D1216" t="s">
        <v>428</v>
      </c>
      <c r="E1216" t="s">
        <v>429</v>
      </c>
      <c r="F1216" t="s">
        <v>433</v>
      </c>
      <c r="G1216" t="s">
        <v>80</v>
      </c>
      <c r="H1216" t="s">
        <v>80</v>
      </c>
      <c r="I1216" s="5">
        <v>392232</v>
      </c>
      <c r="J1216">
        <f>IFERROR(VLOOKUP(G1216,'LEAID Match'!$A$2:$B$183,2,FALSE),"")</f>
        <v>1602490</v>
      </c>
      <c r="K1216">
        <f t="shared" si="18"/>
        <v>9</v>
      </c>
    </row>
    <row r="1217" spans="1:11" x14ac:dyDescent="0.2">
      <c r="A1217">
        <v>1602490</v>
      </c>
      <c r="B1217">
        <v>2019</v>
      </c>
      <c r="C1217">
        <v>131</v>
      </c>
      <c r="D1217" t="s">
        <v>428</v>
      </c>
      <c r="E1217" t="s">
        <v>429</v>
      </c>
      <c r="F1217" t="s">
        <v>433</v>
      </c>
      <c r="G1217" t="s">
        <v>80</v>
      </c>
      <c r="H1217" t="s">
        <v>288</v>
      </c>
      <c r="I1217" s="5">
        <v>466917</v>
      </c>
      <c r="J1217">
        <f>IFERROR(VLOOKUP(G1217,'LEAID Match'!$A$2:$B$183,2,FALSE),"")</f>
        <v>1602490</v>
      </c>
      <c r="K1217">
        <f t="shared" si="18"/>
        <v>9</v>
      </c>
    </row>
    <row r="1218" spans="1:11" x14ac:dyDescent="0.2">
      <c r="A1218">
        <v>1602490</v>
      </c>
      <c r="B1218">
        <v>2020</v>
      </c>
      <c r="C1218">
        <v>131</v>
      </c>
      <c r="D1218" t="s">
        <v>428</v>
      </c>
      <c r="E1218" t="s">
        <v>429</v>
      </c>
      <c r="F1218" t="s">
        <v>433</v>
      </c>
      <c r="G1218" t="s">
        <v>80</v>
      </c>
      <c r="H1218" t="s">
        <v>288</v>
      </c>
      <c r="I1218" s="5">
        <v>554990</v>
      </c>
      <c r="J1218">
        <f>IFERROR(VLOOKUP(G1218,'LEAID Match'!$A$2:$B$183,2,FALSE),"")</f>
        <v>1602490</v>
      </c>
      <c r="K1218">
        <f t="shared" si="18"/>
        <v>9</v>
      </c>
    </row>
    <row r="1219" spans="1:11" x14ac:dyDescent="0.2">
      <c r="A1219">
        <v>1602490</v>
      </c>
      <c r="B1219">
        <v>2021</v>
      </c>
      <c r="C1219">
        <v>131</v>
      </c>
      <c r="D1219" t="s">
        <v>428</v>
      </c>
      <c r="E1219" t="s">
        <v>429</v>
      </c>
      <c r="F1219" t="s">
        <v>433</v>
      </c>
      <c r="G1219" t="s">
        <v>80</v>
      </c>
      <c r="H1219" t="s">
        <v>80</v>
      </c>
      <c r="I1219" s="5">
        <v>731946</v>
      </c>
      <c r="J1219">
        <f>IFERROR(VLOOKUP(G1219,'LEAID Match'!$A$2:$B$183,2,FALSE),"")</f>
        <v>1602490</v>
      </c>
      <c r="K1219">
        <f t="shared" ref="K1219:K1282" si="19">COUNTIF($A$2:$A$1651,A1219)</f>
        <v>9</v>
      </c>
    </row>
    <row r="1220" spans="1:11" x14ac:dyDescent="0.2">
      <c r="A1220">
        <v>1602490</v>
      </c>
      <c r="B1220">
        <v>2022</v>
      </c>
      <c r="C1220">
        <v>131</v>
      </c>
      <c r="D1220" t="s">
        <v>428</v>
      </c>
      <c r="E1220" t="s">
        <v>429</v>
      </c>
      <c r="F1220" t="s">
        <v>433</v>
      </c>
      <c r="G1220" t="s">
        <v>80</v>
      </c>
      <c r="H1220" t="s">
        <v>288</v>
      </c>
      <c r="I1220" s="5">
        <v>865868</v>
      </c>
      <c r="J1220">
        <f>IFERROR(VLOOKUP(G1220,'LEAID Match'!$A$2:$B$183,2,FALSE),"")</f>
        <v>1602490</v>
      </c>
      <c r="K1220">
        <f t="shared" si="19"/>
        <v>9</v>
      </c>
    </row>
    <row r="1221" spans="1:11" x14ac:dyDescent="0.2">
      <c r="A1221">
        <v>1602490</v>
      </c>
      <c r="B1221">
        <v>2023</v>
      </c>
      <c r="C1221">
        <v>131</v>
      </c>
      <c r="D1221" t="s">
        <v>428</v>
      </c>
      <c r="E1221" t="s">
        <v>429</v>
      </c>
      <c r="F1221" t="s">
        <v>433</v>
      </c>
      <c r="G1221" t="s">
        <v>80</v>
      </c>
      <c r="H1221" t="s">
        <v>288</v>
      </c>
      <c r="I1221" s="5">
        <v>858276</v>
      </c>
      <c r="J1221">
        <f>IFERROR(VLOOKUP(G1221,'LEAID Match'!$A$2:$B$183,2,FALSE),"")</f>
        <v>1602490</v>
      </c>
      <c r="K1221">
        <f t="shared" si="19"/>
        <v>9</v>
      </c>
    </row>
    <row r="1222" spans="1:11" x14ac:dyDescent="0.2">
      <c r="A1222">
        <v>1602520</v>
      </c>
      <c r="B1222">
        <v>2015</v>
      </c>
      <c r="C1222">
        <v>34</v>
      </c>
      <c r="D1222" t="s">
        <v>428</v>
      </c>
      <c r="E1222" t="s">
        <v>429</v>
      </c>
      <c r="F1222" t="s">
        <v>433</v>
      </c>
      <c r="G1222" t="s">
        <v>28</v>
      </c>
      <c r="H1222" t="s">
        <v>28</v>
      </c>
      <c r="I1222" s="5">
        <v>617325</v>
      </c>
      <c r="J1222">
        <f>IFERROR(VLOOKUP(G1222,'LEAID Match'!$A$2:$B$183,2,FALSE),"")</f>
        <v>1602520</v>
      </c>
      <c r="K1222">
        <f t="shared" si="19"/>
        <v>9</v>
      </c>
    </row>
    <row r="1223" spans="1:11" x14ac:dyDescent="0.2">
      <c r="A1223">
        <v>1602520</v>
      </c>
      <c r="B1223">
        <v>2016</v>
      </c>
      <c r="C1223">
        <v>34</v>
      </c>
      <c r="D1223" t="s">
        <v>428</v>
      </c>
      <c r="E1223" t="s">
        <v>429</v>
      </c>
      <c r="F1223" t="s">
        <v>433</v>
      </c>
      <c r="G1223" t="s">
        <v>28</v>
      </c>
      <c r="H1223" t="s">
        <v>28</v>
      </c>
      <c r="I1223" s="5">
        <v>643225</v>
      </c>
      <c r="J1223">
        <f>IFERROR(VLOOKUP(G1223,'LEAID Match'!$A$2:$B$183,2,FALSE),"")</f>
        <v>1602520</v>
      </c>
      <c r="K1223">
        <f t="shared" si="19"/>
        <v>9</v>
      </c>
    </row>
    <row r="1224" spans="1:11" x14ac:dyDescent="0.2">
      <c r="A1224">
        <v>1602520</v>
      </c>
      <c r="B1224">
        <v>2017</v>
      </c>
      <c r="C1224">
        <v>34</v>
      </c>
      <c r="D1224" t="s">
        <v>428</v>
      </c>
      <c r="E1224" t="s">
        <v>429</v>
      </c>
      <c r="F1224" t="s">
        <v>433</v>
      </c>
      <c r="G1224" t="s">
        <v>28</v>
      </c>
      <c r="H1224" t="s">
        <v>28</v>
      </c>
      <c r="I1224" s="5">
        <v>701656</v>
      </c>
      <c r="J1224">
        <f>IFERROR(VLOOKUP(G1224,'LEAID Match'!$A$2:$B$183,2,FALSE),"")</f>
        <v>1602520</v>
      </c>
      <c r="K1224">
        <f t="shared" si="19"/>
        <v>9</v>
      </c>
    </row>
    <row r="1225" spans="1:11" x14ac:dyDescent="0.2">
      <c r="A1225">
        <v>1602520</v>
      </c>
      <c r="B1225">
        <v>2018</v>
      </c>
      <c r="C1225">
        <v>34</v>
      </c>
      <c r="D1225" t="s">
        <v>428</v>
      </c>
      <c r="E1225" t="s">
        <v>429</v>
      </c>
      <c r="F1225" t="s">
        <v>433</v>
      </c>
      <c r="G1225" t="s">
        <v>28</v>
      </c>
      <c r="H1225" t="s">
        <v>28</v>
      </c>
      <c r="I1225" s="5">
        <v>719425</v>
      </c>
      <c r="J1225">
        <f>IFERROR(VLOOKUP(G1225,'LEAID Match'!$A$2:$B$183,2,FALSE),"")</f>
        <v>1602520</v>
      </c>
      <c r="K1225">
        <f t="shared" si="19"/>
        <v>9</v>
      </c>
    </row>
    <row r="1226" spans="1:11" x14ac:dyDescent="0.2">
      <c r="A1226">
        <v>1602520</v>
      </c>
      <c r="B1226">
        <v>2019</v>
      </c>
      <c r="C1226">
        <v>34</v>
      </c>
      <c r="D1226" t="s">
        <v>428</v>
      </c>
      <c r="E1226" t="s">
        <v>429</v>
      </c>
      <c r="F1226" t="s">
        <v>433</v>
      </c>
      <c r="G1226" t="s">
        <v>28</v>
      </c>
      <c r="H1226" t="s">
        <v>231</v>
      </c>
      <c r="I1226" s="5">
        <v>741227</v>
      </c>
      <c r="J1226">
        <f>IFERROR(VLOOKUP(G1226,'LEAID Match'!$A$2:$B$183,2,FALSE),"")</f>
        <v>1602520</v>
      </c>
      <c r="K1226">
        <f t="shared" si="19"/>
        <v>9</v>
      </c>
    </row>
    <row r="1227" spans="1:11" x14ac:dyDescent="0.2">
      <c r="A1227">
        <v>1602520</v>
      </c>
      <c r="B1227">
        <v>2020</v>
      </c>
      <c r="C1227">
        <v>34</v>
      </c>
      <c r="D1227" t="s">
        <v>428</v>
      </c>
      <c r="E1227" t="s">
        <v>429</v>
      </c>
      <c r="F1227" t="s">
        <v>433</v>
      </c>
      <c r="G1227" t="s">
        <v>28</v>
      </c>
      <c r="H1227" t="s">
        <v>334</v>
      </c>
      <c r="I1227" s="5">
        <v>808285</v>
      </c>
      <c r="J1227">
        <f>IFERROR(VLOOKUP(G1227,'LEAID Match'!$A$2:$B$183,2,FALSE),"")</f>
        <v>1602520</v>
      </c>
      <c r="K1227">
        <f t="shared" si="19"/>
        <v>9</v>
      </c>
    </row>
    <row r="1228" spans="1:11" x14ac:dyDescent="0.2">
      <c r="A1228">
        <v>1602520</v>
      </c>
      <c r="B1228">
        <v>2021</v>
      </c>
      <c r="C1228">
        <v>34</v>
      </c>
      <c r="D1228" t="s">
        <v>428</v>
      </c>
      <c r="E1228" t="s">
        <v>429</v>
      </c>
      <c r="F1228" t="s">
        <v>433</v>
      </c>
      <c r="G1228" t="s">
        <v>28</v>
      </c>
      <c r="H1228" t="s">
        <v>231</v>
      </c>
      <c r="I1228" s="5">
        <v>830470</v>
      </c>
      <c r="J1228">
        <f>IFERROR(VLOOKUP(G1228,'LEAID Match'!$A$2:$B$183,2,FALSE),"")</f>
        <v>1602520</v>
      </c>
      <c r="K1228">
        <f t="shared" si="19"/>
        <v>9</v>
      </c>
    </row>
    <row r="1229" spans="1:11" x14ac:dyDescent="0.2">
      <c r="A1229">
        <v>1602520</v>
      </c>
      <c r="B1229">
        <v>2022</v>
      </c>
      <c r="C1229">
        <v>34</v>
      </c>
      <c r="D1229" t="s">
        <v>428</v>
      </c>
      <c r="E1229" t="s">
        <v>429</v>
      </c>
      <c r="F1229" t="s">
        <v>433</v>
      </c>
      <c r="G1229" t="s">
        <v>28</v>
      </c>
      <c r="H1229" t="s">
        <v>231</v>
      </c>
      <c r="I1229" s="5">
        <v>863622</v>
      </c>
      <c r="J1229">
        <f>IFERROR(VLOOKUP(G1229,'LEAID Match'!$A$2:$B$183,2,FALSE),"")</f>
        <v>1602520</v>
      </c>
      <c r="K1229">
        <f t="shared" si="19"/>
        <v>9</v>
      </c>
    </row>
    <row r="1230" spans="1:11" x14ac:dyDescent="0.2">
      <c r="A1230">
        <v>1602520</v>
      </c>
      <c r="B1230">
        <v>2023</v>
      </c>
      <c r="C1230">
        <v>34</v>
      </c>
      <c r="D1230" t="s">
        <v>428</v>
      </c>
      <c r="E1230" t="s">
        <v>429</v>
      </c>
      <c r="F1230" t="s">
        <v>433</v>
      </c>
      <c r="G1230" t="s">
        <v>28</v>
      </c>
      <c r="H1230" t="s">
        <v>231</v>
      </c>
      <c r="I1230" s="5">
        <v>949366</v>
      </c>
      <c r="J1230">
        <f>IFERROR(VLOOKUP(G1230,'LEAID Match'!$A$2:$B$183,2,FALSE),"")</f>
        <v>1602520</v>
      </c>
      <c r="K1230">
        <f t="shared" si="19"/>
        <v>9</v>
      </c>
    </row>
    <row r="1231" spans="1:11" x14ac:dyDescent="0.2">
      <c r="A1231">
        <v>1602550</v>
      </c>
      <c r="B1231">
        <v>2015</v>
      </c>
      <c r="C1231">
        <v>133</v>
      </c>
      <c r="D1231" t="s">
        <v>428</v>
      </c>
      <c r="E1231" t="s">
        <v>429</v>
      </c>
      <c r="F1231" t="s">
        <v>433</v>
      </c>
      <c r="G1231" t="s">
        <v>81</v>
      </c>
      <c r="H1231" t="s">
        <v>81</v>
      </c>
      <c r="I1231" s="5">
        <v>449679</v>
      </c>
      <c r="J1231">
        <f>IFERROR(VLOOKUP(G1231,'LEAID Match'!$A$2:$B$183,2,FALSE),"")</f>
        <v>1602550</v>
      </c>
      <c r="K1231">
        <f t="shared" si="19"/>
        <v>9</v>
      </c>
    </row>
    <row r="1232" spans="1:11" x14ac:dyDescent="0.2">
      <c r="A1232">
        <v>1602550</v>
      </c>
      <c r="B1232">
        <v>2016</v>
      </c>
      <c r="C1232">
        <v>133</v>
      </c>
      <c r="D1232" t="s">
        <v>428</v>
      </c>
      <c r="E1232" t="s">
        <v>429</v>
      </c>
      <c r="F1232" t="s">
        <v>433</v>
      </c>
      <c r="G1232" t="s">
        <v>81</v>
      </c>
      <c r="H1232" t="s">
        <v>81</v>
      </c>
      <c r="I1232" s="5">
        <v>459599</v>
      </c>
      <c r="J1232">
        <f>IFERROR(VLOOKUP(G1232,'LEAID Match'!$A$2:$B$183,2,FALSE),"")</f>
        <v>1602550</v>
      </c>
      <c r="K1232">
        <f t="shared" si="19"/>
        <v>9</v>
      </c>
    </row>
    <row r="1233" spans="1:11" x14ac:dyDescent="0.2">
      <c r="A1233">
        <v>1602550</v>
      </c>
      <c r="B1233">
        <v>2017</v>
      </c>
      <c r="C1233">
        <v>133</v>
      </c>
      <c r="D1233" t="s">
        <v>428</v>
      </c>
      <c r="E1233" t="s">
        <v>429</v>
      </c>
      <c r="F1233" t="s">
        <v>433</v>
      </c>
      <c r="G1233" t="s">
        <v>81</v>
      </c>
      <c r="H1233" t="s">
        <v>81</v>
      </c>
      <c r="I1233" s="5">
        <v>480306</v>
      </c>
      <c r="J1233">
        <f>IFERROR(VLOOKUP(G1233,'LEAID Match'!$A$2:$B$183,2,FALSE),"")</f>
        <v>1602550</v>
      </c>
      <c r="K1233">
        <f t="shared" si="19"/>
        <v>9</v>
      </c>
    </row>
    <row r="1234" spans="1:11" x14ac:dyDescent="0.2">
      <c r="A1234">
        <v>1602550</v>
      </c>
      <c r="B1234">
        <v>2018</v>
      </c>
      <c r="C1234">
        <v>133</v>
      </c>
      <c r="D1234" t="s">
        <v>428</v>
      </c>
      <c r="E1234" t="s">
        <v>429</v>
      </c>
      <c r="F1234" t="s">
        <v>433</v>
      </c>
      <c r="G1234" t="s">
        <v>81</v>
      </c>
      <c r="H1234" t="s">
        <v>81</v>
      </c>
      <c r="I1234" s="5">
        <v>489011</v>
      </c>
      <c r="J1234">
        <f>IFERROR(VLOOKUP(G1234,'LEAID Match'!$A$2:$B$183,2,FALSE),"")</f>
        <v>1602550</v>
      </c>
      <c r="K1234">
        <f t="shared" si="19"/>
        <v>9</v>
      </c>
    </row>
    <row r="1235" spans="1:11" x14ac:dyDescent="0.2">
      <c r="A1235">
        <v>1602550</v>
      </c>
      <c r="B1235">
        <v>2019</v>
      </c>
      <c r="C1235">
        <v>133</v>
      </c>
      <c r="D1235" t="s">
        <v>428</v>
      </c>
      <c r="E1235" t="s">
        <v>429</v>
      </c>
      <c r="F1235" t="s">
        <v>433</v>
      </c>
      <c r="G1235" t="s">
        <v>81</v>
      </c>
      <c r="H1235" t="s">
        <v>289</v>
      </c>
      <c r="I1235" s="5">
        <v>515020</v>
      </c>
      <c r="J1235">
        <f>IFERROR(VLOOKUP(G1235,'LEAID Match'!$A$2:$B$183,2,FALSE),"")</f>
        <v>1602550</v>
      </c>
      <c r="K1235">
        <f t="shared" si="19"/>
        <v>9</v>
      </c>
    </row>
    <row r="1236" spans="1:11" x14ac:dyDescent="0.2">
      <c r="A1236">
        <v>1602550</v>
      </c>
      <c r="B1236">
        <v>2020</v>
      </c>
      <c r="C1236">
        <v>133</v>
      </c>
      <c r="D1236" t="s">
        <v>428</v>
      </c>
      <c r="E1236" t="s">
        <v>429</v>
      </c>
      <c r="F1236" t="s">
        <v>433</v>
      </c>
      <c r="G1236" t="s">
        <v>81</v>
      </c>
      <c r="H1236" t="s">
        <v>289</v>
      </c>
      <c r="I1236" s="5">
        <v>544844</v>
      </c>
      <c r="J1236">
        <f>IFERROR(VLOOKUP(G1236,'LEAID Match'!$A$2:$B$183,2,FALSE),"")</f>
        <v>1602550</v>
      </c>
      <c r="K1236">
        <f t="shared" si="19"/>
        <v>9</v>
      </c>
    </row>
    <row r="1237" spans="1:11" x14ac:dyDescent="0.2">
      <c r="A1237">
        <v>1602550</v>
      </c>
      <c r="B1237">
        <v>2021</v>
      </c>
      <c r="C1237">
        <v>133</v>
      </c>
      <c r="D1237" t="s">
        <v>428</v>
      </c>
      <c r="E1237" t="s">
        <v>429</v>
      </c>
      <c r="F1237" t="s">
        <v>433</v>
      </c>
      <c r="G1237" t="s">
        <v>81</v>
      </c>
      <c r="H1237" t="s">
        <v>81</v>
      </c>
      <c r="I1237" s="5">
        <v>594757</v>
      </c>
      <c r="J1237">
        <f>IFERROR(VLOOKUP(G1237,'LEAID Match'!$A$2:$B$183,2,FALSE),"")</f>
        <v>1602550</v>
      </c>
      <c r="K1237">
        <f t="shared" si="19"/>
        <v>9</v>
      </c>
    </row>
    <row r="1238" spans="1:11" x14ac:dyDescent="0.2">
      <c r="A1238">
        <v>1602550</v>
      </c>
      <c r="B1238">
        <v>2022</v>
      </c>
      <c r="C1238">
        <v>133</v>
      </c>
      <c r="D1238" t="s">
        <v>428</v>
      </c>
      <c r="E1238" t="s">
        <v>429</v>
      </c>
      <c r="F1238" t="s">
        <v>433</v>
      </c>
      <c r="G1238" t="s">
        <v>81</v>
      </c>
      <c r="H1238" t="s">
        <v>289</v>
      </c>
      <c r="I1238" s="5">
        <v>605435</v>
      </c>
      <c r="J1238">
        <f>IFERROR(VLOOKUP(G1238,'LEAID Match'!$A$2:$B$183,2,FALSE),"")</f>
        <v>1602550</v>
      </c>
      <c r="K1238">
        <f t="shared" si="19"/>
        <v>9</v>
      </c>
    </row>
    <row r="1239" spans="1:11" x14ac:dyDescent="0.2">
      <c r="A1239">
        <v>1602550</v>
      </c>
      <c r="B1239">
        <v>2023</v>
      </c>
      <c r="C1239">
        <v>133</v>
      </c>
      <c r="D1239" t="s">
        <v>428</v>
      </c>
      <c r="E1239" t="s">
        <v>429</v>
      </c>
      <c r="F1239" t="s">
        <v>433</v>
      </c>
      <c r="G1239" t="s">
        <v>81</v>
      </c>
      <c r="H1239" t="s">
        <v>289</v>
      </c>
      <c r="I1239" s="5">
        <v>632032</v>
      </c>
      <c r="J1239">
        <f>IFERROR(VLOOKUP(G1239,'LEAID Match'!$A$2:$B$183,2,FALSE),"")</f>
        <v>1602550</v>
      </c>
      <c r="K1239">
        <f t="shared" si="19"/>
        <v>9</v>
      </c>
    </row>
    <row r="1240" spans="1:11" x14ac:dyDescent="0.2">
      <c r="A1240">
        <v>1602580</v>
      </c>
      <c r="B1240">
        <v>2015</v>
      </c>
      <c r="C1240">
        <v>136</v>
      </c>
      <c r="D1240" t="s">
        <v>428</v>
      </c>
      <c r="E1240" t="s">
        <v>429</v>
      </c>
      <c r="F1240" t="s">
        <v>433</v>
      </c>
      <c r="G1240" t="s">
        <v>82</v>
      </c>
      <c r="H1240" t="s">
        <v>82</v>
      </c>
      <c r="I1240" s="5">
        <v>657739</v>
      </c>
      <c r="J1240">
        <f>IFERROR(VLOOKUP(G1240,'LEAID Match'!$A$2:$B$183,2,FALSE),"")</f>
        <v>1602580</v>
      </c>
      <c r="K1240">
        <f t="shared" si="19"/>
        <v>9</v>
      </c>
    </row>
    <row r="1241" spans="1:11" x14ac:dyDescent="0.2">
      <c r="A1241">
        <v>1602580</v>
      </c>
      <c r="B1241">
        <v>2016</v>
      </c>
      <c r="C1241">
        <v>136</v>
      </c>
      <c r="D1241" t="s">
        <v>428</v>
      </c>
      <c r="E1241" t="s">
        <v>429</v>
      </c>
      <c r="F1241" t="s">
        <v>433</v>
      </c>
      <c r="G1241" t="s">
        <v>82</v>
      </c>
      <c r="H1241" t="s">
        <v>82</v>
      </c>
      <c r="I1241" s="5">
        <v>696122</v>
      </c>
      <c r="J1241">
        <f>IFERROR(VLOOKUP(G1241,'LEAID Match'!$A$2:$B$183,2,FALSE),"")</f>
        <v>1602580</v>
      </c>
      <c r="K1241">
        <f t="shared" si="19"/>
        <v>9</v>
      </c>
    </row>
    <row r="1242" spans="1:11" x14ac:dyDescent="0.2">
      <c r="A1242">
        <v>1602580</v>
      </c>
      <c r="B1242">
        <v>2017</v>
      </c>
      <c r="C1242">
        <v>136</v>
      </c>
      <c r="D1242" t="s">
        <v>428</v>
      </c>
      <c r="E1242" t="s">
        <v>429</v>
      </c>
      <c r="F1242" t="s">
        <v>433</v>
      </c>
      <c r="G1242" t="s">
        <v>82</v>
      </c>
      <c r="H1242" t="s">
        <v>82</v>
      </c>
      <c r="I1242" s="5">
        <v>712976</v>
      </c>
      <c r="J1242">
        <f>IFERROR(VLOOKUP(G1242,'LEAID Match'!$A$2:$B$183,2,FALSE),"")</f>
        <v>1602580</v>
      </c>
      <c r="K1242">
        <f t="shared" si="19"/>
        <v>9</v>
      </c>
    </row>
    <row r="1243" spans="1:11" x14ac:dyDescent="0.2">
      <c r="A1243">
        <v>1602580</v>
      </c>
      <c r="B1243">
        <v>2018</v>
      </c>
      <c r="C1243">
        <v>136</v>
      </c>
      <c r="D1243" t="s">
        <v>428</v>
      </c>
      <c r="E1243" t="s">
        <v>429</v>
      </c>
      <c r="F1243" t="s">
        <v>433</v>
      </c>
      <c r="G1243" t="s">
        <v>82</v>
      </c>
      <c r="H1243" t="s">
        <v>82</v>
      </c>
      <c r="I1243" s="5">
        <v>749977</v>
      </c>
      <c r="J1243">
        <f>IFERROR(VLOOKUP(G1243,'LEAID Match'!$A$2:$B$183,2,FALSE),"")</f>
        <v>1602580</v>
      </c>
      <c r="K1243">
        <f t="shared" si="19"/>
        <v>9</v>
      </c>
    </row>
    <row r="1244" spans="1:11" x14ac:dyDescent="0.2">
      <c r="A1244">
        <v>1602580</v>
      </c>
      <c r="B1244">
        <v>2019</v>
      </c>
      <c r="C1244">
        <v>136</v>
      </c>
      <c r="D1244" t="s">
        <v>428</v>
      </c>
      <c r="E1244" t="s">
        <v>429</v>
      </c>
      <c r="F1244" t="s">
        <v>433</v>
      </c>
      <c r="G1244" t="s">
        <v>82</v>
      </c>
      <c r="H1244" t="s">
        <v>291</v>
      </c>
      <c r="I1244" s="5">
        <v>760864</v>
      </c>
      <c r="J1244">
        <f>IFERROR(VLOOKUP(G1244,'LEAID Match'!$A$2:$B$183,2,FALSE),"")</f>
        <v>1602580</v>
      </c>
      <c r="K1244">
        <f t="shared" si="19"/>
        <v>9</v>
      </c>
    </row>
    <row r="1245" spans="1:11" x14ac:dyDescent="0.2">
      <c r="A1245">
        <v>1602580</v>
      </c>
      <c r="B1245">
        <v>2020</v>
      </c>
      <c r="C1245">
        <v>136</v>
      </c>
      <c r="D1245" t="s">
        <v>428</v>
      </c>
      <c r="E1245" t="s">
        <v>429</v>
      </c>
      <c r="F1245" t="s">
        <v>433</v>
      </c>
      <c r="G1245" t="s">
        <v>82</v>
      </c>
      <c r="H1245" t="s">
        <v>291</v>
      </c>
      <c r="I1245" s="5">
        <v>830853</v>
      </c>
      <c r="J1245">
        <f>IFERROR(VLOOKUP(G1245,'LEAID Match'!$A$2:$B$183,2,FALSE),"")</f>
        <v>1602580</v>
      </c>
      <c r="K1245">
        <f t="shared" si="19"/>
        <v>9</v>
      </c>
    </row>
    <row r="1246" spans="1:11" x14ac:dyDescent="0.2">
      <c r="A1246">
        <v>1602580</v>
      </c>
      <c r="B1246">
        <v>2021</v>
      </c>
      <c r="C1246">
        <v>136</v>
      </c>
      <c r="D1246" t="s">
        <v>428</v>
      </c>
      <c r="E1246" t="s">
        <v>429</v>
      </c>
      <c r="F1246" t="s">
        <v>433</v>
      </c>
      <c r="G1246" t="s">
        <v>82</v>
      </c>
      <c r="H1246" t="s">
        <v>82</v>
      </c>
      <c r="I1246" s="5">
        <v>849391</v>
      </c>
      <c r="J1246">
        <f>IFERROR(VLOOKUP(G1246,'LEAID Match'!$A$2:$B$183,2,FALSE),"")</f>
        <v>1602580</v>
      </c>
      <c r="K1246">
        <f t="shared" si="19"/>
        <v>9</v>
      </c>
    </row>
    <row r="1247" spans="1:11" x14ac:dyDescent="0.2">
      <c r="A1247">
        <v>1602580</v>
      </c>
      <c r="B1247">
        <v>2022</v>
      </c>
      <c r="C1247">
        <v>136</v>
      </c>
      <c r="D1247" t="s">
        <v>428</v>
      </c>
      <c r="E1247" t="s">
        <v>429</v>
      </c>
      <c r="F1247" t="s">
        <v>433</v>
      </c>
      <c r="G1247" t="s">
        <v>82</v>
      </c>
      <c r="H1247" t="s">
        <v>291</v>
      </c>
      <c r="I1247" s="5">
        <v>856344</v>
      </c>
      <c r="J1247">
        <f>IFERROR(VLOOKUP(G1247,'LEAID Match'!$A$2:$B$183,2,FALSE),"")</f>
        <v>1602580</v>
      </c>
      <c r="K1247">
        <f t="shared" si="19"/>
        <v>9</v>
      </c>
    </row>
    <row r="1248" spans="1:11" x14ac:dyDescent="0.2">
      <c r="A1248">
        <v>1602580</v>
      </c>
      <c r="B1248">
        <v>2023</v>
      </c>
      <c r="C1248">
        <v>136</v>
      </c>
      <c r="D1248" t="s">
        <v>428</v>
      </c>
      <c r="E1248" t="s">
        <v>429</v>
      </c>
      <c r="F1248" t="s">
        <v>433</v>
      </c>
      <c r="G1248" t="s">
        <v>82</v>
      </c>
      <c r="H1248" t="s">
        <v>291</v>
      </c>
      <c r="I1248" s="5">
        <v>902058</v>
      </c>
      <c r="J1248">
        <f>IFERROR(VLOOKUP(G1248,'LEAID Match'!$A$2:$B$183,2,FALSE),"")</f>
        <v>1602580</v>
      </c>
      <c r="K1248">
        <f t="shared" si="19"/>
        <v>9</v>
      </c>
    </row>
    <row r="1249" spans="1:11" x14ac:dyDescent="0.2">
      <c r="A1249">
        <v>1602610</v>
      </c>
      <c r="B1249">
        <v>2015</v>
      </c>
      <c r="C1249">
        <v>140</v>
      </c>
      <c r="D1249" t="s">
        <v>428</v>
      </c>
      <c r="E1249" t="s">
        <v>429</v>
      </c>
      <c r="F1249" t="s">
        <v>433</v>
      </c>
      <c r="G1249" t="s">
        <v>83</v>
      </c>
      <c r="H1249" t="s">
        <v>83</v>
      </c>
      <c r="I1249" s="5">
        <v>6906</v>
      </c>
      <c r="J1249">
        <f>IFERROR(VLOOKUP(G1249,'LEAID Match'!$A$2:$B$183,2,FALSE),"")</f>
        <v>1602610</v>
      </c>
      <c r="K1249">
        <f t="shared" si="19"/>
        <v>9</v>
      </c>
    </row>
    <row r="1250" spans="1:11" x14ac:dyDescent="0.2">
      <c r="A1250">
        <v>1602610</v>
      </c>
      <c r="B1250">
        <v>2016</v>
      </c>
      <c r="C1250">
        <v>140</v>
      </c>
      <c r="D1250" t="s">
        <v>428</v>
      </c>
      <c r="E1250" t="s">
        <v>429</v>
      </c>
      <c r="F1250" t="s">
        <v>433</v>
      </c>
      <c r="G1250" t="s">
        <v>83</v>
      </c>
      <c r="H1250" t="s">
        <v>83</v>
      </c>
      <c r="I1250" s="5">
        <v>8092</v>
      </c>
      <c r="J1250">
        <f>IFERROR(VLOOKUP(G1250,'LEAID Match'!$A$2:$B$183,2,FALSE),"")</f>
        <v>1602610</v>
      </c>
      <c r="K1250">
        <f t="shared" si="19"/>
        <v>9</v>
      </c>
    </row>
    <row r="1251" spans="1:11" x14ac:dyDescent="0.2">
      <c r="A1251">
        <v>1602610</v>
      </c>
      <c r="B1251">
        <v>2017</v>
      </c>
      <c r="C1251">
        <v>140</v>
      </c>
      <c r="D1251" t="s">
        <v>428</v>
      </c>
      <c r="E1251" t="s">
        <v>429</v>
      </c>
      <c r="F1251" t="s">
        <v>433</v>
      </c>
      <c r="G1251" t="s">
        <v>83</v>
      </c>
      <c r="H1251" t="s">
        <v>83</v>
      </c>
      <c r="I1251" s="5">
        <v>11979</v>
      </c>
      <c r="J1251">
        <f>IFERROR(VLOOKUP(G1251,'LEAID Match'!$A$2:$B$183,2,FALSE),"")</f>
        <v>1602610</v>
      </c>
      <c r="K1251">
        <f t="shared" si="19"/>
        <v>9</v>
      </c>
    </row>
    <row r="1252" spans="1:11" x14ac:dyDescent="0.2">
      <c r="A1252">
        <v>1602610</v>
      </c>
      <c r="B1252">
        <v>2018</v>
      </c>
      <c r="C1252">
        <v>140</v>
      </c>
      <c r="D1252" t="s">
        <v>428</v>
      </c>
      <c r="E1252" t="s">
        <v>429</v>
      </c>
      <c r="F1252" t="s">
        <v>433</v>
      </c>
      <c r="G1252" t="s">
        <v>83</v>
      </c>
      <c r="H1252" t="s">
        <v>83</v>
      </c>
      <c r="I1252" s="5">
        <v>12294</v>
      </c>
      <c r="J1252">
        <f>IFERROR(VLOOKUP(G1252,'LEAID Match'!$A$2:$B$183,2,FALSE),"")</f>
        <v>1602610</v>
      </c>
      <c r="K1252">
        <f t="shared" si="19"/>
        <v>9</v>
      </c>
    </row>
    <row r="1253" spans="1:11" x14ac:dyDescent="0.2">
      <c r="A1253">
        <v>1602610</v>
      </c>
      <c r="B1253">
        <v>2019</v>
      </c>
      <c r="C1253">
        <v>140</v>
      </c>
      <c r="D1253" t="s">
        <v>428</v>
      </c>
      <c r="E1253" t="s">
        <v>429</v>
      </c>
      <c r="F1253" t="s">
        <v>433</v>
      </c>
      <c r="G1253" t="s">
        <v>83</v>
      </c>
      <c r="H1253" t="s">
        <v>293</v>
      </c>
      <c r="I1253" s="5">
        <v>11320</v>
      </c>
      <c r="J1253">
        <f>IFERROR(VLOOKUP(G1253,'LEAID Match'!$A$2:$B$183,2,FALSE),"")</f>
        <v>1602610</v>
      </c>
      <c r="K1253">
        <f t="shared" si="19"/>
        <v>9</v>
      </c>
    </row>
    <row r="1254" spans="1:11" x14ac:dyDescent="0.2">
      <c r="A1254">
        <v>1602610</v>
      </c>
      <c r="B1254">
        <v>2020</v>
      </c>
      <c r="C1254">
        <v>140</v>
      </c>
      <c r="D1254" t="s">
        <v>428</v>
      </c>
      <c r="E1254" t="s">
        <v>429</v>
      </c>
      <c r="F1254" t="s">
        <v>433</v>
      </c>
      <c r="G1254" t="s">
        <v>83</v>
      </c>
      <c r="H1254" t="s">
        <v>365</v>
      </c>
      <c r="I1254" s="5">
        <v>7318</v>
      </c>
      <c r="J1254">
        <f>IFERROR(VLOOKUP(G1254,'LEAID Match'!$A$2:$B$183,2,FALSE),"")</f>
        <v>1602610</v>
      </c>
      <c r="K1254">
        <f t="shared" si="19"/>
        <v>9</v>
      </c>
    </row>
    <row r="1255" spans="1:11" x14ac:dyDescent="0.2">
      <c r="A1255">
        <v>1602610</v>
      </c>
      <c r="B1255">
        <v>2021</v>
      </c>
      <c r="C1255">
        <v>140</v>
      </c>
      <c r="D1255" t="s">
        <v>428</v>
      </c>
      <c r="E1255" t="s">
        <v>429</v>
      </c>
      <c r="F1255" t="s">
        <v>433</v>
      </c>
      <c r="G1255" t="s">
        <v>83</v>
      </c>
      <c r="H1255" t="s">
        <v>293</v>
      </c>
      <c r="I1255" s="5">
        <v>9416</v>
      </c>
      <c r="J1255">
        <f>IFERROR(VLOOKUP(G1255,'LEAID Match'!$A$2:$B$183,2,FALSE),"")</f>
        <v>1602610</v>
      </c>
      <c r="K1255">
        <f t="shared" si="19"/>
        <v>9</v>
      </c>
    </row>
    <row r="1256" spans="1:11" x14ac:dyDescent="0.2">
      <c r="A1256">
        <v>1602610</v>
      </c>
      <c r="B1256">
        <v>2022</v>
      </c>
      <c r="C1256">
        <v>140</v>
      </c>
      <c r="D1256" t="s">
        <v>428</v>
      </c>
      <c r="E1256" t="s">
        <v>429</v>
      </c>
      <c r="F1256" t="s">
        <v>433</v>
      </c>
      <c r="G1256" t="s">
        <v>83</v>
      </c>
      <c r="H1256" t="s">
        <v>293</v>
      </c>
      <c r="I1256" s="5">
        <v>11572</v>
      </c>
      <c r="J1256">
        <f>IFERROR(VLOOKUP(G1256,'LEAID Match'!$A$2:$B$183,2,FALSE),"")</f>
        <v>1602610</v>
      </c>
      <c r="K1256">
        <f t="shared" si="19"/>
        <v>9</v>
      </c>
    </row>
    <row r="1257" spans="1:11" x14ac:dyDescent="0.2">
      <c r="A1257">
        <v>1602610</v>
      </c>
      <c r="B1257">
        <v>2023</v>
      </c>
      <c r="C1257">
        <v>140</v>
      </c>
      <c r="D1257" t="s">
        <v>428</v>
      </c>
      <c r="E1257" t="s">
        <v>429</v>
      </c>
      <c r="F1257" t="s">
        <v>433</v>
      </c>
      <c r="G1257" t="s">
        <v>83</v>
      </c>
      <c r="H1257" t="s">
        <v>293</v>
      </c>
      <c r="I1257" s="5">
        <v>10704</v>
      </c>
      <c r="J1257">
        <f>IFERROR(VLOOKUP(G1257,'LEAID Match'!$A$2:$B$183,2,FALSE),"")</f>
        <v>1602610</v>
      </c>
      <c r="K1257">
        <f t="shared" si="19"/>
        <v>9</v>
      </c>
    </row>
    <row r="1258" spans="1:11" x14ac:dyDescent="0.2">
      <c r="A1258">
        <v>1602640</v>
      </c>
      <c r="B1258">
        <v>2015</v>
      </c>
      <c r="C1258">
        <v>143</v>
      </c>
      <c r="D1258" t="s">
        <v>428</v>
      </c>
      <c r="E1258" t="s">
        <v>429</v>
      </c>
      <c r="F1258" t="s">
        <v>433</v>
      </c>
      <c r="G1258" t="s">
        <v>85</v>
      </c>
      <c r="H1258" t="s">
        <v>85</v>
      </c>
      <c r="I1258" s="5">
        <v>5235106</v>
      </c>
      <c r="J1258">
        <f>IFERROR(VLOOKUP(G1258,'LEAID Match'!$A$2:$B$183,2,FALSE),"")</f>
        <v>1602640</v>
      </c>
      <c r="K1258">
        <f t="shared" si="19"/>
        <v>9</v>
      </c>
    </row>
    <row r="1259" spans="1:11" x14ac:dyDescent="0.2">
      <c r="A1259">
        <v>1602640</v>
      </c>
      <c r="B1259">
        <v>2016</v>
      </c>
      <c r="C1259">
        <v>143</v>
      </c>
      <c r="D1259" t="s">
        <v>428</v>
      </c>
      <c r="E1259" t="s">
        <v>429</v>
      </c>
      <c r="F1259" t="s">
        <v>433</v>
      </c>
      <c r="G1259" t="s">
        <v>85</v>
      </c>
      <c r="H1259" t="s">
        <v>85</v>
      </c>
      <c r="I1259" s="5">
        <v>5301322</v>
      </c>
      <c r="J1259">
        <f>IFERROR(VLOOKUP(G1259,'LEAID Match'!$A$2:$B$183,2,FALSE),"")</f>
        <v>1602640</v>
      </c>
      <c r="K1259">
        <f t="shared" si="19"/>
        <v>9</v>
      </c>
    </row>
    <row r="1260" spans="1:11" x14ac:dyDescent="0.2">
      <c r="A1260">
        <v>1602640</v>
      </c>
      <c r="B1260">
        <v>2017</v>
      </c>
      <c r="C1260">
        <v>143</v>
      </c>
      <c r="D1260" t="s">
        <v>428</v>
      </c>
      <c r="E1260" t="s">
        <v>429</v>
      </c>
      <c r="F1260" t="s">
        <v>433</v>
      </c>
      <c r="G1260" t="s">
        <v>85</v>
      </c>
      <c r="H1260" t="s">
        <v>85</v>
      </c>
      <c r="I1260" s="5">
        <v>5429334</v>
      </c>
      <c r="J1260">
        <f>IFERROR(VLOOKUP(G1260,'LEAID Match'!$A$2:$B$183,2,FALSE),"")</f>
        <v>1602640</v>
      </c>
      <c r="K1260">
        <f t="shared" si="19"/>
        <v>9</v>
      </c>
    </row>
    <row r="1261" spans="1:11" x14ac:dyDescent="0.2">
      <c r="A1261">
        <v>1602640</v>
      </c>
      <c r="B1261">
        <v>2018</v>
      </c>
      <c r="C1261">
        <v>143</v>
      </c>
      <c r="D1261" t="s">
        <v>428</v>
      </c>
      <c r="E1261" t="s">
        <v>429</v>
      </c>
      <c r="F1261" t="s">
        <v>433</v>
      </c>
      <c r="G1261" t="s">
        <v>85</v>
      </c>
      <c r="H1261" t="s">
        <v>85</v>
      </c>
      <c r="I1261" s="5">
        <v>5656486</v>
      </c>
      <c r="J1261">
        <f>IFERROR(VLOOKUP(G1261,'LEAID Match'!$A$2:$B$183,2,FALSE),"")</f>
        <v>1602640</v>
      </c>
      <c r="K1261">
        <f t="shared" si="19"/>
        <v>9</v>
      </c>
    </row>
    <row r="1262" spans="1:11" x14ac:dyDescent="0.2">
      <c r="A1262">
        <v>1602640</v>
      </c>
      <c r="B1262">
        <v>2019</v>
      </c>
      <c r="C1262">
        <v>143</v>
      </c>
      <c r="D1262" t="s">
        <v>428</v>
      </c>
      <c r="E1262" t="s">
        <v>429</v>
      </c>
      <c r="F1262" t="s">
        <v>433</v>
      </c>
      <c r="G1262" t="s">
        <v>85</v>
      </c>
      <c r="H1262" t="s">
        <v>295</v>
      </c>
      <c r="I1262" s="5">
        <v>5873245</v>
      </c>
      <c r="J1262">
        <f>IFERROR(VLOOKUP(G1262,'LEAID Match'!$A$2:$B$183,2,FALSE),"")</f>
        <v>1602640</v>
      </c>
      <c r="K1262">
        <f t="shared" si="19"/>
        <v>9</v>
      </c>
    </row>
    <row r="1263" spans="1:11" x14ac:dyDescent="0.2">
      <c r="A1263">
        <v>1602640</v>
      </c>
      <c r="B1263">
        <v>2020</v>
      </c>
      <c r="C1263">
        <v>143</v>
      </c>
      <c r="D1263" t="s">
        <v>428</v>
      </c>
      <c r="E1263" t="s">
        <v>429</v>
      </c>
      <c r="F1263" t="s">
        <v>433</v>
      </c>
      <c r="G1263" t="s">
        <v>85</v>
      </c>
      <c r="H1263" t="s">
        <v>295</v>
      </c>
      <c r="I1263" s="5">
        <v>6528729</v>
      </c>
      <c r="J1263">
        <f>IFERROR(VLOOKUP(G1263,'LEAID Match'!$A$2:$B$183,2,FALSE),"")</f>
        <v>1602640</v>
      </c>
      <c r="K1263">
        <f t="shared" si="19"/>
        <v>9</v>
      </c>
    </row>
    <row r="1264" spans="1:11" x14ac:dyDescent="0.2">
      <c r="A1264">
        <v>1602640</v>
      </c>
      <c r="B1264">
        <v>2021</v>
      </c>
      <c r="C1264">
        <v>143</v>
      </c>
      <c r="D1264" t="s">
        <v>428</v>
      </c>
      <c r="E1264" t="s">
        <v>429</v>
      </c>
      <c r="F1264" t="s">
        <v>433</v>
      </c>
      <c r="G1264" t="s">
        <v>85</v>
      </c>
      <c r="H1264" t="s">
        <v>85</v>
      </c>
      <c r="I1264" s="5">
        <v>6951175</v>
      </c>
      <c r="J1264">
        <f>IFERROR(VLOOKUP(G1264,'LEAID Match'!$A$2:$B$183,2,FALSE),"")</f>
        <v>1602640</v>
      </c>
      <c r="K1264">
        <f t="shared" si="19"/>
        <v>9</v>
      </c>
    </row>
    <row r="1265" spans="1:11" x14ac:dyDescent="0.2">
      <c r="A1265">
        <v>1602640</v>
      </c>
      <c r="B1265">
        <v>2022</v>
      </c>
      <c r="C1265">
        <v>143</v>
      </c>
      <c r="D1265" t="s">
        <v>428</v>
      </c>
      <c r="E1265" t="s">
        <v>429</v>
      </c>
      <c r="F1265" t="s">
        <v>433</v>
      </c>
      <c r="G1265" t="s">
        <v>85</v>
      </c>
      <c r="H1265" t="s">
        <v>295</v>
      </c>
      <c r="I1265" s="5">
        <v>7458870</v>
      </c>
      <c r="J1265">
        <f>IFERROR(VLOOKUP(G1265,'LEAID Match'!$A$2:$B$183,2,FALSE),"")</f>
        <v>1602640</v>
      </c>
      <c r="K1265">
        <f t="shared" si="19"/>
        <v>9</v>
      </c>
    </row>
    <row r="1266" spans="1:11" x14ac:dyDescent="0.2">
      <c r="A1266">
        <v>1602640</v>
      </c>
      <c r="B1266">
        <v>2023</v>
      </c>
      <c r="C1266">
        <v>143</v>
      </c>
      <c r="D1266" t="s">
        <v>428</v>
      </c>
      <c r="E1266" t="s">
        <v>429</v>
      </c>
      <c r="F1266" t="s">
        <v>433</v>
      </c>
      <c r="G1266" t="s">
        <v>85</v>
      </c>
      <c r="H1266" t="s">
        <v>295</v>
      </c>
      <c r="I1266" s="5">
        <v>7546453</v>
      </c>
      <c r="J1266">
        <f>IFERROR(VLOOKUP(G1266,'LEAID Match'!$A$2:$B$183,2,FALSE),"")</f>
        <v>1602640</v>
      </c>
      <c r="K1266">
        <f t="shared" si="19"/>
        <v>9</v>
      </c>
    </row>
    <row r="1267" spans="1:11" x14ac:dyDescent="0.2">
      <c r="A1267">
        <v>1602670</v>
      </c>
      <c r="B1267">
        <v>2015</v>
      </c>
      <c r="C1267">
        <v>144</v>
      </c>
      <c r="D1267" t="s">
        <v>428</v>
      </c>
      <c r="E1267" t="s">
        <v>429</v>
      </c>
      <c r="F1267" t="s">
        <v>433</v>
      </c>
      <c r="G1267" t="s">
        <v>86</v>
      </c>
      <c r="H1267" t="s">
        <v>86</v>
      </c>
      <c r="I1267" s="5">
        <v>2414274</v>
      </c>
      <c r="J1267">
        <f>IFERROR(VLOOKUP(G1267,'LEAID Match'!$A$2:$B$183,2,FALSE),"")</f>
        <v>1602670</v>
      </c>
      <c r="K1267">
        <f t="shared" si="19"/>
        <v>9</v>
      </c>
    </row>
    <row r="1268" spans="1:11" x14ac:dyDescent="0.2">
      <c r="A1268">
        <v>1602670</v>
      </c>
      <c r="B1268">
        <v>2016</v>
      </c>
      <c r="C1268">
        <v>144</v>
      </c>
      <c r="D1268" t="s">
        <v>428</v>
      </c>
      <c r="E1268" t="s">
        <v>429</v>
      </c>
      <c r="F1268" t="s">
        <v>433</v>
      </c>
      <c r="G1268" t="s">
        <v>86</v>
      </c>
      <c r="H1268" t="s">
        <v>86</v>
      </c>
      <c r="I1268" s="5">
        <v>2516814</v>
      </c>
      <c r="J1268">
        <f>IFERROR(VLOOKUP(G1268,'LEAID Match'!$A$2:$B$183,2,FALSE),"")</f>
        <v>1602670</v>
      </c>
      <c r="K1268">
        <f t="shared" si="19"/>
        <v>9</v>
      </c>
    </row>
    <row r="1269" spans="1:11" x14ac:dyDescent="0.2">
      <c r="A1269">
        <v>1602670</v>
      </c>
      <c r="B1269">
        <v>2017</v>
      </c>
      <c r="C1269">
        <v>144</v>
      </c>
      <c r="D1269" t="s">
        <v>428</v>
      </c>
      <c r="E1269" t="s">
        <v>429</v>
      </c>
      <c r="F1269" t="s">
        <v>433</v>
      </c>
      <c r="G1269" t="s">
        <v>86</v>
      </c>
      <c r="H1269" t="s">
        <v>86</v>
      </c>
      <c r="I1269" s="5">
        <v>2633670</v>
      </c>
      <c r="J1269">
        <f>IFERROR(VLOOKUP(G1269,'LEAID Match'!$A$2:$B$183,2,FALSE),"")</f>
        <v>1602670</v>
      </c>
      <c r="K1269">
        <f t="shared" si="19"/>
        <v>9</v>
      </c>
    </row>
    <row r="1270" spans="1:11" x14ac:dyDescent="0.2">
      <c r="A1270">
        <v>1602670</v>
      </c>
      <c r="B1270">
        <v>2018</v>
      </c>
      <c r="C1270">
        <v>144</v>
      </c>
      <c r="D1270" t="s">
        <v>428</v>
      </c>
      <c r="E1270" t="s">
        <v>429</v>
      </c>
      <c r="F1270" t="s">
        <v>433</v>
      </c>
      <c r="G1270" t="s">
        <v>86</v>
      </c>
      <c r="H1270" t="s">
        <v>86</v>
      </c>
      <c r="I1270" s="5">
        <v>2787199</v>
      </c>
      <c r="J1270">
        <f>IFERROR(VLOOKUP(G1270,'LEAID Match'!$A$2:$B$183,2,FALSE),"")</f>
        <v>1602670</v>
      </c>
      <c r="K1270">
        <f t="shared" si="19"/>
        <v>9</v>
      </c>
    </row>
    <row r="1271" spans="1:11" x14ac:dyDescent="0.2">
      <c r="A1271">
        <v>1602670</v>
      </c>
      <c r="B1271">
        <v>2019</v>
      </c>
      <c r="C1271">
        <v>144</v>
      </c>
      <c r="D1271" t="s">
        <v>428</v>
      </c>
      <c r="E1271" t="s">
        <v>429</v>
      </c>
      <c r="F1271" t="s">
        <v>433</v>
      </c>
      <c r="G1271" t="s">
        <v>86</v>
      </c>
      <c r="H1271" t="s">
        <v>296</v>
      </c>
      <c r="I1271" s="5">
        <v>2939407</v>
      </c>
      <c r="J1271">
        <f>IFERROR(VLOOKUP(G1271,'LEAID Match'!$A$2:$B$183,2,FALSE),"")</f>
        <v>1602670</v>
      </c>
      <c r="K1271">
        <f t="shared" si="19"/>
        <v>9</v>
      </c>
    </row>
    <row r="1272" spans="1:11" x14ac:dyDescent="0.2">
      <c r="A1272">
        <v>1602670</v>
      </c>
      <c r="B1272">
        <v>2020</v>
      </c>
      <c r="C1272">
        <v>144</v>
      </c>
      <c r="D1272" t="s">
        <v>428</v>
      </c>
      <c r="E1272" t="s">
        <v>429</v>
      </c>
      <c r="F1272" t="s">
        <v>433</v>
      </c>
      <c r="G1272" t="s">
        <v>86</v>
      </c>
      <c r="H1272" t="s">
        <v>296</v>
      </c>
      <c r="I1272" s="5">
        <v>3228519</v>
      </c>
      <c r="J1272">
        <f>IFERROR(VLOOKUP(G1272,'LEAID Match'!$A$2:$B$183,2,FALSE),"")</f>
        <v>1602670</v>
      </c>
      <c r="K1272">
        <f t="shared" si="19"/>
        <v>9</v>
      </c>
    </row>
    <row r="1273" spans="1:11" x14ac:dyDescent="0.2">
      <c r="A1273">
        <v>1602670</v>
      </c>
      <c r="B1273">
        <v>2021</v>
      </c>
      <c r="C1273">
        <v>144</v>
      </c>
      <c r="D1273" t="s">
        <v>428</v>
      </c>
      <c r="E1273" t="s">
        <v>429</v>
      </c>
      <c r="F1273" t="s">
        <v>433</v>
      </c>
      <c r="G1273" t="s">
        <v>86</v>
      </c>
      <c r="H1273" t="s">
        <v>394</v>
      </c>
      <c r="I1273" s="5">
        <v>3381140</v>
      </c>
      <c r="J1273">
        <f>IFERROR(VLOOKUP(G1273,'LEAID Match'!$A$2:$B$183,2,FALSE),"")</f>
        <v>1602670</v>
      </c>
      <c r="K1273">
        <f t="shared" si="19"/>
        <v>9</v>
      </c>
    </row>
    <row r="1274" spans="1:11" x14ac:dyDescent="0.2">
      <c r="A1274">
        <v>1602670</v>
      </c>
      <c r="B1274">
        <v>2022</v>
      </c>
      <c r="C1274">
        <v>144</v>
      </c>
      <c r="D1274" t="s">
        <v>428</v>
      </c>
      <c r="E1274" t="s">
        <v>429</v>
      </c>
      <c r="F1274" t="s">
        <v>433</v>
      </c>
      <c r="G1274" t="s">
        <v>86</v>
      </c>
      <c r="H1274" t="s">
        <v>296</v>
      </c>
      <c r="I1274" s="5">
        <v>3763667</v>
      </c>
      <c r="J1274">
        <f>IFERROR(VLOOKUP(G1274,'LEAID Match'!$A$2:$B$183,2,FALSE),"")</f>
        <v>1602670</v>
      </c>
      <c r="K1274">
        <f t="shared" si="19"/>
        <v>9</v>
      </c>
    </row>
    <row r="1275" spans="1:11" x14ac:dyDescent="0.2">
      <c r="A1275">
        <v>1602670</v>
      </c>
      <c r="B1275">
        <v>2023</v>
      </c>
      <c r="C1275">
        <v>144</v>
      </c>
      <c r="D1275" t="s">
        <v>428</v>
      </c>
      <c r="E1275" t="s">
        <v>429</v>
      </c>
      <c r="F1275" t="s">
        <v>433</v>
      </c>
      <c r="G1275" t="s">
        <v>86</v>
      </c>
      <c r="H1275" t="s">
        <v>296</v>
      </c>
      <c r="I1275" s="5">
        <v>3977333</v>
      </c>
      <c r="J1275">
        <f>IFERROR(VLOOKUP(G1275,'LEAID Match'!$A$2:$B$183,2,FALSE),"")</f>
        <v>1602670</v>
      </c>
      <c r="K1275">
        <f t="shared" si="19"/>
        <v>9</v>
      </c>
    </row>
    <row r="1276" spans="1:11" x14ac:dyDescent="0.2">
      <c r="A1276">
        <v>1602700</v>
      </c>
      <c r="B1276">
        <v>2015</v>
      </c>
      <c r="C1276">
        <v>145</v>
      </c>
      <c r="D1276" t="s">
        <v>428</v>
      </c>
      <c r="E1276" t="s">
        <v>429</v>
      </c>
      <c r="F1276" t="s">
        <v>433</v>
      </c>
      <c r="G1276" t="s">
        <v>87</v>
      </c>
      <c r="H1276" t="s">
        <v>87</v>
      </c>
      <c r="I1276" s="5">
        <v>280901</v>
      </c>
      <c r="J1276">
        <f>IFERROR(VLOOKUP(G1276,'LEAID Match'!$A$2:$B$183,2,FALSE),"")</f>
        <v>1602700</v>
      </c>
      <c r="K1276">
        <f t="shared" si="19"/>
        <v>9</v>
      </c>
    </row>
    <row r="1277" spans="1:11" x14ac:dyDescent="0.2">
      <c r="A1277">
        <v>1602700</v>
      </c>
      <c r="B1277">
        <v>2016</v>
      </c>
      <c r="C1277">
        <v>145</v>
      </c>
      <c r="D1277" t="s">
        <v>428</v>
      </c>
      <c r="E1277" t="s">
        <v>429</v>
      </c>
      <c r="F1277" t="s">
        <v>433</v>
      </c>
      <c r="G1277" t="s">
        <v>87</v>
      </c>
      <c r="H1277" t="s">
        <v>87</v>
      </c>
      <c r="I1277" s="5">
        <v>296509</v>
      </c>
      <c r="J1277">
        <f>IFERROR(VLOOKUP(G1277,'LEAID Match'!$A$2:$B$183,2,FALSE),"")</f>
        <v>1602700</v>
      </c>
      <c r="K1277">
        <f t="shared" si="19"/>
        <v>9</v>
      </c>
    </row>
    <row r="1278" spans="1:11" x14ac:dyDescent="0.2">
      <c r="A1278">
        <v>1602700</v>
      </c>
      <c r="B1278">
        <v>2017</v>
      </c>
      <c r="C1278">
        <v>145</v>
      </c>
      <c r="D1278" t="s">
        <v>428</v>
      </c>
      <c r="E1278" t="s">
        <v>429</v>
      </c>
      <c r="F1278" t="s">
        <v>433</v>
      </c>
      <c r="G1278" t="s">
        <v>87</v>
      </c>
      <c r="H1278" t="s">
        <v>87</v>
      </c>
      <c r="I1278" s="5">
        <v>314743</v>
      </c>
      <c r="J1278">
        <f>IFERROR(VLOOKUP(G1278,'LEAID Match'!$A$2:$B$183,2,FALSE),"")</f>
        <v>1602700</v>
      </c>
      <c r="K1278">
        <f t="shared" si="19"/>
        <v>9</v>
      </c>
    </row>
    <row r="1279" spans="1:11" x14ac:dyDescent="0.2">
      <c r="A1279">
        <v>1602700</v>
      </c>
      <c r="B1279">
        <v>2018</v>
      </c>
      <c r="C1279">
        <v>145</v>
      </c>
      <c r="D1279" t="s">
        <v>428</v>
      </c>
      <c r="E1279" t="s">
        <v>429</v>
      </c>
      <c r="F1279" t="s">
        <v>433</v>
      </c>
      <c r="G1279" t="s">
        <v>87</v>
      </c>
      <c r="H1279" t="s">
        <v>87</v>
      </c>
      <c r="I1279" s="5">
        <v>315400</v>
      </c>
      <c r="J1279">
        <f>IFERROR(VLOOKUP(G1279,'LEAID Match'!$A$2:$B$183,2,FALSE),"")</f>
        <v>1602700</v>
      </c>
      <c r="K1279">
        <f t="shared" si="19"/>
        <v>9</v>
      </c>
    </row>
    <row r="1280" spans="1:11" x14ac:dyDescent="0.2">
      <c r="A1280">
        <v>1602700</v>
      </c>
      <c r="B1280">
        <v>2019</v>
      </c>
      <c r="C1280">
        <v>145</v>
      </c>
      <c r="D1280" t="s">
        <v>428</v>
      </c>
      <c r="E1280" t="s">
        <v>429</v>
      </c>
      <c r="F1280" t="s">
        <v>433</v>
      </c>
      <c r="G1280" t="s">
        <v>87</v>
      </c>
      <c r="H1280" t="s">
        <v>297</v>
      </c>
      <c r="I1280" s="5">
        <v>322503</v>
      </c>
      <c r="J1280">
        <f>IFERROR(VLOOKUP(G1280,'LEAID Match'!$A$2:$B$183,2,FALSE),"")</f>
        <v>1602700</v>
      </c>
      <c r="K1280">
        <f t="shared" si="19"/>
        <v>9</v>
      </c>
    </row>
    <row r="1281" spans="1:11" x14ac:dyDescent="0.2">
      <c r="A1281">
        <v>1602700</v>
      </c>
      <c r="B1281">
        <v>2020</v>
      </c>
      <c r="C1281">
        <v>145</v>
      </c>
      <c r="D1281" t="s">
        <v>428</v>
      </c>
      <c r="E1281" t="s">
        <v>429</v>
      </c>
      <c r="F1281" t="s">
        <v>433</v>
      </c>
      <c r="G1281" t="s">
        <v>87</v>
      </c>
      <c r="H1281" t="s">
        <v>297</v>
      </c>
      <c r="I1281" s="5">
        <v>358140</v>
      </c>
      <c r="J1281">
        <f>IFERROR(VLOOKUP(G1281,'LEAID Match'!$A$2:$B$183,2,FALSE),"")</f>
        <v>1602700</v>
      </c>
      <c r="K1281">
        <f t="shared" si="19"/>
        <v>9</v>
      </c>
    </row>
    <row r="1282" spans="1:11" x14ac:dyDescent="0.2">
      <c r="A1282">
        <v>1602700</v>
      </c>
      <c r="B1282">
        <v>2021</v>
      </c>
      <c r="C1282">
        <v>145</v>
      </c>
      <c r="D1282" t="s">
        <v>428</v>
      </c>
      <c r="E1282" t="s">
        <v>429</v>
      </c>
      <c r="F1282" t="s">
        <v>433</v>
      </c>
      <c r="G1282" t="s">
        <v>87</v>
      </c>
      <c r="H1282" t="s">
        <v>87</v>
      </c>
      <c r="I1282" s="5">
        <v>372693</v>
      </c>
      <c r="J1282">
        <f>IFERROR(VLOOKUP(G1282,'LEAID Match'!$A$2:$B$183,2,FALSE),"")</f>
        <v>1602700</v>
      </c>
      <c r="K1282">
        <f t="shared" si="19"/>
        <v>9</v>
      </c>
    </row>
    <row r="1283" spans="1:11" x14ac:dyDescent="0.2">
      <c r="A1283">
        <v>1602700</v>
      </c>
      <c r="B1283">
        <v>2022</v>
      </c>
      <c r="C1283">
        <v>145</v>
      </c>
      <c r="D1283" t="s">
        <v>428</v>
      </c>
      <c r="E1283" t="s">
        <v>429</v>
      </c>
      <c r="F1283" t="s">
        <v>433</v>
      </c>
      <c r="G1283" t="s">
        <v>87</v>
      </c>
      <c r="H1283" t="s">
        <v>297</v>
      </c>
      <c r="I1283" s="5">
        <v>395041</v>
      </c>
      <c r="J1283">
        <f>IFERROR(VLOOKUP(G1283,'LEAID Match'!$A$2:$B$183,2,FALSE),"")</f>
        <v>1602700</v>
      </c>
      <c r="K1283">
        <f t="shared" ref="K1283:K1346" si="20">COUNTIF($A$2:$A$1651,A1283)</f>
        <v>9</v>
      </c>
    </row>
    <row r="1284" spans="1:11" x14ac:dyDescent="0.2">
      <c r="A1284">
        <v>1602700</v>
      </c>
      <c r="B1284">
        <v>2023</v>
      </c>
      <c r="C1284">
        <v>145</v>
      </c>
      <c r="D1284" t="s">
        <v>428</v>
      </c>
      <c r="E1284" t="s">
        <v>429</v>
      </c>
      <c r="F1284" t="s">
        <v>433</v>
      </c>
      <c r="G1284" t="s">
        <v>87</v>
      </c>
      <c r="H1284" t="s">
        <v>297</v>
      </c>
      <c r="I1284" s="5">
        <v>424667</v>
      </c>
      <c r="J1284">
        <f>IFERROR(VLOOKUP(G1284,'LEAID Match'!$A$2:$B$183,2,FALSE),"")</f>
        <v>1602700</v>
      </c>
      <c r="K1284">
        <f t="shared" si="20"/>
        <v>9</v>
      </c>
    </row>
    <row r="1285" spans="1:11" x14ac:dyDescent="0.2">
      <c r="A1285">
        <v>1602730</v>
      </c>
      <c r="B1285">
        <v>2015</v>
      </c>
      <c r="C1285">
        <v>146</v>
      </c>
      <c r="D1285" t="s">
        <v>428</v>
      </c>
      <c r="E1285" t="s">
        <v>429</v>
      </c>
      <c r="F1285" t="s">
        <v>433</v>
      </c>
      <c r="G1285" t="s">
        <v>88</v>
      </c>
      <c r="H1285" t="s">
        <v>88</v>
      </c>
      <c r="I1285" s="5">
        <v>7494</v>
      </c>
      <c r="J1285">
        <f>IFERROR(VLOOKUP(G1285,'LEAID Match'!$A$2:$B$183,2,FALSE),"")</f>
        <v>1602730</v>
      </c>
      <c r="K1285">
        <f t="shared" si="20"/>
        <v>9</v>
      </c>
    </row>
    <row r="1286" spans="1:11" x14ac:dyDescent="0.2">
      <c r="A1286">
        <v>1602730</v>
      </c>
      <c r="B1286">
        <v>2016</v>
      </c>
      <c r="C1286">
        <v>146</v>
      </c>
      <c r="D1286" t="s">
        <v>428</v>
      </c>
      <c r="E1286" t="s">
        <v>429</v>
      </c>
      <c r="F1286" t="s">
        <v>433</v>
      </c>
      <c r="G1286" t="s">
        <v>88</v>
      </c>
      <c r="H1286" t="s">
        <v>88</v>
      </c>
      <c r="I1286" s="5">
        <v>6173</v>
      </c>
      <c r="J1286">
        <f>IFERROR(VLOOKUP(G1286,'LEAID Match'!$A$2:$B$183,2,FALSE),"")</f>
        <v>1602730</v>
      </c>
      <c r="K1286">
        <f t="shared" si="20"/>
        <v>9</v>
      </c>
    </row>
    <row r="1287" spans="1:11" x14ac:dyDescent="0.2">
      <c r="A1287">
        <v>1602730</v>
      </c>
      <c r="B1287">
        <v>2017</v>
      </c>
      <c r="C1287">
        <v>146</v>
      </c>
      <c r="D1287" t="s">
        <v>428</v>
      </c>
      <c r="E1287" t="s">
        <v>429</v>
      </c>
      <c r="F1287" t="s">
        <v>433</v>
      </c>
      <c r="G1287" t="s">
        <v>88</v>
      </c>
      <c r="H1287" t="s">
        <v>88</v>
      </c>
      <c r="I1287" s="5">
        <v>6193</v>
      </c>
      <c r="J1287">
        <f>IFERROR(VLOOKUP(G1287,'LEAID Match'!$A$2:$B$183,2,FALSE),"")</f>
        <v>1602730</v>
      </c>
      <c r="K1287">
        <f t="shared" si="20"/>
        <v>9</v>
      </c>
    </row>
    <row r="1288" spans="1:11" x14ac:dyDescent="0.2">
      <c r="A1288">
        <v>1602730</v>
      </c>
      <c r="B1288">
        <v>2018</v>
      </c>
      <c r="C1288">
        <v>146</v>
      </c>
      <c r="D1288" t="s">
        <v>428</v>
      </c>
      <c r="E1288" t="s">
        <v>429</v>
      </c>
      <c r="F1288" t="s">
        <v>433</v>
      </c>
      <c r="G1288" t="s">
        <v>88</v>
      </c>
      <c r="H1288" t="s">
        <v>88</v>
      </c>
      <c r="I1288" s="5">
        <v>6186</v>
      </c>
      <c r="J1288">
        <f>IFERROR(VLOOKUP(G1288,'LEAID Match'!$A$2:$B$183,2,FALSE),"")</f>
        <v>1602730</v>
      </c>
      <c r="K1288">
        <f t="shared" si="20"/>
        <v>9</v>
      </c>
    </row>
    <row r="1289" spans="1:11" x14ac:dyDescent="0.2">
      <c r="A1289">
        <v>1602730</v>
      </c>
      <c r="B1289">
        <v>2019</v>
      </c>
      <c r="C1289">
        <v>146</v>
      </c>
      <c r="D1289" t="s">
        <v>428</v>
      </c>
      <c r="E1289" t="s">
        <v>429</v>
      </c>
      <c r="F1289" t="s">
        <v>433</v>
      </c>
      <c r="G1289" t="s">
        <v>88</v>
      </c>
      <c r="H1289" t="s">
        <v>298</v>
      </c>
      <c r="I1289" s="5">
        <v>6205</v>
      </c>
      <c r="J1289">
        <f>IFERROR(VLOOKUP(G1289,'LEAID Match'!$A$2:$B$183,2,FALSE),"")</f>
        <v>1602730</v>
      </c>
      <c r="K1289">
        <f t="shared" si="20"/>
        <v>9</v>
      </c>
    </row>
    <row r="1290" spans="1:11" x14ac:dyDescent="0.2">
      <c r="A1290">
        <v>1602730</v>
      </c>
      <c r="B1290">
        <v>2020</v>
      </c>
      <c r="C1290">
        <v>146</v>
      </c>
      <c r="D1290" t="s">
        <v>428</v>
      </c>
      <c r="E1290" t="s">
        <v>429</v>
      </c>
      <c r="F1290" t="s">
        <v>433</v>
      </c>
      <c r="G1290" t="s">
        <v>88</v>
      </c>
      <c r="H1290" t="s">
        <v>298</v>
      </c>
      <c r="I1290" s="5">
        <v>6522</v>
      </c>
      <c r="J1290">
        <f>IFERROR(VLOOKUP(G1290,'LEAID Match'!$A$2:$B$183,2,FALSE),"")</f>
        <v>1602730</v>
      </c>
      <c r="K1290">
        <f t="shared" si="20"/>
        <v>9</v>
      </c>
    </row>
    <row r="1291" spans="1:11" x14ac:dyDescent="0.2">
      <c r="A1291">
        <v>1602730</v>
      </c>
      <c r="B1291">
        <v>2021</v>
      </c>
      <c r="C1291">
        <v>146</v>
      </c>
      <c r="D1291" t="s">
        <v>428</v>
      </c>
      <c r="E1291" t="s">
        <v>429</v>
      </c>
      <c r="F1291" t="s">
        <v>433</v>
      </c>
      <c r="G1291" t="s">
        <v>88</v>
      </c>
      <c r="H1291" t="s">
        <v>88</v>
      </c>
      <c r="I1291" s="5">
        <v>7447</v>
      </c>
      <c r="J1291">
        <f>IFERROR(VLOOKUP(G1291,'LEAID Match'!$A$2:$B$183,2,FALSE),"")</f>
        <v>1602730</v>
      </c>
      <c r="K1291">
        <f t="shared" si="20"/>
        <v>9</v>
      </c>
    </row>
    <row r="1292" spans="1:11" x14ac:dyDescent="0.2">
      <c r="A1292">
        <v>1602730</v>
      </c>
      <c r="B1292">
        <v>2022</v>
      </c>
      <c r="C1292">
        <v>146</v>
      </c>
      <c r="D1292" t="s">
        <v>428</v>
      </c>
      <c r="E1292" t="s">
        <v>429</v>
      </c>
      <c r="F1292" t="s">
        <v>433</v>
      </c>
      <c r="G1292" t="s">
        <v>88</v>
      </c>
      <c r="H1292" t="s">
        <v>298</v>
      </c>
      <c r="I1292" s="5">
        <v>8217</v>
      </c>
      <c r="J1292">
        <f>IFERROR(VLOOKUP(G1292,'LEAID Match'!$A$2:$B$183,2,FALSE),"")</f>
        <v>1602730</v>
      </c>
      <c r="K1292">
        <f t="shared" si="20"/>
        <v>9</v>
      </c>
    </row>
    <row r="1293" spans="1:11" x14ac:dyDescent="0.2">
      <c r="A1293">
        <v>1602730</v>
      </c>
      <c r="B1293">
        <v>2023</v>
      </c>
      <c r="C1293">
        <v>146</v>
      </c>
      <c r="D1293" t="s">
        <v>428</v>
      </c>
      <c r="E1293" t="s">
        <v>429</v>
      </c>
      <c r="F1293" t="s">
        <v>433</v>
      </c>
      <c r="G1293" t="s">
        <v>88</v>
      </c>
      <c r="H1293" t="s">
        <v>298</v>
      </c>
      <c r="I1293" s="5">
        <v>9298</v>
      </c>
      <c r="J1293">
        <f>IFERROR(VLOOKUP(G1293,'LEAID Match'!$A$2:$B$183,2,FALSE),"")</f>
        <v>1602730</v>
      </c>
      <c r="K1293">
        <f t="shared" si="20"/>
        <v>9</v>
      </c>
    </row>
    <row r="1294" spans="1:11" x14ac:dyDescent="0.2">
      <c r="A1294">
        <v>1602760</v>
      </c>
      <c r="B1294">
        <v>2015</v>
      </c>
      <c r="C1294">
        <v>150</v>
      </c>
      <c r="D1294" t="s">
        <v>428</v>
      </c>
      <c r="E1294" t="s">
        <v>429</v>
      </c>
      <c r="F1294" t="s">
        <v>433</v>
      </c>
      <c r="G1294" t="s">
        <v>90</v>
      </c>
      <c r="H1294" t="s">
        <v>90</v>
      </c>
      <c r="I1294" s="5">
        <v>110761</v>
      </c>
      <c r="J1294">
        <f>IFERROR(VLOOKUP(G1294,'LEAID Match'!$A$2:$B$183,2,FALSE),"")</f>
        <v>1602760</v>
      </c>
      <c r="K1294">
        <f t="shared" si="20"/>
        <v>9</v>
      </c>
    </row>
    <row r="1295" spans="1:11" x14ac:dyDescent="0.2">
      <c r="A1295">
        <v>1602760</v>
      </c>
      <c r="B1295">
        <v>2016</v>
      </c>
      <c r="C1295">
        <v>150</v>
      </c>
      <c r="D1295" t="s">
        <v>428</v>
      </c>
      <c r="E1295" t="s">
        <v>429</v>
      </c>
      <c r="F1295" t="s">
        <v>433</v>
      </c>
      <c r="G1295" t="s">
        <v>90</v>
      </c>
      <c r="H1295" t="s">
        <v>90</v>
      </c>
      <c r="I1295" s="5">
        <v>120817</v>
      </c>
      <c r="J1295">
        <f>IFERROR(VLOOKUP(G1295,'LEAID Match'!$A$2:$B$183,2,FALSE),"")</f>
        <v>1602760</v>
      </c>
      <c r="K1295">
        <f t="shared" si="20"/>
        <v>9</v>
      </c>
    </row>
    <row r="1296" spans="1:11" x14ac:dyDescent="0.2">
      <c r="A1296">
        <v>1602760</v>
      </c>
      <c r="B1296">
        <v>2017</v>
      </c>
      <c r="C1296">
        <v>150</v>
      </c>
      <c r="D1296" t="s">
        <v>428</v>
      </c>
      <c r="E1296" t="s">
        <v>429</v>
      </c>
      <c r="F1296" t="s">
        <v>433</v>
      </c>
      <c r="G1296" t="s">
        <v>90</v>
      </c>
      <c r="H1296" t="s">
        <v>90</v>
      </c>
      <c r="I1296" s="5">
        <v>126341</v>
      </c>
      <c r="J1296">
        <f>IFERROR(VLOOKUP(G1296,'LEAID Match'!$A$2:$B$183,2,FALSE),"")</f>
        <v>1602760</v>
      </c>
      <c r="K1296">
        <f t="shared" si="20"/>
        <v>9</v>
      </c>
    </row>
    <row r="1297" spans="1:11" x14ac:dyDescent="0.2">
      <c r="A1297">
        <v>1602760</v>
      </c>
      <c r="B1297">
        <v>2018</v>
      </c>
      <c r="C1297">
        <v>150</v>
      </c>
      <c r="D1297" t="s">
        <v>428</v>
      </c>
      <c r="E1297" t="s">
        <v>429</v>
      </c>
      <c r="F1297" t="s">
        <v>433</v>
      </c>
      <c r="G1297" t="s">
        <v>90</v>
      </c>
      <c r="H1297" t="s">
        <v>90</v>
      </c>
      <c r="I1297" s="5">
        <v>131595</v>
      </c>
      <c r="J1297">
        <f>IFERROR(VLOOKUP(G1297,'LEAID Match'!$A$2:$B$183,2,FALSE),"")</f>
        <v>1602760</v>
      </c>
      <c r="K1297">
        <f t="shared" si="20"/>
        <v>9</v>
      </c>
    </row>
    <row r="1298" spans="1:11" x14ac:dyDescent="0.2">
      <c r="A1298">
        <v>1602760</v>
      </c>
      <c r="B1298">
        <v>2019</v>
      </c>
      <c r="C1298">
        <v>150</v>
      </c>
      <c r="D1298" t="s">
        <v>428</v>
      </c>
      <c r="E1298" t="s">
        <v>429</v>
      </c>
      <c r="F1298" t="s">
        <v>433</v>
      </c>
      <c r="G1298" t="s">
        <v>90</v>
      </c>
      <c r="H1298" t="s">
        <v>301</v>
      </c>
      <c r="I1298" s="5">
        <v>142894</v>
      </c>
      <c r="J1298">
        <f>IFERROR(VLOOKUP(G1298,'LEAID Match'!$A$2:$B$183,2,FALSE),"")</f>
        <v>1602760</v>
      </c>
      <c r="K1298">
        <f t="shared" si="20"/>
        <v>9</v>
      </c>
    </row>
    <row r="1299" spans="1:11" x14ac:dyDescent="0.2">
      <c r="A1299">
        <v>1602760</v>
      </c>
      <c r="B1299">
        <v>2020</v>
      </c>
      <c r="C1299">
        <v>150</v>
      </c>
      <c r="D1299" t="s">
        <v>428</v>
      </c>
      <c r="E1299" t="s">
        <v>429</v>
      </c>
      <c r="F1299" t="s">
        <v>433</v>
      </c>
      <c r="G1299" t="s">
        <v>90</v>
      </c>
      <c r="H1299" t="s">
        <v>301</v>
      </c>
      <c r="I1299" s="5">
        <v>158313</v>
      </c>
      <c r="J1299">
        <f>IFERROR(VLOOKUP(G1299,'LEAID Match'!$A$2:$B$183,2,FALSE),"")</f>
        <v>1602760</v>
      </c>
      <c r="K1299">
        <f t="shared" si="20"/>
        <v>9</v>
      </c>
    </row>
    <row r="1300" spans="1:11" x14ac:dyDescent="0.2">
      <c r="A1300">
        <v>1602760</v>
      </c>
      <c r="B1300">
        <v>2021</v>
      </c>
      <c r="C1300">
        <v>150</v>
      </c>
      <c r="D1300" t="s">
        <v>428</v>
      </c>
      <c r="E1300" t="s">
        <v>429</v>
      </c>
      <c r="F1300" t="s">
        <v>433</v>
      </c>
      <c r="G1300" t="s">
        <v>90</v>
      </c>
      <c r="H1300" t="s">
        <v>90</v>
      </c>
      <c r="I1300" s="5">
        <v>168572</v>
      </c>
      <c r="J1300">
        <f>IFERROR(VLOOKUP(G1300,'LEAID Match'!$A$2:$B$183,2,FALSE),"")</f>
        <v>1602760</v>
      </c>
      <c r="K1300">
        <f t="shared" si="20"/>
        <v>9</v>
      </c>
    </row>
    <row r="1301" spans="1:11" x14ac:dyDescent="0.2">
      <c r="A1301">
        <v>1602760</v>
      </c>
      <c r="B1301">
        <v>2022</v>
      </c>
      <c r="C1301">
        <v>150</v>
      </c>
      <c r="D1301" t="s">
        <v>428</v>
      </c>
      <c r="E1301" t="s">
        <v>429</v>
      </c>
      <c r="F1301" t="s">
        <v>433</v>
      </c>
      <c r="G1301" t="s">
        <v>90</v>
      </c>
      <c r="H1301" t="s">
        <v>301</v>
      </c>
      <c r="I1301" s="5">
        <v>175558</v>
      </c>
      <c r="J1301">
        <f>IFERROR(VLOOKUP(G1301,'LEAID Match'!$A$2:$B$183,2,FALSE),"")</f>
        <v>1602760</v>
      </c>
      <c r="K1301">
        <f t="shared" si="20"/>
        <v>9</v>
      </c>
    </row>
    <row r="1302" spans="1:11" x14ac:dyDescent="0.2">
      <c r="A1302">
        <v>1602760</v>
      </c>
      <c r="B1302">
        <v>2023</v>
      </c>
      <c r="C1302">
        <v>150</v>
      </c>
      <c r="D1302" t="s">
        <v>428</v>
      </c>
      <c r="E1302" t="s">
        <v>429</v>
      </c>
      <c r="F1302" t="s">
        <v>433</v>
      </c>
      <c r="G1302" t="s">
        <v>90</v>
      </c>
      <c r="H1302" t="s">
        <v>301</v>
      </c>
      <c r="I1302" s="5">
        <v>169095</v>
      </c>
      <c r="J1302">
        <f>IFERROR(VLOOKUP(G1302,'LEAID Match'!$A$2:$B$183,2,FALSE),"")</f>
        <v>1602760</v>
      </c>
      <c r="K1302">
        <f t="shared" si="20"/>
        <v>9</v>
      </c>
    </row>
    <row r="1303" spans="1:11" x14ac:dyDescent="0.2">
      <c r="A1303">
        <v>1602790</v>
      </c>
      <c r="B1303">
        <v>2015</v>
      </c>
      <c r="C1303">
        <v>152</v>
      </c>
      <c r="D1303" t="s">
        <v>428</v>
      </c>
      <c r="E1303" t="s">
        <v>429</v>
      </c>
      <c r="F1303" t="s">
        <v>433</v>
      </c>
      <c r="G1303" t="s">
        <v>92</v>
      </c>
      <c r="H1303" t="s">
        <v>92</v>
      </c>
      <c r="I1303" s="5">
        <v>300096</v>
      </c>
      <c r="J1303">
        <f>IFERROR(VLOOKUP(G1303,'LEAID Match'!$A$2:$B$183,2,FALSE),"")</f>
        <v>1602790</v>
      </c>
      <c r="K1303">
        <f t="shared" si="20"/>
        <v>9</v>
      </c>
    </row>
    <row r="1304" spans="1:11" x14ac:dyDescent="0.2">
      <c r="A1304">
        <v>1602790</v>
      </c>
      <c r="B1304">
        <v>2016</v>
      </c>
      <c r="C1304">
        <v>152</v>
      </c>
      <c r="D1304" t="s">
        <v>428</v>
      </c>
      <c r="E1304" t="s">
        <v>429</v>
      </c>
      <c r="F1304" t="s">
        <v>433</v>
      </c>
      <c r="G1304" t="s">
        <v>92</v>
      </c>
      <c r="H1304" t="s">
        <v>92</v>
      </c>
      <c r="I1304" s="5">
        <v>309160</v>
      </c>
      <c r="J1304">
        <f>IFERROR(VLOOKUP(G1304,'LEAID Match'!$A$2:$B$183,2,FALSE),"")</f>
        <v>1602790</v>
      </c>
      <c r="K1304">
        <f t="shared" si="20"/>
        <v>9</v>
      </c>
    </row>
    <row r="1305" spans="1:11" x14ac:dyDescent="0.2">
      <c r="A1305">
        <v>1602790</v>
      </c>
      <c r="B1305">
        <v>2017</v>
      </c>
      <c r="C1305">
        <v>152</v>
      </c>
      <c r="D1305" t="s">
        <v>428</v>
      </c>
      <c r="E1305" t="s">
        <v>429</v>
      </c>
      <c r="F1305" t="s">
        <v>433</v>
      </c>
      <c r="G1305" t="s">
        <v>92</v>
      </c>
      <c r="H1305" t="s">
        <v>92</v>
      </c>
      <c r="I1305" s="5">
        <v>339368</v>
      </c>
      <c r="J1305">
        <f>IFERROR(VLOOKUP(G1305,'LEAID Match'!$A$2:$B$183,2,FALSE),"")</f>
        <v>1602790</v>
      </c>
      <c r="K1305">
        <f t="shared" si="20"/>
        <v>9</v>
      </c>
    </row>
    <row r="1306" spans="1:11" x14ac:dyDescent="0.2">
      <c r="A1306">
        <v>1602790</v>
      </c>
      <c r="B1306">
        <v>2018</v>
      </c>
      <c r="C1306">
        <v>152</v>
      </c>
      <c r="D1306" t="s">
        <v>428</v>
      </c>
      <c r="E1306" t="s">
        <v>429</v>
      </c>
      <c r="F1306" t="s">
        <v>433</v>
      </c>
      <c r="G1306" t="s">
        <v>92</v>
      </c>
      <c r="H1306" t="s">
        <v>92</v>
      </c>
      <c r="I1306" s="5">
        <v>341533</v>
      </c>
      <c r="J1306">
        <f>IFERROR(VLOOKUP(G1306,'LEAID Match'!$A$2:$B$183,2,FALSE),"")</f>
        <v>1602790</v>
      </c>
      <c r="K1306">
        <f t="shared" si="20"/>
        <v>9</v>
      </c>
    </row>
    <row r="1307" spans="1:11" x14ac:dyDescent="0.2">
      <c r="A1307">
        <v>1602790</v>
      </c>
      <c r="B1307">
        <v>2019</v>
      </c>
      <c r="C1307">
        <v>152</v>
      </c>
      <c r="D1307" t="s">
        <v>428</v>
      </c>
      <c r="E1307" t="s">
        <v>429</v>
      </c>
      <c r="F1307" t="s">
        <v>433</v>
      </c>
      <c r="G1307" t="s">
        <v>92</v>
      </c>
      <c r="H1307" t="s">
        <v>302</v>
      </c>
      <c r="I1307" s="5">
        <v>367433</v>
      </c>
      <c r="J1307">
        <f>IFERROR(VLOOKUP(G1307,'LEAID Match'!$A$2:$B$183,2,FALSE),"")</f>
        <v>1602790</v>
      </c>
      <c r="K1307">
        <f t="shared" si="20"/>
        <v>9</v>
      </c>
    </row>
    <row r="1308" spans="1:11" x14ac:dyDescent="0.2">
      <c r="A1308">
        <v>1602790</v>
      </c>
      <c r="B1308">
        <v>2020</v>
      </c>
      <c r="C1308">
        <v>152</v>
      </c>
      <c r="D1308" t="s">
        <v>428</v>
      </c>
      <c r="E1308" t="s">
        <v>429</v>
      </c>
      <c r="F1308" t="s">
        <v>433</v>
      </c>
      <c r="G1308" t="s">
        <v>92</v>
      </c>
      <c r="H1308" t="s">
        <v>302</v>
      </c>
      <c r="I1308" s="5">
        <v>400954</v>
      </c>
      <c r="J1308">
        <f>IFERROR(VLOOKUP(G1308,'LEAID Match'!$A$2:$B$183,2,FALSE),"")</f>
        <v>1602790</v>
      </c>
      <c r="K1308">
        <f t="shared" si="20"/>
        <v>9</v>
      </c>
    </row>
    <row r="1309" spans="1:11" x14ac:dyDescent="0.2">
      <c r="A1309">
        <v>1602790</v>
      </c>
      <c r="B1309">
        <v>2021</v>
      </c>
      <c r="C1309">
        <v>152</v>
      </c>
      <c r="D1309" t="s">
        <v>428</v>
      </c>
      <c r="E1309" t="s">
        <v>429</v>
      </c>
      <c r="F1309" t="s">
        <v>433</v>
      </c>
      <c r="G1309" t="s">
        <v>92</v>
      </c>
      <c r="H1309" t="s">
        <v>92</v>
      </c>
      <c r="I1309" s="5">
        <v>433853</v>
      </c>
      <c r="J1309">
        <f>IFERROR(VLOOKUP(G1309,'LEAID Match'!$A$2:$B$183,2,FALSE),"")</f>
        <v>1602790</v>
      </c>
      <c r="K1309">
        <f t="shared" si="20"/>
        <v>9</v>
      </c>
    </row>
    <row r="1310" spans="1:11" x14ac:dyDescent="0.2">
      <c r="A1310">
        <v>1602790</v>
      </c>
      <c r="B1310">
        <v>2022</v>
      </c>
      <c r="C1310">
        <v>152</v>
      </c>
      <c r="D1310" t="s">
        <v>428</v>
      </c>
      <c r="E1310" t="s">
        <v>429</v>
      </c>
      <c r="F1310" t="s">
        <v>433</v>
      </c>
      <c r="G1310" t="s">
        <v>92</v>
      </c>
      <c r="H1310" t="s">
        <v>302</v>
      </c>
      <c r="I1310" s="5">
        <v>442165</v>
      </c>
      <c r="J1310">
        <f>IFERROR(VLOOKUP(G1310,'LEAID Match'!$A$2:$B$183,2,FALSE),"")</f>
        <v>1602790</v>
      </c>
      <c r="K1310">
        <f t="shared" si="20"/>
        <v>9</v>
      </c>
    </row>
    <row r="1311" spans="1:11" x14ac:dyDescent="0.2">
      <c r="A1311">
        <v>1602790</v>
      </c>
      <c r="B1311">
        <v>2023</v>
      </c>
      <c r="C1311">
        <v>152</v>
      </c>
      <c r="D1311" t="s">
        <v>428</v>
      </c>
      <c r="E1311" t="s">
        <v>429</v>
      </c>
      <c r="F1311" t="s">
        <v>433</v>
      </c>
      <c r="G1311" t="s">
        <v>92</v>
      </c>
      <c r="H1311" t="s">
        <v>302</v>
      </c>
      <c r="I1311" s="5">
        <v>461451</v>
      </c>
      <c r="J1311">
        <f>IFERROR(VLOOKUP(G1311,'LEAID Match'!$A$2:$B$183,2,FALSE),"")</f>
        <v>1602790</v>
      </c>
      <c r="K1311">
        <f t="shared" si="20"/>
        <v>9</v>
      </c>
    </row>
    <row r="1312" spans="1:11" x14ac:dyDescent="0.2">
      <c r="A1312">
        <v>1602820</v>
      </c>
      <c r="B1312">
        <v>2015</v>
      </c>
      <c r="C1312">
        <v>154</v>
      </c>
      <c r="D1312" t="s">
        <v>428</v>
      </c>
      <c r="E1312" t="s">
        <v>429</v>
      </c>
      <c r="F1312" t="s">
        <v>433</v>
      </c>
      <c r="G1312" t="s">
        <v>93</v>
      </c>
      <c r="H1312" t="s">
        <v>93</v>
      </c>
      <c r="I1312" s="5">
        <v>111765</v>
      </c>
      <c r="J1312">
        <f>IFERROR(VLOOKUP(G1312,'LEAID Match'!$A$2:$B$183,2,FALSE),"")</f>
        <v>1602820</v>
      </c>
      <c r="K1312">
        <f t="shared" si="20"/>
        <v>9</v>
      </c>
    </row>
    <row r="1313" spans="1:11" x14ac:dyDescent="0.2">
      <c r="A1313">
        <v>1602820</v>
      </c>
      <c r="B1313">
        <v>2016</v>
      </c>
      <c r="C1313">
        <v>154</v>
      </c>
      <c r="D1313" t="s">
        <v>428</v>
      </c>
      <c r="E1313" t="s">
        <v>429</v>
      </c>
      <c r="F1313" t="s">
        <v>433</v>
      </c>
      <c r="G1313" t="s">
        <v>93</v>
      </c>
      <c r="H1313" t="s">
        <v>93</v>
      </c>
      <c r="I1313" s="5">
        <v>116459</v>
      </c>
      <c r="J1313">
        <f>IFERROR(VLOOKUP(G1313,'LEAID Match'!$A$2:$B$183,2,FALSE),"")</f>
        <v>1602820</v>
      </c>
      <c r="K1313">
        <f t="shared" si="20"/>
        <v>9</v>
      </c>
    </row>
    <row r="1314" spans="1:11" x14ac:dyDescent="0.2">
      <c r="A1314">
        <v>1602820</v>
      </c>
      <c r="B1314">
        <v>2017</v>
      </c>
      <c r="C1314">
        <v>154</v>
      </c>
      <c r="D1314" t="s">
        <v>428</v>
      </c>
      <c r="E1314" t="s">
        <v>429</v>
      </c>
      <c r="F1314" t="s">
        <v>433</v>
      </c>
      <c r="G1314" t="s">
        <v>93</v>
      </c>
      <c r="H1314" t="s">
        <v>93</v>
      </c>
      <c r="I1314" s="5">
        <v>121553</v>
      </c>
      <c r="J1314">
        <f>IFERROR(VLOOKUP(G1314,'LEAID Match'!$A$2:$B$183,2,FALSE),"")</f>
        <v>1602820</v>
      </c>
      <c r="K1314">
        <f t="shared" si="20"/>
        <v>9</v>
      </c>
    </row>
    <row r="1315" spans="1:11" x14ac:dyDescent="0.2">
      <c r="A1315">
        <v>1602820</v>
      </c>
      <c r="B1315">
        <v>2018</v>
      </c>
      <c r="C1315">
        <v>154</v>
      </c>
      <c r="D1315" t="s">
        <v>428</v>
      </c>
      <c r="E1315" t="s">
        <v>429</v>
      </c>
      <c r="F1315" t="s">
        <v>433</v>
      </c>
      <c r="G1315" t="s">
        <v>93</v>
      </c>
      <c r="H1315" t="s">
        <v>93</v>
      </c>
      <c r="I1315" s="5">
        <v>130112</v>
      </c>
      <c r="J1315">
        <f>IFERROR(VLOOKUP(G1315,'LEAID Match'!$A$2:$B$183,2,FALSE),"")</f>
        <v>1602820</v>
      </c>
      <c r="K1315">
        <f t="shared" si="20"/>
        <v>9</v>
      </c>
    </row>
    <row r="1316" spans="1:11" x14ac:dyDescent="0.2">
      <c r="A1316">
        <v>1602820</v>
      </c>
      <c r="B1316">
        <v>2019</v>
      </c>
      <c r="C1316">
        <v>154</v>
      </c>
      <c r="D1316" t="s">
        <v>428</v>
      </c>
      <c r="E1316" t="s">
        <v>429</v>
      </c>
      <c r="F1316" t="s">
        <v>433</v>
      </c>
      <c r="G1316" t="s">
        <v>93</v>
      </c>
      <c r="H1316" t="s">
        <v>303</v>
      </c>
      <c r="I1316" s="5">
        <v>130183</v>
      </c>
      <c r="J1316">
        <f>IFERROR(VLOOKUP(G1316,'LEAID Match'!$A$2:$B$183,2,FALSE),"")</f>
        <v>1602820</v>
      </c>
      <c r="K1316">
        <f t="shared" si="20"/>
        <v>9</v>
      </c>
    </row>
    <row r="1317" spans="1:11" x14ac:dyDescent="0.2">
      <c r="A1317">
        <v>1602820</v>
      </c>
      <c r="B1317">
        <v>2020</v>
      </c>
      <c r="C1317">
        <v>154</v>
      </c>
      <c r="D1317" t="s">
        <v>428</v>
      </c>
      <c r="E1317" t="s">
        <v>429</v>
      </c>
      <c r="F1317" t="s">
        <v>433</v>
      </c>
      <c r="G1317" t="s">
        <v>93</v>
      </c>
      <c r="H1317" t="s">
        <v>303</v>
      </c>
      <c r="I1317" s="5">
        <v>138680</v>
      </c>
      <c r="J1317">
        <f>IFERROR(VLOOKUP(G1317,'LEAID Match'!$A$2:$B$183,2,FALSE),"")</f>
        <v>1602820</v>
      </c>
      <c r="K1317">
        <f t="shared" si="20"/>
        <v>9</v>
      </c>
    </row>
    <row r="1318" spans="1:11" x14ac:dyDescent="0.2">
      <c r="A1318">
        <v>1602820</v>
      </c>
      <c r="B1318">
        <v>2021</v>
      </c>
      <c r="C1318">
        <v>154</v>
      </c>
      <c r="D1318" t="s">
        <v>428</v>
      </c>
      <c r="E1318" t="s">
        <v>429</v>
      </c>
      <c r="F1318" t="s">
        <v>433</v>
      </c>
      <c r="G1318" t="s">
        <v>93</v>
      </c>
      <c r="H1318" t="s">
        <v>93</v>
      </c>
      <c r="I1318" s="5">
        <v>155588</v>
      </c>
      <c r="J1318">
        <f>IFERROR(VLOOKUP(G1318,'LEAID Match'!$A$2:$B$183,2,FALSE),"")</f>
        <v>1602820</v>
      </c>
      <c r="K1318">
        <f t="shared" si="20"/>
        <v>9</v>
      </c>
    </row>
    <row r="1319" spans="1:11" x14ac:dyDescent="0.2">
      <c r="A1319">
        <v>1602820</v>
      </c>
      <c r="B1319">
        <v>2022</v>
      </c>
      <c r="C1319">
        <v>154</v>
      </c>
      <c r="D1319" t="s">
        <v>428</v>
      </c>
      <c r="E1319" t="s">
        <v>429</v>
      </c>
      <c r="F1319" t="s">
        <v>433</v>
      </c>
      <c r="G1319" t="s">
        <v>93</v>
      </c>
      <c r="H1319" t="s">
        <v>303</v>
      </c>
      <c r="I1319" s="5">
        <v>153127</v>
      </c>
      <c r="J1319">
        <f>IFERROR(VLOOKUP(G1319,'LEAID Match'!$A$2:$B$183,2,FALSE),"")</f>
        <v>1602820</v>
      </c>
      <c r="K1319">
        <f t="shared" si="20"/>
        <v>9</v>
      </c>
    </row>
    <row r="1320" spans="1:11" x14ac:dyDescent="0.2">
      <c r="A1320">
        <v>1602820</v>
      </c>
      <c r="B1320">
        <v>2023</v>
      </c>
      <c r="C1320">
        <v>154</v>
      </c>
      <c r="D1320" t="s">
        <v>428</v>
      </c>
      <c r="E1320" t="s">
        <v>429</v>
      </c>
      <c r="F1320" t="s">
        <v>433</v>
      </c>
      <c r="G1320" t="s">
        <v>93</v>
      </c>
      <c r="H1320" t="s">
        <v>303</v>
      </c>
      <c r="I1320" s="5">
        <v>163640</v>
      </c>
      <c r="J1320">
        <f>IFERROR(VLOOKUP(G1320,'LEAID Match'!$A$2:$B$183,2,FALSE),"")</f>
        <v>1602820</v>
      </c>
      <c r="K1320">
        <f t="shared" si="20"/>
        <v>9</v>
      </c>
    </row>
    <row r="1321" spans="1:11" x14ac:dyDescent="0.2">
      <c r="A1321">
        <v>1602850</v>
      </c>
      <c r="B1321">
        <v>2015</v>
      </c>
      <c r="C1321">
        <v>158</v>
      </c>
      <c r="D1321" t="s">
        <v>428</v>
      </c>
      <c r="E1321" t="s">
        <v>429</v>
      </c>
      <c r="F1321" t="s">
        <v>433</v>
      </c>
      <c r="G1321" t="s">
        <v>95</v>
      </c>
      <c r="H1321" t="s">
        <v>95</v>
      </c>
      <c r="I1321" s="5">
        <v>362336</v>
      </c>
      <c r="J1321">
        <f>IFERROR(VLOOKUP(G1321,'LEAID Match'!$A$2:$B$183,2,FALSE),"")</f>
        <v>1602850</v>
      </c>
      <c r="K1321">
        <f t="shared" si="20"/>
        <v>9</v>
      </c>
    </row>
    <row r="1322" spans="1:11" x14ac:dyDescent="0.2">
      <c r="A1322">
        <v>1602850</v>
      </c>
      <c r="B1322">
        <v>2016</v>
      </c>
      <c r="C1322">
        <v>158</v>
      </c>
      <c r="D1322" t="s">
        <v>428</v>
      </c>
      <c r="E1322" t="s">
        <v>429</v>
      </c>
      <c r="F1322" t="s">
        <v>433</v>
      </c>
      <c r="G1322" t="s">
        <v>95</v>
      </c>
      <c r="H1322" t="s">
        <v>95</v>
      </c>
      <c r="I1322" s="5">
        <v>364157</v>
      </c>
      <c r="J1322">
        <f>IFERROR(VLOOKUP(G1322,'LEAID Match'!$A$2:$B$183,2,FALSE),"")</f>
        <v>1602850</v>
      </c>
      <c r="K1322">
        <f t="shared" si="20"/>
        <v>9</v>
      </c>
    </row>
    <row r="1323" spans="1:11" x14ac:dyDescent="0.2">
      <c r="A1323">
        <v>1602850</v>
      </c>
      <c r="B1323">
        <v>2017</v>
      </c>
      <c r="C1323">
        <v>158</v>
      </c>
      <c r="D1323" t="s">
        <v>428</v>
      </c>
      <c r="E1323" t="s">
        <v>429</v>
      </c>
      <c r="F1323" t="s">
        <v>433</v>
      </c>
      <c r="G1323" t="s">
        <v>95</v>
      </c>
      <c r="H1323" t="s">
        <v>95</v>
      </c>
      <c r="I1323" s="5">
        <v>358234</v>
      </c>
      <c r="J1323">
        <f>IFERROR(VLOOKUP(G1323,'LEAID Match'!$A$2:$B$183,2,FALSE),"")</f>
        <v>1602850</v>
      </c>
      <c r="K1323">
        <f t="shared" si="20"/>
        <v>9</v>
      </c>
    </row>
    <row r="1324" spans="1:11" x14ac:dyDescent="0.2">
      <c r="A1324">
        <v>1602850</v>
      </c>
      <c r="B1324">
        <v>2018</v>
      </c>
      <c r="C1324">
        <v>158</v>
      </c>
      <c r="D1324" t="s">
        <v>428</v>
      </c>
      <c r="E1324" t="s">
        <v>429</v>
      </c>
      <c r="F1324" t="s">
        <v>433</v>
      </c>
      <c r="G1324" t="s">
        <v>95</v>
      </c>
      <c r="H1324" t="s">
        <v>95</v>
      </c>
      <c r="I1324" s="5">
        <v>380884</v>
      </c>
      <c r="J1324">
        <f>IFERROR(VLOOKUP(G1324,'LEAID Match'!$A$2:$B$183,2,FALSE),"")</f>
        <v>1602850</v>
      </c>
      <c r="K1324">
        <f t="shared" si="20"/>
        <v>9</v>
      </c>
    </row>
    <row r="1325" spans="1:11" x14ac:dyDescent="0.2">
      <c r="A1325">
        <v>1602850</v>
      </c>
      <c r="B1325">
        <v>2019</v>
      </c>
      <c r="C1325">
        <v>158</v>
      </c>
      <c r="D1325" t="s">
        <v>428</v>
      </c>
      <c r="E1325" t="s">
        <v>429</v>
      </c>
      <c r="F1325" t="s">
        <v>433</v>
      </c>
      <c r="G1325" t="s">
        <v>95</v>
      </c>
      <c r="H1325" t="s">
        <v>305</v>
      </c>
      <c r="I1325" s="5">
        <v>389329</v>
      </c>
      <c r="J1325">
        <f>IFERROR(VLOOKUP(G1325,'LEAID Match'!$A$2:$B$183,2,FALSE),"")</f>
        <v>1602850</v>
      </c>
      <c r="K1325">
        <f t="shared" si="20"/>
        <v>9</v>
      </c>
    </row>
    <row r="1326" spans="1:11" x14ac:dyDescent="0.2">
      <c r="A1326">
        <v>1602850</v>
      </c>
      <c r="B1326">
        <v>2020</v>
      </c>
      <c r="C1326">
        <v>158</v>
      </c>
      <c r="D1326" t="s">
        <v>428</v>
      </c>
      <c r="E1326" t="s">
        <v>429</v>
      </c>
      <c r="F1326" t="s">
        <v>433</v>
      </c>
      <c r="G1326" t="s">
        <v>95</v>
      </c>
      <c r="H1326" t="s">
        <v>305</v>
      </c>
      <c r="I1326" s="5">
        <v>417775</v>
      </c>
      <c r="J1326">
        <f>IFERROR(VLOOKUP(G1326,'LEAID Match'!$A$2:$B$183,2,FALSE),"")</f>
        <v>1602850</v>
      </c>
      <c r="K1326">
        <f t="shared" si="20"/>
        <v>9</v>
      </c>
    </row>
    <row r="1327" spans="1:11" x14ac:dyDescent="0.2">
      <c r="A1327">
        <v>1602850</v>
      </c>
      <c r="B1327">
        <v>2021</v>
      </c>
      <c r="C1327">
        <v>158</v>
      </c>
      <c r="D1327" t="s">
        <v>428</v>
      </c>
      <c r="E1327" t="s">
        <v>429</v>
      </c>
      <c r="F1327" t="s">
        <v>433</v>
      </c>
      <c r="G1327" t="s">
        <v>95</v>
      </c>
      <c r="H1327" t="s">
        <v>95</v>
      </c>
      <c r="I1327" s="5">
        <v>462832</v>
      </c>
      <c r="J1327">
        <f>IFERROR(VLOOKUP(G1327,'LEAID Match'!$A$2:$B$183,2,FALSE),"")</f>
        <v>1602850</v>
      </c>
      <c r="K1327">
        <f t="shared" si="20"/>
        <v>9</v>
      </c>
    </row>
    <row r="1328" spans="1:11" x14ac:dyDescent="0.2">
      <c r="A1328">
        <v>1602850</v>
      </c>
      <c r="B1328">
        <v>2022</v>
      </c>
      <c r="C1328">
        <v>158</v>
      </c>
      <c r="D1328" t="s">
        <v>428</v>
      </c>
      <c r="E1328" t="s">
        <v>429</v>
      </c>
      <c r="F1328" t="s">
        <v>433</v>
      </c>
      <c r="G1328" t="s">
        <v>95</v>
      </c>
      <c r="H1328" t="s">
        <v>305</v>
      </c>
      <c r="I1328" s="5">
        <v>465329</v>
      </c>
      <c r="J1328">
        <f>IFERROR(VLOOKUP(G1328,'LEAID Match'!$A$2:$B$183,2,FALSE),"")</f>
        <v>1602850</v>
      </c>
      <c r="K1328">
        <f t="shared" si="20"/>
        <v>9</v>
      </c>
    </row>
    <row r="1329" spans="1:11" x14ac:dyDescent="0.2">
      <c r="A1329">
        <v>1602850</v>
      </c>
      <c r="B1329">
        <v>2023</v>
      </c>
      <c r="C1329">
        <v>158</v>
      </c>
      <c r="D1329" t="s">
        <v>428</v>
      </c>
      <c r="E1329" t="s">
        <v>429</v>
      </c>
      <c r="F1329" t="s">
        <v>433</v>
      </c>
      <c r="G1329" t="s">
        <v>95</v>
      </c>
      <c r="H1329" t="s">
        <v>305</v>
      </c>
      <c r="I1329" s="5">
        <v>466762</v>
      </c>
      <c r="J1329">
        <f>IFERROR(VLOOKUP(G1329,'LEAID Match'!$A$2:$B$183,2,FALSE),"")</f>
        <v>1602850</v>
      </c>
      <c r="K1329">
        <f t="shared" si="20"/>
        <v>9</v>
      </c>
    </row>
    <row r="1330" spans="1:11" x14ac:dyDescent="0.2">
      <c r="A1330">
        <v>1602910</v>
      </c>
      <c r="B1330">
        <v>2015</v>
      </c>
      <c r="C1330">
        <v>160</v>
      </c>
      <c r="D1330" t="s">
        <v>428</v>
      </c>
      <c r="E1330" t="s">
        <v>429</v>
      </c>
      <c r="F1330" t="s">
        <v>433</v>
      </c>
      <c r="G1330" t="s">
        <v>96</v>
      </c>
      <c r="H1330" t="s">
        <v>96</v>
      </c>
      <c r="I1330" s="5">
        <v>893318</v>
      </c>
      <c r="J1330">
        <f>IFERROR(VLOOKUP(G1330,'LEAID Match'!$A$2:$B$183,2,FALSE),"")</f>
        <v>1602910</v>
      </c>
      <c r="K1330">
        <f t="shared" si="20"/>
        <v>9</v>
      </c>
    </row>
    <row r="1331" spans="1:11" x14ac:dyDescent="0.2">
      <c r="A1331">
        <v>1602910</v>
      </c>
      <c r="B1331">
        <v>2016</v>
      </c>
      <c r="C1331">
        <v>160</v>
      </c>
      <c r="D1331" t="s">
        <v>428</v>
      </c>
      <c r="E1331" t="s">
        <v>429</v>
      </c>
      <c r="F1331" t="s">
        <v>433</v>
      </c>
      <c r="G1331" t="s">
        <v>96</v>
      </c>
      <c r="H1331" t="s">
        <v>96</v>
      </c>
      <c r="I1331" s="5">
        <v>927166</v>
      </c>
      <c r="J1331">
        <f>IFERROR(VLOOKUP(G1331,'LEAID Match'!$A$2:$B$183,2,FALSE),"")</f>
        <v>1602910</v>
      </c>
      <c r="K1331">
        <f t="shared" si="20"/>
        <v>9</v>
      </c>
    </row>
    <row r="1332" spans="1:11" x14ac:dyDescent="0.2">
      <c r="A1332">
        <v>1602910</v>
      </c>
      <c r="B1332">
        <v>2017</v>
      </c>
      <c r="C1332">
        <v>160</v>
      </c>
      <c r="D1332" t="s">
        <v>428</v>
      </c>
      <c r="E1332" t="s">
        <v>429</v>
      </c>
      <c r="F1332" t="s">
        <v>433</v>
      </c>
      <c r="G1332" t="s">
        <v>96</v>
      </c>
      <c r="H1332" t="s">
        <v>96</v>
      </c>
      <c r="I1332" s="5">
        <v>976925</v>
      </c>
      <c r="J1332">
        <f>IFERROR(VLOOKUP(G1332,'LEAID Match'!$A$2:$B$183,2,FALSE),"")</f>
        <v>1602910</v>
      </c>
      <c r="K1332">
        <f t="shared" si="20"/>
        <v>9</v>
      </c>
    </row>
    <row r="1333" spans="1:11" x14ac:dyDescent="0.2">
      <c r="A1333">
        <v>1602910</v>
      </c>
      <c r="B1333">
        <v>2018</v>
      </c>
      <c r="C1333">
        <v>160</v>
      </c>
      <c r="D1333" t="s">
        <v>428</v>
      </c>
      <c r="E1333" t="s">
        <v>429</v>
      </c>
      <c r="F1333" t="s">
        <v>433</v>
      </c>
      <c r="G1333" t="s">
        <v>96</v>
      </c>
      <c r="H1333" t="s">
        <v>96</v>
      </c>
      <c r="I1333" s="5">
        <v>1022897</v>
      </c>
      <c r="J1333">
        <f>IFERROR(VLOOKUP(G1333,'LEAID Match'!$A$2:$B$183,2,FALSE),"")</f>
        <v>1602910</v>
      </c>
      <c r="K1333">
        <f t="shared" si="20"/>
        <v>9</v>
      </c>
    </row>
    <row r="1334" spans="1:11" x14ac:dyDescent="0.2">
      <c r="A1334">
        <v>1602910</v>
      </c>
      <c r="B1334">
        <v>2019</v>
      </c>
      <c r="C1334">
        <v>160</v>
      </c>
      <c r="D1334" t="s">
        <v>428</v>
      </c>
      <c r="E1334" t="s">
        <v>429</v>
      </c>
      <c r="F1334" t="s">
        <v>433</v>
      </c>
      <c r="G1334" t="s">
        <v>96</v>
      </c>
      <c r="H1334" t="s">
        <v>306</v>
      </c>
      <c r="I1334" s="5">
        <v>1082256</v>
      </c>
      <c r="J1334">
        <f>IFERROR(VLOOKUP(G1334,'LEAID Match'!$A$2:$B$183,2,FALSE),"")</f>
        <v>1602910</v>
      </c>
      <c r="K1334">
        <f t="shared" si="20"/>
        <v>9</v>
      </c>
    </row>
    <row r="1335" spans="1:11" x14ac:dyDescent="0.2">
      <c r="A1335">
        <v>1602910</v>
      </c>
      <c r="B1335">
        <v>2020</v>
      </c>
      <c r="C1335">
        <v>160</v>
      </c>
      <c r="D1335" t="s">
        <v>428</v>
      </c>
      <c r="E1335" t="s">
        <v>429</v>
      </c>
      <c r="F1335" t="s">
        <v>433</v>
      </c>
      <c r="G1335" t="s">
        <v>96</v>
      </c>
      <c r="H1335" t="s">
        <v>370</v>
      </c>
      <c r="I1335" s="5">
        <v>1087868</v>
      </c>
      <c r="J1335">
        <f>IFERROR(VLOOKUP(G1335,'LEAID Match'!$A$2:$B$183,2,FALSE),"")</f>
        <v>1602910</v>
      </c>
      <c r="K1335">
        <f t="shared" si="20"/>
        <v>9</v>
      </c>
    </row>
    <row r="1336" spans="1:11" x14ac:dyDescent="0.2">
      <c r="A1336">
        <v>1602910</v>
      </c>
      <c r="B1336">
        <v>2021</v>
      </c>
      <c r="C1336">
        <v>160</v>
      </c>
      <c r="D1336" t="s">
        <v>428</v>
      </c>
      <c r="E1336" t="s">
        <v>429</v>
      </c>
      <c r="F1336" t="s">
        <v>433</v>
      </c>
      <c r="G1336" t="s">
        <v>96</v>
      </c>
      <c r="H1336" t="s">
        <v>306</v>
      </c>
      <c r="I1336" s="5">
        <v>1139131</v>
      </c>
      <c r="J1336">
        <f>IFERROR(VLOOKUP(G1336,'LEAID Match'!$A$2:$B$183,2,FALSE),"")</f>
        <v>1602910</v>
      </c>
      <c r="K1336">
        <f t="shared" si="20"/>
        <v>9</v>
      </c>
    </row>
    <row r="1337" spans="1:11" x14ac:dyDescent="0.2">
      <c r="A1337">
        <v>1602910</v>
      </c>
      <c r="B1337">
        <v>2022</v>
      </c>
      <c r="C1337">
        <v>160</v>
      </c>
      <c r="D1337" t="s">
        <v>428</v>
      </c>
      <c r="E1337" t="s">
        <v>429</v>
      </c>
      <c r="F1337" t="s">
        <v>433</v>
      </c>
      <c r="G1337" t="s">
        <v>96</v>
      </c>
      <c r="H1337" t="s">
        <v>306</v>
      </c>
      <c r="I1337" s="5">
        <v>1203011</v>
      </c>
      <c r="J1337">
        <f>IFERROR(VLOOKUP(G1337,'LEAID Match'!$A$2:$B$183,2,FALSE),"")</f>
        <v>1602910</v>
      </c>
      <c r="K1337">
        <f t="shared" si="20"/>
        <v>9</v>
      </c>
    </row>
    <row r="1338" spans="1:11" x14ac:dyDescent="0.2">
      <c r="A1338">
        <v>1602910</v>
      </c>
      <c r="B1338">
        <v>2023</v>
      </c>
      <c r="C1338">
        <v>160</v>
      </c>
      <c r="D1338" t="s">
        <v>428</v>
      </c>
      <c r="E1338" t="s">
        <v>429</v>
      </c>
      <c r="F1338" t="s">
        <v>433</v>
      </c>
      <c r="G1338" t="s">
        <v>96</v>
      </c>
      <c r="H1338" t="s">
        <v>306</v>
      </c>
      <c r="I1338" s="5">
        <v>1258750</v>
      </c>
      <c r="J1338">
        <f>IFERROR(VLOOKUP(G1338,'LEAID Match'!$A$2:$B$183,2,FALSE),"")</f>
        <v>1602910</v>
      </c>
      <c r="K1338">
        <f t="shared" si="20"/>
        <v>9</v>
      </c>
    </row>
    <row r="1339" spans="1:11" x14ac:dyDescent="0.2">
      <c r="A1339">
        <v>1602940</v>
      </c>
      <c r="B1339">
        <v>2015</v>
      </c>
      <c r="C1339">
        <v>161</v>
      </c>
      <c r="D1339" t="s">
        <v>428</v>
      </c>
      <c r="E1339" t="s">
        <v>429</v>
      </c>
      <c r="F1339" t="s">
        <v>433</v>
      </c>
      <c r="G1339" t="s">
        <v>97</v>
      </c>
      <c r="H1339" t="s">
        <v>97</v>
      </c>
      <c r="I1339" s="5">
        <v>257063</v>
      </c>
      <c r="J1339">
        <f>IFERROR(VLOOKUP(G1339,'LEAID Match'!$A$2:$B$183,2,FALSE),"")</f>
        <v>1602940</v>
      </c>
      <c r="K1339">
        <f t="shared" si="20"/>
        <v>9</v>
      </c>
    </row>
    <row r="1340" spans="1:11" x14ac:dyDescent="0.2">
      <c r="A1340">
        <v>1602940</v>
      </c>
      <c r="B1340">
        <v>2016</v>
      </c>
      <c r="C1340">
        <v>161</v>
      </c>
      <c r="D1340" t="s">
        <v>428</v>
      </c>
      <c r="E1340" t="s">
        <v>429</v>
      </c>
      <c r="F1340" t="s">
        <v>433</v>
      </c>
      <c r="G1340" t="s">
        <v>97</v>
      </c>
      <c r="H1340" t="s">
        <v>97</v>
      </c>
      <c r="I1340" s="5">
        <v>276059</v>
      </c>
      <c r="J1340">
        <f>IFERROR(VLOOKUP(G1340,'LEAID Match'!$A$2:$B$183,2,FALSE),"")</f>
        <v>1602940</v>
      </c>
      <c r="K1340">
        <f t="shared" si="20"/>
        <v>9</v>
      </c>
    </row>
    <row r="1341" spans="1:11" x14ac:dyDescent="0.2">
      <c r="A1341">
        <v>1602940</v>
      </c>
      <c r="B1341">
        <v>2017</v>
      </c>
      <c r="C1341">
        <v>161</v>
      </c>
      <c r="D1341" t="s">
        <v>428</v>
      </c>
      <c r="E1341" t="s">
        <v>429</v>
      </c>
      <c r="F1341" t="s">
        <v>433</v>
      </c>
      <c r="G1341" t="s">
        <v>97</v>
      </c>
      <c r="H1341" t="s">
        <v>97</v>
      </c>
      <c r="I1341" s="5">
        <v>293691</v>
      </c>
      <c r="J1341">
        <f>IFERROR(VLOOKUP(G1341,'LEAID Match'!$A$2:$B$183,2,FALSE),"")</f>
        <v>1602940</v>
      </c>
      <c r="K1341">
        <f t="shared" si="20"/>
        <v>9</v>
      </c>
    </row>
    <row r="1342" spans="1:11" x14ac:dyDescent="0.2">
      <c r="A1342">
        <v>1602940</v>
      </c>
      <c r="B1342">
        <v>2018</v>
      </c>
      <c r="C1342">
        <v>161</v>
      </c>
      <c r="D1342" t="s">
        <v>428</v>
      </c>
      <c r="E1342" t="s">
        <v>429</v>
      </c>
      <c r="F1342" t="s">
        <v>433</v>
      </c>
      <c r="G1342" t="s">
        <v>97</v>
      </c>
      <c r="H1342" t="s">
        <v>97</v>
      </c>
      <c r="I1342" s="5">
        <v>298095</v>
      </c>
      <c r="J1342">
        <f>IFERROR(VLOOKUP(G1342,'LEAID Match'!$A$2:$B$183,2,FALSE),"")</f>
        <v>1602940</v>
      </c>
      <c r="K1342">
        <f t="shared" si="20"/>
        <v>9</v>
      </c>
    </row>
    <row r="1343" spans="1:11" x14ac:dyDescent="0.2">
      <c r="A1343">
        <v>1602940</v>
      </c>
      <c r="B1343">
        <v>2019</v>
      </c>
      <c r="C1343">
        <v>161</v>
      </c>
      <c r="D1343" t="s">
        <v>428</v>
      </c>
      <c r="E1343" t="s">
        <v>429</v>
      </c>
      <c r="F1343" t="s">
        <v>433</v>
      </c>
      <c r="G1343" t="s">
        <v>97</v>
      </c>
      <c r="H1343" t="s">
        <v>307</v>
      </c>
      <c r="I1343" s="5">
        <v>311253</v>
      </c>
      <c r="J1343">
        <f>IFERROR(VLOOKUP(G1343,'LEAID Match'!$A$2:$B$183,2,FALSE),"")</f>
        <v>1602940</v>
      </c>
      <c r="K1343">
        <f t="shared" si="20"/>
        <v>9</v>
      </c>
    </row>
    <row r="1344" spans="1:11" x14ac:dyDescent="0.2">
      <c r="A1344">
        <v>1602940</v>
      </c>
      <c r="B1344">
        <v>2020</v>
      </c>
      <c r="C1344">
        <v>161</v>
      </c>
      <c r="D1344" t="s">
        <v>428</v>
      </c>
      <c r="E1344" t="s">
        <v>429</v>
      </c>
      <c r="F1344" t="s">
        <v>433</v>
      </c>
      <c r="G1344" t="s">
        <v>97</v>
      </c>
      <c r="H1344" t="s">
        <v>307</v>
      </c>
      <c r="I1344" s="5">
        <v>339198</v>
      </c>
      <c r="J1344">
        <f>IFERROR(VLOOKUP(G1344,'LEAID Match'!$A$2:$B$183,2,FALSE),"")</f>
        <v>1602940</v>
      </c>
      <c r="K1344">
        <f t="shared" si="20"/>
        <v>9</v>
      </c>
    </row>
    <row r="1345" spans="1:11" x14ac:dyDescent="0.2">
      <c r="A1345">
        <v>1602940</v>
      </c>
      <c r="B1345">
        <v>2021</v>
      </c>
      <c r="C1345">
        <v>161</v>
      </c>
      <c r="D1345" t="s">
        <v>428</v>
      </c>
      <c r="E1345" t="s">
        <v>429</v>
      </c>
      <c r="F1345" t="s">
        <v>433</v>
      </c>
      <c r="G1345" t="s">
        <v>97</v>
      </c>
      <c r="H1345" t="s">
        <v>97</v>
      </c>
      <c r="I1345" s="5">
        <v>352895</v>
      </c>
      <c r="J1345">
        <f>IFERROR(VLOOKUP(G1345,'LEAID Match'!$A$2:$B$183,2,FALSE),"")</f>
        <v>1602940</v>
      </c>
      <c r="K1345">
        <f t="shared" si="20"/>
        <v>9</v>
      </c>
    </row>
    <row r="1346" spans="1:11" x14ac:dyDescent="0.2">
      <c r="A1346">
        <v>1602940</v>
      </c>
      <c r="B1346">
        <v>2022</v>
      </c>
      <c r="C1346">
        <v>161</v>
      </c>
      <c r="D1346" t="s">
        <v>428</v>
      </c>
      <c r="E1346" t="s">
        <v>429</v>
      </c>
      <c r="F1346" t="s">
        <v>433</v>
      </c>
      <c r="G1346" t="s">
        <v>97</v>
      </c>
      <c r="H1346" t="s">
        <v>307</v>
      </c>
      <c r="I1346" s="5">
        <v>360975</v>
      </c>
      <c r="J1346">
        <f>IFERROR(VLOOKUP(G1346,'LEAID Match'!$A$2:$B$183,2,FALSE),"")</f>
        <v>1602940</v>
      </c>
      <c r="K1346">
        <f t="shared" si="20"/>
        <v>9</v>
      </c>
    </row>
    <row r="1347" spans="1:11" x14ac:dyDescent="0.2">
      <c r="A1347">
        <v>1602940</v>
      </c>
      <c r="B1347">
        <v>2023</v>
      </c>
      <c r="C1347">
        <v>161</v>
      </c>
      <c r="D1347" t="s">
        <v>428</v>
      </c>
      <c r="E1347" t="s">
        <v>429</v>
      </c>
      <c r="F1347" t="s">
        <v>433</v>
      </c>
      <c r="G1347" t="s">
        <v>97</v>
      </c>
      <c r="H1347" t="s">
        <v>307</v>
      </c>
      <c r="I1347" s="5">
        <v>381399</v>
      </c>
      <c r="J1347">
        <f>IFERROR(VLOOKUP(G1347,'LEAID Match'!$A$2:$B$183,2,FALSE),"")</f>
        <v>1602940</v>
      </c>
      <c r="K1347">
        <f t="shared" ref="K1347:K1410" si="21">COUNTIF($A$2:$A$1651,A1347)</f>
        <v>9</v>
      </c>
    </row>
    <row r="1348" spans="1:11" x14ac:dyDescent="0.2">
      <c r="A1348">
        <v>1602970</v>
      </c>
      <c r="B1348">
        <v>2015</v>
      </c>
      <c r="C1348">
        <v>162</v>
      </c>
      <c r="D1348" t="s">
        <v>428</v>
      </c>
      <c r="E1348" t="s">
        <v>429</v>
      </c>
      <c r="F1348" t="s">
        <v>433</v>
      </c>
      <c r="G1348" t="s">
        <v>98</v>
      </c>
      <c r="H1348" t="s">
        <v>98</v>
      </c>
      <c r="I1348" s="5">
        <v>708699</v>
      </c>
      <c r="J1348">
        <f>IFERROR(VLOOKUP(G1348,'LEAID Match'!$A$2:$B$183,2,FALSE),"")</f>
        <v>1602970</v>
      </c>
      <c r="K1348">
        <f t="shared" si="21"/>
        <v>9</v>
      </c>
    </row>
    <row r="1349" spans="1:11" x14ac:dyDescent="0.2">
      <c r="A1349">
        <v>1602970</v>
      </c>
      <c r="B1349">
        <v>2016</v>
      </c>
      <c r="C1349">
        <v>162</v>
      </c>
      <c r="D1349" t="s">
        <v>428</v>
      </c>
      <c r="E1349" t="s">
        <v>429</v>
      </c>
      <c r="F1349" t="s">
        <v>433</v>
      </c>
      <c r="G1349" t="s">
        <v>98</v>
      </c>
      <c r="H1349" t="s">
        <v>98</v>
      </c>
      <c r="I1349" s="5">
        <v>702761</v>
      </c>
      <c r="J1349">
        <f>IFERROR(VLOOKUP(G1349,'LEAID Match'!$A$2:$B$183,2,FALSE),"")</f>
        <v>1602970</v>
      </c>
      <c r="K1349">
        <f t="shared" si="21"/>
        <v>9</v>
      </c>
    </row>
    <row r="1350" spans="1:11" x14ac:dyDescent="0.2">
      <c r="A1350">
        <v>1602970</v>
      </c>
      <c r="B1350">
        <v>2017</v>
      </c>
      <c r="C1350">
        <v>162</v>
      </c>
      <c r="D1350" t="s">
        <v>428</v>
      </c>
      <c r="E1350" t="s">
        <v>429</v>
      </c>
      <c r="F1350" t="s">
        <v>433</v>
      </c>
      <c r="G1350" t="s">
        <v>98</v>
      </c>
      <c r="H1350" t="s">
        <v>98</v>
      </c>
      <c r="I1350" s="5">
        <v>748204</v>
      </c>
      <c r="J1350">
        <f>IFERROR(VLOOKUP(G1350,'LEAID Match'!$A$2:$B$183,2,FALSE),"")</f>
        <v>1602970</v>
      </c>
      <c r="K1350">
        <f t="shared" si="21"/>
        <v>9</v>
      </c>
    </row>
    <row r="1351" spans="1:11" x14ac:dyDescent="0.2">
      <c r="A1351">
        <v>1602970</v>
      </c>
      <c r="B1351">
        <v>2018</v>
      </c>
      <c r="C1351">
        <v>162</v>
      </c>
      <c r="D1351" t="s">
        <v>428</v>
      </c>
      <c r="E1351" t="s">
        <v>429</v>
      </c>
      <c r="F1351" t="s">
        <v>433</v>
      </c>
      <c r="G1351" t="s">
        <v>98</v>
      </c>
      <c r="H1351" t="s">
        <v>98</v>
      </c>
      <c r="I1351" s="5">
        <v>795898</v>
      </c>
      <c r="J1351">
        <f>IFERROR(VLOOKUP(G1351,'LEAID Match'!$A$2:$B$183,2,FALSE),"")</f>
        <v>1602970</v>
      </c>
      <c r="K1351">
        <f t="shared" si="21"/>
        <v>9</v>
      </c>
    </row>
    <row r="1352" spans="1:11" x14ac:dyDescent="0.2">
      <c r="A1352">
        <v>1602970</v>
      </c>
      <c r="B1352">
        <v>2019</v>
      </c>
      <c r="C1352">
        <v>162</v>
      </c>
      <c r="D1352" t="s">
        <v>428</v>
      </c>
      <c r="E1352" t="s">
        <v>429</v>
      </c>
      <c r="F1352" t="s">
        <v>433</v>
      </c>
      <c r="G1352" t="s">
        <v>98</v>
      </c>
      <c r="H1352" t="s">
        <v>308</v>
      </c>
      <c r="I1352" s="5">
        <v>820401</v>
      </c>
      <c r="J1352">
        <f>IFERROR(VLOOKUP(G1352,'LEAID Match'!$A$2:$B$183,2,FALSE),"")</f>
        <v>1602970</v>
      </c>
      <c r="K1352">
        <f t="shared" si="21"/>
        <v>9</v>
      </c>
    </row>
    <row r="1353" spans="1:11" x14ac:dyDescent="0.2">
      <c r="A1353">
        <v>1602970</v>
      </c>
      <c r="B1353">
        <v>2020</v>
      </c>
      <c r="C1353">
        <v>162</v>
      </c>
      <c r="D1353" t="s">
        <v>428</v>
      </c>
      <c r="E1353" t="s">
        <v>429</v>
      </c>
      <c r="F1353" t="s">
        <v>433</v>
      </c>
      <c r="G1353" t="s">
        <v>98</v>
      </c>
      <c r="H1353" t="s">
        <v>371</v>
      </c>
      <c r="I1353" s="5">
        <v>909730</v>
      </c>
      <c r="J1353">
        <f>IFERROR(VLOOKUP(G1353,'LEAID Match'!$A$2:$B$183,2,FALSE),"")</f>
        <v>1602970</v>
      </c>
      <c r="K1353">
        <f t="shared" si="21"/>
        <v>9</v>
      </c>
    </row>
    <row r="1354" spans="1:11" x14ac:dyDescent="0.2">
      <c r="A1354">
        <v>1602970</v>
      </c>
      <c r="B1354">
        <v>2021</v>
      </c>
      <c r="C1354">
        <v>162</v>
      </c>
      <c r="D1354" t="s">
        <v>428</v>
      </c>
      <c r="E1354" t="s">
        <v>429</v>
      </c>
      <c r="F1354" t="s">
        <v>433</v>
      </c>
      <c r="G1354" t="s">
        <v>98</v>
      </c>
      <c r="H1354" t="s">
        <v>308</v>
      </c>
      <c r="I1354" s="5">
        <v>1011289</v>
      </c>
      <c r="J1354">
        <f>IFERROR(VLOOKUP(G1354,'LEAID Match'!$A$2:$B$183,2,FALSE),"")</f>
        <v>1602970</v>
      </c>
      <c r="K1354">
        <f t="shared" si="21"/>
        <v>9</v>
      </c>
    </row>
    <row r="1355" spans="1:11" x14ac:dyDescent="0.2">
      <c r="A1355">
        <v>1602970</v>
      </c>
      <c r="B1355">
        <v>2022</v>
      </c>
      <c r="C1355">
        <v>162</v>
      </c>
      <c r="D1355" t="s">
        <v>428</v>
      </c>
      <c r="E1355" t="s">
        <v>429</v>
      </c>
      <c r="F1355" t="s">
        <v>433</v>
      </c>
      <c r="G1355" t="s">
        <v>98</v>
      </c>
      <c r="H1355" t="s">
        <v>308</v>
      </c>
      <c r="I1355" s="5">
        <v>1160140</v>
      </c>
      <c r="J1355">
        <f>IFERROR(VLOOKUP(G1355,'LEAID Match'!$A$2:$B$183,2,FALSE),"")</f>
        <v>1602970</v>
      </c>
      <c r="K1355">
        <f t="shared" si="21"/>
        <v>9</v>
      </c>
    </row>
    <row r="1356" spans="1:11" x14ac:dyDescent="0.2">
      <c r="A1356">
        <v>1602970</v>
      </c>
      <c r="B1356">
        <v>2023</v>
      </c>
      <c r="C1356">
        <v>162</v>
      </c>
      <c r="D1356" t="s">
        <v>428</v>
      </c>
      <c r="E1356" t="s">
        <v>429</v>
      </c>
      <c r="F1356" t="s">
        <v>433</v>
      </c>
      <c r="G1356" t="s">
        <v>98</v>
      </c>
      <c r="H1356" t="s">
        <v>308</v>
      </c>
      <c r="I1356" s="5">
        <v>1277489</v>
      </c>
      <c r="J1356">
        <f>IFERROR(VLOOKUP(G1356,'LEAID Match'!$A$2:$B$183,2,FALSE),"")</f>
        <v>1602970</v>
      </c>
      <c r="K1356">
        <f t="shared" si="21"/>
        <v>9</v>
      </c>
    </row>
    <row r="1357" spans="1:11" x14ac:dyDescent="0.2">
      <c r="A1357">
        <v>1603000</v>
      </c>
      <c r="B1357">
        <v>2015</v>
      </c>
      <c r="C1357">
        <v>163</v>
      </c>
      <c r="D1357" t="s">
        <v>428</v>
      </c>
      <c r="E1357" t="s">
        <v>429</v>
      </c>
      <c r="F1357" t="s">
        <v>433</v>
      </c>
      <c r="G1357" t="s">
        <v>99</v>
      </c>
      <c r="H1357" t="s">
        <v>99</v>
      </c>
      <c r="I1357" s="5">
        <v>371357</v>
      </c>
      <c r="J1357">
        <f>IFERROR(VLOOKUP(G1357,'LEAID Match'!$A$2:$B$183,2,FALSE),"")</f>
        <v>1603000</v>
      </c>
      <c r="K1357">
        <f t="shared" si="21"/>
        <v>9</v>
      </c>
    </row>
    <row r="1358" spans="1:11" x14ac:dyDescent="0.2">
      <c r="A1358">
        <v>1603000</v>
      </c>
      <c r="B1358">
        <v>2016</v>
      </c>
      <c r="C1358">
        <v>163</v>
      </c>
      <c r="D1358" t="s">
        <v>428</v>
      </c>
      <c r="E1358" t="s">
        <v>429</v>
      </c>
      <c r="F1358" t="s">
        <v>433</v>
      </c>
      <c r="G1358" t="s">
        <v>99</v>
      </c>
      <c r="H1358" t="s">
        <v>99</v>
      </c>
      <c r="I1358" s="5">
        <v>377627</v>
      </c>
      <c r="J1358">
        <f>IFERROR(VLOOKUP(G1358,'LEAID Match'!$A$2:$B$183,2,FALSE),"")</f>
        <v>1603000</v>
      </c>
      <c r="K1358">
        <f t="shared" si="21"/>
        <v>9</v>
      </c>
    </row>
    <row r="1359" spans="1:11" x14ac:dyDescent="0.2">
      <c r="A1359">
        <v>1603000</v>
      </c>
      <c r="B1359">
        <v>2017</v>
      </c>
      <c r="C1359">
        <v>163</v>
      </c>
      <c r="D1359" t="s">
        <v>428</v>
      </c>
      <c r="E1359" t="s">
        <v>429</v>
      </c>
      <c r="F1359" t="s">
        <v>433</v>
      </c>
      <c r="G1359" t="s">
        <v>99</v>
      </c>
      <c r="H1359" t="s">
        <v>99</v>
      </c>
      <c r="I1359" s="5">
        <v>382070</v>
      </c>
      <c r="J1359">
        <f>IFERROR(VLOOKUP(G1359,'LEAID Match'!$A$2:$B$183,2,FALSE),"")</f>
        <v>1603000</v>
      </c>
      <c r="K1359">
        <f t="shared" si="21"/>
        <v>9</v>
      </c>
    </row>
    <row r="1360" spans="1:11" x14ac:dyDescent="0.2">
      <c r="A1360">
        <v>1603000</v>
      </c>
      <c r="B1360">
        <v>2018</v>
      </c>
      <c r="C1360">
        <v>163</v>
      </c>
      <c r="D1360" t="s">
        <v>428</v>
      </c>
      <c r="E1360" t="s">
        <v>429</v>
      </c>
      <c r="F1360" t="s">
        <v>433</v>
      </c>
      <c r="G1360" t="s">
        <v>99</v>
      </c>
      <c r="H1360" t="s">
        <v>99</v>
      </c>
      <c r="I1360" s="5">
        <v>413287</v>
      </c>
      <c r="J1360">
        <f>IFERROR(VLOOKUP(G1360,'LEAID Match'!$A$2:$B$183,2,FALSE),"")</f>
        <v>1603000</v>
      </c>
      <c r="K1360">
        <f t="shared" si="21"/>
        <v>9</v>
      </c>
    </row>
    <row r="1361" spans="1:11" x14ac:dyDescent="0.2">
      <c r="A1361">
        <v>1603000</v>
      </c>
      <c r="B1361">
        <v>2019</v>
      </c>
      <c r="C1361">
        <v>163</v>
      </c>
      <c r="D1361" t="s">
        <v>428</v>
      </c>
      <c r="E1361" t="s">
        <v>429</v>
      </c>
      <c r="F1361" t="s">
        <v>433</v>
      </c>
      <c r="G1361" t="s">
        <v>99</v>
      </c>
      <c r="H1361" t="s">
        <v>309</v>
      </c>
      <c r="I1361" s="5">
        <v>440053</v>
      </c>
      <c r="J1361">
        <f>IFERROR(VLOOKUP(G1361,'LEAID Match'!$A$2:$B$183,2,FALSE),"")</f>
        <v>1603000</v>
      </c>
      <c r="K1361">
        <f t="shared" si="21"/>
        <v>9</v>
      </c>
    </row>
    <row r="1362" spans="1:11" x14ac:dyDescent="0.2">
      <c r="A1362">
        <v>1603000</v>
      </c>
      <c r="B1362">
        <v>2020</v>
      </c>
      <c r="C1362">
        <v>163</v>
      </c>
      <c r="D1362" t="s">
        <v>428</v>
      </c>
      <c r="E1362" t="s">
        <v>429</v>
      </c>
      <c r="F1362" t="s">
        <v>433</v>
      </c>
      <c r="G1362" t="s">
        <v>99</v>
      </c>
      <c r="H1362" t="s">
        <v>372</v>
      </c>
      <c r="I1362" s="5">
        <v>491262</v>
      </c>
      <c r="J1362">
        <f>IFERROR(VLOOKUP(G1362,'LEAID Match'!$A$2:$B$183,2,FALSE),"")</f>
        <v>1603000</v>
      </c>
      <c r="K1362">
        <f t="shared" si="21"/>
        <v>9</v>
      </c>
    </row>
    <row r="1363" spans="1:11" x14ac:dyDescent="0.2">
      <c r="A1363">
        <v>1603000</v>
      </c>
      <c r="B1363">
        <v>2021</v>
      </c>
      <c r="C1363">
        <v>163</v>
      </c>
      <c r="D1363" t="s">
        <v>428</v>
      </c>
      <c r="E1363" t="s">
        <v>429</v>
      </c>
      <c r="F1363" t="s">
        <v>433</v>
      </c>
      <c r="G1363" t="s">
        <v>99</v>
      </c>
      <c r="H1363" t="s">
        <v>309</v>
      </c>
      <c r="I1363" s="5">
        <v>552600</v>
      </c>
      <c r="J1363">
        <f>IFERROR(VLOOKUP(G1363,'LEAID Match'!$A$2:$B$183,2,FALSE),"")</f>
        <v>1603000</v>
      </c>
      <c r="K1363">
        <f t="shared" si="21"/>
        <v>9</v>
      </c>
    </row>
    <row r="1364" spans="1:11" x14ac:dyDescent="0.2">
      <c r="A1364">
        <v>1603000</v>
      </c>
      <c r="B1364">
        <v>2022</v>
      </c>
      <c r="C1364">
        <v>163</v>
      </c>
      <c r="D1364" t="s">
        <v>428</v>
      </c>
      <c r="E1364" t="s">
        <v>429</v>
      </c>
      <c r="F1364" t="s">
        <v>433</v>
      </c>
      <c r="G1364" t="s">
        <v>99</v>
      </c>
      <c r="H1364" t="s">
        <v>309</v>
      </c>
      <c r="I1364" s="5">
        <v>570882</v>
      </c>
      <c r="J1364">
        <f>IFERROR(VLOOKUP(G1364,'LEAID Match'!$A$2:$B$183,2,FALSE),"")</f>
        <v>1603000</v>
      </c>
      <c r="K1364">
        <f t="shared" si="21"/>
        <v>9</v>
      </c>
    </row>
    <row r="1365" spans="1:11" x14ac:dyDescent="0.2">
      <c r="A1365">
        <v>1603000</v>
      </c>
      <c r="B1365">
        <v>2023</v>
      </c>
      <c r="C1365">
        <v>163</v>
      </c>
      <c r="D1365" t="s">
        <v>428</v>
      </c>
      <c r="E1365" t="s">
        <v>429</v>
      </c>
      <c r="F1365" t="s">
        <v>433</v>
      </c>
      <c r="G1365" t="s">
        <v>99</v>
      </c>
      <c r="H1365" t="s">
        <v>309</v>
      </c>
      <c r="I1365" s="5">
        <v>570691</v>
      </c>
      <c r="J1365">
        <f>IFERROR(VLOOKUP(G1365,'LEAID Match'!$A$2:$B$183,2,FALSE),"")</f>
        <v>1603000</v>
      </c>
      <c r="K1365">
        <f t="shared" si="21"/>
        <v>9</v>
      </c>
    </row>
    <row r="1366" spans="1:11" x14ac:dyDescent="0.2">
      <c r="A1366">
        <v>1603030</v>
      </c>
      <c r="B1366">
        <v>2015</v>
      </c>
      <c r="C1366">
        <v>164</v>
      </c>
      <c r="D1366" t="s">
        <v>428</v>
      </c>
      <c r="E1366" t="s">
        <v>429</v>
      </c>
      <c r="F1366" t="s">
        <v>433</v>
      </c>
      <c r="G1366" t="s">
        <v>100</v>
      </c>
      <c r="H1366" t="s">
        <v>100</v>
      </c>
      <c r="I1366" s="5">
        <v>83284</v>
      </c>
      <c r="J1366">
        <f>IFERROR(VLOOKUP(G1366,'LEAID Match'!$A$2:$B$183,2,FALSE),"")</f>
        <v>1603030</v>
      </c>
      <c r="K1366">
        <f t="shared" si="21"/>
        <v>9</v>
      </c>
    </row>
    <row r="1367" spans="1:11" x14ac:dyDescent="0.2">
      <c r="A1367">
        <v>1603030</v>
      </c>
      <c r="B1367">
        <v>2016</v>
      </c>
      <c r="C1367">
        <v>164</v>
      </c>
      <c r="D1367" t="s">
        <v>428</v>
      </c>
      <c r="E1367" t="s">
        <v>429</v>
      </c>
      <c r="F1367" t="s">
        <v>433</v>
      </c>
      <c r="G1367" t="s">
        <v>100</v>
      </c>
      <c r="H1367" t="s">
        <v>100</v>
      </c>
      <c r="I1367" s="5">
        <v>83757</v>
      </c>
      <c r="J1367">
        <f>IFERROR(VLOOKUP(G1367,'LEAID Match'!$A$2:$B$183,2,FALSE),"")</f>
        <v>1603030</v>
      </c>
      <c r="K1367">
        <f t="shared" si="21"/>
        <v>9</v>
      </c>
    </row>
    <row r="1368" spans="1:11" x14ac:dyDescent="0.2">
      <c r="A1368">
        <v>1603030</v>
      </c>
      <c r="B1368">
        <v>2017</v>
      </c>
      <c r="C1368">
        <v>164</v>
      </c>
      <c r="D1368" t="s">
        <v>428</v>
      </c>
      <c r="E1368" t="s">
        <v>429</v>
      </c>
      <c r="F1368" t="s">
        <v>433</v>
      </c>
      <c r="G1368" t="s">
        <v>100</v>
      </c>
      <c r="H1368" t="s">
        <v>100</v>
      </c>
      <c r="I1368" s="5">
        <v>87662</v>
      </c>
      <c r="J1368">
        <f>IFERROR(VLOOKUP(G1368,'LEAID Match'!$A$2:$B$183,2,FALSE),"")</f>
        <v>1603030</v>
      </c>
      <c r="K1368">
        <f t="shared" si="21"/>
        <v>9</v>
      </c>
    </row>
    <row r="1369" spans="1:11" x14ac:dyDescent="0.2">
      <c r="A1369">
        <v>1603030</v>
      </c>
      <c r="B1369">
        <v>2018</v>
      </c>
      <c r="C1369">
        <v>164</v>
      </c>
      <c r="D1369" t="s">
        <v>428</v>
      </c>
      <c r="E1369" t="s">
        <v>429</v>
      </c>
      <c r="F1369" t="s">
        <v>433</v>
      </c>
      <c r="G1369" t="s">
        <v>100</v>
      </c>
      <c r="H1369" t="s">
        <v>100</v>
      </c>
      <c r="I1369" s="5">
        <v>87831</v>
      </c>
      <c r="J1369">
        <f>IFERROR(VLOOKUP(G1369,'LEAID Match'!$A$2:$B$183,2,FALSE),"")</f>
        <v>1603030</v>
      </c>
      <c r="K1369">
        <f t="shared" si="21"/>
        <v>9</v>
      </c>
    </row>
    <row r="1370" spans="1:11" x14ac:dyDescent="0.2">
      <c r="A1370">
        <v>1603030</v>
      </c>
      <c r="B1370">
        <v>2019</v>
      </c>
      <c r="C1370">
        <v>164</v>
      </c>
      <c r="D1370" t="s">
        <v>428</v>
      </c>
      <c r="E1370" t="s">
        <v>429</v>
      </c>
      <c r="F1370" t="s">
        <v>433</v>
      </c>
      <c r="G1370" t="s">
        <v>100</v>
      </c>
      <c r="H1370" t="s">
        <v>310</v>
      </c>
      <c r="I1370" s="5">
        <v>91052</v>
      </c>
      <c r="J1370">
        <f>IFERROR(VLOOKUP(G1370,'LEAID Match'!$A$2:$B$183,2,FALSE),"")</f>
        <v>1603030</v>
      </c>
      <c r="K1370">
        <f t="shared" si="21"/>
        <v>9</v>
      </c>
    </row>
    <row r="1371" spans="1:11" x14ac:dyDescent="0.2">
      <c r="A1371">
        <v>1603030</v>
      </c>
      <c r="B1371">
        <v>2020</v>
      </c>
      <c r="C1371">
        <v>164</v>
      </c>
      <c r="D1371" t="s">
        <v>428</v>
      </c>
      <c r="E1371" t="s">
        <v>429</v>
      </c>
      <c r="F1371" t="s">
        <v>433</v>
      </c>
      <c r="G1371" t="s">
        <v>100</v>
      </c>
      <c r="H1371" t="s">
        <v>373</v>
      </c>
      <c r="I1371" s="5">
        <v>102871</v>
      </c>
      <c r="J1371">
        <f>IFERROR(VLOOKUP(G1371,'LEAID Match'!$A$2:$B$183,2,FALSE),"")</f>
        <v>1603030</v>
      </c>
      <c r="K1371">
        <f t="shared" si="21"/>
        <v>9</v>
      </c>
    </row>
    <row r="1372" spans="1:11" x14ac:dyDescent="0.2">
      <c r="A1372">
        <v>1603030</v>
      </c>
      <c r="B1372">
        <v>2021</v>
      </c>
      <c r="C1372">
        <v>164</v>
      </c>
      <c r="D1372" t="s">
        <v>428</v>
      </c>
      <c r="E1372" t="s">
        <v>429</v>
      </c>
      <c r="F1372" t="s">
        <v>433</v>
      </c>
      <c r="G1372" t="s">
        <v>100</v>
      </c>
      <c r="H1372" t="s">
        <v>310</v>
      </c>
      <c r="I1372" s="5">
        <v>106863</v>
      </c>
      <c r="J1372">
        <f>IFERROR(VLOOKUP(G1372,'LEAID Match'!$A$2:$B$183,2,FALSE),"")</f>
        <v>1603030</v>
      </c>
      <c r="K1372">
        <f t="shared" si="21"/>
        <v>9</v>
      </c>
    </row>
    <row r="1373" spans="1:11" x14ac:dyDescent="0.2">
      <c r="A1373">
        <v>1603030</v>
      </c>
      <c r="B1373">
        <v>2022</v>
      </c>
      <c r="C1373">
        <v>164</v>
      </c>
      <c r="D1373" t="s">
        <v>428</v>
      </c>
      <c r="E1373" t="s">
        <v>429</v>
      </c>
      <c r="F1373" t="s">
        <v>433</v>
      </c>
      <c r="G1373" t="s">
        <v>100</v>
      </c>
      <c r="H1373" t="s">
        <v>310</v>
      </c>
      <c r="I1373" s="5">
        <v>121258</v>
      </c>
      <c r="J1373">
        <f>IFERROR(VLOOKUP(G1373,'LEAID Match'!$A$2:$B$183,2,FALSE),"")</f>
        <v>1603030</v>
      </c>
      <c r="K1373">
        <f t="shared" si="21"/>
        <v>9</v>
      </c>
    </row>
    <row r="1374" spans="1:11" x14ac:dyDescent="0.2">
      <c r="A1374">
        <v>1603030</v>
      </c>
      <c r="B1374">
        <v>2023</v>
      </c>
      <c r="C1374">
        <v>164</v>
      </c>
      <c r="D1374" t="s">
        <v>428</v>
      </c>
      <c r="E1374" t="s">
        <v>429</v>
      </c>
      <c r="F1374" t="s">
        <v>433</v>
      </c>
      <c r="G1374" t="s">
        <v>100</v>
      </c>
      <c r="H1374" t="s">
        <v>310</v>
      </c>
      <c r="I1374" s="5">
        <v>125729</v>
      </c>
      <c r="J1374">
        <f>IFERROR(VLOOKUP(G1374,'LEAID Match'!$A$2:$B$183,2,FALSE),"")</f>
        <v>1603030</v>
      </c>
      <c r="K1374">
        <f t="shared" si="21"/>
        <v>9</v>
      </c>
    </row>
    <row r="1375" spans="1:11" x14ac:dyDescent="0.2">
      <c r="A1375">
        <v>1603060</v>
      </c>
      <c r="B1375">
        <v>2015</v>
      </c>
      <c r="C1375">
        <v>166</v>
      </c>
      <c r="D1375" t="s">
        <v>428</v>
      </c>
      <c r="E1375" t="s">
        <v>429</v>
      </c>
      <c r="F1375" t="s">
        <v>433</v>
      </c>
      <c r="G1375" t="s">
        <v>102</v>
      </c>
      <c r="H1375" t="s">
        <v>102</v>
      </c>
      <c r="I1375" s="5">
        <v>464963</v>
      </c>
      <c r="J1375">
        <f>IFERROR(VLOOKUP(G1375,'LEAID Match'!$A$2:$B$183,2,FALSE),"")</f>
        <v>1603060</v>
      </c>
      <c r="K1375">
        <f t="shared" si="21"/>
        <v>9</v>
      </c>
    </row>
    <row r="1376" spans="1:11" x14ac:dyDescent="0.2">
      <c r="A1376">
        <v>1603060</v>
      </c>
      <c r="B1376">
        <v>2016</v>
      </c>
      <c r="C1376">
        <v>166</v>
      </c>
      <c r="D1376" t="s">
        <v>428</v>
      </c>
      <c r="E1376" t="s">
        <v>429</v>
      </c>
      <c r="F1376" t="s">
        <v>433</v>
      </c>
      <c r="G1376" t="s">
        <v>102</v>
      </c>
      <c r="H1376" t="s">
        <v>102</v>
      </c>
      <c r="I1376" s="5">
        <v>493974</v>
      </c>
      <c r="J1376">
        <f>IFERROR(VLOOKUP(G1376,'LEAID Match'!$A$2:$B$183,2,FALSE),"")</f>
        <v>1603060</v>
      </c>
      <c r="K1376">
        <f t="shared" si="21"/>
        <v>9</v>
      </c>
    </row>
    <row r="1377" spans="1:11" x14ac:dyDescent="0.2">
      <c r="A1377">
        <v>1603060</v>
      </c>
      <c r="B1377">
        <v>2017</v>
      </c>
      <c r="C1377">
        <v>166</v>
      </c>
      <c r="D1377" t="s">
        <v>428</v>
      </c>
      <c r="E1377" t="s">
        <v>429</v>
      </c>
      <c r="F1377" t="s">
        <v>433</v>
      </c>
      <c r="G1377" t="s">
        <v>102</v>
      </c>
      <c r="H1377" t="s">
        <v>102</v>
      </c>
      <c r="I1377" s="5">
        <v>508207</v>
      </c>
      <c r="J1377">
        <f>IFERROR(VLOOKUP(G1377,'LEAID Match'!$A$2:$B$183,2,FALSE),"")</f>
        <v>1603060</v>
      </c>
      <c r="K1377">
        <f t="shared" si="21"/>
        <v>9</v>
      </c>
    </row>
    <row r="1378" spans="1:11" x14ac:dyDescent="0.2">
      <c r="A1378">
        <v>1603060</v>
      </c>
      <c r="B1378">
        <v>2018</v>
      </c>
      <c r="C1378">
        <v>166</v>
      </c>
      <c r="D1378" t="s">
        <v>428</v>
      </c>
      <c r="E1378" t="s">
        <v>429</v>
      </c>
      <c r="F1378" t="s">
        <v>433</v>
      </c>
      <c r="G1378" t="s">
        <v>102</v>
      </c>
      <c r="H1378" t="s">
        <v>102</v>
      </c>
      <c r="I1378" s="5">
        <v>550262</v>
      </c>
      <c r="J1378">
        <f>IFERROR(VLOOKUP(G1378,'LEAID Match'!$A$2:$B$183,2,FALSE),"")</f>
        <v>1603060</v>
      </c>
      <c r="K1378">
        <f t="shared" si="21"/>
        <v>9</v>
      </c>
    </row>
    <row r="1379" spans="1:11" x14ac:dyDescent="0.2">
      <c r="A1379">
        <v>1603060</v>
      </c>
      <c r="B1379">
        <v>2019</v>
      </c>
      <c r="C1379">
        <v>166</v>
      </c>
      <c r="D1379" t="s">
        <v>428</v>
      </c>
      <c r="E1379" t="s">
        <v>429</v>
      </c>
      <c r="F1379" t="s">
        <v>433</v>
      </c>
      <c r="G1379" t="s">
        <v>102</v>
      </c>
      <c r="H1379" t="s">
        <v>311</v>
      </c>
      <c r="I1379" s="5">
        <v>571660</v>
      </c>
      <c r="J1379">
        <f>IFERROR(VLOOKUP(G1379,'LEAID Match'!$A$2:$B$183,2,FALSE),"")</f>
        <v>1603060</v>
      </c>
      <c r="K1379">
        <f t="shared" si="21"/>
        <v>9</v>
      </c>
    </row>
    <row r="1380" spans="1:11" x14ac:dyDescent="0.2">
      <c r="A1380">
        <v>1603060</v>
      </c>
      <c r="B1380">
        <v>2020</v>
      </c>
      <c r="C1380">
        <v>166</v>
      </c>
      <c r="D1380" t="s">
        <v>428</v>
      </c>
      <c r="E1380" t="s">
        <v>429</v>
      </c>
      <c r="F1380" t="s">
        <v>433</v>
      </c>
      <c r="G1380" t="s">
        <v>102</v>
      </c>
      <c r="H1380" t="s">
        <v>311</v>
      </c>
      <c r="I1380" s="5">
        <v>632557</v>
      </c>
      <c r="J1380">
        <f>IFERROR(VLOOKUP(G1380,'LEAID Match'!$A$2:$B$183,2,FALSE),"")</f>
        <v>1603060</v>
      </c>
      <c r="K1380">
        <f t="shared" si="21"/>
        <v>9</v>
      </c>
    </row>
    <row r="1381" spans="1:11" x14ac:dyDescent="0.2">
      <c r="A1381">
        <v>1603060</v>
      </c>
      <c r="B1381">
        <v>2021</v>
      </c>
      <c r="C1381">
        <v>166</v>
      </c>
      <c r="D1381" t="s">
        <v>428</v>
      </c>
      <c r="E1381" t="s">
        <v>429</v>
      </c>
      <c r="F1381" t="s">
        <v>433</v>
      </c>
      <c r="G1381" t="s">
        <v>102</v>
      </c>
      <c r="H1381" t="s">
        <v>102</v>
      </c>
      <c r="I1381" s="5">
        <v>634548</v>
      </c>
      <c r="J1381">
        <f>IFERROR(VLOOKUP(G1381,'LEAID Match'!$A$2:$B$183,2,FALSE),"")</f>
        <v>1603060</v>
      </c>
      <c r="K1381">
        <f t="shared" si="21"/>
        <v>9</v>
      </c>
    </row>
    <row r="1382" spans="1:11" x14ac:dyDescent="0.2">
      <c r="A1382">
        <v>1603060</v>
      </c>
      <c r="B1382">
        <v>2022</v>
      </c>
      <c r="C1382">
        <v>166</v>
      </c>
      <c r="D1382" t="s">
        <v>428</v>
      </c>
      <c r="E1382" t="s">
        <v>429</v>
      </c>
      <c r="F1382" t="s">
        <v>433</v>
      </c>
      <c r="G1382" t="s">
        <v>102</v>
      </c>
      <c r="H1382" t="s">
        <v>311</v>
      </c>
      <c r="I1382" s="5">
        <v>680486</v>
      </c>
      <c r="J1382">
        <f>IFERROR(VLOOKUP(G1382,'LEAID Match'!$A$2:$B$183,2,FALSE),"")</f>
        <v>1603060</v>
      </c>
      <c r="K1382">
        <f t="shared" si="21"/>
        <v>9</v>
      </c>
    </row>
    <row r="1383" spans="1:11" x14ac:dyDescent="0.2">
      <c r="A1383">
        <v>1603060</v>
      </c>
      <c r="B1383">
        <v>2023</v>
      </c>
      <c r="C1383">
        <v>166</v>
      </c>
      <c r="D1383" t="s">
        <v>428</v>
      </c>
      <c r="E1383" t="s">
        <v>429</v>
      </c>
      <c r="F1383" t="s">
        <v>433</v>
      </c>
      <c r="G1383" t="s">
        <v>102</v>
      </c>
      <c r="H1383" t="s">
        <v>311</v>
      </c>
      <c r="I1383" s="5">
        <v>637289</v>
      </c>
      <c r="J1383">
        <f>IFERROR(VLOOKUP(G1383,'LEAID Match'!$A$2:$B$183,2,FALSE),"")</f>
        <v>1603060</v>
      </c>
      <c r="K1383">
        <f t="shared" si="21"/>
        <v>9</v>
      </c>
    </row>
    <row r="1384" spans="1:11" x14ac:dyDescent="0.2">
      <c r="A1384">
        <v>1603090</v>
      </c>
      <c r="B1384">
        <v>2015</v>
      </c>
      <c r="C1384">
        <v>168</v>
      </c>
      <c r="D1384" t="s">
        <v>428</v>
      </c>
      <c r="E1384" t="s">
        <v>429</v>
      </c>
      <c r="F1384" t="s">
        <v>433</v>
      </c>
      <c r="G1384" t="s">
        <v>103</v>
      </c>
      <c r="H1384" t="s">
        <v>103</v>
      </c>
      <c r="I1384" s="5">
        <v>588893</v>
      </c>
      <c r="J1384">
        <f>IFERROR(VLOOKUP(G1384,'LEAID Match'!$A$2:$B$183,2,FALSE),"")</f>
        <v>1603090</v>
      </c>
      <c r="K1384">
        <f t="shared" si="21"/>
        <v>9</v>
      </c>
    </row>
    <row r="1385" spans="1:11" x14ac:dyDescent="0.2">
      <c r="A1385">
        <v>1603090</v>
      </c>
      <c r="B1385">
        <v>2016</v>
      </c>
      <c r="C1385">
        <v>168</v>
      </c>
      <c r="D1385" t="s">
        <v>428</v>
      </c>
      <c r="E1385" t="s">
        <v>429</v>
      </c>
      <c r="F1385" t="s">
        <v>433</v>
      </c>
      <c r="G1385" t="s">
        <v>103</v>
      </c>
      <c r="H1385" t="s">
        <v>103</v>
      </c>
      <c r="I1385" s="5">
        <v>598406</v>
      </c>
      <c r="J1385">
        <f>IFERROR(VLOOKUP(G1385,'LEAID Match'!$A$2:$B$183,2,FALSE),"")</f>
        <v>1603090</v>
      </c>
      <c r="K1385">
        <f t="shared" si="21"/>
        <v>9</v>
      </c>
    </row>
    <row r="1386" spans="1:11" x14ac:dyDescent="0.2">
      <c r="A1386">
        <v>1603090</v>
      </c>
      <c r="B1386">
        <v>2017</v>
      </c>
      <c r="C1386">
        <v>168</v>
      </c>
      <c r="D1386" t="s">
        <v>428</v>
      </c>
      <c r="E1386" t="s">
        <v>429</v>
      </c>
      <c r="F1386" t="s">
        <v>433</v>
      </c>
      <c r="G1386" t="s">
        <v>103</v>
      </c>
      <c r="H1386" t="s">
        <v>103</v>
      </c>
      <c r="I1386" s="5">
        <v>630162</v>
      </c>
      <c r="J1386">
        <f>IFERROR(VLOOKUP(G1386,'LEAID Match'!$A$2:$B$183,2,FALSE),"")</f>
        <v>1603090</v>
      </c>
      <c r="K1386">
        <f t="shared" si="21"/>
        <v>9</v>
      </c>
    </row>
    <row r="1387" spans="1:11" x14ac:dyDescent="0.2">
      <c r="A1387">
        <v>1603090</v>
      </c>
      <c r="B1387">
        <v>2018</v>
      </c>
      <c r="C1387">
        <v>168</v>
      </c>
      <c r="D1387" t="s">
        <v>428</v>
      </c>
      <c r="E1387" t="s">
        <v>429</v>
      </c>
      <c r="F1387" t="s">
        <v>433</v>
      </c>
      <c r="G1387" t="s">
        <v>103</v>
      </c>
      <c r="H1387" t="s">
        <v>103</v>
      </c>
      <c r="I1387" s="5">
        <v>646170</v>
      </c>
      <c r="J1387">
        <f>IFERROR(VLOOKUP(G1387,'LEAID Match'!$A$2:$B$183,2,FALSE),"")</f>
        <v>1603090</v>
      </c>
      <c r="K1387">
        <f t="shared" si="21"/>
        <v>9</v>
      </c>
    </row>
    <row r="1388" spans="1:11" x14ac:dyDescent="0.2">
      <c r="A1388">
        <v>1603090</v>
      </c>
      <c r="B1388">
        <v>2019</v>
      </c>
      <c r="C1388">
        <v>168</v>
      </c>
      <c r="D1388" t="s">
        <v>428</v>
      </c>
      <c r="E1388" t="s">
        <v>429</v>
      </c>
      <c r="F1388" t="s">
        <v>433</v>
      </c>
      <c r="G1388" t="s">
        <v>103</v>
      </c>
      <c r="H1388" t="s">
        <v>312</v>
      </c>
      <c r="I1388" s="5">
        <v>712791</v>
      </c>
      <c r="J1388">
        <f>IFERROR(VLOOKUP(G1388,'LEAID Match'!$A$2:$B$183,2,FALSE),"")</f>
        <v>1603090</v>
      </c>
      <c r="K1388">
        <f t="shared" si="21"/>
        <v>9</v>
      </c>
    </row>
    <row r="1389" spans="1:11" x14ac:dyDescent="0.2">
      <c r="A1389">
        <v>1603090</v>
      </c>
      <c r="B1389">
        <v>2020</v>
      </c>
      <c r="C1389">
        <v>168</v>
      </c>
      <c r="D1389" t="s">
        <v>428</v>
      </c>
      <c r="E1389" t="s">
        <v>429</v>
      </c>
      <c r="F1389" t="s">
        <v>433</v>
      </c>
      <c r="G1389" t="s">
        <v>103</v>
      </c>
      <c r="H1389" t="s">
        <v>376</v>
      </c>
      <c r="I1389" s="5">
        <v>787989</v>
      </c>
      <c r="J1389">
        <f>IFERROR(VLOOKUP(G1389,'LEAID Match'!$A$2:$B$183,2,FALSE),"")</f>
        <v>1603090</v>
      </c>
      <c r="K1389">
        <f t="shared" si="21"/>
        <v>9</v>
      </c>
    </row>
    <row r="1390" spans="1:11" x14ac:dyDescent="0.2">
      <c r="A1390">
        <v>1603090</v>
      </c>
      <c r="B1390">
        <v>2021</v>
      </c>
      <c r="C1390">
        <v>168</v>
      </c>
      <c r="D1390" t="s">
        <v>428</v>
      </c>
      <c r="E1390" t="s">
        <v>429</v>
      </c>
      <c r="F1390" t="s">
        <v>433</v>
      </c>
      <c r="G1390" t="s">
        <v>103</v>
      </c>
      <c r="H1390" t="s">
        <v>312</v>
      </c>
      <c r="I1390" s="5">
        <v>846967</v>
      </c>
      <c r="J1390">
        <f>IFERROR(VLOOKUP(G1390,'LEAID Match'!$A$2:$B$183,2,FALSE),"")</f>
        <v>1603090</v>
      </c>
      <c r="K1390">
        <f t="shared" si="21"/>
        <v>9</v>
      </c>
    </row>
    <row r="1391" spans="1:11" x14ac:dyDescent="0.2">
      <c r="A1391">
        <v>1603090</v>
      </c>
      <c r="B1391">
        <v>2022</v>
      </c>
      <c r="C1391">
        <v>168</v>
      </c>
      <c r="D1391" t="s">
        <v>428</v>
      </c>
      <c r="E1391" t="s">
        <v>429</v>
      </c>
      <c r="F1391" t="s">
        <v>433</v>
      </c>
      <c r="G1391" t="s">
        <v>103</v>
      </c>
      <c r="H1391" t="s">
        <v>312</v>
      </c>
      <c r="I1391" s="5">
        <v>865119</v>
      </c>
      <c r="J1391">
        <f>IFERROR(VLOOKUP(G1391,'LEAID Match'!$A$2:$B$183,2,FALSE),"")</f>
        <v>1603090</v>
      </c>
      <c r="K1391">
        <f t="shared" si="21"/>
        <v>9</v>
      </c>
    </row>
    <row r="1392" spans="1:11" x14ac:dyDescent="0.2">
      <c r="A1392">
        <v>1603090</v>
      </c>
      <c r="B1392">
        <v>2023</v>
      </c>
      <c r="C1392">
        <v>168</v>
      </c>
      <c r="D1392" t="s">
        <v>428</v>
      </c>
      <c r="E1392" t="s">
        <v>429</v>
      </c>
      <c r="F1392" t="s">
        <v>433</v>
      </c>
      <c r="G1392" t="s">
        <v>103</v>
      </c>
      <c r="H1392" t="s">
        <v>312</v>
      </c>
      <c r="I1392" s="5">
        <v>979208</v>
      </c>
      <c r="J1392">
        <f>IFERROR(VLOOKUP(G1392,'LEAID Match'!$A$2:$B$183,2,FALSE),"")</f>
        <v>1603090</v>
      </c>
      <c r="K1392">
        <f t="shared" si="21"/>
        <v>9</v>
      </c>
    </row>
    <row r="1393" spans="1:11" x14ac:dyDescent="0.2">
      <c r="A1393">
        <v>1603120</v>
      </c>
      <c r="B1393">
        <v>2015</v>
      </c>
      <c r="C1393">
        <v>169</v>
      </c>
      <c r="D1393" t="s">
        <v>428</v>
      </c>
      <c r="E1393" t="s">
        <v>429</v>
      </c>
      <c r="F1393" t="s">
        <v>433</v>
      </c>
      <c r="G1393" t="s">
        <v>104</v>
      </c>
      <c r="H1393" t="s">
        <v>104</v>
      </c>
      <c r="I1393" s="5">
        <v>42363</v>
      </c>
      <c r="J1393">
        <f>IFERROR(VLOOKUP(G1393,'LEAID Match'!$A$2:$B$183,2,FALSE),"")</f>
        <v>1603120</v>
      </c>
      <c r="K1393">
        <f t="shared" si="21"/>
        <v>9</v>
      </c>
    </row>
    <row r="1394" spans="1:11" x14ac:dyDescent="0.2">
      <c r="A1394">
        <v>1603120</v>
      </c>
      <c r="B1394">
        <v>2016</v>
      </c>
      <c r="C1394">
        <v>169</v>
      </c>
      <c r="D1394" t="s">
        <v>428</v>
      </c>
      <c r="E1394" t="s">
        <v>429</v>
      </c>
      <c r="F1394" t="s">
        <v>433</v>
      </c>
      <c r="G1394" t="s">
        <v>104</v>
      </c>
      <c r="H1394" t="s">
        <v>104</v>
      </c>
      <c r="I1394" s="5">
        <v>40374</v>
      </c>
      <c r="J1394">
        <f>IFERROR(VLOOKUP(G1394,'LEAID Match'!$A$2:$B$183,2,FALSE),"")</f>
        <v>1603120</v>
      </c>
      <c r="K1394">
        <f t="shared" si="21"/>
        <v>9</v>
      </c>
    </row>
    <row r="1395" spans="1:11" x14ac:dyDescent="0.2">
      <c r="A1395">
        <v>1603120</v>
      </c>
      <c r="B1395">
        <v>2017</v>
      </c>
      <c r="C1395">
        <v>169</v>
      </c>
      <c r="D1395" t="s">
        <v>428</v>
      </c>
      <c r="E1395" t="s">
        <v>429</v>
      </c>
      <c r="F1395" t="s">
        <v>433</v>
      </c>
      <c r="G1395" t="s">
        <v>104</v>
      </c>
      <c r="H1395" t="s">
        <v>104</v>
      </c>
      <c r="I1395" s="5">
        <v>30664</v>
      </c>
      <c r="J1395">
        <f>IFERROR(VLOOKUP(G1395,'LEAID Match'!$A$2:$B$183,2,FALSE),"")</f>
        <v>1603120</v>
      </c>
      <c r="K1395">
        <f t="shared" si="21"/>
        <v>9</v>
      </c>
    </row>
    <row r="1396" spans="1:11" x14ac:dyDescent="0.2">
      <c r="A1396">
        <v>1603120</v>
      </c>
      <c r="B1396">
        <v>2018</v>
      </c>
      <c r="C1396">
        <v>169</v>
      </c>
      <c r="D1396" t="s">
        <v>428</v>
      </c>
      <c r="E1396" t="s">
        <v>429</v>
      </c>
      <c r="F1396" t="s">
        <v>433</v>
      </c>
      <c r="G1396" t="s">
        <v>104</v>
      </c>
      <c r="H1396" t="s">
        <v>104</v>
      </c>
      <c r="I1396" s="5">
        <v>43496</v>
      </c>
      <c r="J1396">
        <f>IFERROR(VLOOKUP(G1396,'LEAID Match'!$A$2:$B$183,2,FALSE),"")</f>
        <v>1603120</v>
      </c>
      <c r="K1396">
        <f t="shared" si="21"/>
        <v>9</v>
      </c>
    </row>
    <row r="1397" spans="1:11" x14ac:dyDescent="0.2">
      <c r="A1397">
        <v>1603120</v>
      </c>
      <c r="B1397">
        <v>2019</v>
      </c>
      <c r="C1397">
        <v>169</v>
      </c>
      <c r="D1397" t="s">
        <v>428</v>
      </c>
      <c r="E1397" t="s">
        <v>429</v>
      </c>
      <c r="F1397" t="s">
        <v>433</v>
      </c>
      <c r="G1397" t="s">
        <v>104</v>
      </c>
      <c r="H1397" t="s">
        <v>313</v>
      </c>
      <c r="I1397" s="5">
        <v>41583</v>
      </c>
      <c r="J1397">
        <f>IFERROR(VLOOKUP(G1397,'LEAID Match'!$A$2:$B$183,2,FALSE),"")</f>
        <v>1603120</v>
      </c>
      <c r="K1397">
        <f t="shared" si="21"/>
        <v>9</v>
      </c>
    </row>
    <row r="1398" spans="1:11" x14ac:dyDescent="0.2">
      <c r="A1398">
        <v>1603120</v>
      </c>
      <c r="B1398">
        <v>2020</v>
      </c>
      <c r="C1398">
        <v>169</v>
      </c>
      <c r="D1398" t="s">
        <v>428</v>
      </c>
      <c r="E1398" t="s">
        <v>429</v>
      </c>
      <c r="F1398" t="s">
        <v>433</v>
      </c>
      <c r="G1398" t="s">
        <v>104</v>
      </c>
      <c r="H1398" t="s">
        <v>377</v>
      </c>
      <c r="I1398" s="5">
        <v>47391</v>
      </c>
      <c r="J1398">
        <f>IFERROR(VLOOKUP(G1398,'LEAID Match'!$A$2:$B$183,2,FALSE),"")</f>
        <v>1603120</v>
      </c>
      <c r="K1398">
        <f t="shared" si="21"/>
        <v>9</v>
      </c>
    </row>
    <row r="1399" spans="1:11" x14ac:dyDescent="0.2">
      <c r="A1399">
        <v>1603120</v>
      </c>
      <c r="B1399">
        <v>2021</v>
      </c>
      <c r="C1399">
        <v>169</v>
      </c>
      <c r="D1399" t="s">
        <v>428</v>
      </c>
      <c r="E1399" t="s">
        <v>429</v>
      </c>
      <c r="F1399" t="s">
        <v>433</v>
      </c>
      <c r="G1399" t="s">
        <v>104</v>
      </c>
      <c r="H1399" t="s">
        <v>313</v>
      </c>
      <c r="I1399" s="5">
        <v>53980</v>
      </c>
      <c r="J1399">
        <f>IFERROR(VLOOKUP(G1399,'LEAID Match'!$A$2:$B$183,2,FALSE),"")</f>
        <v>1603120</v>
      </c>
      <c r="K1399">
        <f t="shared" si="21"/>
        <v>9</v>
      </c>
    </row>
    <row r="1400" spans="1:11" x14ac:dyDescent="0.2">
      <c r="A1400">
        <v>1603120</v>
      </c>
      <c r="B1400">
        <v>2022</v>
      </c>
      <c r="C1400">
        <v>169</v>
      </c>
      <c r="D1400" t="s">
        <v>428</v>
      </c>
      <c r="E1400" t="s">
        <v>429</v>
      </c>
      <c r="F1400" t="s">
        <v>433</v>
      </c>
      <c r="G1400" t="s">
        <v>104</v>
      </c>
      <c r="H1400" t="s">
        <v>313</v>
      </c>
      <c r="I1400" s="5">
        <v>60104</v>
      </c>
      <c r="J1400">
        <f>IFERROR(VLOOKUP(G1400,'LEAID Match'!$A$2:$B$183,2,FALSE),"")</f>
        <v>1603120</v>
      </c>
      <c r="K1400">
        <f t="shared" si="21"/>
        <v>9</v>
      </c>
    </row>
    <row r="1401" spans="1:11" x14ac:dyDescent="0.2">
      <c r="A1401">
        <v>1603120</v>
      </c>
      <c r="B1401">
        <v>2023</v>
      </c>
      <c r="C1401">
        <v>169</v>
      </c>
      <c r="D1401" t="s">
        <v>428</v>
      </c>
      <c r="E1401" t="s">
        <v>429</v>
      </c>
      <c r="F1401" t="s">
        <v>433</v>
      </c>
      <c r="G1401" t="s">
        <v>104</v>
      </c>
      <c r="H1401" t="s">
        <v>313</v>
      </c>
      <c r="I1401" s="5">
        <v>62005</v>
      </c>
      <c r="J1401">
        <f>IFERROR(VLOOKUP(G1401,'LEAID Match'!$A$2:$B$183,2,FALSE),"")</f>
        <v>1603120</v>
      </c>
      <c r="K1401">
        <f t="shared" si="21"/>
        <v>9</v>
      </c>
    </row>
    <row r="1402" spans="1:11" x14ac:dyDescent="0.2">
      <c r="A1402">
        <v>1603180</v>
      </c>
      <c r="B1402">
        <v>2015</v>
      </c>
      <c r="C1402">
        <v>172</v>
      </c>
      <c r="D1402" t="s">
        <v>428</v>
      </c>
      <c r="E1402" t="s">
        <v>429</v>
      </c>
      <c r="F1402" t="s">
        <v>433</v>
      </c>
      <c r="G1402" t="s">
        <v>105</v>
      </c>
      <c r="H1402" t="s">
        <v>105</v>
      </c>
      <c r="I1402" s="5">
        <v>848236</v>
      </c>
      <c r="J1402">
        <f>IFERROR(VLOOKUP(G1402,'LEAID Match'!$A$2:$B$183,2,FALSE),"")</f>
        <v>1603180</v>
      </c>
      <c r="K1402">
        <f t="shared" si="21"/>
        <v>9</v>
      </c>
    </row>
    <row r="1403" spans="1:11" x14ac:dyDescent="0.2">
      <c r="A1403">
        <v>1603180</v>
      </c>
      <c r="B1403">
        <v>2016</v>
      </c>
      <c r="C1403">
        <v>172</v>
      </c>
      <c r="D1403" t="s">
        <v>428</v>
      </c>
      <c r="E1403" t="s">
        <v>429</v>
      </c>
      <c r="F1403" t="s">
        <v>433</v>
      </c>
      <c r="G1403" t="s">
        <v>105</v>
      </c>
      <c r="H1403" t="s">
        <v>105</v>
      </c>
      <c r="I1403" s="5">
        <v>914357</v>
      </c>
      <c r="J1403">
        <f>IFERROR(VLOOKUP(G1403,'LEAID Match'!$A$2:$B$183,2,FALSE),"")</f>
        <v>1603180</v>
      </c>
      <c r="K1403">
        <f t="shared" si="21"/>
        <v>9</v>
      </c>
    </row>
    <row r="1404" spans="1:11" x14ac:dyDescent="0.2">
      <c r="A1404">
        <v>1603180</v>
      </c>
      <c r="B1404">
        <v>2017</v>
      </c>
      <c r="C1404">
        <v>172</v>
      </c>
      <c r="D1404" t="s">
        <v>428</v>
      </c>
      <c r="E1404" t="s">
        <v>429</v>
      </c>
      <c r="F1404" t="s">
        <v>433</v>
      </c>
      <c r="G1404" t="s">
        <v>105</v>
      </c>
      <c r="H1404" t="s">
        <v>105</v>
      </c>
      <c r="I1404" s="5">
        <v>984569</v>
      </c>
      <c r="J1404">
        <f>IFERROR(VLOOKUP(G1404,'LEAID Match'!$A$2:$B$183,2,FALSE),"")</f>
        <v>1603180</v>
      </c>
      <c r="K1404">
        <f t="shared" si="21"/>
        <v>9</v>
      </c>
    </row>
    <row r="1405" spans="1:11" x14ac:dyDescent="0.2">
      <c r="A1405">
        <v>1603180</v>
      </c>
      <c r="B1405">
        <v>2018</v>
      </c>
      <c r="C1405">
        <v>172</v>
      </c>
      <c r="D1405" t="s">
        <v>428</v>
      </c>
      <c r="E1405" t="s">
        <v>429</v>
      </c>
      <c r="F1405" t="s">
        <v>433</v>
      </c>
      <c r="G1405" t="s">
        <v>105</v>
      </c>
      <c r="H1405" t="s">
        <v>105</v>
      </c>
      <c r="I1405" s="5">
        <v>1036419</v>
      </c>
      <c r="J1405">
        <f>IFERROR(VLOOKUP(G1405,'LEAID Match'!$A$2:$B$183,2,FALSE),"")</f>
        <v>1603180</v>
      </c>
      <c r="K1405">
        <f t="shared" si="21"/>
        <v>9</v>
      </c>
    </row>
    <row r="1406" spans="1:11" x14ac:dyDescent="0.2">
      <c r="A1406">
        <v>1603180</v>
      </c>
      <c r="B1406">
        <v>2019</v>
      </c>
      <c r="C1406">
        <v>172</v>
      </c>
      <c r="D1406" t="s">
        <v>428</v>
      </c>
      <c r="E1406" t="s">
        <v>429</v>
      </c>
      <c r="F1406" t="s">
        <v>433</v>
      </c>
      <c r="G1406" t="s">
        <v>105</v>
      </c>
      <c r="H1406" t="s">
        <v>314</v>
      </c>
      <c r="I1406" s="5">
        <v>1118887</v>
      </c>
      <c r="J1406">
        <f>IFERROR(VLOOKUP(G1406,'LEAID Match'!$A$2:$B$183,2,FALSE),"")</f>
        <v>1603180</v>
      </c>
      <c r="K1406">
        <f t="shared" si="21"/>
        <v>9</v>
      </c>
    </row>
    <row r="1407" spans="1:11" x14ac:dyDescent="0.2">
      <c r="A1407">
        <v>1603180</v>
      </c>
      <c r="B1407">
        <v>2020</v>
      </c>
      <c r="C1407">
        <v>172</v>
      </c>
      <c r="D1407" t="s">
        <v>428</v>
      </c>
      <c r="E1407" t="s">
        <v>429</v>
      </c>
      <c r="F1407" t="s">
        <v>433</v>
      </c>
      <c r="G1407" t="s">
        <v>105</v>
      </c>
      <c r="H1407" t="s">
        <v>314</v>
      </c>
      <c r="I1407" s="5">
        <v>1225536</v>
      </c>
      <c r="J1407">
        <f>IFERROR(VLOOKUP(G1407,'LEAID Match'!$A$2:$B$183,2,FALSE),"")</f>
        <v>1603180</v>
      </c>
      <c r="K1407">
        <f t="shared" si="21"/>
        <v>9</v>
      </c>
    </row>
    <row r="1408" spans="1:11" x14ac:dyDescent="0.2">
      <c r="A1408">
        <v>1603180</v>
      </c>
      <c r="B1408">
        <v>2021</v>
      </c>
      <c r="C1408">
        <v>172</v>
      </c>
      <c r="D1408" t="s">
        <v>428</v>
      </c>
      <c r="E1408" t="s">
        <v>429</v>
      </c>
      <c r="F1408" t="s">
        <v>433</v>
      </c>
      <c r="G1408" t="s">
        <v>105</v>
      </c>
      <c r="H1408" t="s">
        <v>105</v>
      </c>
      <c r="I1408" s="5">
        <v>1275467</v>
      </c>
      <c r="J1408">
        <f>IFERROR(VLOOKUP(G1408,'LEAID Match'!$A$2:$B$183,2,FALSE),"")</f>
        <v>1603180</v>
      </c>
      <c r="K1408">
        <f t="shared" si="21"/>
        <v>9</v>
      </c>
    </row>
    <row r="1409" spans="1:11" x14ac:dyDescent="0.2">
      <c r="A1409">
        <v>1603180</v>
      </c>
      <c r="B1409">
        <v>2022</v>
      </c>
      <c r="C1409">
        <v>172</v>
      </c>
      <c r="D1409" t="s">
        <v>428</v>
      </c>
      <c r="E1409" t="s">
        <v>429</v>
      </c>
      <c r="F1409" t="s">
        <v>433</v>
      </c>
      <c r="G1409" t="s">
        <v>105</v>
      </c>
      <c r="H1409" t="s">
        <v>314</v>
      </c>
      <c r="I1409" s="5">
        <v>1323327</v>
      </c>
      <c r="J1409">
        <f>IFERROR(VLOOKUP(G1409,'LEAID Match'!$A$2:$B$183,2,FALSE),"")</f>
        <v>1603180</v>
      </c>
      <c r="K1409">
        <f t="shared" si="21"/>
        <v>9</v>
      </c>
    </row>
    <row r="1410" spans="1:11" x14ac:dyDescent="0.2">
      <c r="A1410">
        <v>1603180</v>
      </c>
      <c r="B1410">
        <v>2023</v>
      </c>
      <c r="C1410">
        <v>172</v>
      </c>
      <c r="D1410" t="s">
        <v>428</v>
      </c>
      <c r="E1410" t="s">
        <v>429</v>
      </c>
      <c r="F1410" t="s">
        <v>433</v>
      </c>
      <c r="G1410" t="s">
        <v>105</v>
      </c>
      <c r="H1410" t="s">
        <v>314</v>
      </c>
      <c r="I1410" s="5">
        <v>1318805</v>
      </c>
      <c r="J1410">
        <f>IFERROR(VLOOKUP(G1410,'LEAID Match'!$A$2:$B$183,2,FALSE),"")</f>
        <v>1603180</v>
      </c>
      <c r="K1410">
        <f t="shared" si="21"/>
        <v>9</v>
      </c>
    </row>
    <row r="1411" spans="1:11" x14ac:dyDescent="0.2">
      <c r="A1411">
        <v>1603210</v>
      </c>
      <c r="B1411">
        <v>2015</v>
      </c>
      <c r="C1411">
        <v>176</v>
      </c>
      <c r="D1411" t="s">
        <v>428</v>
      </c>
      <c r="E1411" t="s">
        <v>429</v>
      </c>
      <c r="F1411" t="s">
        <v>433</v>
      </c>
      <c r="G1411" t="s">
        <v>106</v>
      </c>
      <c r="H1411" t="s">
        <v>106</v>
      </c>
      <c r="I1411" s="5">
        <v>5507</v>
      </c>
      <c r="J1411">
        <f>IFERROR(VLOOKUP(G1411,'LEAID Match'!$A$2:$B$183,2,FALSE),"")</f>
        <v>1603210</v>
      </c>
      <c r="K1411">
        <f t="shared" ref="K1411:K1474" si="22">COUNTIF($A$2:$A$1651,A1411)</f>
        <v>9</v>
      </c>
    </row>
    <row r="1412" spans="1:11" x14ac:dyDescent="0.2">
      <c r="A1412">
        <v>1603210</v>
      </c>
      <c r="B1412">
        <v>2016</v>
      </c>
      <c r="C1412">
        <v>176</v>
      </c>
      <c r="D1412" t="s">
        <v>428</v>
      </c>
      <c r="E1412" t="s">
        <v>429</v>
      </c>
      <c r="F1412" t="s">
        <v>433</v>
      </c>
      <c r="G1412" t="s">
        <v>106</v>
      </c>
      <c r="H1412" t="s">
        <v>106</v>
      </c>
      <c r="I1412" s="5">
        <v>7102</v>
      </c>
      <c r="J1412">
        <f>IFERROR(VLOOKUP(G1412,'LEAID Match'!$A$2:$B$183,2,FALSE),"")</f>
        <v>1603210</v>
      </c>
      <c r="K1412">
        <f t="shared" si="22"/>
        <v>9</v>
      </c>
    </row>
    <row r="1413" spans="1:11" x14ac:dyDescent="0.2">
      <c r="A1413">
        <v>1603210</v>
      </c>
      <c r="B1413">
        <v>2017</v>
      </c>
      <c r="C1413">
        <v>176</v>
      </c>
      <c r="D1413" t="s">
        <v>428</v>
      </c>
      <c r="E1413" t="s">
        <v>429</v>
      </c>
      <c r="F1413" t="s">
        <v>433</v>
      </c>
      <c r="G1413" t="s">
        <v>106</v>
      </c>
      <c r="H1413" t="s">
        <v>106</v>
      </c>
      <c r="I1413" s="5">
        <v>7555</v>
      </c>
      <c r="J1413">
        <f>IFERROR(VLOOKUP(G1413,'LEAID Match'!$A$2:$B$183,2,FALSE),"")</f>
        <v>1603210</v>
      </c>
      <c r="K1413">
        <f t="shared" si="22"/>
        <v>9</v>
      </c>
    </row>
    <row r="1414" spans="1:11" x14ac:dyDescent="0.2">
      <c r="A1414">
        <v>1603210</v>
      </c>
      <c r="B1414">
        <v>2018</v>
      </c>
      <c r="C1414">
        <v>176</v>
      </c>
      <c r="D1414" t="s">
        <v>428</v>
      </c>
      <c r="E1414" t="s">
        <v>429</v>
      </c>
      <c r="F1414" t="s">
        <v>433</v>
      </c>
      <c r="G1414" t="s">
        <v>106</v>
      </c>
      <c r="H1414" t="s">
        <v>106</v>
      </c>
      <c r="I1414" s="5">
        <v>8427</v>
      </c>
      <c r="J1414">
        <f>IFERROR(VLOOKUP(G1414,'LEAID Match'!$A$2:$B$183,2,FALSE),"")</f>
        <v>1603210</v>
      </c>
      <c r="K1414">
        <f t="shared" si="22"/>
        <v>9</v>
      </c>
    </row>
    <row r="1415" spans="1:11" x14ac:dyDescent="0.2">
      <c r="A1415">
        <v>1603210</v>
      </c>
      <c r="B1415">
        <v>2019</v>
      </c>
      <c r="C1415">
        <v>176</v>
      </c>
      <c r="D1415" t="s">
        <v>428</v>
      </c>
      <c r="E1415" t="s">
        <v>429</v>
      </c>
      <c r="F1415" t="s">
        <v>433</v>
      </c>
      <c r="G1415" t="s">
        <v>106</v>
      </c>
      <c r="H1415" t="s">
        <v>315</v>
      </c>
      <c r="I1415" s="5">
        <v>8275</v>
      </c>
      <c r="J1415">
        <f>IFERROR(VLOOKUP(G1415,'LEAID Match'!$A$2:$B$183,2,FALSE),"")</f>
        <v>1603210</v>
      </c>
      <c r="K1415">
        <f t="shared" si="22"/>
        <v>9</v>
      </c>
    </row>
    <row r="1416" spans="1:11" x14ac:dyDescent="0.2">
      <c r="A1416">
        <v>1603210</v>
      </c>
      <c r="B1416">
        <v>2020</v>
      </c>
      <c r="C1416">
        <v>176</v>
      </c>
      <c r="D1416" t="s">
        <v>428</v>
      </c>
      <c r="E1416" t="s">
        <v>429</v>
      </c>
      <c r="F1416" t="s">
        <v>433</v>
      </c>
      <c r="G1416" t="s">
        <v>106</v>
      </c>
      <c r="H1416" t="s">
        <v>378</v>
      </c>
      <c r="I1416" s="5">
        <v>9102</v>
      </c>
      <c r="J1416">
        <f>IFERROR(VLOOKUP(G1416,'LEAID Match'!$A$2:$B$183,2,FALSE),"")</f>
        <v>1603210</v>
      </c>
      <c r="K1416">
        <f t="shared" si="22"/>
        <v>9</v>
      </c>
    </row>
    <row r="1417" spans="1:11" x14ac:dyDescent="0.2">
      <c r="A1417">
        <v>1603210</v>
      </c>
      <c r="B1417">
        <v>2021</v>
      </c>
      <c r="C1417">
        <v>176</v>
      </c>
      <c r="D1417" t="s">
        <v>428</v>
      </c>
      <c r="E1417" t="s">
        <v>429</v>
      </c>
      <c r="F1417" t="s">
        <v>433</v>
      </c>
      <c r="G1417" t="s">
        <v>106</v>
      </c>
      <c r="H1417" t="s">
        <v>315</v>
      </c>
      <c r="I1417" s="5">
        <v>8769</v>
      </c>
      <c r="J1417">
        <f>IFERROR(VLOOKUP(G1417,'LEAID Match'!$A$2:$B$183,2,FALSE),"")</f>
        <v>1603210</v>
      </c>
      <c r="K1417">
        <f t="shared" si="22"/>
        <v>9</v>
      </c>
    </row>
    <row r="1418" spans="1:11" x14ac:dyDescent="0.2">
      <c r="A1418">
        <v>1603210</v>
      </c>
      <c r="B1418">
        <v>2022</v>
      </c>
      <c r="C1418">
        <v>176</v>
      </c>
      <c r="D1418" t="s">
        <v>428</v>
      </c>
      <c r="E1418" t="s">
        <v>429</v>
      </c>
      <c r="F1418" t="s">
        <v>433</v>
      </c>
      <c r="G1418" t="s">
        <v>106</v>
      </c>
      <c r="H1418" t="s">
        <v>315</v>
      </c>
      <c r="I1418" s="5">
        <v>9232</v>
      </c>
      <c r="J1418">
        <f>IFERROR(VLOOKUP(G1418,'LEAID Match'!$A$2:$B$183,2,FALSE),"")</f>
        <v>1603210</v>
      </c>
      <c r="K1418">
        <f t="shared" si="22"/>
        <v>9</v>
      </c>
    </row>
    <row r="1419" spans="1:11" x14ac:dyDescent="0.2">
      <c r="A1419">
        <v>1603210</v>
      </c>
      <c r="B1419">
        <v>2023</v>
      </c>
      <c r="C1419">
        <v>176</v>
      </c>
      <c r="D1419" t="s">
        <v>428</v>
      </c>
      <c r="E1419" t="s">
        <v>429</v>
      </c>
      <c r="F1419" t="s">
        <v>433</v>
      </c>
      <c r="G1419" t="s">
        <v>106</v>
      </c>
      <c r="H1419" t="s">
        <v>315</v>
      </c>
      <c r="I1419" s="5">
        <v>11367</v>
      </c>
      <c r="J1419">
        <f>IFERROR(VLOOKUP(G1419,'LEAID Match'!$A$2:$B$183,2,FALSE),"")</f>
        <v>1603210</v>
      </c>
      <c r="K1419">
        <f t="shared" si="22"/>
        <v>9</v>
      </c>
    </row>
    <row r="1420" spans="1:11" x14ac:dyDescent="0.2">
      <c r="A1420">
        <v>1603240</v>
      </c>
      <c r="B1420">
        <v>2015</v>
      </c>
      <c r="C1420">
        <v>179</v>
      </c>
      <c r="D1420" t="s">
        <v>428</v>
      </c>
      <c r="E1420" t="s">
        <v>429</v>
      </c>
      <c r="F1420" t="s">
        <v>433</v>
      </c>
      <c r="G1420" t="s">
        <v>108</v>
      </c>
      <c r="H1420" t="s">
        <v>108</v>
      </c>
      <c r="I1420" s="5">
        <v>3448684</v>
      </c>
      <c r="J1420">
        <f>IFERROR(VLOOKUP(G1420,'LEAID Match'!$A$2:$B$183,2,FALSE),"")</f>
        <v>1603240</v>
      </c>
      <c r="K1420">
        <f t="shared" si="22"/>
        <v>9</v>
      </c>
    </row>
    <row r="1421" spans="1:11" x14ac:dyDescent="0.2">
      <c r="A1421">
        <v>1603240</v>
      </c>
      <c r="B1421">
        <v>2016</v>
      </c>
      <c r="C1421">
        <v>179</v>
      </c>
      <c r="D1421" t="s">
        <v>428</v>
      </c>
      <c r="E1421" t="s">
        <v>429</v>
      </c>
      <c r="F1421" t="s">
        <v>433</v>
      </c>
      <c r="G1421" t="s">
        <v>108</v>
      </c>
      <c r="H1421" t="s">
        <v>108</v>
      </c>
      <c r="I1421" s="5">
        <v>3618091</v>
      </c>
      <c r="J1421">
        <f>IFERROR(VLOOKUP(G1421,'LEAID Match'!$A$2:$B$183,2,FALSE),"")</f>
        <v>1603240</v>
      </c>
      <c r="K1421">
        <f t="shared" si="22"/>
        <v>9</v>
      </c>
    </row>
    <row r="1422" spans="1:11" x14ac:dyDescent="0.2">
      <c r="A1422">
        <v>1603240</v>
      </c>
      <c r="B1422">
        <v>2017</v>
      </c>
      <c r="C1422">
        <v>179</v>
      </c>
      <c r="D1422" t="s">
        <v>428</v>
      </c>
      <c r="E1422" t="s">
        <v>429</v>
      </c>
      <c r="F1422" t="s">
        <v>433</v>
      </c>
      <c r="G1422" t="s">
        <v>108</v>
      </c>
      <c r="H1422" t="s">
        <v>108</v>
      </c>
      <c r="I1422" s="5">
        <v>3982106</v>
      </c>
      <c r="J1422">
        <f>IFERROR(VLOOKUP(G1422,'LEAID Match'!$A$2:$B$183,2,FALSE),"")</f>
        <v>1603240</v>
      </c>
      <c r="K1422">
        <f t="shared" si="22"/>
        <v>9</v>
      </c>
    </row>
    <row r="1423" spans="1:11" x14ac:dyDescent="0.2">
      <c r="A1423">
        <v>1603240</v>
      </c>
      <c r="B1423">
        <v>2018</v>
      </c>
      <c r="C1423">
        <v>179</v>
      </c>
      <c r="D1423" t="s">
        <v>428</v>
      </c>
      <c r="E1423" t="s">
        <v>429</v>
      </c>
      <c r="F1423" t="s">
        <v>433</v>
      </c>
      <c r="G1423" t="s">
        <v>108</v>
      </c>
      <c r="H1423" t="s">
        <v>108</v>
      </c>
      <c r="I1423" s="5">
        <v>4265527</v>
      </c>
      <c r="J1423">
        <f>IFERROR(VLOOKUP(G1423,'LEAID Match'!$A$2:$B$183,2,FALSE),"")</f>
        <v>1603240</v>
      </c>
      <c r="K1423">
        <f t="shared" si="22"/>
        <v>9</v>
      </c>
    </row>
    <row r="1424" spans="1:11" x14ac:dyDescent="0.2">
      <c r="A1424">
        <v>1603240</v>
      </c>
      <c r="B1424">
        <v>2019</v>
      </c>
      <c r="C1424">
        <v>179</v>
      </c>
      <c r="D1424" t="s">
        <v>428</v>
      </c>
      <c r="E1424" t="s">
        <v>429</v>
      </c>
      <c r="F1424" t="s">
        <v>433</v>
      </c>
      <c r="G1424" t="s">
        <v>108</v>
      </c>
      <c r="H1424" t="s">
        <v>316</v>
      </c>
      <c r="I1424" s="5">
        <v>4525102</v>
      </c>
      <c r="J1424">
        <f>IFERROR(VLOOKUP(G1424,'LEAID Match'!$A$2:$B$183,2,FALSE),"")</f>
        <v>1603240</v>
      </c>
      <c r="K1424">
        <f t="shared" si="22"/>
        <v>9</v>
      </c>
    </row>
    <row r="1425" spans="1:11" x14ac:dyDescent="0.2">
      <c r="A1425">
        <v>1603240</v>
      </c>
      <c r="B1425">
        <v>2020</v>
      </c>
      <c r="C1425">
        <v>179</v>
      </c>
      <c r="D1425" t="s">
        <v>428</v>
      </c>
      <c r="E1425" t="s">
        <v>429</v>
      </c>
      <c r="F1425" t="s">
        <v>433</v>
      </c>
      <c r="G1425" t="s">
        <v>108</v>
      </c>
      <c r="H1425" t="s">
        <v>380</v>
      </c>
      <c r="I1425" s="5">
        <v>4934949</v>
      </c>
      <c r="J1425">
        <f>IFERROR(VLOOKUP(G1425,'LEAID Match'!$A$2:$B$183,2,FALSE),"")</f>
        <v>1603240</v>
      </c>
      <c r="K1425">
        <f t="shared" si="22"/>
        <v>9</v>
      </c>
    </row>
    <row r="1426" spans="1:11" x14ac:dyDescent="0.2">
      <c r="A1426">
        <v>1603240</v>
      </c>
      <c r="B1426">
        <v>2021</v>
      </c>
      <c r="C1426">
        <v>179</v>
      </c>
      <c r="D1426" t="s">
        <v>428</v>
      </c>
      <c r="E1426" t="s">
        <v>429</v>
      </c>
      <c r="F1426" t="s">
        <v>433</v>
      </c>
      <c r="G1426" t="s">
        <v>108</v>
      </c>
      <c r="H1426" t="s">
        <v>316</v>
      </c>
      <c r="I1426" s="5">
        <v>5048280</v>
      </c>
      <c r="J1426">
        <f>IFERROR(VLOOKUP(G1426,'LEAID Match'!$A$2:$B$183,2,FALSE),"")</f>
        <v>1603240</v>
      </c>
      <c r="K1426">
        <f t="shared" si="22"/>
        <v>9</v>
      </c>
    </row>
    <row r="1427" spans="1:11" x14ac:dyDescent="0.2">
      <c r="A1427">
        <v>1603240</v>
      </c>
      <c r="B1427">
        <v>2022</v>
      </c>
      <c r="C1427">
        <v>179</v>
      </c>
      <c r="D1427" t="s">
        <v>428</v>
      </c>
      <c r="E1427" t="s">
        <v>429</v>
      </c>
      <c r="F1427" t="s">
        <v>433</v>
      </c>
      <c r="G1427" t="s">
        <v>108</v>
      </c>
      <c r="H1427" t="s">
        <v>316</v>
      </c>
      <c r="I1427" s="5">
        <v>5397784</v>
      </c>
      <c r="J1427">
        <f>IFERROR(VLOOKUP(G1427,'LEAID Match'!$A$2:$B$183,2,FALSE),"")</f>
        <v>1603240</v>
      </c>
      <c r="K1427">
        <f t="shared" si="22"/>
        <v>9</v>
      </c>
    </row>
    <row r="1428" spans="1:11" x14ac:dyDescent="0.2">
      <c r="A1428">
        <v>1603240</v>
      </c>
      <c r="B1428">
        <v>2023</v>
      </c>
      <c r="C1428">
        <v>179</v>
      </c>
      <c r="D1428" t="s">
        <v>428</v>
      </c>
      <c r="E1428" t="s">
        <v>429</v>
      </c>
      <c r="F1428" t="s">
        <v>433</v>
      </c>
      <c r="G1428" t="s">
        <v>108</v>
      </c>
      <c r="H1428" t="s">
        <v>316</v>
      </c>
      <c r="I1428" s="5">
        <v>5671360</v>
      </c>
      <c r="J1428">
        <f>IFERROR(VLOOKUP(G1428,'LEAID Match'!$A$2:$B$183,2,FALSE),"")</f>
        <v>1603240</v>
      </c>
      <c r="K1428">
        <f t="shared" si="22"/>
        <v>9</v>
      </c>
    </row>
    <row r="1429" spans="1:11" x14ac:dyDescent="0.2">
      <c r="A1429">
        <v>1603270</v>
      </c>
      <c r="B1429">
        <v>2015</v>
      </c>
      <c r="C1429">
        <v>181</v>
      </c>
      <c r="D1429" t="s">
        <v>428</v>
      </c>
      <c r="E1429" t="s">
        <v>429</v>
      </c>
      <c r="F1429" t="s">
        <v>433</v>
      </c>
      <c r="G1429" t="s">
        <v>109</v>
      </c>
      <c r="H1429" t="s">
        <v>109</v>
      </c>
      <c r="I1429" s="5">
        <v>246140</v>
      </c>
      <c r="J1429">
        <f>IFERROR(VLOOKUP(G1429,'LEAID Match'!$A$2:$B$183,2,FALSE),"")</f>
        <v>1603270</v>
      </c>
      <c r="K1429">
        <f t="shared" si="22"/>
        <v>9</v>
      </c>
    </row>
    <row r="1430" spans="1:11" x14ac:dyDescent="0.2">
      <c r="A1430">
        <v>1603270</v>
      </c>
      <c r="B1430">
        <v>2016</v>
      </c>
      <c r="C1430">
        <v>181</v>
      </c>
      <c r="D1430" t="s">
        <v>428</v>
      </c>
      <c r="E1430" t="s">
        <v>429</v>
      </c>
      <c r="F1430" t="s">
        <v>433</v>
      </c>
      <c r="G1430" t="s">
        <v>109</v>
      </c>
      <c r="H1430" t="s">
        <v>109</v>
      </c>
      <c r="I1430" s="5">
        <v>256531</v>
      </c>
      <c r="J1430">
        <f>IFERROR(VLOOKUP(G1430,'LEAID Match'!$A$2:$B$183,2,FALSE),"")</f>
        <v>1603270</v>
      </c>
      <c r="K1430">
        <f t="shared" si="22"/>
        <v>9</v>
      </c>
    </row>
    <row r="1431" spans="1:11" x14ac:dyDescent="0.2">
      <c r="A1431">
        <v>1603270</v>
      </c>
      <c r="B1431">
        <v>2017</v>
      </c>
      <c r="C1431">
        <v>181</v>
      </c>
      <c r="D1431" t="s">
        <v>428</v>
      </c>
      <c r="E1431" t="s">
        <v>429</v>
      </c>
      <c r="F1431" t="s">
        <v>433</v>
      </c>
      <c r="G1431" t="s">
        <v>109</v>
      </c>
      <c r="H1431" t="s">
        <v>109</v>
      </c>
      <c r="I1431" s="5">
        <v>283251</v>
      </c>
      <c r="J1431">
        <f>IFERROR(VLOOKUP(G1431,'LEAID Match'!$A$2:$B$183,2,FALSE),"")</f>
        <v>1603270</v>
      </c>
      <c r="K1431">
        <f t="shared" si="22"/>
        <v>9</v>
      </c>
    </row>
    <row r="1432" spans="1:11" x14ac:dyDescent="0.2">
      <c r="A1432">
        <v>1603270</v>
      </c>
      <c r="B1432">
        <v>2018</v>
      </c>
      <c r="C1432">
        <v>181</v>
      </c>
      <c r="D1432" t="s">
        <v>428</v>
      </c>
      <c r="E1432" t="s">
        <v>429</v>
      </c>
      <c r="F1432" t="s">
        <v>433</v>
      </c>
      <c r="G1432" t="s">
        <v>109</v>
      </c>
      <c r="H1432" t="s">
        <v>109</v>
      </c>
      <c r="I1432" s="5">
        <v>302946</v>
      </c>
      <c r="J1432">
        <f>IFERROR(VLOOKUP(G1432,'LEAID Match'!$A$2:$B$183,2,FALSE),"")</f>
        <v>1603270</v>
      </c>
      <c r="K1432">
        <f t="shared" si="22"/>
        <v>9</v>
      </c>
    </row>
    <row r="1433" spans="1:11" x14ac:dyDescent="0.2">
      <c r="A1433">
        <v>1603270</v>
      </c>
      <c r="B1433">
        <v>2019</v>
      </c>
      <c r="C1433">
        <v>181</v>
      </c>
      <c r="D1433" t="s">
        <v>428</v>
      </c>
      <c r="E1433" t="s">
        <v>429</v>
      </c>
      <c r="F1433" t="s">
        <v>433</v>
      </c>
      <c r="G1433" t="s">
        <v>109</v>
      </c>
      <c r="H1433" t="s">
        <v>317</v>
      </c>
      <c r="I1433" s="5">
        <v>320679</v>
      </c>
      <c r="J1433">
        <f>IFERROR(VLOOKUP(G1433,'LEAID Match'!$A$2:$B$183,2,FALSE),"")</f>
        <v>1603270</v>
      </c>
      <c r="K1433">
        <f t="shared" si="22"/>
        <v>9</v>
      </c>
    </row>
    <row r="1434" spans="1:11" x14ac:dyDescent="0.2">
      <c r="A1434">
        <v>1603270</v>
      </c>
      <c r="B1434">
        <v>2020</v>
      </c>
      <c r="C1434">
        <v>181</v>
      </c>
      <c r="D1434" t="s">
        <v>428</v>
      </c>
      <c r="E1434" t="s">
        <v>429</v>
      </c>
      <c r="F1434" t="s">
        <v>433</v>
      </c>
      <c r="G1434" t="s">
        <v>109</v>
      </c>
      <c r="H1434" t="s">
        <v>317</v>
      </c>
      <c r="I1434" s="5">
        <v>351976</v>
      </c>
      <c r="J1434">
        <f>IFERROR(VLOOKUP(G1434,'LEAID Match'!$A$2:$B$183,2,FALSE),"")</f>
        <v>1603270</v>
      </c>
      <c r="K1434">
        <f t="shared" si="22"/>
        <v>9</v>
      </c>
    </row>
    <row r="1435" spans="1:11" x14ac:dyDescent="0.2">
      <c r="A1435">
        <v>1603270</v>
      </c>
      <c r="B1435">
        <v>2021</v>
      </c>
      <c r="C1435">
        <v>181</v>
      </c>
      <c r="D1435" t="s">
        <v>428</v>
      </c>
      <c r="E1435" t="s">
        <v>429</v>
      </c>
      <c r="F1435" t="s">
        <v>433</v>
      </c>
      <c r="G1435" t="s">
        <v>109</v>
      </c>
      <c r="H1435" t="s">
        <v>109</v>
      </c>
      <c r="I1435" s="5">
        <v>369336</v>
      </c>
      <c r="J1435">
        <f>IFERROR(VLOOKUP(G1435,'LEAID Match'!$A$2:$B$183,2,FALSE),"")</f>
        <v>1603270</v>
      </c>
      <c r="K1435">
        <f t="shared" si="22"/>
        <v>9</v>
      </c>
    </row>
    <row r="1436" spans="1:11" x14ac:dyDescent="0.2">
      <c r="A1436">
        <v>1603270</v>
      </c>
      <c r="B1436">
        <v>2022</v>
      </c>
      <c r="C1436">
        <v>181</v>
      </c>
      <c r="D1436" t="s">
        <v>428</v>
      </c>
      <c r="E1436" t="s">
        <v>429</v>
      </c>
      <c r="F1436" t="s">
        <v>433</v>
      </c>
      <c r="G1436" t="s">
        <v>109</v>
      </c>
      <c r="H1436" t="s">
        <v>317</v>
      </c>
      <c r="I1436" s="5">
        <v>385547</v>
      </c>
      <c r="J1436">
        <f>IFERROR(VLOOKUP(G1436,'LEAID Match'!$A$2:$B$183,2,FALSE),"")</f>
        <v>1603270</v>
      </c>
      <c r="K1436">
        <f t="shared" si="22"/>
        <v>9</v>
      </c>
    </row>
    <row r="1437" spans="1:11" x14ac:dyDescent="0.2">
      <c r="A1437">
        <v>1603270</v>
      </c>
      <c r="B1437">
        <v>2023</v>
      </c>
      <c r="C1437">
        <v>181</v>
      </c>
      <c r="D1437" t="s">
        <v>428</v>
      </c>
      <c r="E1437" t="s">
        <v>429</v>
      </c>
      <c r="F1437" t="s">
        <v>433</v>
      </c>
      <c r="G1437" t="s">
        <v>109</v>
      </c>
      <c r="H1437" t="s">
        <v>317</v>
      </c>
      <c r="I1437" s="5">
        <v>382714</v>
      </c>
      <c r="J1437">
        <f>IFERROR(VLOOKUP(G1437,'LEAID Match'!$A$2:$B$183,2,FALSE),"")</f>
        <v>1603270</v>
      </c>
      <c r="K1437">
        <f t="shared" si="22"/>
        <v>9</v>
      </c>
    </row>
    <row r="1438" spans="1:11" x14ac:dyDescent="0.2">
      <c r="A1438">
        <v>1603300</v>
      </c>
      <c r="B1438">
        <v>2015</v>
      </c>
      <c r="C1438">
        <v>185</v>
      </c>
      <c r="D1438" t="s">
        <v>428</v>
      </c>
      <c r="E1438" t="s">
        <v>429</v>
      </c>
      <c r="F1438" t="s">
        <v>433</v>
      </c>
      <c r="G1438" t="s">
        <v>111</v>
      </c>
      <c r="H1438" t="s">
        <v>111</v>
      </c>
      <c r="I1438" s="5">
        <v>348210</v>
      </c>
      <c r="J1438">
        <f>IFERROR(VLOOKUP(G1438,'LEAID Match'!$A$2:$B$183,2,FALSE),"")</f>
        <v>1603300</v>
      </c>
      <c r="K1438">
        <f t="shared" si="22"/>
        <v>9</v>
      </c>
    </row>
    <row r="1439" spans="1:11" x14ac:dyDescent="0.2">
      <c r="A1439">
        <v>1603300</v>
      </c>
      <c r="B1439">
        <v>2016</v>
      </c>
      <c r="C1439">
        <v>185</v>
      </c>
      <c r="D1439" t="s">
        <v>428</v>
      </c>
      <c r="E1439" t="s">
        <v>429</v>
      </c>
      <c r="F1439" t="s">
        <v>433</v>
      </c>
      <c r="G1439" t="s">
        <v>111</v>
      </c>
      <c r="H1439" t="s">
        <v>111</v>
      </c>
      <c r="I1439" s="5">
        <v>342221</v>
      </c>
      <c r="J1439">
        <f>IFERROR(VLOOKUP(G1439,'LEAID Match'!$A$2:$B$183,2,FALSE),"")</f>
        <v>1603300</v>
      </c>
      <c r="K1439">
        <f t="shared" si="22"/>
        <v>9</v>
      </c>
    </row>
    <row r="1440" spans="1:11" x14ac:dyDescent="0.2">
      <c r="A1440">
        <v>1603300</v>
      </c>
      <c r="B1440">
        <v>2017</v>
      </c>
      <c r="C1440">
        <v>185</v>
      </c>
      <c r="D1440" t="s">
        <v>428</v>
      </c>
      <c r="E1440" t="s">
        <v>429</v>
      </c>
      <c r="F1440" t="s">
        <v>433</v>
      </c>
      <c r="G1440" t="s">
        <v>111</v>
      </c>
      <c r="H1440" t="s">
        <v>111</v>
      </c>
      <c r="I1440" s="5">
        <v>337906</v>
      </c>
      <c r="J1440">
        <f>IFERROR(VLOOKUP(G1440,'LEAID Match'!$A$2:$B$183,2,FALSE),"")</f>
        <v>1603300</v>
      </c>
      <c r="K1440">
        <f t="shared" si="22"/>
        <v>9</v>
      </c>
    </row>
    <row r="1441" spans="1:11" x14ac:dyDescent="0.2">
      <c r="A1441">
        <v>1603300</v>
      </c>
      <c r="B1441">
        <v>2018</v>
      </c>
      <c r="C1441">
        <v>185</v>
      </c>
      <c r="D1441" t="s">
        <v>428</v>
      </c>
      <c r="E1441" t="s">
        <v>429</v>
      </c>
      <c r="F1441" t="s">
        <v>433</v>
      </c>
      <c r="G1441" t="s">
        <v>111</v>
      </c>
      <c r="H1441" t="s">
        <v>111</v>
      </c>
      <c r="I1441" s="5">
        <v>353660</v>
      </c>
      <c r="J1441">
        <f>IFERROR(VLOOKUP(G1441,'LEAID Match'!$A$2:$B$183,2,FALSE),"")</f>
        <v>1603300</v>
      </c>
      <c r="K1441">
        <f t="shared" si="22"/>
        <v>9</v>
      </c>
    </row>
    <row r="1442" spans="1:11" x14ac:dyDescent="0.2">
      <c r="A1442">
        <v>1603300</v>
      </c>
      <c r="B1442">
        <v>2019</v>
      </c>
      <c r="C1442">
        <v>185</v>
      </c>
      <c r="D1442" t="s">
        <v>428</v>
      </c>
      <c r="E1442" t="s">
        <v>429</v>
      </c>
      <c r="F1442" t="s">
        <v>433</v>
      </c>
      <c r="G1442" t="s">
        <v>111</v>
      </c>
      <c r="H1442" t="s">
        <v>319</v>
      </c>
      <c r="I1442" s="5">
        <v>379778</v>
      </c>
      <c r="J1442">
        <f>IFERROR(VLOOKUP(G1442,'LEAID Match'!$A$2:$B$183,2,FALSE),"")</f>
        <v>1603300</v>
      </c>
      <c r="K1442">
        <f t="shared" si="22"/>
        <v>9</v>
      </c>
    </row>
    <row r="1443" spans="1:11" x14ac:dyDescent="0.2">
      <c r="A1443">
        <v>1603300</v>
      </c>
      <c r="B1443">
        <v>2020</v>
      </c>
      <c r="C1443">
        <v>185</v>
      </c>
      <c r="D1443" t="s">
        <v>428</v>
      </c>
      <c r="E1443" t="s">
        <v>429</v>
      </c>
      <c r="F1443" t="s">
        <v>433</v>
      </c>
      <c r="G1443" t="s">
        <v>111</v>
      </c>
      <c r="H1443" t="s">
        <v>319</v>
      </c>
      <c r="I1443" s="5">
        <v>419087</v>
      </c>
      <c r="J1443">
        <f>IFERROR(VLOOKUP(G1443,'LEAID Match'!$A$2:$B$183,2,FALSE),"")</f>
        <v>1603300</v>
      </c>
      <c r="K1443">
        <f t="shared" si="22"/>
        <v>9</v>
      </c>
    </row>
    <row r="1444" spans="1:11" x14ac:dyDescent="0.2">
      <c r="A1444">
        <v>1603300</v>
      </c>
      <c r="B1444">
        <v>2021</v>
      </c>
      <c r="C1444">
        <v>185</v>
      </c>
      <c r="D1444" t="s">
        <v>428</v>
      </c>
      <c r="E1444" t="s">
        <v>429</v>
      </c>
      <c r="F1444" t="s">
        <v>433</v>
      </c>
      <c r="G1444" t="s">
        <v>111</v>
      </c>
      <c r="H1444" t="s">
        <v>111</v>
      </c>
      <c r="I1444" s="5">
        <v>429107</v>
      </c>
      <c r="J1444">
        <f>IFERROR(VLOOKUP(G1444,'LEAID Match'!$A$2:$B$183,2,FALSE),"")</f>
        <v>1603300</v>
      </c>
      <c r="K1444">
        <f t="shared" si="22"/>
        <v>9</v>
      </c>
    </row>
    <row r="1445" spans="1:11" x14ac:dyDescent="0.2">
      <c r="A1445">
        <v>1603300</v>
      </c>
      <c r="B1445">
        <v>2022</v>
      </c>
      <c r="C1445">
        <v>185</v>
      </c>
      <c r="D1445" t="s">
        <v>428</v>
      </c>
      <c r="E1445" t="s">
        <v>429</v>
      </c>
      <c r="F1445" t="s">
        <v>433</v>
      </c>
      <c r="G1445" t="s">
        <v>111</v>
      </c>
      <c r="H1445" t="s">
        <v>319</v>
      </c>
      <c r="I1445" s="5">
        <v>450004</v>
      </c>
      <c r="J1445">
        <f>IFERROR(VLOOKUP(G1445,'LEAID Match'!$A$2:$B$183,2,FALSE),"")</f>
        <v>1603300</v>
      </c>
      <c r="K1445">
        <f t="shared" si="22"/>
        <v>9</v>
      </c>
    </row>
    <row r="1446" spans="1:11" x14ac:dyDescent="0.2">
      <c r="A1446">
        <v>1603300</v>
      </c>
      <c r="B1446">
        <v>2023</v>
      </c>
      <c r="C1446">
        <v>185</v>
      </c>
      <c r="D1446" t="s">
        <v>428</v>
      </c>
      <c r="E1446" t="s">
        <v>429</v>
      </c>
      <c r="F1446" t="s">
        <v>433</v>
      </c>
      <c r="G1446" t="s">
        <v>111</v>
      </c>
      <c r="H1446" t="s">
        <v>319</v>
      </c>
      <c r="I1446" s="5">
        <v>473436</v>
      </c>
      <c r="J1446">
        <f>IFERROR(VLOOKUP(G1446,'LEAID Match'!$A$2:$B$183,2,FALSE),"")</f>
        <v>1603300</v>
      </c>
      <c r="K1446">
        <f t="shared" si="22"/>
        <v>9</v>
      </c>
    </row>
    <row r="1447" spans="1:11" x14ac:dyDescent="0.2">
      <c r="A1447">
        <v>1603330</v>
      </c>
      <c r="B1447">
        <v>2015</v>
      </c>
      <c r="C1447">
        <v>186</v>
      </c>
      <c r="D1447" t="s">
        <v>428</v>
      </c>
      <c r="E1447" t="s">
        <v>429</v>
      </c>
      <c r="F1447" t="s">
        <v>433</v>
      </c>
      <c r="G1447" t="s">
        <v>112</v>
      </c>
      <c r="H1447" t="s">
        <v>112</v>
      </c>
      <c r="I1447" s="5">
        <v>682937</v>
      </c>
      <c r="J1447">
        <f>IFERROR(VLOOKUP(G1447,'LEAID Match'!$A$2:$B$183,2,FALSE),"")</f>
        <v>1603330</v>
      </c>
      <c r="K1447">
        <f t="shared" si="22"/>
        <v>9</v>
      </c>
    </row>
    <row r="1448" spans="1:11" x14ac:dyDescent="0.2">
      <c r="A1448">
        <v>1603330</v>
      </c>
      <c r="B1448">
        <v>2016</v>
      </c>
      <c r="C1448">
        <v>186</v>
      </c>
      <c r="D1448" t="s">
        <v>428</v>
      </c>
      <c r="E1448" t="s">
        <v>429</v>
      </c>
      <c r="F1448" t="s">
        <v>433</v>
      </c>
      <c r="G1448" t="s">
        <v>112</v>
      </c>
      <c r="H1448" t="s">
        <v>112</v>
      </c>
      <c r="I1448" s="5">
        <v>678575</v>
      </c>
      <c r="J1448">
        <f>IFERROR(VLOOKUP(G1448,'LEAID Match'!$A$2:$B$183,2,FALSE),"")</f>
        <v>1603330</v>
      </c>
      <c r="K1448">
        <f t="shared" si="22"/>
        <v>9</v>
      </c>
    </row>
    <row r="1449" spans="1:11" x14ac:dyDescent="0.2">
      <c r="A1449">
        <v>1603330</v>
      </c>
      <c r="B1449">
        <v>2017</v>
      </c>
      <c r="C1449">
        <v>186</v>
      </c>
      <c r="D1449" t="s">
        <v>428</v>
      </c>
      <c r="E1449" t="s">
        <v>429</v>
      </c>
      <c r="F1449" t="s">
        <v>433</v>
      </c>
      <c r="G1449" t="s">
        <v>112</v>
      </c>
      <c r="H1449" t="s">
        <v>112</v>
      </c>
      <c r="I1449" s="5">
        <v>701228</v>
      </c>
      <c r="J1449">
        <f>IFERROR(VLOOKUP(G1449,'LEAID Match'!$A$2:$B$183,2,FALSE),"")</f>
        <v>1603330</v>
      </c>
      <c r="K1449">
        <f t="shared" si="22"/>
        <v>9</v>
      </c>
    </row>
    <row r="1450" spans="1:11" x14ac:dyDescent="0.2">
      <c r="A1450">
        <v>1603330</v>
      </c>
      <c r="B1450">
        <v>2018</v>
      </c>
      <c r="C1450">
        <v>186</v>
      </c>
      <c r="D1450" t="s">
        <v>428</v>
      </c>
      <c r="E1450" t="s">
        <v>429</v>
      </c>
      <c r="F1450" t="s">
        <v>433</v>
      </c>
      <c r="G1450" t="s">
        <v>112</v>
      </c>
      <c r="H1450" t="s">
        <v>112</v>
      </c>
      <c r="I1450" s="5">
        <v>731367</v>
      </c>
      <c r="J1450">
        <f>IFERROR(VLOOKUP(G1450,'LEAID Match'!$A$2:$B$183,2,FALSE),"")</f>
        <v>1603330</v>
      </c>
      <c r="K1450">
        <f t="shared" si="22"/>
        <v>9</v>
      </c>
    </row>
    <row r="1451" spans="1:11" x14ac:dyDescent="0.2">
      <c r="A1451">
        <v>1603330</v>
      </c>
      <c r="B1451">
        <v>2019</v>
      </c>
      <c r="C1451">
        <v>186</v>
      </c>
      <c r="D1451" t="s">
        <v>428</v>
      </c>
      <c r="E1451" t="s">
        <v>429</v>
      </c>
      <c r="F1451" t="s">
        <v>433</v>
      </c>
      <c r="G1451" t="s">
        <v>112</v>
      </c>
      <c r="H1451" t="s">
        <v>320</v>
      </c>
      <c r="I1451" s="5">
        <v>779082</v>
      </c>
      <c r="J1451">
        <f>IFERROR(VLOOKUP(G1451,'LEAID Match'!$A$2:$B$183,2,FALSE),"")</f>
        <v>1603330</v>
      </c>
      <c r="K1451">
        <f t="shared" si="22"/>
        <v>9</v>
      </c>
    </row>
    <row r="1452" spans="1:11" x14ac:dyDescent="0.2">
      <c r="A1452">
        <v>1603330</v>
      </c>
      <c r="B1452">
        <v>2020</v>
      </c>
      <c r="C1452">
        <v>186</v>
      </c>
      <c r="D1452" t="s">
        <v>428</v>
      </c>
      <c r="E1452" t="s">
        <v>429</v>
      </c>
      <c r="F1452" t="s">
        <v>433</v>
      </c>
      <c r="G1452" t="s">
        <v>112</v>
      </c>
      <c r="H1452" t="s">
        <v>320</v>
      </c>
      <c r="I1452" s="5">
        <v>842862</v>
      </c>
      <c r="J1452">
        <f>IFERROR(VLOOKUP(G1452,'LEAID Match'!$A$2:$B$183,2,FALSE),"")</f>
        <v>1603330</v>
      </c>
      <c r="K1452">
        <f t="shared" si="22"/>
        <v>9</v>
      </c>
    </row>
    <row r="1453" spans="1:11" x14ac:dyDescent="0.2">
      <c r="A1453">
        <v>1603330</v>
      </c>
      <c r="B1453">
        <v>2021</v>
      </c>
      <c r="C1453">
        <v>186</v>
      </c>
      <c r="D1453" t="s">
        <v>428</v>
      </c>
      <c r="E1453" t="s">
        <v>429</v>
      </c>
      <c r="F1453" t="s">
        <v>433</v>
      </c>
      <c r="G1453" t="s">
        <v>112</v>
      </c>
      <c r="H1453" t="s">
        <v>112</v>
      </c>
      <c r="I1453" s="5">
        <v>871613</v>
      </c>
      <c r="J1453">
        <f>IFERROR(VLOOKUP(G1453,'LEAID Match'!$A$2:$B$183,2,FALSE),"")</f>
        <v>1603330</v>
      </c>
      <c r="K1453">
        <f t="shared" si="22"/>
        <v>9</v>
      </c>
    </row>
    <row r="1454" spans="1:11" x14ac:dyDescent="0.2">
      <c r="A1454">
        <v>1603330</v>
      </c>
      <c r="B1454">
        <v>2022</v>
      </c>
      <c r="C1454">
        <v>186</v>
      </c>
      <c r="D1454" t="s">
        <v>428</v>
      </c>
      <c r="E1454" t="s">
        <v>429</v>
      </c>
      <c r="F1454" t="s">
        <v>433</v>
      </c>
      <c r="G1454" t="s">
        <v>112</v>
      </c>
      <c r="H1454" t="s">
        <v>320</v>
      </c>
      <c r="I1454" s="5">
        <v>899104</v>
      </c>
      <c r="J1454">
        <f>IFERROR(VLOOKUP(G1454,'LEAID Match'!$A$2:$B$183,2,FALSE),"")</f>
        <v>1603330</v>
      </c>
      <c r="K1454">
        <f t="shared" si="22"/>
        <v>9</v>
      </c>
    </row>
    <row r="1455" spans="1:11" x14ac:dyDescent="0.2">
      <c r="A1455">
        <v>1603330</v>
      </c>
      <c r="B1455">
        <v>2023</v>
      </c>
      <c r="C1455">
        <v>186</v>
      </c>
      <c r="D1455" t="s">
        <v>428</v>
      </c>
      <c r="E1455" t="s">
        <v>429</v>
      </c>
      <c r="F1455" t="s">
        <v>433</v>
      </c>
      <c r="G1455" t="s">
        <v>112</v>
      </c>
      <c r="H1455" t="s">
        <v>320</v>
      </c>
      <c r="I1455" s="5">
        <v>910487</v>
      </c>
      <c r="J1455">
        <f>IFERROR(VLOOKUP(G1455,'LEAID Match'!$A$2:$B$183,2,FALSE),"")</f>
        <v>1603330</v>
      </c>
      <c r="K1455">
        <f t="shared" si="22"/>
        <v>9</v>
      </c>
    </row>
    <row r="1456" spans="1:11" x14ac:dyDescent="0.2">
      <c r="A1456">
        <v>1603360</v>
      </c>
      <c r="B1456">
        <v>2015</v>
      </c>
      <c r="C1456">
        <v>187</v>
      </c>
      <c r="D1456" t="s">
        <v>428</v>
      </c>
      <c r="E1456" t="s">
        <v>429</v>
      </c>
      <c r="F1456" t="s">
        <v>433</v>
      </c>
      <c r="G1456" t="s">
        <v>113</v>
      </c>
      <c r="H1456" t="s">
        <v>113</v>
      </c>
      <c r="I1456" s="5">
        <v>448638</v>
      </c>
      <c r="J1456">
        <f>IFERROR(VLOOKUP(G1456,'LEAID Match'!$A$2:$B$183,2,FALSE),"")</f>
        <v>1603360</v>
      </c>
      <c r="K1456">
        <f t="shared" si="22"/>
        <v>9</v>
      </c>
    </row>
    <row r="1457" spans="1:11" x14ac:dyDescent="0.2">
      <c r="A1457">
        <v>1603360</v>
      </c>
      <c r="B1457">
        <v>2016</v>
      </c>
      <c r="C1457">
        <v>187</v>
      </c>
      <c r="D1457" t="s">
        <v>428</v>
      </c>
      <c r="E1457" t="s">
        <v>429</v>
      </c>
      <c r="F1457" t="s">
        <v>433</v>
      </c>
      <c r="G1457" t="s">
        <v>113</v>
      </c>
      <c r="H1457" t="s">
        <v>113</v>
      </c>
      <c r="I1457" s="5">
        <v>451246</v>
      </c>
      <c r="J1457">
        <f>IFERROR(VLOOKUP(G1457,'LEAID Match'!$A$2:$B$183,2,FALSE),"")</f>
        <v>1603360</v>
      </c>
      <c r="K1457">
        <f t="shared" si="22"/>
        <v>9</v>
      </c>
    </row>
    <row r="1458" spans="1:11" x14ac:dyDescent="0.2">
      <c r="A1458">
        <v>1603360</v>
      </c>
      <c r="B1458">
        <v>2017</v>
      </c>
      <c r="C1458">
        <v>187</v>
      </c>
      <c r="D1458" t="s">
        <v>428</v>
      </c>
      <c r="E1458" t="s">
        <v>429</v>
      </c>
      <c r="F1458" t="s">
        <v>433</v>
      </c>
      <c r="G1458" t="s">
        <v>113</v>
      </c>
      <c r="H1458" t="s">
        <v>113</v>
      </c>
      <c r="I1458" s="5">
        <v>453124</v>
      </c>
      <c r="J1458">
        <f>IFERROR(VLOOKUP(G1458,'LEAID Match'!$A$2:$B$183,2,FALSE),"")</f>
        <v>1603360</v>
      </c>
      <c r="K1458">
        <f t="shared" si="22"/>
        <v>9</v>
      </c>
    </row>
    <row r="1459" spans="1:11" x14ac:dyDescent="0.2">
      <c r="A1459">
        <v>1603360</v>
      </c>
      <c r="B1459">
        <v>2018</v>
      </c>
      <c r="C1459">
        <v>187</v>
      </c>
      <c r="D1459" t="s">
        <v>428</v>
      </c>
      <c r="E1459" t="s">
        <v>429</v>
      </c>
      <c r="F1459" t="s">
        <v>433</v>
      </c>
      <c r="G1459" t="s">
        <v>113</v>
      </c>
      <c r="H1459" t="s">
        <v>113</v>
      </c>
      <c r="I1459" s="5">
        <v>455022</v>
      </c>
      <c r="J1459">
        <f>IFERROR(VLOOKUP(G1459,'LEAID Match'!$A$2:$B$183,2,FALSE),"")</f>
        <v>1603360</v>
      </c>
      <c r="K1459">
        <f t="shared" si="22"/>
        <v>9</v>
      </c>
    </row>
    <row r="1460" spans="1:11" x14ac:dyDescent="0.2">
      <c r="A1460">
        <v>1603360</v>
      </c>
      <c r="B1460">
        <v>2019</v>
      </c>
      <c r="C1460">
        <v>187</v>
      </c>
      <c r="D1460" t="s">
        <v>428</v>
      </c>
      <c r="E1460" t="s">
        <v>429</v>
      </c>
      <c r="F1460" t="s">
        <v>433</v>
      </c>
      <c r="G1460" t="s">
        <v>113</v>
      </c>
      <c r="H1460" t="s">
        <v>321</v>
      </c>
      <c r="I1460" s="5">
        <v>529751</v>
      </c>
      <c r="J1460">
        <f>IFERROR(VLOOKUP(G1460,'LEAID Match'!$A$2:$B$183,2,FALSE),"")</f>
        <v>1603360</v>
      </c>
      <c r="K1460">
        <f t="shared" si="22"/>
        <v>9</v>
      </c>
    </row>
    <row r="1461" spans="1:11" x14ac:dyDescent="0.2">
      <c r="A1461">
        <v>1603360</v>
      </c>
      <c r="B1461">
        <v>2020</v>
      </c>
      <c r="C1461">
        <v>187</v>
      </c>
      <c r="D1461" t="s">
        <v>428</v>
      </c>
      <c r="E1461" t="s">
        <v>429</v>
      </c>
      <c r="F1461" t="s">
        <v>433</v>
      </c>
      <c r="G1461" t="s">
        <v>113</v>
      </c>
      <c r="H1461" t="s">
        <v>321</v>
      </c>
      <c r="I1461" s="5">
        <v>584616</v>
      </c>
      <c r="J1461">
        <f>IFERROR(VLOOKUP(G1461,'LEAID Match'!$A$2:$B$183,2,FALSE),"")</f>
        <v>1603360</v>
      </c>
      <c r="K1461">
        <f t="shared" si="22"/>
        <v>9</v>
      </c>
    </row>
    <row r="1462" spans="1:11" x14ac:dyDescent="0.2">
      <c r="A1462">
        <v>1603360</v>
      </c>
      <c r="B1462">
        <v>2021</v>
      </c>
      <c r="C1462">
        <v>187</v>
      </c>
      <c r="D1462" t="s">
        <v>428</v>
      </c>
      <c r="E1462" t="s">
        <v>429</v>
      </c>
      <c r="F1462" t="s">
        <v>433</v>
      </c>
      <c r="G1462" t="s">
        <v>113</v>
      </c>
      <c r="H1462" t="s">
        <v>113</v>
      </c>
      <c r="I1462" s="5">
        <v>636172</v>
      </c>
      <c r="J1462">
        <f>IFERROR(VLOOKUP(G1462,'LEAID Match'!$A$2:$B$183,2,FALSE),"")</f>
        <v>1603360</v>
      </c>
      <c r="K1462">
        <f t="shared" si="22"/>
        <v>9</v>
      </c>
    </row>
    <row r="1463" spans="1:11" x14ac:dyDescent="0.2">
      <c r="A1463">
        <v>1603360</v>
      </c>
      <c r="B1463">
        <v>2022</v>
      </c>
      <c r="C1463">
        <v>187</v>
      </c>
      <c r="D1463" t="s">
        <v>428</v>
      </c>
      <c r="E1463" t="s">
        <v>429</v>
      </c>
      <c r="F1463" t="s">
        <v>433</v>
      </c>
      <c r="G1463" t="s">
        <v>113</v>
      </c>
      <c r="H1463" t="s">
        <v>321</v>
      </c>
      <c r="I1463" s="5">
        <v>697428</v>
      </c>
      <c r="J1463">
        <f>IFERROR(VLOOKUP(G1463,'LEAID Match'!$A$2:$B$183,2,FALSE),"")</f>
        <v>1603360</v>
      </c>
      <c r="K1463">
        <f t="shared" si="22"/>
        <v>9</v>
      </c>
    </row>
    <row r="1464" spans="1:11" x14ac:dyDescent="0.2">
      <c r="A1464">
        <v>1603360</v>
      </c>
      <c r="B1464">
        <v>2023</v>
      </c>
      <c r="C1464">
        <v>187</v>
      </c>
      <c r="D1464" t="s">
        <v>428</v>
      </c>
      <c r="E1464" t="s">
        <v>429</v>
      </c>
      <c r="F1464" t="s">
        <v>433</v>
      </c>
      <c r="G1464" t="s">
        <v>113</v>
      </c>
      <c r="H1464" t="s">
        <v>321</v>
      </c>
      <c r="I1464" s="5">
        <v>719052</v>
      </c>
      <c r="J1464">
        <f>IFERROR(VLOOKUP(G1464,'LEAID Match'!$A$2:$B$183,2,FALSE),"")</f>
        <v>1603360</v>
      </c>
      <c r="K1464">
        <f t="shared" si="22"/>
        <v>9</v>
      </c>
    </row>
    <row r="1465" spans="1:11" x14ac:dyDescent="0.2">
      <c r="A1465">
        <v>1603400</v>
      </c>
      <c r="B1465">
        <v>2015</v>
      </c>
      <c r="C1465">
        <v>190</v>
      </c>
      <c r="D1465" t="s">
        <v>428</v>
      </c>
      <c r="E1465" t="s">
        <v>429</v>
      </c>
      <c r="F1465" t="s">
        <v>433</v>
      </c>
      <c r="G1465" t="s">
        <v>116</v>
      </c>
      <c r="H1465" t="s">
        <v>116</v>
      </c>
      <c r="I1465" s="5">
        <v>286763</v>
      </c>
      <c r="J1465">
        <f>IFERROR(VLOOKUP(G1465,'LEAID Match'!$A$2:$B$183,2,FALSE),"")</f>
        <v>1603400</v>
      </c>
      <c r="K1465">
        <f t="shared" si="22"/>
        <v>9</v>
      </c>
    </row>
    <row r="1466" spans="1:11" x14ac:dyDescent="0.2">
      <c r="A1466">
        <v>1603400</v>
      </c>
      <c r="B1466">
        <v>2016</v>
      </c>
      <c r="C1466">
        <v>190</v>
      </c>
      <c r="D1466" t="s">
        <v>428</v>
      </c>
      <c r="E1466" t="s">
        <v>429</v>
      </c>
      <c r="F1466" t="s">
        <v>433</v>
      </c>
      <c r="G1466" t="s">
        <v>116</v>
      </c>
      <c r="H1466" t="s">
        <v>116</v>
      </c>
      <c r="I1466" s="5">
        <v>311771</v>
      </c>
      <c r="J1466">
        <f>IFERROR(VLOOKUP(G1466,'LEAID Match'!$A$2:$B$183,2,FALSE),"")</f>
        <v>1603400</v>
      </c>
      <c r="K1466">
        <f t="shared" si="22"/>
        <v>9</v>
      </c>
    </row>
    <row r="1467" spans="1:11" x14ac:dyDescent="0.2">
      <c r="A1467">
        <v>1603400</v>
      </c>
      <c r="B1467">
        <v>2017</v>
      </c>
      <c r="C1467">
        <v>190</v>
      </c>
      <c r="D1467" t="s">
        <v>428</v>
      </c>
      <c r="E1467" t="s">
        <v>429</v>
      </c>
      <c r="F1467" t="s">
        <v>433</v>
      </c>
      <c r="G1467" t="s">
        <v>116</v>
      </c>
      <c r="H1467" t="s">
        <v>116</v>
      </c>
      <c r="I1467" s="5">
        <v>325810</v>
      </c>
      <c r="J1467">
        <f>IFERROR(VLOOKUP(G1467,'LEAID Match'!$A$2:$B$183,2,FALSE),"")</f>
        <v>1603400</v>
      </c>
      <c r="K1467">
        <f t="shared" si="22"/>
        <v>9</v>
      </c>
    </row>
    <row r="1468" spans="1:11" x14ac:dyDescent="0.2">
      <c r="A1468">
        <v>1603400</v>
      </c>
      <c r="B1468">
        <v>2018</v>
      </c>
      <c r="C1468">
        <v>190</v>
      </c>
      <c r="D1468" t="s">
        <v>428</v>
      </c>
      <c r="E1468" t="s">
        <v>429</v>
      </c>
      <c r="F1468" t="s">
        <v>433</v>
      </c>
      <c r="G1468" t="s">
        <v>116</v>
      </c>
      <c r="H1468" t="s">
        <v>116</v>
      </c>
      <c r="I1468" s="5">
        <v>345884</v>
      </c>
      <c r="J1468">
        <f>IFERROR(VLOOKUP(G1468,'LEAID Match'!$A$2:$B$183,2,FALSE),"")</f>
        <v>1603400</v>
      </c>
      <c r="K1468">
        <f t="shared" si="22"/>
        <v>9</v>
      </c>
    </row>
    <row r="1469" spans="1:11" x14ac:dyDescent="0.2">
      <c r="A1469">
        <v>1603400</v>
      </c>
      <c r="B1469">
        <v>2019</v>
      </c>
      <c r="C1469">
        <v>190</v>
      </c>
      <c r="D1469" t="s">
        <v>428</v>
      </c>
      <c r="E1469" t="s">
        <v>429</v>
      </c>
      <c r="F1469" t="s">
        <v>433</v>
      </c>
      <c r="G1469" t="s">
        <v>116</v>
      </c>
      <c r="H1469" t="s">
        <v>323</v>
      </c>
      <c r="I1469" s="5">
        <v>364049</v>
      </c>
      <c r="J1469">
        <f>IFERROR(VLOOKUP(G1469,'LEAID Match'!$A$2:$B$183,2,FALSE),"")</f>
        <v>1603400</v>
      </c>
      <c r="K1469">
        <f t="shared" si="22"/>
        <v>9</v>
      </c>
    </row>
    <row r="1470" spans="1:11" x14ac:dyDescent="0.2">
      <c r="A1470">
        <v>1603400</v>
      </c>
      <c r="B1470">
        <v>2020</v>
      </c>
      <c r="C1470">
        <v>190</v>
      </c>
      <c r="D1470" t="s">
        <v>428</v>
      </c>
      <c r="E1470" t="s">
        <v>429</v>
      </c>
      <c r="F1470" t="s">
        <v>433</v>
      </c>
      <c r="G1470" t="s">
        <v>116</v>
      </c>
      <c r="H1470" t="s">
        <v>382</v>
      </c>
      <c r="I1470" s="5">
        <v>400004</v>
      </c>
      <c r="J1470">
        <f>IFERROR(VLOOKUP(G1470,'LEAID Match'!$A$2:$B$183,2,FALSE),"")</f>
        <v>1603400</v>
      </c>
      <c r="K1470">
        <f t="shared" si="22"/>
        <v>9</v>
      </c>
    </row>
    <row r="1471" spans="1:11" x14ac:dyDescent="0.2">
      <c r="A1471">
        <v>1603400</v>
      </c>
      <c r="B1471">
        <v>2021</v>
      </c>
      <c r="C1471">
        <v>190</v>
      </c>
      <c r="D1471" t="s">
        <v>428</v>
      </c>
      <c r="E1471" t="s">
        <v>429</v>
      </c>
      <c r="F1471" t="s">
        <v>433</v>
      </c>
      <c r="G1471" t="s">
        <v>116</v>
      </c>
      <c r="H1471" t="s">
        <v>323</v>
      </c>
      <c r="I1471" s="5">
        <v>407324</v>
      </c>
      <c r="J1471">
        <f>IFERROR(VLOOKUP(G1471,'LEAID Match'!$A$2:$B$183,2,FALSE),"")</f>
        <v>1603400</v>
      </c>
      <c r="K1471">
        <f t="shared" si="22"/>
        <v>9</v>
      </c>
    </row>
    <row r="1472" spans="1:11" x14ac:dyDescent="0.2">
      <c r="A1472">
        <v>1603400</v>
      </c>
      <c r="B1472">
        <v>2022</v>
      </c>
      <c r="C1472">
        <v>190</v>
      </c>
      <c r="D1472" t="s">
        <v>428</v>
      </c>
      <c r="E1472" t="s">
        <v>429</v>
      </c>
      <c r="F1472" t="s">
        <v>433</v>
      </c>
      <c r="G1472" t="s">
        <v>116</v>
      </c>
      <c r="H1472" t="s">
        <v>323</v>
      </c>
      <c r="I1472" s="5">
        <v>437474</v>
      </c>
      <c r="J1472">
        <f>IFERROR(VLOOKUP(G1472,'LEAID Match'!$A$2:$B$183,2,FALSE),"")</f>
        <v>1603400</v>
      </c>
      <c r="K1472">
        <f t="shared" si="22"/>
        <v>9</v>
      </c>
    </row>
    <row r="1473" spans="1:11" x14ac:dyDescent="0.2">
      <c r="A1473">
        <v>1603400</v>
      </c>
      <c r="B1473">
        <v>2023</v>
      </c>
      <c r="C1473">
        <v>190</v>
      </c>
      <c r="D1473" t="s">
        <v>428</v>
      </c>
      <c r="E1473" t="s">
        <v>429</v>
      </c>
      <c r="F1473" t="s">
        <v>433</v>
      </c>
      <c r="G1473" t="s">
        <v>116</v>
      </c>
      <c r="H1473" t="s">
        <v>323</v>
      </c>
      <c r="I1473" s="5">
        <v>421779</v>
      </c>
      <c r="J1473">
        <f>IFERROR(VLOOKUP(G1473,'LEAID Match'!$A$2:$B$183,2,FALSE),"")</f>
        <v>1603400</v>
      </c>
      <c r="K1473">
        <f t="shared" si="22"/>
        <v>9</v>
      </c>
    </row>
    <row r="1474" spans="1:11" x14ac:dyDescent="0.2">
      <c r="A1474">
        <v>1603420</v>
      </c>
      <c r="B1474">
        <v>2015</v>
      </c>
      <c r="C1474">
        <v>191</v>
      </c>
      <c r="D1474" t="s">
        <v>428</v>
      </c>
      <c r="E1474" t="s">
        <v>429</v>
      </c>
      <c r="F1474" t="s">
        <v>433</v>
      </c>
      <c r="G1474" t="s">
        <v>117</v>
      </c>
      <c r="H1474" t="s">
        <v>117</v>
      </c>
      <c r="I1474" s="5">
        <v>252233</v>
      </c>
      <c r="J1474">
        <f>IFERROR(VLOOKUP(G1474,'LEAID Match'!$A$2:$B$183,2,FALSE),"")</f>
        <v>1603420</v>
      </c>
      <c r="K1474">
        <f t="shared" si="22"/>
        <v>9</v>
      </c>
    </row>
    <row r="1475" spans="1:11" x14ac:dyDescent="0.2">
      <c r="A1475">
        <v>1603420</v>
      </c>
      <c r="B1475">
        <v>2016</v>
      </c>
      <c r="C1475">
        <v>191</v>
      </c>
      <c r="D1475" t="s">
        <v>428</v>
      </c>
      <c r="E1475" t="s">
        <v>429</v>
      </c>
      <c r="F1475" t="s">
        <v>433</v>
      </c>
      <c r="G1475" t="s">
        <v>117</v>
      </c>
      <c r="H1475" t="s">
        <v>117</v>
      </c>
      <c r="I1475" s="5">
        <v>271043</v>
      </c>
      <c r="J1475">
        <f>IFERROR(VLOOKUP(G1475,'LEAID Match'!$A$2:$B$183,2,FALSE),"")</f>
        <v>1603420</v>
      </c>
      <c r="K1475">
        <f t="shared" ref="K1475:K1538" si="23">COUNTIF($A$2:$A$1651,A1475)</f>
        <v>9</v>
      </c>
    </row>
    <row r="1476" spans="1:11" x14ac:dyDescent="0.2">
      <c r="A1476">
        <v>1603420</v>
      </c>
      <c r="B1476">
        <v>2017</v>
      </c>
      <c r="C1476">
        <v>191</v>
      </c>
      <c r="D1476" t="s">
        <v>428</v>
      </c>
      <c r="E1476" t="s">
        <v>429</v>
      </c>
      <c r="F1476" t="s">
        <v>433</v>
      </c>
      <c r="G1476" t="s">
        <v>117</v>
      </c>
      <c r="H1476" t="s">
        <v>117</v>
      </c>
      <c r="I1476" s="5">
        <v>294458</v>
      </c>
      <c r="J1476">
        <f>IFERROR(VLOOKUP(G1476,'LEAID Match'!$A$2:$B$183,2,FALSE),"")</f>
        <v>1603420</v>
      </c>
      <c r="K1476">
        <f t="shared" si="23"/>
        <v>9</v>
      </c>
    </row>
    <row r="1477" spans="1:11" x14ac:dyDescent="0.2">
      <c r="A1477">
        <v>1603420</v>
      </c>
      <c r="B1477">
        <v>2018</v>
      </c>
      <c r="C1477">
        <v>191</v>
      </c>
      <c r="D1477" t="s">
        <v>428</v>
      </c>
      <c r="E1477" t="s">
        <v>429</v>
      </c>
      <c r="F1477" t="s">
        <v>433</v>
      </c>
      <c r="G1477" t="s">
        <v>117</v>
      </c>
      <c r="H1477" t="s">
        <v>117</v>
      </c>
      <c r="I1477" s="5">
        <v>318650</v>
      </c>
      <c r="J1477">
        <f>IFERROR(VLOOKUP(G1477,'LEAID Match'!$A$2:$B$183,2,FALSE),"")</f>
        <v>1603420</v>
      </c>
      <c r="K1477">
        <f t="shared" si="23"/>
        <v>9</v>
      </c>
    </row>
    <row r="1478" spans="1:11" x14ac:dyDescent="0.2">
      <c r="A1478">
        <v>1603420</v>
      </c>
      <c r="B1478">
        <v>2019</v>
      </c>
      <c r="C1478">
        <v>191</v>
      </c>
      <c r="D1478" t="s">
        <v>428</v>
      </c>
      <c r="E1478" t="s">
        <v>429</v>
      </c>
      <c r="F1478" t="s">
        <v>433</v>
      </c>
      <c r="G1478" t="s">
        <v>117</v>
      </c>
      <c r="H1478" t="s">
        <v>324</v>
      </c>
      <c r="I1478" s="5">
        <v>337399</v>
      </c>
      <c r="J1478">
        <f>IFERROR(VLOOKUP(G1478,'LEAID Match'!$A$2:$B$183,2,FALSE),"")</f>
        <v>1603420</v>
      </c>
      <c r="K1478">
        <f t="shared" si="23"/>
        <v>9</v>
      </c>
    </row>
    <row r="1479" spans="1:11" x14ac:dyDescent="0.2">
      <c r="A1479">
        <v>1603420</v>
      </c>
      <c r="B1479">
        <v>2020</v>
      </c>
      <c r="C1479">
        <v>191</v>
      </c>
      <c r="D1479" t="s">
        <v>428</v>
      </c>
      <c r="E1479" t="s">
        <v>429</v>
      </c>
      <c r="F1479" t="s">
        <v>433</v>
      </c>
      <c r="G1479" t="s">
        <v>117</v>
      </c>
      <c r="H1479" t="s">
        <v>383</v>
      </c>
      <c r="I1479" s="5">
        <v>386941</v>
      </c>
      <c r="J1479">
        <f>IFERROR(VLOOKUP(G1479,'LEAID Match'!$A$2:$B$183,2,FALSE),"")</f>
        <v>1603420</v>
      </c>
      <c r="K1479">
        <f t="shared" si="23"/>
        <v>9</v>
      </c>
    </row>
    <row r="1480" spans="1:11" x14ac:dyDescent="0.2">
      <c r="A1480">
        <v>1603420</v>
      </c>
      <c r="B1480">
        <v>2021</v>
      </c>
      <c r="C1480">
        <v>191</v>
      </c>
      <c r="D1480" t="s">
        <v>428</v>
      </c>
      <c r="E1480" t="s">
        <v>429</v>
      </c>
      <c r="F1480" t="s">
        <v>433</v>
      </c>
      <c r="G1480" t="s">
        <v>117</v>
      </c>
      <c r="H1480" t="s">
        <v>324</v>
      </c>
      <c r="I1480" s="5">
        <v>426820</v>
      </c>
      <c r="J1480">
        <f>IFERROR(VLOOKUP(G1480,'LEAID Match'!$A$2:$B$183,2,FALSE),"")</f>
        <v>1603420</v>
      </c>
      <c r="K1480">
        <f t="shared" si="23"/>
        <v>9</v>
      </c>
    </row>
    <row r="1481" spans="1:11" x14ac:dyDescent="0.2">
      <c r="A1481">
        <v>1603420</v>
      </c>
      <c r="B1481">
        <v>2022</v>
      </c>
      <c r="C1481">
        <v>191</v>
      </c>
      <c r="D1481" t="s">
        <v>428</v>
      </c>
      <c r="E1481" t="s">
        <v>429</v>
      </c>
      <c r="F1481" t="s">
        <v>433</v>
      </c>
      <c r="G1481" t="s">
        <v>117</v>
      </c>
      <c r="H1481" t="s">
        <v>324</v>
      </c>
      <c r="I1481" s="5">
        <v>446589</v>
      </c>
      <c r="J1481">
        <f>IFERROR(VLOOKUP(G1481,'LEAID Match'!$A$2:$B$183,2,FALSE),"")</f>
        <v>1603420</v>
      </c>
      <c r="K1481">
        <f t="shared" si="23"/>
        <v>9</v>
      </c>
    </row>
    <row r="1482" spans="1:11" x14ac:dyDescent="0.2">
      <c r="A1482">
        <v>1603420</v>
      </c>
      <c r="B1482">
        <v>2023</v>
      </c>
      <c r="C1482">
        <v>191</v>
      </c>
      <c r="D1482" t="s">
        <v>428</v>
      </c>
      <c r="E1482" t="s">
        <v>429</v>
      </c>
      <c r="F1482" t="s">
        <v>433</v>
      </c>
      <c r="G1482" t="s">
        <v>117</v>
      </c>
      <c r="H1482" t="s">
        <v>324</v>
      </c>
      <c r="I1482" s="5">
        <v>477663</v>
      </c>
      <c r="J1482">
        <f>IFERROR(VLOOKUP(G1482,'LEAID Match'!$A$2:$B$183,2,FALSE),"")</f>
        <v>1603420</v>
      </c>
      <c r="K1482">
        <f t="shared" si="23"/>
        <v>9</v>
      </c>
    </row>
    <row r="1483" spans="1:11" x14ac:dyDescent="0.2">
      <c r="A1483">
        <v>1603480</v>
      </c>
      <c r="B1483">
        <v>2015</v>
      </c>
      <c r="C1483">
        <v>194</v>
      </c>
      <c r="D1483" t="s">
        <v>428</v>
      </c>
      <c r="E1483" t="s">
        <v>429</v>
      </c>
      <c r="F1483" t="s">
        <v>433</v>
      </c>
      <c r="G1483" t="s">
        <v>119</v>
      </c>
      <c r="H1483" t="s">
        <v>119</v>
      </c>
      <c r="I1483" s="5">
        <v>177071</v>
      </c>
      <c r="J1483">
        <f>IFERROR(VLOOKUP(G1483,'LEAID Match'!$A$2:$B$183,2,FALSE),"")</f>
        <v>1603480</v>
      </c>
      <c r="K1483">
        <f t="shared" si="23"/>
        <v>9</v>
      </c>
    </row>
    <row r="1484" spans="1:11" x14ac:dyDescent="0.2">
      <c r="A1484">
        <v>1603480</v>
      </c>
      <c r="B1484">
        <v>2016</v>
      </c>
      <c r="C1484">
        <v>194</v>
      </c>
      <c r="D1484" t="s">
        <v>428</v>
      </c>
      <c r="E1484" t="s">
        <v>429</v>
      </c>
      <c r="F1484" t="s">
        <v>433</v>
      </c>
      <c r="G1484" t="s">
        <v>119</v>
      </c>
      <c r="H1484" t="s">
        <v>119</v>
      </c>
      <c r="I1484" s="5">
        <v>191176</v>
      </c>
      <c r="J1484">
        <f>IFERROR(VLOOKUP(G1484,'LEAID Match'!$A$2:$B$183,2,FALSE),"")</f>
        <v>1603480</v>
      </c>
      <c r="K1484">
        <f t="shared" si="23"/>
        <v>9</v>
      </c>
    </row>
    <row r="1485" spans="1:11" x14ac:dyDescent="0.2">
      <c r="A1485">
        <v>1603480</v>
      </c>
      <c r="B1485">
        <v>2017</v>
      </c>
      <c r="C1485">
        <v>194</v>
      </c>
      <c r="D1485" t="s">
        <v>428</v>
      </c>
      <c r="E1485" t="s">
        <v>429</v>
      </c>
      <c r="F1485" t="s">
        <v>433</v>
      </c>
      <c r="G1485" t="s">
        <v>119</v>
      </c>
      <c r="H1485" t="s">
        <v>119</v>
      </c>
      <c r="I1485" s="5">
        <v>207449</v>
      </c>
      <c r="J1485">
        <f>IFERROR(VLOOKUP(G1485,'LEAID Match'!$A$2:$B$183,2,FALSE),"")</f>
        <v>1603480</v>
      </c>
      <c r="K1485">
        <f t="shared" si="23"/>
        <v>9</v>
      </c>
    </row>
    <row r="1486" spans="1:11" x14ac:dyDescent="0.2">
      <c r="A1486">
        <v>1603480</v>
      </c>
      <c r="B1486">
        <v>2018</v>
      </c>
      <c r="C1486">
        <v>194</v>
      </c>
      <c r="D1486" t="s">
        <v>428</v>
      </c>
      <c r="E1486" t="s">
        <v>429</v>
      </c>
      <c r="F1486" t="s">
        <v>433</v>
      </c>
      <c r="G1486" t="s">
        <v>119</v>
      </c>
      <c r="H1486" t="s">
        <v>119</v>
      </c>
      <c r="I1486" s="5">
        <v>218946</v>
      </c>
      <c r="J1486">
        <f>IFERROR(VLOOKUP(G1486,'LEAID Match'!$A$2:$B$183,2,FALSE),"")</f>
        <v>1603480</v>
      </c>
      <c r="K1486">
        <f t="shared" si="23"/>
        <v>9</v>
      </c>
    </row>
    <row r="1487" spans="1:11" x14ac:dyDescent="0.2">
      <c r="A1487">
        <v>1603480</v>
      </c>
      <c r="B1487">
        <v>2019</v>
      </c>
      <c r="C1487">
        <v>194</v>
      </c>
      <c r="D1487" t="s">
        <v>428</v>
      </c>
      <c r="E1487" t="s">
        <v>429</v>
      </c>
      <c r="F1487" t="s">
        <v>433</v>
      </c>
      <c r="G1487" t="s">
        <v>119</v>
      </c>
      <c r="H1487" t="s">
        <v>326</v>
      </c>
      <c r="I1487" s="5">
        <v>225345</v>
      </c>
      <c r="J1487">
        <f>IFERROR(VLOOKUP(G1487,'LEAID Match'!$A$2:$B$183,2,FALSE),"")</f>
        <v>1603480</v>
      </c>
      <c r="K1487">
        <f t="shared" si="23"/>
        <v>9</v>
      </c>
    </row>
    <row r="1488" spans="1:11" x14ac:dyDescent="0.2">
      <c r="A1488">
        <v>1603480</v>
      </c>
      <c r="B1488">
        <v>2020</v>
      </c>
      <c r="C1488">
        <v>194</v>
      </c>
      <c r="D1488" t="s">
        <v>428</v>
      </c>
      <c r="E1488" t="s">
        <v>429</v>
      </c>
      <c r="F1488" t="s">
        <v>433</v>
      </c>
      <c r="G1488" t="s">
        <v>119</v>
      </c>
      <c r="H1488" t="s">
        <v>326</v>
      </c>
      <c r="I1488" s="5">
        <v>276926</v>
      </c>
      <c r="J1488">
        <f>IFERROR(VLOOKUP(G1488,'LEAID Match'!$A$2:$B$183,2,FALSE),"")</f>
        <v>1603480</v>
      </c>
      <c r="K1488">
        <f t="shared" si="23"/>
        <v>9</v>
      </c>
    </row>
    <row r="1489" spans="1:11" x14ac:dyDescent="0.2">
      <c r="A1489">
        <v>1603480</v>
      </c>
      <c r="B1489">
        <v>2021</v>
      </c>
      <c r="C1489">
        <v>194</v>
      </c>
      <c r="D1489" t="s">
        <v>428</v>
      </c>
      <c r="E1489" t="s">
        <v>429</v>
      </c>
      <c r="F1489" t="s">
        <v>433</v>
      </c>
      <c r="G1489" t="s">
        <v>119</v>
      </c>
      <c r="H1489" t="s">
        <v>119</v>
      </c>
      <c r="I1489" s="5">
        <v>281653</v>
      </c>
      <c r="J1489">
        <f>IFERROR(VLOOKUP(G1489,'LEAID Match'!$A$2:$B$183,2,FALSE),"")</f>
        <v>1603480</v>
      </c>
      <c r="K1489">
        <f t="shared" si="23"/>
        <v>9</v>
      </c>
    </row>
    <row r="1490" spans="1:11" x14ac:dyDescent="0.2">
      <c r="A1490">
        <v>1603480</v>
      </c>
      <c r="B1490">
        <v>2022</v>
      </c>
      <c r="C1490">
        <v>194</v>
      </c>
      <c r="D1490" t="s">
        <v>428</v>
      </c>
      <c r="E1490" t="s">
        <v>429</v>
      </c>
      <c r="F1490" t="s">
        <v>433</v>
      </c>
      <c r="G1490" t="s">
        <v>119</v>
      </c>
      <c r="H1490" t="s">
        <v>326</v>
      </c>
      <c r="I1490" s="5">
        <v>321688</v>
      </c>
      <c r="J1490">
        <f>IFERROR(VLOOKUP(G1490,'LEAID Match'!$A$2:$B$183,2,FALSE),"")</f>
        <v>1603480</v>
      </c>
      <c r="K1490">
        <f t="shared" si="23"/>
        <v>9</v>
      </c>
    </row>
    <row r="1491" spans="1:11" x14ac:dyDescent="0.2">
      <c r="A1491">
        <v>1603480</v>
      </c>
      <c r="B1491">
        <v>2023</v>
      </c>
      <c r="C1491">
        <v>194</v>
      </c>
      <c r="D1491" t="s">
        <v>428</v>
      </c>
      <c r="E1491" t="s">
        <v>429</v>
      </c>
      <c r="F1491" t="s">
        <v>433</v>
      </c>
      <c r="G1491" t="s">
        <v>119</v>
      </c>
      <c r="H1491" t="s">
        <v>326</v>
      </c>
      <c r="I1491" s="5">
        <v>384105</v>
      </c>
      <c r="J1491">
        <f>IFERROR(VLOOKUP(G1491,'LEAID Match'!$A$2:$B$183,2,FALSE),"")</f>
        <v>1603480</v>
      </c>
      <c r="K1491">
        <f t="shared" si="23"/>
        <v>9</v>
      </c>
    </row>
    <row r="1492" spans="1:11" x14ac:dyDescent="0.2">
      <c r="A1492">
        <v>1603511</v>
      </c>
      <c r="B1492">
        <v>2015</v>
      </c>
      <c r="C1492">
        <v>204</v>
      </c>
      <c r="D1492" t="s">
        <v>428</v>
      </c>
      <c r="E1492" t="s">
        <v>429</v>
      </c>
      <c r="F1492" t="s">
        <v>433</v>
      </c>
      <c r="G1492" t="s">
        <v>136</v>
      </c>
      <c r="H1492" t="s">
        <v>136</v>
      </c>
      <c r="I1492" s="5">
        <v>553850</v>
      </c>
      <c r="J1492">
        <f>IFERROR(VLOOKUP(G1492,'LEAID Match'!$A$2:$B$183,2,FALSE),"")</f>
        <v>1603511</v>
      </c>
      <c r="K1492">
        <f t="shared" si="23"/>
        <v>9</v>
      </c>
    </row>
    <row r="1493" spans="1:11" x14ac:dyDescent="0.2">
      <c r="A1493">
        <v>1603511</v>
      </c>
      <c r="B1493">
        <v>2016</v>
      </c>
      <c r="C1493">
        <v>204</v>
      </c>
      <c r="D1493" t="s">
        <v>428</v>
      </c>
      <c r="E1493" t="s">
        <v>429</v>
      </c>
      <c r="F1493" t="s">
        <v>433</v>
      </c>
      <c r="G1493" t="s">
        <v>136</v>
      </c>
      <c r="H1493" t="s">
        <v>136</v>
      </c>
      <c r="I1493" s="5">
        <v>564525</v>
      </c>
      <c r="J1493">
        <f>IFERROR(VLOOKUP(G1493,'LEAID Match'!$A$2:$B$183,2,FALSE),"")</f>
        <v>1603511</v>
      </c>
      <c r="K1493">
        <f t="shared" si="23"/>
        <v>9</v>
      </c>
    </row>
    <row r="1494" spans="1:11" x14ac:dyDescent="0.2">
      <c r="A1494">
        <v>1603511</v>
      </c>
      <c r="B1494">
        <v>2017</v>
      </c>
      <c r="C1494">
        <v>204</v>
      </c>
      <c r="D1494" t="s">
        <v>428</v>
      </c>
      <c r="E1494" t="s">
        <v>429</v>
      </c>
      <c r="F1494" t="s">
        <v>433</v>
      </c>
      <c r="G1494" t="s">
        <v>136</v>
      </c>
      <c r="H1494" t="s">
        <v>136</v>
      </c>
      <c r="I1494" s="5">
        <v>602797</v>
      </c>
      <c r="J1494">
        <f>IFERROR(VLOOKUP(G1494,'LEAID Match'!$A$2:$B$183,2,FALSE),"")</f>
        <v>1603511</v>
      </c>
      <c r="K1494">
        <f t="shared" si="23"/>
        <v>9</v>
      </c>
    </row>
    <row r="1495" spans="1:11" x14ac:dyDescent="0.2">
      <c r="A1495">
        <v>1603511</v>
      </c>
      <c r="B1495">
        <v>2018</v>
      </c>
      <c r="C1495">
        <v>204</v>
      </c>
      <c r="D1495" t="s">
        <v>428</v>
      </c>
      <c r="E1495" t="s">
        <v>429</v>
      </c>
      <c r="F1495" t="s">
        <v>433</v>
      </c>
      <c r="G1495" t="s">
        <v>136</v>
      </c>
      <c r="H1495" t="s">
        <v>420</v>
      </c>
      <c r="I1495" s="5">
        <v>685460</v>
      </c>
      <c r="J1495">
        <f>IFERROR(VLOOKUP(G1495,'LEAID Match'!$A$2:$B$183,2,FALSE),"")</f>
        <v>1603511</v>
      </c>
      <c r="K1495">
        <f t="shared" si="23"/>
        <v>9</v>
      </c>
    </row>
    <row r="1496" spans="1:11" x14ac:dyDescent="0.2">
      <c r="A1496">
        <v>1603511</v>
      </c>
      <c r="B1496">
        <v>2019</v>
      </c>
      <c r="C1496">
        <v>204</v>
      </c>
      <c r="D1496" t="s">
        <v>428</v>
      </c>
      <c r="E1496" t="s">
        <v>429</v>
      </c>
      <c r="F1496" t="s">
        <v>433</v>
      </c>
      <c r="G1496" t="s">
        <v>136</v>
      </c>
      <c r="H1496" t="s">
        <v>421</v>
      </c>
      <c r="I1496" s="5">
        <v>711726</v>
      </c>
      <c r="J1496">
        <f>IFERROR(VLOOKUP(G1496,'LEAID Match'!$A$2:$B$183,2,FALSE),"")</f>
        <v>1603511</v>
      </c>
      <c r="K1496">
        <f t="shared" si="23"/>
        <v>9</v>
      </c>
    </row>
    <row r="1497" spans="1:11" x14ac:dyDescent="0.2">
      <c r="A1497">
        <v>1603511</v>
      </c>
      <c r="B1497">
        <v>2020</v>
      </c>
      <c r="C1497">
        <v>204</v>
      </c>
      <c r="D1497" t="s">
        <v>428</v>
      </c>
      <c r="E1497" t="s">
        <v>429</v>
      </c>
      <c r="F1497" t="s">
        <v>433</v>
      </c>
      <c r="G1497" t="s">
        <v>136</v>
      </c>
      <c r="H1497" t="s">
        <v>422</v>
      </c>
      <c r="I1497" s="5">
        <v>798999</v>
      </c>
      <c r="J1497">
        <f>IFERROR(VLOOKUP(G1497,'LEAID Match'!$A$2:$B$183,2,FALSE),"")</f>
        <v>1603511</v>
      </c>
      <c r="K1497">
        <f t="shared" si="23"/>
        <v>9</v>
      </c>
    </row>
    <row r="1498" spans="1:11" x14ac:dyDescent="0.2">
      <c r="A1498">
        <v>1603511</v>
      </c>
      <c r="B1498">
        <v>2021</v>
      </c>
      <c r="C1498">
        <v>204</v>
      </c>
      <c r="D1498" t="s">
        <v>428</v>
      </c>
      <c r="E1498" t="s">
        <v>429</v>
      </c>
      <c r="F1498" t="s">
        <v>433</v>
      </c>
      <c r="G1498" t="s">
        <v>136</v>
      </c>
      <c r="H1498" t="s">
        <v>422</v>
      </c>
      <c r="I1498" s="5">
        <v>818323</v>
      </c>
      <c r="J1498">
        <f>IFERROR(VLOOKUP(G1498,'LEAID Match'!$A$2:$B$183,2,FALSE),"")</f>
        <v>1603511</v>
      </c>
      <c r="K1498">
        <f t="shared" si="23"/>
        <v>9</v>
      </c>
    </row>
    <row r="1499" spans="1:11" x14ac:dyDescent="0.2">
      <c r="A1499">
        <v>1603511</v>
      </c>
      <c r="B1499">
        <v>2022</v>
      </c>
      <c r="C1499">
        <v>204</v>
      </c>
      <c r="D1499" t="s">
        <v>428</v>
      </c>
      <c r="E1499" t="s">
        <v>429</v>
      </c>
      <c r="F1499" t="s">
        <v>433</v>
      </c>
      <c r="G1499" t="s">
        <v>136</v>
      </c>
      <c r="H1499" t="s">
        <v>422</v>
      </c>
      <c r="I1499" s="5">
        <v>881133</v>
      </c>
      <c r="J1499">
        <f>IFERROR(VLOOKUP(G1499,'LEAID Match'!$A$2:$B$183,2,FALSE),"")</f>
        <v>1603511</v>
      </c>
      <c r="K1499">
        <f t="shared" si="23"/>
        <v>9</v>
      </c>
    </row>
    <row r="1500" spans="1:11" x14ac:dyDescent="0.2">
      <c r="A1500">
        <v>1603511</v>
      </c>
      <c r="B1500">
        <v>2023</v>
      </c>
      <c r="C1500">
        <v>204</v>
      </c>
      <c r="D1500" t="s">
        <v>428</v>
      </c>
      <c r="E1500" t="s">
        <v>429</v>
      </c>
      <c r="F1500" t="s">
        <v>433</v>
      </c>
      <c r="G1500" t="s">
        <v>136</v>
      </c>
      <c r="H1500" t="s">
        <v>422</v>
      </c>
      <c r="I1500" s="5">
        <v>955609</v>
      </c>
      <c r="J1500">
        <f>IFERROR(VLOOKUP(G1500,'LEAID Match'!$A$2:$B$183,2,FALSE),"")</f>
        <v>1603511</v>
      </c>
      <c r="K1500">
        <f t="shared" si="23"/>
        <v>9</v>
      </c>
    </row>
    <row r="1501" spans="1:11" x14ac:dyDescent="0.2">
      <c r="A1501" t="s">
        <v>435</v>
      </c>
      <c r="B1501">
        <v>2015</v>
      </c>
      <c r="C1501">
        <v>85</v>
      </c>
      <c r="D1501" t="s">
        <v>428</v>
      </c>
      <c r="E1501" t="s">
        <v>429</v>
      </c>
      <c r="F1501" t="s">
        <v>433</v>
      </c>
      <c r="G1501" t="s">
        <v>145</v>
      </c>
      <c r="H1501" t="s">
        <v>145</v>
      </c>
      <c r="I1501" s="5">
        <v>173945</v>
      </c>
      <c r="J1501" t="str">
        <f>IFERROR(VLOOKUP(G1501,'LEAID Match'!$A$2:$B$183,2,FALSE),"")</f>
        <v/>
      </c>
      <c r="K1501">
        <f t="shared" si="23"/>
        <v>151</v>
      </c>
    </row>
    <row r="1502" spans="1:11" x14ac:dyDescent="0.2">
      <c r="A1502" t="s">
        <v>435</v>
      </c>
      <c r="B1502">
        <v>2015</v>
      </c>
      <c r="C1502">
        <v>78</v>
      </c>
      <c r="D1502" t="s">
        <v>428</v>
      </c>
      <c r="E1502" t="s">
        <v>429</v>
      </c>
      <c r="F1502" t="s">
        <v>433</v>
      </c>
      <c r="G1502" t="s">
        <v>134</v>
      </c>
      <c r="H1502" t="s">
        <v>134</v>
      </c>
      <c r="I1502" s="5">
        <v>35466</v>
      </c>
      <c r="J1502" t="str">
        <f>IFERROR(VLOOKUP(G1502,'LEAID Match'!$A$2:$B$183,2,FALSE),"")</f>
        <v/>
      </c>
      <c r="K1502">
        <f t="shared" si="23"/>
        <v>151</v>
      </c>
    </row>
    <row r="1503" spans="1:11" x14ac:dyDescent="0.2">
      <c r="A1503" t="s">
        <v>435</v>
      </c>
      <c r="B1503">
        <v>2015</v>
      </c>
      <c r="C1503">
        <v>109</v>
      </c>
      <c r="D1503" t="s">
        <v>428</v>
      </c>
      <c r="E1503" t="s">
        <v>429</v>
      </c>
      <c r="F1503" t="s">
        <v>433</v>
      </c>
      <c r="G1503" t="s">
        <v>150</v>
      </c>
      <c r="H1503" t="s">
        <v>150</v>
      </c>
      <c r="I1503" s="5">
        <v>114632</v>
      </c>
      <c r="J1503" t="str">
        <f>IFERROR(VLOOKUP(G1503,'LEAID Match'!$A$2:$B$183,2,FALSE),"")</f>
        <v/>
      </c>
      <c r="K1503">
        <f t="shared" si="23"/>
        <v>151</v>
      </c>
    </row>
    <row r="1504" spans="1:11" x14ac:dyDescent="0.2">
      <c r="A1504" t="s">
        <v>435</v>
      </c>
      <c r="B1504">
        <v>2015</v>
      </c>
      <c r="C1504">
        <v>110</v>
      </c>
      <c r="D1504" t="s">
        <v>428</v>
      </c>
      <c r="E1504" t="s">
        <v>429</v>
      </c>
      <c r="F1504" t="s">
        <v>433</v>
      </c>
      <c r="G1504" t="s">
        <v>151</v>
      </c>
      <c r="H1504" t="s">
        <v>151</v>
      </c>
      <c r="I1504" s="5">
        <v>113341</v>
      </c>
      <c r="J1504" t="str">
        <f>IFERROR(VLOOKUP(G1504,'LEAID Match'!$A$2:$B$183,2,FALSE),"")</f>
        <v/>
      </c>
      <c r="K1504">
        <f t="shared" si="23"/>
        <v>151</v>
      </c>
    </row>
    <row r="1505" spans="1:11" x14ac:dyDescent="0.2">
      <c r="A1505" t="s">
        <v>435</v>
      </c>
      <c r="B1505">
        <v>2015</v>
      </c>
      <c r="C1505">
        <v>116</v>
      </c>
      <c r="D1505" t="s">
        <v>428</v>
      </c>
      <c r="E1505" t="s">
        <v>429</v>
      </c>
      <c r="F1505" t="s">
        <v>433</v>
      </c>
      <c r="G1505" t="s">
        <v>153</v>
      </c>
      <c r="H1505" t="s">
        <v>153</v>
      </c>
      <c r="I1505" s="5">
        <v>51595</v>
      </c>
      <c r="J1505" t="str">
        <f>IFERROR(VLOOKUP(G1505,'LEAID Match'!$A$2:$B$183,2,FALSE),"")</f>
        <v/>
      </c>
      <c r="K1505">
        <f t="shared" si="23"/>
        <v>151</v>
      </c>
    </row>
    <row r="1506" spans="1:11" x14ac:dyDescent="0.2">
      <c r="A1506" t="s">
        <v>435</v>
      </c>
      <c r="B1506">
        <v>2015</v>
      </c>
      <c r="C1506">
        <v>151</v>
      </c>
      <c r="D1506" t="s">
        <v>428</v>
      </c>
      <c r="E1506" t="s">
        <v>429</v>
      </c>
      <c r="F1506" t="s">
        <v>433</v>
      </c>
      <c r="G1506" t="s">
        <v>187</v>
      </c>
      <c r="H1506" t="s">
        <v>91</v>
      </c>
      <c r="I1506" s="5">
        <v>1691475</v>
      </c>
      <c r="J1506" t="str">
        <f>IFERROR(VLOOKUP(G1506,'LEAID Match'!$A$2:$B$183,2,FALSE),"")</f>
        <v/>
      </c>
      <c r="K1506">
        <f t="shared" si="23"/>
        <v>151</v>
      </c>
    </row>
    <row r="1507" spans="1:11" x14ac:dyDescent="0.2">
      <c r="A1507" t="s">
        <v>435</v>
      </c>
      <c r="B1507">
        <v>2015</v>
      </c>
      <c r="C1507">
        <v>188</v>
      </c>
      <c r="D1507" t="s">
        <v>428</v>
      </c>
      <c r="E1507" t="s">
        <v>429</v>
      </c>
      <c r="F1507" t="s">
        <v>433</v>
      </c>
      <c r="G1507" t="s">
        <v>114</v>
      </c>
      <c r="H1507" t="s">
        <v>114</v>
      </c>
      <c r="I1507" s="5">
        <v>14032047</v>
      </c>
      <c r="J1507" t="str">
        <f>IFERROR(VLOOKUP(G1507,'LEAID Match'!$A$2:$B$183,2,FALSE),"")</f>
        <v/>
      </c>
      <c r="K1507">
        <f t="shared" si="23"/>
        <v>151</v>
      </c>
    </row>
    <row r="1508" spans="1:11" x14ac:dyDescent="0.2">
      <c r="A1508" t="s">
        <v>435</v>
      </c>
      <c r="B1508">
        <v>2015</v>
      </c>
      <c r="C1508">
        <v>199</v>
      </c>
      <c r="D1508" t="s">
        <v>428</v>
      </c>
      <c r="E1508" t="s">
        <v>429</v>
      </c>
      <c r="F1508" t="s">
        <v>433</v>
      </c>
      <c r="G1508" t="s">
        <v>133</v>
      </c>
      <c r="H1508" t="s">
        <v>133</v>
      </c>
      <c r="I1508" s="5">
        <v>22502</v>
      </c>
      <c r="J1508" t="str">
        <f>IFERROR(VLOOKUP(G1508,'LEAID Match'!$A$2:$B$183,2,FALSE),"")</f>
        <v/>
      </c>
      <c r="K1508">
        <f t="shared" si="23"/>
        <v>151</v>
      </c>
    </row>
    <row r="1509" spans="1:11" x14ac:dyDescent="0.2">
      <c r="A1509" t="s">
        <v>435</v>
      </c>
      <c r="B1509">
        <v>2015</v>
      </c>
      <c r="C1509">
        <v>200</v>
      </c>
      <c r="D1509" t="s">
        <v>428</v>
      </c>
      <c r="E1509" t="s">
        <v>429</v>
      </c>
      <c r="F1509" t="s">
        <v>433</v>
      </c>
      <c r="G1509" t="s">
        <v>141</v>
      </c>
      <c r="H1509" t="s">
        <v>141</v>
      </c>
      <c r="I1509" s="5">
        <v>6461</v>
      </c>
      <c r="J1509" t="str">
        <f>IFERROR(VLOOKUP(G1509,'LEAID Match'!$A$2:$B$183,2,FALSE),"")</f>
        <v/>
      </c>
      <c r="K1509">
        <f t="shared" si="23"/>
        <v>151</v>
      </c>
    </row>
    <row r="1510" spans="1:11" x14ac:dyDescent="0.2">
      <c r="A1510" t="s">
        <v>435</v>
      </c>
      <c r="B1510">
        <v>2015</v>
      </c>
      <c r="C1510">
        <v>201</v>
      </c>
      <c r="D1510" t="s">
        <v>428</v>
      </c>
      <c r="E1510" t="s">
        <v>429</v>
      </c>
      <c r="F1510" t="s">
        <v>433</v>
      </c>
      <c r="G1510" t="s">
        <v>140</v>
      </c>
      <c r="H1510" t="s">
        <v>140</v>
      </c>
      <c r="I1510" s="5">
        <v>45002</v>
      </c>
      <c r="J1510" t="str">
        <f>IFERROR(VLOOKUP(G1510,'LEAID Match'!$A$2:$B$183,2,FALSE),"")</f>
        <v/>
      </c>
      <c r="K1510">
        <f t="shared" si="23"/>
        <v>151</v>
      </c>
    </row>
    <row r="1511" spans="1:11" x14ac:dyDescent="0.2">
      <c r="A1511" t="s">
        <v>435</v>
      </c>
      <c r="B1511">
        <v>2015</v>
      </c>
      <c r="C1511">
        <v>202</v>
      </c>
      <c r="D1511" t="s">
        <v>428</v>
      </c>
      <c r="E1511" t="s">
        <v>429</v>
      </c>
      <c r="F1511" t="s">
        <v>433</v>
      </c>
      <c r="G1511" t="s">
        <v>139</v>
      </c>
      <c r="H1511" t="s">
        <v>139</v>
      </c>
      <c r="I1511" s="5">
        <v>212254</v>
      </c>
      <c r="J1511" t="str">
        <f>IFERROR(VLOOKUP(G1511,'LEAID Match'!$A$2:$B$183,2,FALSE),"")</f>
        <v/>
      </c>
      <c r="K1511">
        <f t="shared" si="23"/>
        <v>151</v>
      </c>
    </row>
    <row r="1512" spans="1:11" x14ac:dyDescent="0.2">
      <c r="A1512" t="s">
        <v>435</v>
      </c>
      <c r="B1512">
        <v>2015</v>
      </c>
      <c r="C1512">
        <v>206</v>
      </c>
      <c r="D1512" t="s">
        <v>428</v>
      </c>
      <c r="E1512" t="s">
        <v>429</v>
      </c>
      <c r="F1512" t="s">
        <v>433</v>
      </c>
      <c r="G1512" t="s">
        <v>120</v>
      </c>
      <c r="H1512" t="s">
        <v>120</v>
      </c>
      <c r="I1512" s="5">
        <v>84765</v>
      </c>
      <c r="J1512" t="str">
        <f>IFERROR(VLOOKUP(G1512,'LEAID Match'!$A$2:$B$183,2,FALSE),"")</f>
        <v/>
      </c>
      <c r="K1512">
        <f t="shared" si="23"/>
        <v>151</v>
      </c>
    </row>
    <row r="1513" spans="1:11" x14ac:dyDescent="0.2">
      <c r="A1513" t="s">
        <v>435</v>
      </c>
      <c r="B1513">
        <v>2015</v>
      </c>
      <c r="C1513">
        <v>207</v>
      </c>
      <c r="D1513" t="s">
        <v>428</v>
      </c>
      <c r="E1513" t="s">
        <v>429</v>
      </c>
      <c r="F1513" t="s">
        <v>433</v>
      </c>
      <c r="G1513" t="s">
        <v>419</v>
      </c>
      <c r="H1513" t="s">
        <v>418</v>
      </c>
      <c r="I1513" s="5">
        <v>85383</v>
      </c>
      <c r="J1513" t="str">
        <f>IFERROR(VLOOKUP(G1513,'LEAID Match'!$A$2:$B$183,2,FALSE),"")</f>
        <v/>
      </c>
      <c r="K1513">
        <f t="shared" si="23"/>
        <v>151</v>
      </c>
    </row>
    <row r="1514" spans="1:11" x14ac:dyDescent="0.2">
      <c r="A1514" t="s">
        <v>435</v>
      </c>
      <c r="B1514">
        <v>2016</v>
      </c>
      <c r="C1514">
        <v>85</v>
      </c>
      <c r="D1514" t="s">
        <v>428</v>
      </c>
      <c r="E1514" t="s">
        <v>429</v>
      </c>
      <c r="F1514" t="s">
        <v>433</v>
      </c>
      <c r="G1514" t="s">
        <v>145</v>
      </c>
      <c r="H1514" t="s">
        <v>145</v>
      </c>
      <c r="I1514" s="5">
        <v>189403</v>
      </c>
      <c r="J1514" t="str">
        <f>IFERROR(VLOOKUP(G1514,'LEAID Match'!$A$2:$B$183,2,FALSE),"")</f>
        <v/>
      </c>
      <c r="K1514">
        <f t="shared" si="23"/>
        <v>151</v>
      </c>
    </row>
    <row r="1515" spans="1:11" x14ac:dyDescent="0.2">
      <c r="A1515" t="s">
        <v>435</v>
      </c>
      <c r="B1515">
        <v>2016</v>
      </c>
      <c r="C1515">
        <v>38</v>
      </c>
      <c r="D1515" t="s">
        <v>428</v>
      </c>
      <c r="E1515" t="s">
        <v>429</v>
      </c>
      <c r="F1515" t="s">
        <v>433</v>
      </c>
      <c r="G1515" t="s">
        <v>178</v>
      </c>
      <c r="H1515" t="s">
        <v>178</v>
      </c>
      <c r="I1515" s="5">
        <v>1595498</v>
      </c>
      <c r="J1515" t="str">
        <f>IFERROR(VLOOKUP(G1515,'LEAID Match'!$A$2:$B$183,2,FALSE),"")</f>
        <v/>
      </c>
      <c r="K1515">
        <f t="shared" si="23"/>
        <v>151</v>
      </c>
    </row>
    <row r="1516" spans="1:11" x14ac:dyDescent="0.2">
      <c r="A1516" t="s">
        <v>435</v>
      </c>
      <c r="B1516">
        <v>2016</v>
      </c>
      <c r="C1516">
        <v>39</v>
      </c>
      <c r="D1516" t="s">
        <v>428</v>
      </c>
      <c r="E1516" t="s">
        <v>429</v>
      </c>
      <c r="F1516" t="s">
        <v>433</v>
      </c>
      <c r="G1516" t="s">
        <v>179</v>
      </c>
      <c r="H1516" t="s">
        <v>179</v>
      </c>
      <c r="I1516" s="5">
        <v>485748</v>
      </c>
      <c r="J1516" t="str">
        <f>IFERROR(VLOOKUP(G1516,'LEAID Match'!$A$2:$B$183,2,FALSE),"")</f>
        <v/>
      </c>
      <c r="K1516">
        <f t="shared" si="23"/>
        <v>151</v>
      </c>
    </row>
    <row r="1517" spans="1:11" x14ac:dyDescent="0.2">
      <c r="A1517" t="s">
        <v>435</v>
      </c>
      <c r="B1517">
        <v>2016</v>
      </c>
      <c r="C1517">
        <v>78</v>
      </c>
      <c r="D1517" t="s">
        <v>428</v>
      </c>
      <c r="E1517" t="s">
        <v>429</v>
      </c>
      <c r="F1517" t="s">
        <v>433</v>
      </c>
      <c r="G1517" t="s">
        <v>134</v>
      </c>
      <c r="H1517" t="s">
        <v>181</v>
      </c>
      <c r="I1517" s="5">
        <v>35296</v>
      </c>
      <c r="J1517" t="str">
        <f>IFERROR(VLOOKUP(G1517,'LEAID Match'!$A$2:$B$183,2,FALSE),"")</f>
        <v/>
      </c>
      <c r="K1517">
        <f t="shared" si="23"/>
        <v>151</v>
      </c>
    </row>
    <row r="1518" spans="1:11" x14ac:dyDescent="0.2">
      <c r="A1518" t="s">
        <v>435</v>
      </c>
      <c r="B1518">
        <v>2016</v>
      </c>
      <c r="C1518">
        <v>109</v>
      </c>
      <c r="D1518" t="s">
        <v>428</v>
      </c>
      <c r="E1518" t="s">
        <v>429</v>
      </c>
      <c r="F1518" t="s">
        <v>433</v>
      </c>
      <c r="G1518" t="s">
        <v>150</v>
      </c>
      <c r="H1518" t="s">
        <v>150</v>
      </c>
      <c r="I1518" s="5">
        <v>114135</v>
      </c>
      <c r="J1518" t="str">
        <f>IFERROR(VLOOKUP(G1518,'LEAID Match'!$A$2:$B$183,2,FALSE),"")</f>
        <v/>
      </c>
      <c r="K1518">
        <f t="shared" si="23"/>
        <v>151</v>
      </c>
    </row>
    <row r="1519" spans="1:11" x14ac:dyDescent="0.2">
      <c r="A1519" t="s">
        <v>435</v>
      </c>
      <c r="B1519">
        <v>2016</v>
      </c>
      <c r="C1519">
        <v>110</v>
      </c>
      <c r="D1519" t="s">
        <v>428</v>
      </c>
      <c r="E1519" t="s">
        <v>429</v>
      </c>
      <c r="F1519" t="s">
        <v>433</v>
      </c>
      <c r="G1519" t="s">
        <v>151</v>
      </c>
      <c r="H1519" t="s">
        <v>151</v>
      </c>
      <c r="I1519" s="5">
        <v>108780</v>
      </c>
      <c r="J1519" t="str">
        <f>IFERROR(VLOOKUP(G1519,'LEAID Match'!$A$2:$B$183,2,FALSE),"")</f>
        <v/>
      </c>
      <c r="K1519">
        <f t="shared" si="23"/>
        <v>151</v>
      </c>
    </row>
    <row r="1520" spans="1:11" x14ac:dyDescent="0.2">
      <c r="A1520" t="s">
        <v>435</v>
      </c>
      <c r="B1520">
        <v>2016</v>
      </c>
      <c r="C1520">
        <v>116</v>
      </c>
      <c r="D1520" t="s">
        <v>428</v>
      </c>
      <c r="E1520" t="s">
        <v>429</v>
      </c>
      <c r="F1520" t="s">
        <v>433</v>
      </c>
      <c r="G1520" t="s">
        <v>153</v>
      </c>
      <c r="H1520" t="s">
        <v>153</v>
      </c>
      <c r="I1520" s="5">
        <v>58893</v>
      </c>
      <c r="J1520" t="str">
        <f>IFERROR(VLOOKUP(G1520,'LEAID Match'!$A$2:$B$183,2,FALSE),"")</f>
        <v/>
      </c>
      <c r="K1520">
        <f t="shared" si="23"/>
        <v>151</v>
      </c>
    </row>
    <row r="1521" spans="1:11" x14ac:dyDescent="0.2">
      <c r="A1521" t="s">
        <v>435</v>
      </c>
      <c r="B1521">
        <v>2016</v>
      </c>
      <c r="C1521">
        <v>127</v>
      </c>
      <c r="D1521" t="s">
        <v>428</v>
      </c>
      <c r="E1521" t="s">
        <v>429</v>
      </c>
      <c r="F1521" t="s">
        <v>433</v>
      </c>
      <c r="G1521" t="s">
        <v>184</v>
      </c>
      <c r="H1521" t="s">
        <v>184</v>
      </c>
      <c r="I1521" s="5">
        <v>1141405</v>
      </c>
      <c r="J1521" t="str">
        <f>IFERROR(VLOOKUP(G1521,'LEAID Match'!$A$2:$B$183,2,FALSE),"")</f>
        <v/>
      </c>
      <c r="K1521">
        <f t="shared" si="23"/>
        <v>151</v>
      </c>
    </row>
    <row r="1522" spans="1:11" x14ac:dyDescent="0.2">
      <c r="A1522" t="s">
        <v>435</v>
      </c>
      <c r="B1522">
        <v>2016</v>
      </c>
      <c r="C1522">
        <v>151</v>
      </c>
      <c r="D1522" t="s">
        <v>428</v>
      </c>
      <c r="E1522" t="s">
        <v>429</v>
      </c>
      <c r="F1522" t="s">
        <v>433</v>
      </c>
      <c r="G1522" t="s">
        <v>187</v>
      </c>
      <c r="H1522" t="s">
        <v>187</v>
      </c>
      <c r="I1522" s="5">
        <v>1809633</v>
      </c>
      <c r="J1522" t="str">
        <f>IFERROR(VLOOKUP(G1522,'LEAID Match'!$A$2:$B$183,2,FALSE),"")</f>
        <v/>
      </c>
      <c r="K1522">
        <f t="shared" si="23"/>
        <v>151</v>
      </c>
    </row>
    <row r="1523" spans="1:11" x14ac:dyDescent="0.2">
      <c r="A1523" t="s">
        <v>435</v>
      </c>
      <c r="B1523">
        <v>2016</v>
      </c>
      <c r="C1523">
        <v>188</v>
      </c>
      <c r="D1523" t="s">
        <v>428</v>
      </c>
      <c r="E1523" t="s">
        <v>429</v>
      </c>
      <c r="F1523" t="s">
        <v>433</v>
      </c>
      <c r="G1523" t="s">
        <v>114</v>
      </c>
      <c r="H1523" t="s">
        <v>114</v>
      </c>
      <c r="I1523" s="5">
        <v>14742871</v>
      </c>
      <c r="J1523" t="str">
        <f>IFERROR(VLOOKUP(G1523,'LEAID Match'!$A$2:$B$183,2,FALSE),"")</f>
        <v/>
      </c>
      <c r="K1523">
        <f t="shared" si="23"/>
        <v>151</v>
      </c>
    </row>
    <row r="1524" spans="1:11" x14ac:dyDescent="0.2">
      <c r="A1524" t="s">
        <v>435</v>
      </c>
      <c r="B1524">
        <v>2016</v>
      </c>
      <c r="C1524">
        <v>199</v>
      </c>
      <c r="D1524" t="s">
        <v>428</v>
      </c>
      <c r="E1524" t="s">
        <v>429</v>
      </c>
      <c r="F1524" t="s">
        <v>433</v>
      </c>
      <c r="G1524" t="s">
        <v>133</v>
      </c>
      <c r="H1524" t="s">
        <v>180</v>
      </c>
      <c r="I1524" s="5">
        <v>23379</v>
      </c>
      <c r="J1524" t="str">
        <f>IFERROR(VLOOKUP(G1524,'LEAID Match'!$A$2:$B$183,2,FALSE),"")</f>
        <v/>
      </c>
      <c r="K1524">
        <f t="shared" si="23"/>
        <v>151</v>
      </c>
    </row>
    <row r="1525" spans="1:11" x14ac:dyDescent="0.2">
      <c r="A1525" t="s">
        <v>435</v>
      </c>
      <c r="B1525">
        <v>2016</v>
      </c>
      <c r="C1525">
        <v>200</v>
      </c>
      <c r="D1525" t="s">
        <v>428</v>
      </c>
      <c r="E1525" t="s">
        <v>429</v>
      </c>
      <c r="F1525" t="s">
        <v>433</v>
      </c>
      <c r="G1525" t="s">
        <v>141</v>
      </c>
      <c r="H1525" t="s">
        <v>141</v>
      </c>
      <c r="I1525" s="5">
        <v>13867</v>
      </c>
      <c r="J1525" t="str">
        <f>IFERROR(VLOOKUP(G1525,'LEAID Match'!$A$2:$B$183,2,FALSE),"")</f>
        <v/>
      </c>
      <c r="K1525">
        <f t="shared" si="23"/>
        <v>151</v>
      </c>
    </row>
    <row r="1526" spans="1:11" x14ac:dyDescent="0.2">
      <c r="A1526" t="s">
        <v>435</v>
      </c>
      <c r="B1526">
        <v>2016</v>
      </c>
      <c r="C1526">
        <v>201</v>
      </c>
      <c r="D1526" t="s">
        <v>428</v>
      </c>
      <c r="E1526" t="s">
        <v>429</v>
      </c>
      <c r="F1526" t="s">
        <v>433</v>
      </c>
      <c r="G1526" t="s">
        <v>140</v>
      </c>
      <c r="H1526" t="s">
        <v>140</v>
      </c>
      <c r="I1526" s="5">
        <v>51388</v>
      </c>
      <c r="J1526" t="str">
        <f>IFERROR(VLOOKUP(G1526,'LEAID Match'!$A$2:$B$183,2,FALSE),"")</f>
        <v/>
      </c>
      <c r="K1526">
        <f t="shared" si="23"/>
        <v>151</v>
      </c>
    </row>
    <row r="1527" spans="1:11" x14ac:dyDescent="0.2">
      <c r="A1527" t="s">
        <v>435</v>
      </c>
      <c r="B1527">
        <v>2016</v>
      </c>
      <c r="C1527">
        <v>202</v>
      </c>
      <c r="D1527" t="s">
        <v>428</v>
      </c>
      <c r="E1527" t="s">
        <v>429</v>
      </c>
      <c r="F1527" t="s">
        <v>433</v>
      </c>
      <c r="G1527" t="s">
        <v>139</v>
      </c>
      <c r="H1527" t="s">
        <v>139</v>
      </c>
      <c r="I1527" s="5">
        <v>211814</v>
      </c>
      <c r="J1527" t="str">
        <f>IFERROR(VLOOKUP(G1527,'LEAID Match'!$A$2:$B$183,2,FALSE),"")</f>
        <v/>
      </c>
      <c r="K1527">
        <f t="shared" si="23"/>
        <v>151</v>
      </c>
    </row>
    <row r="1528" spans="1:11" x14ac:dyDescent="0.2">
      <c r="A1528" t="s">
        <v>435</v>
      </c>
      <c r="B1528">
        <v>2016</v>
      </c>
      <c r="C1528">
        <v>206</v>
      </c>
      <c r="D1528" t="s">
        <v>428</v>
      </c>
      <c r="E1528" t="s">
        <v>429</v>
      </c>
      <c r="F1528" t="s">
        <v>433</v>
      </c>
      <c r="G1528" t="s">
        <v>120</v>
      </c>
      <c r="H1528" t="s">
        <v>120</v>
      </c>
      <c r="I1528" s="5">
        <v>127111</v>
      </c>
      <c r="J1528" t="str">
        <f>IFERROR(VLOOKUP(G1528,'LEAID Match'!$A$2:$B$183,2,FALSE),"")</f>
        <v/>
      </c>
      <c r="K1528">
        <f t="shared" si="23"/>
        <v>151</v>
      </c>
    </row>
    <row r="1529" spans="1:11" x14ac:dyDescent="0.2">
      <c r="A1529" t="s">
        <v>435</v>
      </c>
      <c r="B1529">
        <v>2016</v>
      </c>
      <c r="C1529">
        <v>207</v>
      </c>
      <c r="D1529" t="s">
        <v>428</v>
      </c>
      <c r="E1529" t="s">
        <v>429</v>
      </c>
      <c r="F1529" t="s">
        <v>433</v>
      </c>
      <c r="G1529" t="s">
        <v>419</v>
      </c>
      <c r="H1529" t="s">
        <v>418</v>
      </c>
      <c r="I1529" s="5">
        <v>74788</v>
      </c>
      <c r="J1529" t="str">
        <f>IFERROR(VLOOKUP(G1529,'LEAID Match'!$A$2:$B$183,2,FALSE),"")</f>
        <v/>
      </c>
      <c r="K1529">
        <f t="shared" si="23"/>
        <v>151</v>
      </c>
    </row>
    <row r="1530" spans="1:11" x14ac:dyDescent="0.2">
      <c r="A1530" t="s">
        <v>435</v>
      </c>
      <c r="B1530">
        <v>2017</v>
      </c>
      <c r="C1530">
        <v>85</v>
      </c>
      <c r="D1530" t="s">
        <v>428</v>
      </c>
      <c r="E1530" t="s">
        <v>429</v>
      </c>
      <c r="F1530" t="s">
        <v>433</v>
      </c>
      <c r="G1530" t="s">
        <v>145</v>
      </c>
      <c r="H1530" t="s">
        <v>145</v>
      </c>
      <c r="I1530" s="5">
        <v>200617</v>
      </c>
      <c r="J1530" t="str">
        <f>IFERROR(VLOOKUP(G1530,'LEAID Match'!$A$2:$B$183,2,FALSE),"")</f>
        <v/>
      </c>
      <c r="K1530">
        <f t="shared" si="23"/>
        <v>151</v>
      </c>
    </row>
    <row r="1531" spans="1:11" x14ac:dyDescent="0.2">
      <c r="A1531" t="s">
        <v>435</v>
      </c>
      <c r="B1531">
        <v>2017</v>
      </c>
      <c r="C1531">
        <v>38</v>
      </c>
      <c r="D1531" t="s">
        <v>428</v>
      </c>
      <c r="E1531" t="s">
        <v>429</v>
      </c>
      <c r="F1531" t="s">
        <v>433</v>
      </c>
      <c r="G1531" t="s">
        <v>178</v>
      </c>
      <c r="H1531" t="s">
        <v>178</v>
      </c>
      <c r="I1531" s="5">
        <v>1700124</v>
      </c>
      <c r="J1531" t="str">
        <f>IFERROR(VLOOKUP(G1531,'LEAID Match'!$A$2:$B$183,2,FALSE),"")</f>
        <v/>
      </c>
      <c r="K1531">
        <f t="shared" si="23"/>
        <v>151</v>
      </c>
    </row>
    <row r="1532" spans="1:11" x14ac:dyDescent="0.2">
      <c r="A1532" t="s">
        <v>435</v>
      </c>
      <c r="B1532">
        <v>2017</v>
      </c>
      <c r="C1532">
        <v>39</v>
      </c>
      <c r="D1532" t="s">
        <v>428</v>
      </c>
      <c r="E1532" t="s">
        <v>429</v>
      </c>
      <c r="F1532" t="s">
        <v>433</v>
      </c>
      <c r="G1532" t="s">
        <v>179</v>
      </c>
      <c r="H1532" t="s">
        <v>179</v>
      </c>
      <c r="I1532" s="5">
        <v>607179</v>
      </c>
      <c r="J1532" t="str">
        <f>IFERROR(VLOOKUP(G1532,'LEAID Match'!$A$2:$B$183,2,FALSE),"")</f>
        <v/>
      </c>
      <c r="K1532">
        <f t="shared" si="23"/>
        <v>151</v>
      </c>
    </row>
    <row r="1533" spans="1:11" x14ac:dyDescent="0.2">
      <c r="A1533" t="s">
        <v>435</v>
      </c>
      <c r="B1533">
        <v>2017</v>
      </c>
      <c r="C1533">
        <v>78</v>
      </c>
      <c r="D1533" t="s">
        <v>428</v>
      </c>
      <c r="E1533" t="s">
        <v>429</v>
      </c>
      <c r="F1533" t="s">
        <v>433</v>
      </c>
      <c r="G1533" t="s">
        <v>134</v>
      </c>
      <c r="H1533" t="s">
        <v>134</v>
      </c>
      <c r="I1533" s="5">
        <v>37138</v>
      </c>
      <c r="J1533" t="str">
        <f>IFERROR(VLOOKUP(G1533,'LEAID Match'!$A$2:$B$183,2,FALSE),"")</f>
        <v/>
      </c>
      <c r="K1533">
        <f t="shared" si="23"/>
        <v>151</v>
      </c>
    </row>
    <row r="1534" spans="1:11" x14ac:dyDescent="0.2">
      <c r="A1534" t="s">
        <v>435</v>
      </c>
      <c r="B1534">
        <v>2017</v>
      </c>
      <c r="C1534">
        <v>109</v>
      </c>
      <c r="D1534" t="s">
        <v>428</v>
      </c>
      <c r="E1534" t="s">
        <v>429</v>
      </c>
      <c r="F1534" t="s">
        <v>433</v>
      </c>
      <c r="G1534" t="s">
        <v>150</v>
      </c>
      <c r="H1534" t="s">
        <v>150</v>
      </c>
      <c r="I1534" s="5">
        <v>118899</v>
      </c>
      <c r="J1534" t="str">
        <f>IFERROR(VLOOKUP(G1534,'LEAID Match'!$A$2:$B$183,2,FALSE),"")</f>
        <v/>
      </c>
      <c r="K1534">
        <f t="shared" si="23"/>
        <v>151</v>
      </c>
    </row>
    <row r="1535" spans="1:11" x14ac:dyDescent="0.2">
      <c r="A1535" t="s">
        <v>435</v>
      </c>
      <c r="B1535">
        <v>2017</v>
      </c>
      <c r="C1535">
        <v>110</v>
      </c>
      <c r="D1535" t="s">
        <v>428</v>
      </c>
      <c r="E1535" t="s">
        <v>429</v>
      </c>
      <c r="F1535" t="s">
        <v>433</v>
      </c>
      <c r="G1535" t="s">
        <v>151</v>
      </c>
      <c r="H1535" t="s">
        <v>151</v>
      </c>
      <c r="I1535" s="5">
        <v>117881</v>
      </c>
      <c r="J1535" t="str">
        <f>IFERROR(VLOOKUP(G1535,'LEAID Match'!$A$2:$B$183,2,FALSE),"")</f>
        <v/>
      </c>
      <c r="K1535">
        <f t="shared" si="23"/>
        <v>151</v>
      </c>
    </row>
    <row r="1536" spans="1:11" x14ac:dyDescent="0.2">
      <c r="A1536" t="s">
        <v>435</v>
      </c>
      <c r="B1536">
        <v>2017</v>
      </c>
      <c r="C1536">
        <v>116</v>
      </c>
      <c r="D1536" t="s">
        <v>428</v>
      </c>
      <c r="E1536" t="s">
        <v>429</v>
      </c>
      <c r="F1536" t="s">
        <v>433</v>
      </c>
      <c r="G1536" t="s">
        <v>153</v>
      </c>
      <c r="H1536" t="s">
        <v>153</v>
      </c>
      <c r="I1536" s="5">
        <v>63707</v>
      </c>
      <c r="J1536" t="str">
        <f>IFERROR(VLOOKUP(G1536,'LEAID Match'!$A$2:$B$183,2,FALSE),"")</f>
        <v/>
      </c>
      <c r="K1536">
        <f t="shared" si="23"/>
        <v>151</v>
      </c>
    </row>
    <row r="1537" spans="1:11" x14ac:dyDescent="0.2">
      <c r="A1537" t="s">
        <v>435</v>
      </c>
      <c r="B1537">
        <v>2017</v>
      </c>
      <c r="C1537">
        <v>127</v>
      </c>
      <c r="D1537" t="s">
        <v>428</v>
      </c>
      <c r="E1537" t="s">
        <v>429</v>
      </c>
      <c r="F1537" t="s">
        <v>433</v>
      </c>
      <c r="G1537" t="s">
        <v>184</v>
      </c>
      <c r="H1537" t="s">
        <v>184</v>
      </c>
      <c r="I1537" s="5">
        <v>1205320</v>
      </c>
      <c r="J1537" t="str">
        <f>IFERROR(VLOOKUP(G1537,'LEAID Match'!$A$2:$B$183,2,FALSE),"")</f>
        <v/>
      </c>
      <c r="K1537">
        <f t="shared" si="23"/>
        <v>151</v>
      </c>
    </row>
    <row r="1538" spans="1:11" x14ac:dyDescent="0.2">
      <c r="A1538" t="s">
        <v>435</v>
      </c>
      <c r="B1538">
        <v>2017</v>
      </c>
      <c r="C1538">
        <v>151</v>
      </c>
      <c r="D1538" t="s">
        <v>428</v>
      </c>
      <c r="E1538" t="s">
        <v>429</v>
      </c>
      <c r="F1538" t="s">
        <v>433</v>
      </c>
      <c r="G1538" t="s">
        <v>187</v>
      </c>
      <c r="H1538" t="s">
        <v>187</v>
      </c>
      <c r="I1538" s="5">
        <v>1932970</v>
      </c>
      <c r="J1538" t="str">
        <f>IFERROR(VLOOKUP(G1538,'LEAID Match'!$A$2:$B$183,2,FALSE),"")</f>
        <v/>
      </c>
      <c r="K1538">
        <f t="shared" si="23"/>
        <v>151</v>
      </c>
    </row>
    <row r="1539" spans="1:11" x14ac:dyDescent="0.2">
      <c r="A1539" t="s">
        <v>435</v>
      </c>
      <c r="B1539">
        <v>2017</v>
      </c>
      <c r="C1539">
        <v>188</v>
      </c>
      <c r="D1539" t="s">
        <v>428</v>
      </c>
      <c r="E1539" t="s">
        <v>429</v>
      </c>
      <c r="F1539" t="s">
        <v>433</v>
      </c>
      <c r="G1539" t="s">
        <v>114</v>
      </c>
      <c r="H1539" t="s">
        <v>114</v>
      </c>
      <c r="I1539" s="5">
        <v>15956901</v>
      </c>
      <c r="J1539" t="str">
        <f>IFERROR(VLOOKUP(G1539,'LEAID Match'!$A$2:$B$183,2,FALSE),"")</f>
        <v/>
      </c>
      <c r="K1539">
        <f t="shared" ref="K1539:K1602" si="24">COUNTIF($A$2:$A$1651,A1539)</f>
        <v>151</v>
      </c>
    </row>
    <row r="1540" spans="1:11" x14ac:dyDescent="0.2">
      <c r="A1540" t="s">
        <v>435</v>
      </c>
      <c r="B1540">
        <v>2017</v>
      </c>
      <c r="C1540">
        <v>199</v>
      </c>
      <c r="D1540" t="s">
        <v>428</v>
      </c>
      <c r="E1540" t="s">
        <v>429</v>
      </c>
      <c r="F1540" t="s">
        <v>433</v>
      </c>
      <c r="G1540" t="s">
        <v>133</v>
      </c>
      <c r="H1540" t="s">
        <v>133</v>
      </c>
      <c r="I1540" s="5">
        <v>24048</v>
      </c>
      <c r="J1540" t="str">
        <f>IFERROR(VLOOKUP(G1540,'LEAID Match'!$A$2:$B$183,2,FALSE),"")</f>
        <v/>
      </c>
      <c r="K1540">
        <f t="shared" si="24"/>
        <v>151</v>
      </c>
    </row>
    <row r="1541" spans="1:11" x14ac:dyDescent="0.2">
      <c r="A1541" t="s">
        <v>435</v>
      </c>
      <c r="B1541">
        <v>2017</v>
      </c>
      <c r="C1541">
        <v>200</v>
      </c>
      <c r="D1541" t="s">
        <v>428</v>
      </c>
      <c r="E1541" t="s">
        <v>429</v>
      </c>
      <c r="F1541" t="s">
        <v>433</v>
      </c>
      <c r="G1541" t="s">
        <v>141</v>
      </c>
      <c r="H1541" t="s">
        <v>141</v>
      </c>
      <c r="I1541" s="5">
        <v>9101</v>
      </c>
      <c r="J1541" t="str">
        <f>IFERROR(VLOOKUP(G1541,'LEAID Match'!$A$2:$B$183,2,FALSE),"")</f>
        <v/>
      </c>
      <c r="K1541">
        <f t="shared" si="24"/>
        <v>151</v>
      </c>
    </row>
    <row r="1542" spans="1:11" x14ac:dyDescent="0.2">
      <c r="A1542" t="s">
        <v>435</v>
      </c>
      <c r="B1542">
        <v>2017</v>
      </c>
      <c r="C1542">
        <v>201</v>
      </c>
      <c r="D1542" t="s">
        <v>428</v>
      </c>
      <c r="E1542" t="s">
        <v>429</v>
      </c>
      <c r="F1542" t="s">
        <v>433</v>
      </c>
      <c r="G1542" t="s">
        <v>140</v>
      </c>
      <c r="H1542" t="s">
        <v>140</v>
      </c>
      <c r="I1542" s="5">
        <v>56774</v>
      </c>
      <c r="J1542" t="str">
        <f>IFERROR(VLOOKUP(G1542,'LEAID Match'!$A$2:$B$183,2,FALSE),"")</f>
        <v/>
      </c>
      <c r="K1542">
        <f t="shared" si="24"/>
        <v>151</v>
      </c>
    </row>
    <row r="1543" spans="1:11" x14ac:dyDescent="0.2">
      <c r="A1543" t="s">
        <v>435</v>
      </c>
      <c r="B1543">
        <v>2017</v>
      </c>
      <c r="C1543">
        <v>202</v>
      </c>
      <c r="D1543" t="s">
        <v>428</v>
      </c>
      <c r="E1543" t="s">
        <v>429</v>
      </c>
      <c r="F1543" t="s">
        <v>433</v>
      </c>
      <c r="G1543" t="s">
        <v>139</v>
      </c>
      <c r="H1543" t="s">
        <v>139</v>
      </c>
      <c r="I1543" s="5">
        <v>216241</v>
      </c>
      <c r="J1543" t="str">
        <f>IFERROR(VLOOKUP(G1543,'LEAID Match'!$A$2:$B$183,2,FALSE),"")</f>
        <v/>
      </c>
      <c r="K1543">
        <f t="shared" si="24"/>
        <v>151</v>
      </c>
    </row>
    <row r="1544" spans="1:11" x14ac:dyDescent="0.2">
      <c r="A1544" t="s">
        <v>435</v>
      </c>
      <c r="B1544">
        <v>2017</v>
      </c>
      <c r="C1544">
        <v>206</v>
      </c>
      <c r="D1544" t="s">
        <v>428</v>
      </c>
      <c r="E1544" t="s">
        <v>429</v>
      </c>
      <c r="F1544" t="s">
        <v>433</v>
      </c>
      <c r="G1544" t="s">
        <v>120</v>
      </c>
      <c r="H1544" t="s">
        <v>120</v>
      </c>
      <c r="I1544" s="5">
        <v>142451</v>
      </c>
      <c r="J1544" t="str">
        <f>IFERROR(VLOOKUP(G1544,'LEAID Match'!$A$2:$B$183,2,FALSE),"")</f>
        <v/>
      </c>
      <c r="K1544">
        <f t="shared" si="24"/>
        <v>151</v>
      </c>
    </row>
    <row r="1545" spans="1:11" x14ac:dyDescent="0.2">
      <c r="A1545" t="s">
        <v>435</v>
      </c>
      <c r="B1545">
        <v>2017</v>
      </c>
      <c r="C1545">
        <v>207</v>
      </c>
      <c r="D1545" t="s">
        <v>428</v>
      </c>
      <c r="E1545" t="s">
        <v>429</v>
      </c>
      <c r="F1545" t="s">
        <v>433</v>
      </c>
      <c r="G1545" t="s">
        <v>419</v>
      </c>
      <c r="H1545" t="s">
        <v>418</v>
      </c>
      <c r="I1545" s="5">
        <v>79345</v>
      </c>
      <c r="J1545" t="str">
        <f>IFERROR(VLOOKUP(G1545,'LEAID Match'!$A$2:$B$183,2,FALSE),"")</f>
        <v/>
      </c>
      <c r="K1545">
        <f t="shared" si="24"/>
        <v>151</v>
      </c>
    </row>
    <row r="1546" spans="1:11" x14ac:dyDescent="0.2">
      <c r="A1546" t="s">
        <v>435</v>
      </c>
      <c r="B1546">
        <v>2018</v>
      </c>
      <c r="C1546">
        <v>85</v>
      </c>
      <c r="D1546" t="s">
        <v>428</v>
      </c>
      <c r="E1546" t="s">
        <v>429</v>
      </c>
      <c r="F1546" t="s">
        <v>433</v>
      </c>
      <c r="G1546" t="s">
        <v>145</v>
      </c>
      <c r="H1546" t="s">
        <v>145</v>
      </c>
      <c r="I1546" s="5">
        <v>213427</v>
      </c>
      <c r="J1546" t="str">
        <f>IFERROR(VLOOKUP(G1546,'LEAID Match'!$A$2:$B$183,2,FALSE),"")</f>
        <v/>
      </c>
      <c r="K1546">
        <f t="shared" si="24"/>
        <v>151</v>
      </c>
    </row>
    <row r="1547" spans="1:11" x14ac:dyDescent="0.2">
      <c r="A1547" t="s">
        <v>435</v>
      </c>
      <c r="B1547">
        <v>2018</v>
      </c>
      <c r="C1547">
        <v>38</v>
      </c>
      <c r="D1547" t="s">
        <v>428</v>
      </c>
      <c r="E1547" t="s">
        <v>429</v>
      </c>
      <c r="F1547" t="s">
        <v>433</v>
      </c>
      <c r="G1547" t="s">
        <v>178</v>
      </c>
      <c r="H1547" t="s">
        <v>178</v>
      </c>
      <c r="I1547" s="5">
        <v>1750327</v>
      </c>
      <c r="J1547" t="str">
        <f>IFERROR(VLOOKUP(G1547,'LEAID Match'!$A$2:$B$183,2,FALSE),"")</f>
        <v/>
      </c>
      <c r="K1547">
        <f t="shared" si="24"/>
        <v>151</v>
      </c>
    </row>
    <row r="1548" spans="1:11" x14ac:dyDescent="0.2">
      <c r="A1548" t="s">
        <v>435</v>
      </c>
      <c r="B1548">
        <v>2018</v>
      </c>
      <c r="C1548">
        <v>39</v>
      </c>
      <c r="D1548" t="s">
        <v>428</v>
      </c>
      <c r="E1548" t="s">
        <v>429</v>
      </c>
      <c r="F1548" t="s">
        <v>433</v>
      </c>
      <c r="G1548" t="s">
        <v>179</v>
      </c>
      <c r="H1548" t="s">
        <v>179</v>
      </c>
      <c r="I1548" s="5">
        <v>727833</v>
      </c>
      <c r="J1548" t="str">
        <f>IFERROR(VLOOKUP(G1548,'LEAID Match'!$A$2:$B$183,2,FALSE),"")</f>
        <v/>
      </c>
      <c r="K1548">
        <f t="shared" si="24"/>
        <v>151</v>
      </c>
    </row>
    <row r="1549" spans="1:11" x14ac:dyDescent="0.2">
      <c r="A1549" t="s">
        <v>435</v>
      </c>
      <c r="B1549">
        <v>2018</v>
      </c>
      <c r="C1549">
        <v>78</v>
      </c>
      <c r="D1549" t="s">
        <v>428</v>
      </c>
      <c r="E1549" t="s">
        <v>429</v>
      </c>
      <c r="F1549" t="s">
        <v>433</v>
      </c>
      <c r="G1549" t="s">
        <v>134</v>
      </c>
      <c r="H1549" t="s">
        <v>198</v>
      </c>
      <c r="I1549" s="5">
        <v>45576</v>
      </c>
      <c r="J1549" t="str">
        <f>IFERROR(VLOOKUP(G1549,'LEAID Match'!$A$2:$B$183,2,FALSE),"")</f>
        <v/>
      </c>
      <c r="K1549">
        <f t="shared" si="24"/>
        <v>151</v>
      </c>
    </row>
    <row r="1550" spans="1:11" x14ac:dyDescent="0.2">
      <c r="A1550" t="s">
        <v>435</v>
      </c>
      <c r="B1550">
        <v>2018</v>
      </c>
      <c r="C1550">
        <v>109</v>
      </c>
      <c r="D1550" t="s">
        <v>428</v>
      </c>
      <c r="E1550" t="s">
        <v>429</v>
      </c>
      <c r="F1550" t="s">
        <v>433</v>
      </c>
      <c r="G1550" t="s">
        <v>150</v>
      </c>
      <c r="H1550" t="s">
        <v>150</v>
      </c>
      <c r="I1550" s="5">
        <v>127281</v>
      </c>
      <c r="J1550" t="str">
        <f>IFERROR(VLOOKUP(G1550,'LEAID Match'!$A$2:$B$183,2,FALSE),"")</f>
        <v/>
      </c>
      <c r="K1550">
        <f t="shared" si="24"/>
        <v>151</v>
      </c>
    </row>
    <row r="1551" spans="1:11" x14ac:dyDescent="0.2">
      <c r="A1551" t="s">
        <v>435</v>
      </c>
      <c r="B1551">
        <v>2018</v>
      </c>
      <c r="C1551">
        <v>110</v>
      </c>
      <c r="D1551" t="s">
        <v>428</v>
      </c>
      <c r="E1551" t="s">
        <v>429</v>
      </c>
      <c r="F1551" t="s">
        <v>433</v>
      </c>
      <c r="G1551" t="s">
        <v>151</v>
      </c>
      <c r="H1551" t="s">
        <v>151</v>
      </c>
      <c r="I1551" s="5">
        <v>125439</v>
      </c>
      <c r="J1551" t="str">
        <f>IFERROR(VLOOKUP(G1551,'LEAID Match'!$A$2:$B$183,2,FALSE),"")</f>
        <v/>
      </c>
      <c r="K1551">
        <f t="shared" si="24"/>
        <v>151</v>
      </c>
    </row>
    <row r="1552" spans="1:11" x14ac:dyDescent="0.2">
      <c r="A1552" t="s">
        <v>435</v>
      </c>
      <c r="B1552">
        <v>2018</v>
      </c>
      <c r="C1552">
        <v>116</v>
      </c>
      <c r="D1552" t="s">
        <v>428</v>
      </c>
      <c r="E1552" t="s">
        <v>429</v>
      </c>
      <c r="F1552" t="s">
        <v>433</v>
      </c>
      <c r="G1552" t="s">
        <v>153</v>
      </c>
      <c r="H1552" t="s">
        <v>153</v>
      </c>
      <c r="I1552" s="5">
        <v>71087</v>
      </c>
      <c r="J1552" t="str">
        <f>IFERROR(VLOOKUP(G1552,'LEAID Match'!$A$2:$B$183,2,FALSE),"")</f>
        <v/>
      </c>
      <c r="K1552">
        <f t="shared" si="24"/>
        <v>151</v>
      </c>
    </row>
    <row r="1553" spans="1:11" x14ac:dyDescent="0.2">
      <c r="A1553" t="s">
        <v>435</v>
      </c>
      <c r="B1553">
        <v>2018</v>
      </c>
      <c r="C1553">
        <v>135</v>
      </c>
      <c r="D1553" t="s">
        <v>428</v>
      </c>
      <c r="E1553" t="s">
        <v>429</v>
      </c>
      <c r="F1553" t="s">
        <v>433</v>
      </c>
      <c r="G1553" t="s">
        <v>203</v>
      </c>
      <c r="H1553" t="s">
        <v>203</v>
      </c>
      <c r="I1553" s="5">
        <v>39719</v>
      </c>
      <c r="J1553" t="str">
        <f>IFERROR(VLOOKUP(G1553,'LEAID Match'!$A$2:$B$183,2,FALSE),"")</f>
        <v/>
      </c>
      <c r="K1553">
        <f t="shared" si="24"/>
        <v>151</v>
      </c>
    </row>
    <row r="1554" spans="1:11" x14ac:dyDescent="0.2">
      <c r="A1554" t="s">
        <v>435</v>
      </c>
      <c r="B1554">
        <v>2018</v>
      </c>
      <c r="C1554">
        <v>151</v>
      </c>
      <c r="D1554" t="s">
        <v>428</v>
      </c>
      <c r="E1554" t="s">
        <v>429</v>
      </c>
      <c r="F1554" t="s">
        <v>433</v>
      </c>
      <c r="G1554" t="s">
        <v>187</v>
      </c>
      <c r="H1554" t="s">
        <v>187</v>
      </c>
      <c r="I1554" s="5">
        <v>2085434</v>
      </c>
      <c r="J1554" t="str">
        <f>IFERROR(VLOOKUP(G1554,'LEAID Match'!$A$2:$B$183,2,FALSE),"")</f>
        <v/>
      </c>
      <c r="K1554">
        <f t="shared" si="24"/>
        <v>151</v>
      </c>
    </row>
    <row r="1555" spans="1:11" x14ac:dyDescent="0.2">
      <c r="A1555" t="s">
        <v>435</v>
      </c>
      <c r="B1555">
        <v>2018</v>
      </c>
      <c r="C1555">
        <v>188</v>
      </c>
      <c r="D1555" t="s">
        <v>428</v>
      </c>
      <c r="E1555" t="s">
        <v>429</v>
      </c>
      <c r="F1555" t="s">
        <v>433</v>
      </c>
      <c r="G1555" t="s">
        <v>114</v>
      </c>
      <c r="H1555" t="s">
        <v>200</v>
      </c>
      <c r="I1555" s="5">
        <v>16941994</v>
      </c>
      <c r="J1555" t="str">
        <f>IFERROR(VLOOKUP(G1555,'LEAID Match'!$A$2:$B$183,2,FALSE),"")</f>
        <v/>
      </c>
      <c r="K1555">
        <f t="shared" si="24"/>
        <v>151</v>
      </c>
    </row>
    <row r="1556" spans="1:11" x14ac:dyDescent="0.2">
      <c r="A1556" t="s">
        <v>435</v>
      </c>
      <c r="B1556">
        <v>2018</v>
      </c>
      <c r="C1556">
        <v>199</v>
      </c>
      <c r="D1556" t="s">
        <v>428</v>
      </c>
      <c r="E1556" t="s">
        <v>429</v>
      </c>
      <c r="F1556" t="s">
        <v>433</v>
      </c>
      <c r="G1556" t="s">
        <v>133</v>
      </c>
      <c r="H1556" t="s">
        <v>409</v>
      </c>
      <c r="I1556" s="5">
        <v>20364</v>
      </c>
      <c r="J1556" t="str">
        <f>IFERROR(VLOOKUP(G1556,'LEAID Match'!$A$2:$B$183,2,FALSE),"")</f>
        <v/>
      </c>
      <c r="K1556">
        <f t="shared" si="24"/>
        <v>151</v>
      </c>
    </row>
    <row r="1557" spans="1:11" x14ac:dyDescent="0.2">
      <c r="A1557" t="s">
        <v>435</v>
      </c>
      <c r="B1557">
        <v>2018</v>
      </c>
      <c r="C1557">
        <v>200</v>
      </c>
      <c r="D1557" t="s">
        <v>428</v>
      </c>
      <c r="E1557" t="s">
        <v>429</v>
      </c>
      <c r="F1557" t="s">
        <v>433</v>
      </c>
      <c r="G1557" t="s">
        <v>141</v>
      </c>
      <c r="H1557" t="s">
        <v>413</v>
      </c>
      <c r="I1557" s="5">
        <v>9328</v>
      </c>
      <c r="J1557" t="str">
        <f>IFERROR(VLOOKUP(G1557,'LEAID Match'!$A$2:$B$183,2,FALSE),"")</f>
        <v/>
      </c>
      <c r="K1557">
        <f t="shared" si="24"/>
        <v>151</v>
      </c>
    </row>
    <row r="1558" spans="1:11" x14ac:dyDescent="0.2">
      <c r="A1558" t="s">
        <v>435</v>
      </c>
      <c r="B1558">
        <v>2018</v>
      </c>
      <c r="C1558">
        <v>201</v>
      </c>
      <c r="D1558" t="s">
        <v>428</v>
      </c>
      <c r="E1558" t="s">
        <v>429</v>
      </c>
      <c r="F1558" t="s">
        <v>433</v>
      </c>
      <c r="G1558" t="s">
        <v>140</v>
      </c>
      <c r="H1558" t="s">
        <v>140</v>
      </c>
      <c r="I1558" s="5">
        <v>60700</v>
      </c>
      <c r="J1558" t="str">
        <f>IFERROR(VLOOKUP(G1558,'LEAID Match'!$A$2:$B$183,2,FALSE),"")</f>
        <v/>
      </c>
      <c r="K1558">
        <f t="shared" si="24"/>
        <v>151</v>
      </c>
    </row>
    <row r="1559" spans="1:11" x14ac:dyDescent="0.2">
      <c r="A1559" t="s">
        <v>435</v>
      </c>
      <c r="B1559">
        <v>2018</v>
      </c>
      <c r="C1559">
        <v>202</v>
      </c>
      <c r="D1559" t="s">
        <v>428</v>
      </c>
      <c r="E1559" t="s">
        <v>429</v>
      </c>
      <c r="F1559" t="s">
        <v>433</v>
      </c>
      <c r="G1559" t="s">
        <v>139</v>
      </c>
      <c r="H1559" t="s">
        <v>139</v>
      </c>
      <c r="I1559" s="5">
        <v>204226</v>
      </c>
      <c r="J1559" t="str">
        <f>IFERROR(VLOOKUP(G1559,'LEAID Match'!$A$2:$B$183,2,FALSE),"")</f>
        <v/>
      </c>
      <c r="K1559">
        <f t="shared" si="24"/>
        <v>151</v>
      </c>
    </row>
    <row r="1560" spans="1:11" x14ac:dyDescent="0.2">
      <c r="A1560" t="s">
        <v>435</v>
      </c>
      <c r="B1560">
        <v>2018</v>
      </c>
      <c r="C1560">
        <v>207</v>
      </c>
      <c r="D1560" t="s">
        <v>428</v>
      </c>
      <c r="E1560" t="s">
        <v>429</v>
      </c>
      <c r="F1560" t="s">
        <v>433</v>
      </c>
      <c r="G1560" t="s">
        <v>419</v>
      </c>
      <c r="H1560" t="s">
        <v>418</v>
      </c>
      <c r="I1560" s="5">
        <v>85711</v>
      </c>
      <c r="J1560" t="str">
        <f>IFERROR(VLOOKUP(G1560,'LEAID Match'!$A$2:$B$183,2,FALSE),"")</f>
        <v/>
      </c>
      <c r="K1560">
        <f t="shared" si="24"/>
        <v>151</v>
      </c>
    </row>
    <row r="1561" spans="1:11" x14ac:dyDescent="0.2">
      <c r="A1561" t="s">
        <v>435</v>
      </c>
      <c r="B1561">
        <v>2019</v>
      </c>
      <c r="C1561">
        <v>85</v>
      </c>
      <c r="D1561" t="s">
        <v>428</v>
      </c>
      <c r="E1561" t="s">
        <v>429</v>
      </c>
      <c r="F1561" t="s">
        <v>433</v>
      </c>
      <c r="G1561" t="s">
        <v>145</v>
      </c>
      <c r="H1561" t="s">
        <v>145</v>
      </c>
      <c r="I1561" s="5">
        <v>225091</v>
      </c>
      <c r="J1561" t="str">
        <f>IFERROR(VLOOKUP(G1561,'LEAID Match'!$A$2:$B$183,2,FALSE),"")</f>
        <v/>
      </c>
      <c r="K1561">
        <f t="shared" si="24"/>
        <v>151</v>
      </c>
    </row>
    <row r="1562" spans="1:11" x14ac:dyDescent="0.2">
      <c r="A1562" t="s">
        <v>435</v>
      </c>
      <c r="B1562">
        <v>2019</v>
      </c>
      <c r="C1562">
        <v>37</v>
      </c>
      <c r="D1562" t="s">
        <v>428</v>
      </c>
      <c r="E1562" t="s">
        <v>429</v>
      </c>
      <c r="F1562" t="s">
        <v>433</v>
      </c>
      <c r="G1562" t="s">
        <v>233</v>
      </c>
      <c r="H1562" t="s">
        <v>233</v>
      </c>
      <c r="I1562" s="5">
        <v>310030</v>
      </c>
      <c r="J1562" t="str">
        <f>IFERROR(VLOOKUP(G1562,'LEAID Match'!$A$2:$B$183,2,FALSE),"")</f>
        <v/>
      </c>
      <c r="K1562">
        <f t="shared" si="24"/>
        <v>151</v>
      </c>
    </row>
    <row r="1563" spans="1:11" x14ac:dyDescent="0.2">
      <c r="A1563" t="s">
        <v>435</v>
      </c>
      <c r="B1563">
        <v>2019</v>
      </c>
      <c r="C1563">
        <v>38</v>
      </c>
      <c r="D1563" t="s">
        <v>428</v>
      </c>
      <c r="E1563" t="s">
        <v>429</v>
      </c>
      <c r="F1563" t="s">
        <v>433</v>
      </c>
      <c r="G1563" t="s">
        <v>178</v>
      </c>
      <c r="H1563" t="s">
        <v>234</v>
      </c>
      <c r="I1563" s="5">
        <v>1800130</v>
      </c>
      <c r="J1563" t="str">
        <f>IFERROR(VLOOKUP(G1563,'LEAID Match'!$A$2:$B$183,2,FALSE),"")</f>
        <v/>
      </c>
      <c r="K1563">
        <f t="shared" si="24"/>
        <v>151</v>
      </c>
    </row>
    <row r="1564" spans="1:11" x14ac:dyDescent="0.2">
      <c r="A1564" t="s">
        <v>435</v>
      </c>
      <c r="B1564">
        <v>2019</v>
      </c>
      <c r="C1564">
        <v>39</v>
      </c>
      <c r="D1564" t="s">
        <v>428</v>
      </c>
      <c r="E1564" t="s">
        <v>429</v>
      </c>
      <c r="F1564" t="s">
        <v>433</v>
      </c>
      <c r="G1564" t="s">
        <v>179</v>
      </c>
      <c r="H1564" t="s">
        <v>179</v>
      </c>
      <c r="I1564" s="5">
        <v>834890</v>
      </c>
      <c r="J1564" t="str">
        <f>IFERROR(VLOOKUP(G1564,'LEAID Match'!$A$2:$B$183,2,FALSE),"")</f>
        <v/>
      </c>
      <c r="K1564">
        <f t="shared" si="24"/>
        <v>151</v>
      </c>
    </row>
    <row r="1565" spans="1:11" x14ac:dyDescent="0.2">
      <c r="A1565" t="s">
        <v>435</v>
      </c>
      <c r="B1565">
        <v>2019</v>
      </c>
      <c r="C1565">
        <v>78</v>
      </c>
      <c r="D1565" t="s">
        <v>428</v>
      </c>
      <c r="E1565" t="s">
        <v>429</v>
      </c>
      <c r="F1565" t="s">
        <v>433</v>
      </c>
      <c r="G1565" t="s">
        <v>134</v>
      </c>
      <c r="H1565" t="s">
        <v>257</v>
      </c>
      <c r="I1565" s="5">
        <v>47391</v>
      </c>
      <c r="J1565" t="str">
        <f>IFERROR(VLOOKUP(G1565,'LEAID Match'!$A$2:$B$183,2,FALSE),"")</f>
        <v/>
      </c>
      <c r="K1565">
        <f t="shared" si="24"/>
        <v>151</v>
      </c>
    </row>
    <row r="1566" spans="1:11" x14ac:dyDescent="0.2">
      <c r="A1566" t="s">
        <v>435</v>
      </c>
      <c r="B1566">
        <v>2019</v>
      </c>
      <c r="C1566">
        <v>109</v>
      </c>
      <c r="D1566" t="s">
        <v>428</v>
      </c>
      <c r="E1566" t="s">
        <v>429</v>
      </c>
      <c r="F1566" t="s">
        <v>433</v>
      </c>
      <c r="G1566" t="s">
        <v>150</v>
      </c>
      <c r="H1566" t="s">
        <v>150</v>
      </c>
      <c r="I1566" s="5">
        <v>134262</v>
      </c>
      <c r="J1566" t="str">
        <f>IFERROR(VLOOKUP(G1566,'LEAID Match'!$A$2:$B$183,2,FALSE),"")</f>
        <v/>
      </c>
      <c r="K1566">
        <f t="shared" si="24"/>
        <v>151</v>
      </c>
    </row>
    <row r="1567" spans="1:11" x14ac:dyDescent="0.2">
      <c r="A1567" t="s">
        <v>435</v>
      </c>
      <c r="B1567">
        <v>2019</v>
      </c>
      <c r="C1567">
        <v>110</v>
      </c>
      <c r="D1567" t="s">
        <v>428</v>
      </c>
      <c r="E1567" t="s">
        <v>429</v>
      </c>
      <c r="F1567" t="s">
        <v>433</v>
      </c>
      <c r="G1567" t="s">
        <v>151</v>
      </c>
      <c r="H1567" t="s">
        <v>151</v>
      </c>
      <c r="I1567" s="5">
        <v>132248</v>
      </c>
      <c r="J1567" t="str">
        <f>IFERROR(VLOOKUP(G1567,'LEAID Match'!$A$2:$B$183,2,FALSE),"")</f>
        <v/>
      </c>
      <c r="K1567">
        <f t="shared" si="24"/>
        <v>151</v>
      </c>
    </row>
    <row r="1568" spans="1:11" x14ac:dyDescent="0.2">
      <c r="A1568" t="s">
        <v>435</v>
      </c>
      <c r="B1568">
        <v>2019</v>
      </c>
      <c r="C1568">
        <v>116</v>
      </c>
      <c r="D1568" t="s">
        <v>428</v>
      </c>
      <c r="E1568" t="s">
        <v>429</v>
      </c>
      <c r="F1568" t="s">
        <v>433</v>
      </c>
      <c r="G1568" t="s">
        <v>153</v>
      </c>
      <c r="H1568" t="s">
        <v>153</v>
      </c>
      <c r="I1568" s="5">
        <v>78507</v>
      </c>
      <c r="J1568" t="str">
        <f>IFERROR(VLOOKUP(G1568,'LEAID Match'!$A$2:$B$183,2,FALSE),"")</f>
        <v/>
      </c>
      <c r="K1568">
        <f t="shared" si="24"/>
        <v>151</v>
      </c>
    </row>
    <row r="1569" spans="1:11" x14ac:dyDescent="0.2">
      <c r="A1569" t="s">
        <v>435</v>
      </c>
      <c r="B1569">
        <v>2019</v>
      </c>
      <c r="C1569">
        <v>127</v>
      </c>
      <c r="D1569" t="s">
        <v>428</v>
      </c>
      <c r="E1569" t="s">
        <v>429</v>
      </c>
      <c r="F1569" t="s">
        <v>433</v>
      </c>
      <c r="G1569" t="s">
        <v>184</v>
      </c>
      <c r="H1569" t="s">
        <v>184</v>
      </c>
      <c r="I1569" s="5">
        <v>1157820</v>
      </c>
      <c r="J1569" t="str">
        <f>IFERROR(VLOOKUP(G1569,'LEAID Match'!$A$2:$B$183,2,FALSE),"")</f>
        <v/>
      </c>
      <c r="K1569">
        <f t="shared" si="24"/>
        <v>151</v>
      </c>
    </row>
    <row r="1570" spans="1:11" x14ac:dyDescent="0.2">
      <c r="A1570" t="s">
        <v>435</v>
      </c>
      <c r="B1570">
        <v>2019</v>
      </c>
      <c r="C1570">
        <v>135</v>
      </c>
      <c r="D1570" t="s">
        <v>428</v>
      </c>
      <c r="E1570" t="s">
        <v>429</v>
      </c>
      <c r="F1570" t="s">
        <v>433</v>
      </c>
      <c r="G1570" t="s">
        <v>203</v>
      </c>
      <c r="H1570" t="s">
        <v>203</v>
      </c>
      <c r="I1570" s="5">
        <v>91897</v>
      </c>
      <c r="J1570" t="str">
        <f>IFERROR(VLOOKUP(G1570,'LEAID Match'!$A$2:$B$183,2,FALSE),"")</f>
        <v/>
      </c>
      <c r="K1570">
        <f t="shared" si="24"/>
        <v>151</v>
      </c>
    </row>
    <row r="1571" spans="1:11" x14ac:dyDescent="0.2">
      <c r="A1571" t="s">
        <v>435</v>
      </c>
      <c r="B1571">
        <v>2019</v>
      </c>
      <c r="C1571">
        <v>151</v>
      </c>
      <c r="D1571" t="s">
        <v>428</v>
      </c>
      <c r="E1571" t="s">
        <v>429</v>
      </c>
      <c r="F1571" t="s">
        <v>433</v>
      </c>
      <c r="G1571" t="s">
        <v>187</v>
      </c>
      <c r="H1571" t="s">
        <v>91</v>
      </c>
      <c r="I1571" s="5">
        <v>2344996</v>
      </c>
      <c r="J1571" t="str">
        <f>IFERROR(VLOOKUP(G1571,'LEAID Match'!$A$2:$B$183,2,FALSE),"")</f>
        <v/>
      </c>
      <c r="K1571">
        <f t="shared" si="24"/>
        <v>151</v>
      </c>
    </row>
    <row r="1572" spans="1:11" x14ac:dyDescent="0.2">
      <c r="A1572" t="s">
        <v>435</v>
      </c>
      <c r="B1572">
        <v>2019</v>
      </c>
      <c r="C1572">
        <v>188</v>
      </c>
      <c r="D1572" t="s">
        <v>428</v>
      </c>
      <c r="E1572" t="s">
        <v>429</v>
      </c>
      <c r="F1572" t="s">
        <v>433</v>
      </c>
      <c r="G1572" t="s">
        <v>114</v>
      </c>
      <c r="H1572" t="s">
        <v>275</v>
      </c>
      <c r="I1572" s="5">
        <v>18062679</v>
      </c>
      <c r="J1572" t="str">
        <f>IFERROR(VLOOKUP(G1572,'LEAID Match'!$A$2:$B$183,2,FALSE),"")</f>
        <v/>
      </c>
      <c r="K1572">
        <f t="shared" si="24"/>
        <v>151</v>
      </c>
    </row>
    <row r="1573" spans="1:11" x14ac:dyDescent="0.2">
      <c r="A1573" t="s">
        <v>435</v>
      </c>
      <c r="B1573">
        <v>2019</v>
      </c>
      <c r="C1573">
        <v>199</v>
      </c>
      <c r="D1573" t="s">
        <v>428</v>
      </c>
      <c r="E1573" t="s">
        <v>429</v>
      </c>
      <c r="F1573" t="s">
        <v>433</v>
      </c>
      <c r="G1573" t="s">
        <v>133</v>
      </c>
      <c r="H1573" t="s">
        <v>410</v>
      </c>
      <c r="I1573" s="5">
        <v>21545</v>
      </c>
      <c r="J1573" t="str">
        <f>IFERROR(VLOOKUP(G1573,'LEAID Match'!$A$2:$B$183,2,FALSE),"")</f>
        <v/>
      </c>
      <c r="K1573">
        <f t="shared" si="24"/>
        <v>151</v>
      </c>
    </row>
    <row r="1574" spans="1:11" x14ac:dyDescent="0.2">
      <c r="A1574" t="s">
        <v>435</v>
      </c>
      <c r="B1574">
        <v>2019</v>
      </c>
      <c r="C1574">
        <v>200</v>
      </c>
      <c r="D1574" t="s">
        <v>428</v>
      </c>
      <c r="E1574" t="s">
        <v>429</v>
      </c>
      <c r="F1574" t="s">
        <v>433</v>
      </c>
      <c r="G1574" t="s">
        <v>141</v>
      </c>
      <c r="H1574" t="s">
        <v>413</v>
      </c>
      <c r="I1574" s="5">
        <v>9678</v>
      </c>
      <c r="J1574" t="str">
        <f>IFERROR(VLOOKUP(G1574,'LEAID Match'!$A$2:$B$183,2,FALSE),"")</f>
        <v/>
      </c>
      <c r="K1574">
        <f t="shared" si="24"/>
        <v>151</v>
      </c>
    </row>
    <row r="1575" spans="1:11" x14ac:dyDescent="0.2">
      <c r="A1575" t="s">
        <v>435</v>
      </c>
      <c r="B1575">
        <v>2019</v>
      </c>
      <c r="C1575">
        <v>201</v>
      </c>
      <c r="D1575" t="s">
        <v>428</v>
      </c>
      <c r="E1575" t="s">
        <v>429</v>
      </c>
      <c r="F1575" t="s">
        <v>433</v>
      </c>
      <c r="G1575" t="s">
        <v>140</v>
      </c>
      <c r="H1575" t="s">
        <v>414</v>
      </c>
      <c r="I1575" s="5">
        <v>72275</v>
      </c>
      <c r="J1575" t="str">
        <f>IFERROR(VLOOKUP(G1575,'LEAID Match'!$A$2:$B$183,2,FALSE),"")</f>
        <v/>
      </c>
      <c r="K1575">
        <f t="shared" si="24"/>
        <v>151</v>
      </c>
    </row>
    <row r="1576" spans="1:11" x14ac:dyDescent="0.2">
      <c r="A1576" t="s">
        <v>435</v>
      </c>
      <c r="B1576">
        <v>2019</v>
      </c>
      <c r="C1576">
        <v>202</v>
      </c>
      <c r="D1576" t="s">
        <v>428</v>
      </c>
      <c r="E1576" t="s">
        <v>429</v>
      </c>
      <c r="F1576" t="s">
        <v>433</v>
      </c>
      <c r="G1576" t="s">
        <v>139</v>
      </c>
      <c r="H1576" t="s">
        <v>416</v>
      </c>
      <c r="I1576" s="5">
        <v>217612</v>
      </c>
      <c r="J1576" t="str">
        <f>IFERROR(VLOOKUP(G1576,'LEAID Match'!$A$2:$B$183,2,FALSE),"")</f>
        <v/>
      </c>
      <c r="K1576">
        <f t="shared" si="24"/>
        <v>151</v>
      </c>
    </row>
    <row r="1577" spans="1:11" x14ac:dyDescent="0.2">
      <c r="A1577" t="s">
        <v>435</v>
      </c>
      <c r="B1577">
        <v>2019</v>
      </c>
      <c r="C1577">
        <v>207</v>
      </c>
      <c r="D1577" t="s">
        <v>428</v>
      </c>
      <c r="E1577" t="s">
        <v>429</v>
      </c>
      <c r="F1577" t="s">
        <v>433</v>
      </c>
      <c r="G1577" t="s">
        <v>419</v>
      </c>
      <c r="H1577" t="s">
        <v>419</v>
      </c>
      <c r="I1577" s="5">
        <v>106075</v>
      </c>
      <c r="J1577" t="str">
        <f>IFERROR(VLOOKUP(G1577,'LEAID Match'!$A$2:$B$183,2,FALSE),"")</f>
        <v/>
      </c>
      <c r="K1577">
        <f t="shared" si="24"/>
        <v>151</v>
      </c>
    </row>
    <row r="1578" spans="1:11" x14ac:dyDescent="0.2">
      <c r="A1578" t="s">
        <v>435</v>
      </c>
      <c r="B1578">
        <v>2020</v>
      </c>
      <c r="C1578">
        <v>85</v>
      </c>
      <c r="D1578" t="s">
        <v>428</v>
      </c>
      <c r="E1578" t="s">
        <v>429</v>
      </c>
      <c r="F1578" t="s">
        <v>433</v>
      </c>
      <c r="G1578" t="s">
        <v>145</v>
      </c>
      <c r="H1578" t="s">
        <v>145</v>
      </c>
      <c r="I1578" s="5">
        <v>272083</v>
      </c>
      <c r="J1578" t="str">
        <f>IFERROR(VLOOKUP(G1578,'LEAID Match'!$A$2:$B$183,2,FALSE),"")</f>
        <v/>
      </c>
      <c r="K1578">
        <f t="shared" si="24"/>
        <v>151</v>
      </c>
    </row>
    <row r="1579" spans="1:11" x14ac:dyDescent="0.2">
      <c r="A1579" t="s">
        <v>435</v>
      </c>
      <c r="B1579">
        <v>2020</v>
      </c>
      <c r="C1579">
        <v>37</v>
      </c>
      <c r="D1579" t="s">
        <v>428</v>
      </c>
      <c r="E1579" t="s">
        <v>429</v>
      </c>
      <c r="F1579" t="s">
        <v>433</v>
      </c>
      <c r="G1579" t="s">
        <v>233</v>
      </c>
      <c r="H1579" t="s">
        <v>233</v>
      </c>
      <c r="I1579" s="5">
        <v>354970</v>
      </c>
      <c r="J1579" t="str">
        <f>IFERROR(VLOOKUP(G1579,'LEAID Match'!$A$2:$B$183,2,FALSE),"")</f>
        <v/>
      </c>
      <c r="K1579">
        <f t="shared" si="24"/>
        <v>151</v>
      </c>
    </row>
    <row r="1580" spans="1:11" x14ac:dyDescent="0.2">
      <c r="A1580" t="s">
        <v>435</v>
      </c>
      <c r="B1580">
        <v>2020</v>
      </c>
      <c r="C1580">
        <v>38</v>
      </c>
      <c r="D1580" t="s">
        <v>428</v>
      </c>
      <c r="E1580" t="s">
        <v>429</v>
      </c>
      <c r="F1580" t="s">
        <v>433</v>
      </c>
      <c r="G1580" t="s">
        <v>178</v>
      </c>
      <c r="H1580" t="s">
        <v>234</v>
      </c>
      <c r="I1580" s="5">
        <v>1928954</v>
      </c>
      <c r="J1580" t="str">
        <f>IFERROR(VLOOKUP(G1580,'LEAID Match'!$A$2:$B$183,2,FALSE),"")</f>
        <v/>
      </c>
      <c r="K1580">
        <f t="shared" si="24"/>
        <v>151</v>
      </c>
    </row>
    <row r="1581" spans="1:11" x14ac:dyDescent="0.2">
      <c r="A1581" t="s">
        <v>435</v>
      </c>
      <c r="B1581">
        <v>2020</v>
      </c>
      <c r="C1581">
        <v>39</v>
      </c>
      <c r="D1581" t="s">
        <v>428</v>
      </c>
      <c r="E1581" t="s">
        <v>429</v>
      </c>
      <c r="F1581" t="s">
        <v>433</v>
      </c>
      <c r="G1581" t="s">
        <v>179</v>
      </c>
      <c r="H1581" t="s">
        <v>179</v>
      </c>
      <c r="I1581" s="5">
        <v>939770</v>
      </c>
      <c r="J1581" t="str">
        <f>IFERROR(VLOOKUP(G1581,'LEAID Match'!$A$2:$B$183,2,FALSE),"")</f>
        <v/>
      </c>
      <c r="K1581">
        <f t="shared" si="24"/>
        <v>151</v>
      </c>
    </row>
    <row r="1582" spans="1:11" x14ac:dyDescent="0.2">
      <c r="A1582" t="s">
        <v>435</v>
      </c>
      <c r="B1582">
        <v>2020</v>
      </c>
      <c r="C1582">
        <v>78</v>
      </c>
      <c r="D1582" t="s">
        <v>428</v>
      </c>
      <c r="E1582" t="s">
        <v>429</v>
      </c>
      <c r="F1582" t="s">
        <v>433</v>
      </c>
      <c r="G1582" t="s">
        <v>134</v>
      </c>
      <c r="H1582" t="s">
        <v>257</v>
      </c>
      <c r="I1582" s="5">
        <v>51242</v>
      </c>
      <c r="J1582" t="str">
        <f>IFERROR(VLOOKUP(G1582,'LEAID Match'!$A$2:$B$183,2,FALSE),"")</f>
        <v/>
      </c>
      <c r="K1582">
        <f t="shared" si="24"/>
        <v>151</v>
      </c>
    </row>
    <row r="1583" spans="1:11" x14ac:dyDescent="0.2">
      <c r="A1583" t="s">
        <v>435</v>
      </c>
      <c r="B1583">
        <v>2020</v>
      </c>
      <c r="C1583">
        <v>109</v>
      </c>
      <c r="D1583" t="s">
        <v>428</v>
      </c>
      <c r="E1583" t="s">
        <v>429</v>
      </c>
      <c r="F1583" t="s">
        <v>433</v>
      </c>
      <c r="G1583" t="s">
        <v>150</v>
      </c>
      <c r="H1583" t="s">
        <v>150</v>
      </c>
      <c r="I1583" s="5">
        <v>148496</v>
      </c>
      <c r="J1583" t="str">
        <f>IFERROR(VLOOKUP(G1583,'LEAID Match'!$A$2:$B$183,2,FALSE),"")</f>
        <v/>
      </c>
      <c r="K1583">
        <f t="shared" si="24"/>
        <v>151</v>
      </c>
    </row>
    <row r="1584" spans="1:11" x14ac:dyDescent="0.2">
      <c r="A1584" t="s">
        <v>435</v>
      </c>
      <c r="B1584">
        <v>2020</v>
      </c>
      <c r="C1584">
        <v>110</v>
      </c>
      <c r="D1584" t="s">
        <v>428</v>
      </c>
      <c r="E1584" t="s">
        <v>429</v>
      </c>
      <c r="F1584" t="s">
        <v>433</v>
      </c>
      <c r="G1584" t="s">
        <v>151</v>
      </c>
      <c r="H1584" t="s">
        <v>151</v>
      </c>
      <c r="I1584" s="5">
        <v>141607</v>
      </c>
      <c r="J1584" t="str">
        <f>IFERROR(VLOOKUP(G1584,'LEAID Match'!$A$2:$B$183,2,FALSE),"")</f>
        <v/>
      </c>
      <c r="K1584">
        <f t="shared" si="24"/>
        <v>151</v>
      </c>
    </row>
    <row r="1585" spans="1:11" x14ac:dyDescent="0.2">
      <c r="A1585" t="s">
        <v>435</v>
      </c>
      <c r="B1585">
        <v>2020</v>
      </c>
      <c r="C1585">
        <v>116</v>
      </c>
      <c r="D1585" t="s">
        <v>428</v>
      </c>
      <c r="E1585" t="s">
        <v>429</v>
      </c>
      <c r="F1585" t="s">
        <v>433</v>
      </c>
      <c r="G1585" t="s">
        <v>153</v>
      </c>
      <c r="H1585" t="s">
        <v>153</v>
      </c>
      <c r="I1585" s="5">
        <v>88530</v>
      </c>
      <c r="J1585" t="str">
        <f>IFERROR(VLOOKUP(G1585,'LEAID Match'!$A$2:$B$183,2,FALSE),"")</f>
        <v/>
      </c>
      <c r="K1585">
        <f t="shared" si="24"/>
        <v>151</v>
      </c>
    </row>
    <row r="1586" spans="1:11" x14ac:dyDescent="0.2">
      <c r="A1586" t="s">
        <v>435</v>
      </c>
      <c r="B1586">
        <v>2020</v>
      </c>
      <c r="C1586">
        <v>127</v>
      </c>
      <c r="D1586" t="s">
        <v>428</v>
      </c>
      <c r="E1586" t="s">
        <v>429</v>
      </c>
      <c r="F1586" t="s">
        <v>433</v>
      </c>
      <c r="G1586" t="s">
        <v>184</v>
      </c>
      <c r="H1586" t="s">
        <v>184</v>
      </c>
      <c r="I1586" s="5">
        <v>1234568</v>
      </c>
      <c r="J1586" t="str">
        <f>IFERROR(VLOOKUP(G1586,'LEAID Match'!$A$2:$B$183,2,FALSE),"")</f>
        <v/>
      </c>
      <c r="K1586">
        <f t="shared" si="24"/>
        <v>151</v>
      </c>
    </row>
    <row r="1587" spans="1:11" x14ac:dyDescent="0.2">
      <c r="A1587" t="s">
        <v>435</v>
      </c>
      <c r="B1587">
        <v>2020</v>
      </c>
      <c r="C1587">
        <v>135</v>
      </c>
      <c r="D1587" t="s">
        <v>428</v>
      </c>
      <c r="E1587" t="s">
        <v>429</v>
      </c>
      <c r="F1587" t="s">
        <v>433</v>
      </c>
      <c r="G1587" t="s">
        <v>203</v>
      </c>
      <c r="H1587" t="s">
        <v>203</v>
      </c>
      <c r="I1587" s="5">
        <v>102867</v>
      </c>
      <c r="J1587" t="str">
        <f>IFERROR(VLOOKUP(G1587,'LEAID Match'!$A$2:$B$183,2,FALSE),"")</f>
        <v/>
      </c>
      <c r="K1587">
        <f t="shared" si="24"/>
        <v>151</v>
      </c>
    </row>
    <row r="1588" spans="1:11" x14ac:dyDescent="0.2">
      <c r="A1588" t="s">
        <v>435</v>
      </c>
      <c r="B1588">
        <v>2020</v>
      </c>
      <c r="C1588">
        <v>151</v>
      </c>
      <c r="D1588" t="s">
        <v>428</v>
      </c>
      <c r="E1588" t="s">
        <v>429</v>
      </c>
      <c r="F1588" t="s">
        <v>433</v>
      </c>
      <c r="G1588" t="s">
        <v>187</v>
      </c>
      <c r="H1588" t="s">
        <v>91</v>
      </c>
      <c r="I1588" s="5">
        <v>2741526</v>
      </c>
      <c r="J1588" t="str">
        <f>IFERROR(VLOOKUP(G1588,'LEAID Match'!$A$2:$B$183,2,FALSE),"")</f>
        <v/>
      </c>
      <c r="K1588">
        <f t="shared" si="24"/>
        <v>151</v>
      </c>
    </row>
    <row r="1589" spans="1:11" x14ac:dyDescent="0.2">
      <c r="A1589" t="s">
        <v>435</v>
      </c>
      <c r="B1589">
        <v>2020</v>
      </c>
      <c r="C1589">
        <v>188</v>
      </c>
      <c r="D1589" t="s">
        <v>428</v>
      </c>
      <c r="E1589" t="s">
        <v>429</v>
      </c>
      <c r="F1589" t="s">
        <v>433</v>
      </c>
      <c r="G1589" t="s">
        <v>114</v>
      </c>
      <c r="H1589" t="s">
        <v>114</v>
      </c>
      <c r="I1589" s="5">
        <v>20184022</v>
      </c>
      <c r="J1589" t="str">
        <f>IFERROR(VLOOKUP(G1589,'LEAID Match'!$A$2:$B$183,2,FALSE),"")</f>
        <v/>
      </c>
      <c r="K1589">
        <f t="shared" si="24"/>
        <v>151</v>
      </c>
    </row>
    <row r="1590" spans="1:11" x14ac:dyDescent="0.2">
      <c r="A1590" t="s">
        <v>435</v>
      </c>
      <c r="B1590">
        <v>2020</v>
      </c>
      <c r="C1590">
        <v>199</v>
      </c>
      <c r="D1590" t="s">
        <v>428</v>
      </c>
      <c r="E1590" t="s">
        <v>429</v>
      </c>
      <c r="F1590" t="s">
        <v>433</v>
      </c>
      <c r="G1590" t="s">
        <v>133</v>
      </c>
      <c r="H1590" t="s">
        <v>411</v>
      </c>
      <c r="I1590" s="5">
        <v>23550</v>
      </c>
      <c r="J1590" t="str">
        <f>IFERROR(VLOOKUP(G1590,'LEAID Match'!$A$2:$B$183,2,FALSE),"")</f>
        <v/>
      </c>
      <c r="K1590">
        <f t="shared" si="24"/>
        <v>151</v>
      </c>
    </row>
    <row r="1591" spans="1:11" x14ac:dyDescent="0.2">
      <c r="A1591" t="s">
        <v>435</v>
      </c>
      <c r="B1591">
        <v>2020</v>
      </c>
      <c r="C1591">
        <v>200</v>
      </c>
      <c r="D1591" t="s">
        <v>428</v>
      </c>
      <c r="E1591" t="s">
        <v>429</v>
      </c>
      <c r="F1591" t="s">
        <v>433</v>
      </c>
      <c r="G1591" t="s">
        <v>141</v>
      </c>
      <c r="H1591" t="s">
        <v>413</v>
      </c>
      <c r="I1591" s="5">
        <v>10438</v>
      </c>
      <c r="J1591" t="str">
        <f>IFERROR(VLOOKUP(G1591,'LEAID Match'!$A$2:$B$183,2,FALSE),"")</f>
        <v/>
      </c>
      <c r="K1591">
        <f t="shared" si="24"/>
        <v>151</v>
      </c>
    </row>
    <row r="1592" spans="1:11" x14ac:dyDescent="0.2">
      <c r="A1592" t="s">
        <v>435</v>
      </c>
      <c r="B1592">
        <v>2020</v>
      </c>
      <c r="C1592">
        <v>201</v>
      </c>
      <c r="D1592" t="s">
        <v>428</v>
      </c>
      <c r="E1592" t="s">
        <v>429</v>
      </c>
      <c r="F1592" t="s">
        <v>433</v>
      </c>
      <c r="G1592" t="s">
        <v>140</v>
      </c>
      <c r="H1592" t="s">
        <v>414</v>
      </c>
      <c r="I1592" s="5">
        <v>86785</v>
      </c>
      <c r="J1592" t="str">
        <f>IFERROR(VLOOKUP(G1592,'LEAID Match'!$A$2:$B$183,2,FALSE),"")</f>
        <v/>
      </c>
      <c r="K1592">
        <f t="shared" si="24"/>
        <v>151</v>
      </c>
    </row>
    <row r="1593" spans="1:11" x14ac:dyDescent="0.2">
      <c r="A1593" t="s">
        <v>435</v>
      </c>
      <c r="B1593">
        <v>2020</v>
      </c>
      <c r="C1593">
        <v>202</v>
      </c>
      <c r="D1593" t="s">
        <v>428</v>
      </c>
      <c r="E1593" t="s">
        <v>429</v>
      </c>
      <c r="F1593" t="s">
        <v>433</v>
      </c>
      <c r="G1593" t="s">
        <v>139</v>
      </c>
      <c r="H1593" t="s">
        <v>416</v>
      </c>
      <c r="I1593" s="5">
        <v>232732</v>
      </c>
      <c r="J1593" t="str">
        <f>IFERROR(VLOOKUP(G1593,'LEAID Match'!$A$2:$B$183,2,FALSE),"")</f>
        <v/>
      </c>
      <c r="K1593">
        <f t="shared" si="24"/>
        <v>151</v>
      </c>
    </row>
    <row r="1594" spans="1:11" x14ac:dyDescent="0.2">
      <c r="A1594" t="s">
        <v>435</v>
      </c>
      <c r="B1594">
        <v>2020</v>
      </c>
      <c r="C1594">
        <v>207</v>
      </c>
      <c r="D1594" t="s">
        <v>428</v>
      </c>
      <c r="E1594" t="s">
        <v>429</v>
      </c>
      <c r="F1594" t="s">
        <v>433</v>
      </c>
      <c r="G1594" t="s">
        <v>419</v>
      </c>
      <c r="H1594" t="s">
        <v>419</v>
      </c>
      <c r="I1594" s="5">
        <v>114818</v>
      </c>
      <c r="J1594" t="str">
        <f>IFERROR(VLOOKUP(G1594,'LEAID Match'!$A$2:$B$183,2,FALSE),"")</f>
        <v/>
      </c>
      <c r="K1594">
        <f t="shared" si="24"/>
        <v>151</v>
      </c>
    </row>
    <row r="1595" spans="1:11" x14ac:dyDescent="0.2">
      <c r="A1595" t="s">
        <v>435</v>
      </c>
      <c r="B1595">
        <v>2021</v>
      </c>
      <c r="C1595">
        <v>85</v>
      </c>
      <c r="D1595" t="s">
        <v>428</v>
      </c>
      <c r="E1595" t="s">
        <v>429</v>
      </c>
      <c r="F1595" t="s">
        <v>433</v>
      </c>
      <c r="G1595" t="s">
        <v>145</v>
      </c>
      <c r="H1595" t="s">
        <v>145</v>
      </c>
      <c r="I1595" s="5">
        <v>396698</v>
      </c>
      <c r="J1595" t="str">
        <f>IFERROR(VLOOKUP(G1595,'LEAID Match'!$A$2:$B$183,2,FALSE),"")</f>
        <v/>
      </c>
      <c r="K1595">
        <f t="shared" si="24"/>
        <v>151</v>
      </c>
    </row>
    <row r="1596" spans="1:11" x14ac:dyDescent="0.2">
      <c r="A1596" t="s">
        <v>435</v>
      </c>
      <c r="B1596">
        <v>2021</v>
      </c>
      <c r="C1596">
        <v>37</v>
      </c>
      <c r="D1596" t="s">
        <v>428</v>
      </c>
      <c r="E1596" t="s">
        <v>429</v>
      </c>
      <c r="F1596" t="s">
        <v>433</v>
      </c>
      <c r="G1596" t="s">
        <v>233</v>
      </c>
      <c r="H1596" t="s">
        <v>233</v>
      </c>
      <c r="I1596" s="5">
        <v>359817</v>
      </c>
      <c r="J1596" t="str">
        <f>IFERROR(VLOOKUP(G1596,'LEAID Match'!$A$2:$B$183,2,FALSE),"")</f>
        <v/>
      </c>
      <c r="K1596">
        <f t="shared" si="24"/>
        <v>151</v>
      </c>
    </row>
    <row r="1597" spans="1:11" x14ac:dyDescent="0.2">
      <c r="A1597" t="s">
        <v>435</v>
      </c>
      <c r="B1597">
        <v>2021</v>
      </c>
      <c r="C1597">
        <v>38</v>
      </c>
      <c r="D1597" t="s">
        <v>428</v>
      </c>
      <c r="E1597" t="s">
        <v>429</v>
      </c>
      <c r="F1597" t="s">
        <v>433</v>
      </c>
      <c r="G1597" t="s">
        <v>178</v>
      </c>
      <c r="H1597" t="s">
        <v>234</v>
      </c>
      <c r="I1597" s="5">
        <v>1983428</v>
      </c>
      <c r="J1597" t="str">
        <f>IFERROR(VLOOKUP(G1597,'LEAID Match'!$A$2:$B$183,2,FALSE),"")</f>
        <v/>
      </c>
      <c r="K1597">
        <f t="shared" si="24"/>
        <v>151</v>
      </c>
    </row>
    <row r="1598" spans="1:11" x14ac:dyDescent="0.2">
      <c r="A1598" t="s">
        <v>435</v>
      </c>
      <c r="B1598">
        <v>2021</v>
      </c>
      <c r="C1598">
        <v>39</v>
      </c>
      <c r="D1598" t="s">
        <v>428</v>
      </c>
      <c r="E1598" t="s">
        <v>429</v>
      </c>
      <c r="F1598" t="s">
        <v>433</v>
      </c>
      <c r="G1598" t="s">
        <v>179</v>
      </c>
      <c r="H1598" t="s">
        <v>179</v>
      </c>
      <c r="I1598" s="5">
        <v>908878</v>
      </c>
      <c r="J1598" t="str">
        <f>IFERROR(VLOOKUP(G1598,'LEAID Match'!$A$2:$B$183,2,FALSE),"")</f>
        <v/>
      </c>
      <c r="K1598">
        <f t="shared" si="24"/>
        <v>151</v>
      </c>
    </row>
    <row r="1599" spans="1:11" x14ac:dyDescent="0.2">
      <c r="A1599" t="s">
        <v>435</v>
      </c>
      <c r="B1599">
        <v>2021</v>
      </c>
      <c r="C1599">
        <v>78</v>
      </c>
      <c r="D1599" t="s">
        <v>428</v>
      </c>
      <c r="E1599" t="s">
        <v>429</v>
      </c>
      <c r="F1599" t="s">
        <v>433</v>
      </c>
      <c r="G1599" t="s">
        <v>134</v>
      </c>
      <c r="H1599" t="s">
        <v>257</v>
      </c>
      <c r="I1599" s="5">
        <v>48199</v>
      </c>
      <c r="J1599" t="str">
        <f>IFERROR(VLOOKUP(G1599,'LEAID Match'!$A$2:$B$183,2,FALSE),"")</f>
        <v/>
      </c>
      <c r="K1599">
        <f t="shared" si="24"/>
        <v>151</v>
      </c>
    </row>
    <row r="1600" spans="1:11" x14ac:dyDescent="0.2">
      <c r="A1600" t="s">
        <v>435</v>
      </c>
      <c r="B1600">
        <v>2021</v>
      </c>
      <c r="C1600">
        <v>109</v>
      </c>
      <c r="D1600" t="s">
        <v>428</v>
      </c>
      <c r="E1600" t="s">
        <v>429</v>
      </c>
      <c r="F1600" t="s">
        <v>433</v>
      </c>
      <c r="G1600" t="s">
        <v>150</v>
      </c>
      <c r="H1600" t="s">
        <v>150</v>
      </c>
      <c r="I1600" s="5">
        <v>154647</v>
      </c>
      <c r="J1600" t="str">
        <f>IFERROR(VLOOKUP(G1600,'LEAID Match'!$A$2:$B$183,2,FALSE),"")</f>
        <v/>
      </c>
      <c r="K1600">
        <f t="shared" si="24"/>
        <v>151</v>
      </c>
    </row>
    <row r="1601" spans="1:11" x14ac:dyDescent="0.2">
      <c r="A1601" t="s">
        <v>435</v>
      </c>
      <c r="B1601">
        <v>2021</v>
      </c>
      <c r="C1601">
        <v>110</v>
      </c>
      <c r="D1601" t="s">
        <v>428</v>
      </c>
      <c r="E1601" t="s">
        <v>429</v>
      </c>
      <c r="F1601" t="s">
        <v>433</v>
      </c>
      <c r="G1601" t="s">
        <v>151</v>
      </c>
      <c r="H1601" t="s">
        <v>151</v>
      </c>
      <c r="I1601" s="5">
        <v>146217</v>
      </c>
      <c r="J1601" t="str">
        <f>IFERROR(VLOOKUP(G1601,'LEAID Match'!$A$2:$B$183,2,FALSE),"")</f>
        <v/>
      </c>
      <c r="K1601">
        <f t="shared" si="24"/>
        <v>151</v>
      </c>
    </row>
    <row r="1602" spans="1:11" x14ac:dyDescent="0.2">
      <c r="A1602" t="s">
        <v>435</v>
      </c>
      <c r="B1602">
        <v>2021</v>
      </c>
      <c r="C1602">
        <v>116</v>
      </c>
      <c r="D1602" t="s">
        <v>428</v>
      </c>
      <c r="E1602" t="s">
        <v>429</v>
      </c>
      <c r="F1602" t="s">
        <v>433</v>
      </c>
      <c r="G1602" t="s">
        <v>153</v>
      </c>
      <c r="H1602" t="s">
        <v>153</v>
      </c>
      <c r="I1602" s="5">
        <v>100194</v>
      </c>
      <c r="J1602" t="str">
        <f>IFERROR(VLOOKUP(G1602,'LEAID Match'!$A$2:$B$183,2,FALSE),"")</f>
        <v/>
      </c>
      <c r="K1602">
        <f t="shared" si="24"/>
        <v>151</v>
      </c>
    </row>
    <row r="1603" spans="1:11" x14ac:dyDescent="0.2">
      <c r="A1603" t="s">
        <v>435</v>
      </c>
      <c r="B1603">
        <v>2021</v>
      </c>
      <c r="C1603">
        <v>127</v>
      </c>
      <c r="D1603" t="s">
        <v>428</v>
      </c>
      <c r="E1603" t="s">
        <v>429</v>
      </c>
      <c r="F1603" t="s">
        <v>433</v>
      </c>
      <c r="G1603" t="s">
        <v>184</v>
      </c>
      <c r="H1603" t="s">
        <v>184</v>
      </c>
      <c r="I1603" s="5">
        <v>1228265</v>
      </c>
      <c r="J1603" t="str">
        <f>IFERROR(VLOOKUP(G1603,'LEAID Match'!$A$2:$B$183,2,FALSE),"")</f>
        <v/>
      </c>
      <c r="K1603">
        <f t="shared" ref="K1603:K1651" si="25">COUNTIF($A$2:$A$1651,A1603)</f>
        <v>151</v>
      </c>
    </row>
    <row r="1604" spans="1:11" x14ac:dyDescent="0.2">
      <c r="A1604" t="s">
        <v>435</v>
      </c>
      <c r="B1604">
        <v>2021</v>
      </c>
      <c r="C1604">
        <v>135</v>
      </c>
      <c r="D1604" t="s">
        <v>428</v>
      </c>
      <c r="E1604" t="s">
        <v>429</v>
      </c>
      <c r="F1604" t="s">
        <v>433</v>
      </c>
      <c r="G1604" t="s">
        <v>203</v>
      </c>
      <c r="H1604" t="s">
        <v>203</v>
      </c>
      <c r="I1604" s="5">
        <v>114388</v>
      </c>
      <c r="J1604" t="str">
        <f>IFERROR(VLOOKUP(G1604,'LEAID Match'!$A$2:$B$183,2,FALSE),"")</f>
        <v/>
      </c>
      <c r="K1604">
        <f t="shared" si="25"/>
        <v>151</v>
      </c>
    </row>
    <row r="1605" spans="1:11" x14ac:dyDescent="0.2">
      <c r="A1605" t="s">
        <v>435</v>
      </c>
      <c r="B1605">
        <v>2021</v>
      </c>
      <c r="C1605">
        <v>151</v>
      </c>
      <c r="D1605" t="s">
        <v>428</v>
      </c>
      <c r="E1605" t="s">
        <v>429</v>
      </c>
      <c r="F1605" t="s">
        <v>433</v>
      </c>
      <c r="G1605" t="s">
        <v>187</v>
      </c>
      <c r="H1605" t="s">
        <v>187</v>
      </c>
      <c r="I1605" s="5">
        <v>3110972</v>
      </c>
      <c r="J1605" t="str">
        <f>IFERROR(VLOOKUP(G1605,'LEAID Match'!$A$2:$B$183,2,FALSE),"")</f>
        <v/>
      </c>
      <c r="K1605">
        <f t="shared" si="25"/>
        <v>151</v>
      </c>
    </row>
    <row r="1606" spans="1:11" x14ac:dyDescent="0.2">
      <c r="A1606" t="s">
        <v>435</v>
      </c>
      <c r="B1606">
        <v>2021</v>
      </c>
      <c r="C1606">
        <v>188</v>
      </c>
      <c r="D1606" t="s">
        <v>428</v>
      </c>
      <c r="E1606" t="s">
        <v>429</v>
      </c>
      <c r="F1606" t="s">
        <v>433</v>
      </c>
      <c r="G1606" t="s">
        <v>114</v>
      </c>
      <c r="H1606" t="s">
        <v>114</v>
      </c>
      <c r="I1606" s="5">
        <v>21337241</v>
      </c>
      <c r="J1606" t="str">
        <f>IFERROR(VLOOKUP(G1606,'LEAID Match'!$A$2:$B$183,2,FALSE),"")</f>
        <v/>
      </c>
      <c r="K1606">
        <f t="shared" si="25"/>
        <v>151</v>
      </c>
    </row>
    <row r="1607" spans="1:11" x14ac:dyDescent="0.2">
      <c r="A1607" t="s">
        <v>435</v>
      </c>
      <c r="B1607">
        <v>2021</v>
      </c>
      <c r="C1607">
        <v>199</v>
      </c>
      <c r="D1607" t="s">
        <v>428</v>
      </c>
      <c r="E1607" t="s">
        <v>429</v>
      </c>
      <c r="F1607" t="s">
        <v>433</v>
      </c>
      <c r="G1607" t="s">
        <v>133</v>
      </c>
      <c r="H1607" t="s">
        <v>412</v>
      </c>
      <c r="I1607" s="5">
        <v>22447</v>
      </c>
      <c r="J1607" t="str">
        <f>IFERROR(VLOOKUP(G1607,'LEAID Match'!$A$2:$B$183,2,FALSE),"")</f>
        <v/>
      </c>
      <c r="K1607">
        <f t="shared" si="25"/>
        <v>151</v>
      </c>
    </row>
    <row r="1608" spans="1:11" x14ac:dyDescent="0.2">
      <c r="A1608" t="s">
        <v>435</v>
      </c>
      <c r="B1608">
        <v>2021</v>
      </c>
      <c r="C1608">
        <v>200</v>
      </c>
      <c r="D1608" t="s">
        <v>428</v>
      </c>
      <c r="E1608" t="s">
        <v>429</v>
      </c>
      <c r="F1608" t="s">
        <v>433</v>
      </c>
      <c r="G1608" t="s">
        <v>141</v>
      </c>
      <c r="H1608" t="s">
        <v>413</v>
      </c>
      <c r="I1608" s="5">
        <v>10751</v>
      </c>
      <c r="J1608" t="str">
        <f>IFERROR(VLOOKUP(G1608,'LEAID Match'!$A$2:$B$183,2,FALSE),"")</f>
        <v/>
      </c>
      <c r="K1608">
        <f t="shared" si="25"/>
        <v>151</v>
      </c>
    </row>
    <row r="1609" spans="1:11" x14ac:dyDescent="0.2">
      <c r="A1609" t="s">
        <v>435</v>
      </c>
      <c r="B1609">
        <v>2021</v>
      </c>
      <c r="C1609">
        <v>201</v>
      </c>
      <c r="D1609" t="s">
        <v>428</v>
      </c>
      <c r="E1609" t="s">
        <v>429</v>
      </c>
      <c r="F1609" t="s">
        <v>433</v>
      </c>
      <c r="G1609" t="s">
        <v>140</v>
      </c>
      <c r="H1609" t="s">
        <v>415</v>
      </c>
      <c r="I1609" s="5">
        <v>89102</v>
      </c>
      <c r="J1609" t="str">
        <f>IFERROR(VLOOKUP(G1609,'LEAID Match'!$A$2:$B$183,2,FALSE),"")</f>
        <v/>
      </c>
      <c r="K1609">
        <f t="shared" si="25"/>
        <v>151</v>
      </c>
    </row>
    <row r="1610" spans="1:11" x14ac:dyDescent="0.2">
      <c r="A1610" t="s">
        <v>435</v>
      </c>
      <c r="B1610">
        <v>2021</v>
      </c>
      <c r="C1610">
        <v>202</v>
      </c>
      <c r="D1610" t="s">
        <v>428</v>
      </c>
      <c r="E1610" t="s">
        <v>429</v>
      </c>
      <c r="F1610" t="s">
        <v>433</v>
      </c>
      <c r="G1610" t="s">
        <v>139</v>
      </c>
      <c r="H1610" t="s">
        <v>416</v>
      </c>
      <c r="I1610" s="5">
        <v>264400</v>
      </c>
      <c r="J1610" t="str">
        <f>IFERROR(VLOOKUP(G1610,'LEAID Match'!$A$2:$B$183,2,FALSE),"")</f>
        <v/>
      </c>
      <c r="K1610">
        <f t="shared" si="25"/>
        <v>151</v>
      </c>
    </row>
    <row r="1611" spans="1:11" x14ac:dyDescent="0.2">
      <c r="A1611" t="s">
        <v>435</v>
      </c>
      <c r="B1611">
        <v>2021</v>
      </c>
      <c r="C1611">
        <v>207</v>
      </c>
      <c r="D1611" t="s">
        <v>428</v>
      </c>
      <c r="E1611" t="s">
        <v>429</v>
      </c>
      <c r="F1611" t="s">
        <v>433</v>
      </c>
      <c r="G1611" t="s">
        <v>419</v>
      </c>
      <c r="H1611" t="s">
        <v>418</v>
      </c>
      <c r="I1611" s="5">
        <v>276097</v>
      </c>
      <c r="J1611" t="str">
        <f>IFERROR(VLOOKUP(G1611,'LEAID Match'!$A$2:$B$183,2,FALSE),"")</f>
        <v/>
      </c>
      <c r="K1611">
        <f t="shared" si="25"/>
        <v>151</v>
      </c>
    </row>
    <row r="1612" spans="1:11" x14ac:dyDescent="0.2">
      <c r="A1612" t="s">
        <v>435</v>
      </c>
      <c r="B1612">
        <v>2022</v>
      </c>
      <c r="C1612">
        <v>85</v>
      </c>
      <c r="D1612" t="s">
        <v>428</v>
      </c>
      <c r="E1612" t="s">
        <v>429</v>
      </c>
      <c r="F1612" t="s">
        <v>433</v>
      </c>
      <c r="G1612" t="s">
        <v>145</v>
      </c>
      <c r="H1612" t="s">
        <v>145</v>
      </c>
      <c r="I1612" s="5">
        <v>375237</v>
      </c>
      <c r="J1612" t="str">
        <f>IFERROR(VLOOKUP(G1612,'LEAID Match'!$A$2:$B$183,2,FALSE),"")</f>
        <v/>
      </c>
      <c r="K1612">
        <f t="shared" si="25"/>
        <v>151</v>
      </c>
    </row>
    <row r="1613" spans="1:11" x14ac:dyDescent="0.2">
      <c r="A1613" t="s">
        <v>435</v>
      </c>
      <c r="B1613">
        <v>2022</v>
      </c>
      <c r="C1613">
        <v>37</v>
      </c>
      <c r="D1613" t="s">
        <v>428</v>
      </c>
      <c r="E1613" t="s">
        <v>429</v>
      </c>
      <c r="F1613" t="s">
        <v>433</v>
      </c>
      <c r="G1613" t="s">
        <v>233</v>
      </c>
      <c r="H1613" t="s">
        <v>233</v>
      </c>
      <c r="I1613" s="5">
        <v>433446</v>
      </c>
      <c r="J1613" t="str">
        <f>IFERROR(VLOOKUP(G1613,'LEAID Match'!$A$2:$B$183,2,FALSE),"")</f>
        <v/>
      </c>
      <c r="K1613">
        <f t="shared" si="25"/>
        <v>151</v>
      </c>
    </row>
    <row r="1614" spans="1:11" x14ac:dyDescent="0.2">
      <c r="A1614" t="s">
        <v>435</v>
      </c>
      <c r="B1614">
        <v>2022</v>
      </c>
      <c r="C1614">
        <v>38</v>
      </c>
      <c r="D1614" t="s">
        <v>428</v>
      </c>
      <c r="E1614" t="s">
        <v>429</v>
      </c>
      <c r="F1614" t="s">
        <v>433</v>
      </c>
      <c r="G1614" t="s">
        <v>178</v>
      </c>
      <c r="H1614" t="s">
        <v>234</v>
      </c>
      <c r="I1614" s="5">
        <v>2075082</v>
      </c>
      <c r="J1614" t="str">
        <f>IFERROR(VLOOKUP(G1614,'LEAID Match'!$A$2:$B$183,2,FALSE),"")</f>
        <v/>
      </c>
      <c r="K1614">
        <f t="shared" si="25"/>
        <v>151</v>
      </c>
    </row>
    <row r="1615" spans="1:11" x14ac:dyDescent="0.2">
      <c r="A1615" t="s">
        <v>435</v>
      </c>
      <c r="B1615">
        <v>2022</v>
      </c>
      <c r="C1615">
        <v>39</v>
      </c>
      <c r="D1615" t="s">
        <v>428</v>
      </c>
      <c r="E1615" t="s">
        <v>429</v>
      </c>
      <c r="F1615" t="s">
        <v>433</v>
      </c>
      <c r="G1615" t="s">
        <v>179</v>
      </c>
      <c r="H1615" t="s">
        <v>179</v>
      </c>
      <c r="I1615" s="5">
        <v>992470</v>
      </c>
      <c r="J1615" t="str">
        <f>IFERROR(VLOOKUP(G1615,'LEAID Match'!$A$2:$B$183,2,FALSE),"")</f>
        <v/>
      </c>
      <c r="K1615">
        <f t="shared" si="25"/>
        <v>151</v>
      </c>
    </row>
    <row r="1616" spans="1:11" x14ac:dyDescent="0.2">
      <c r="A1616" t="s">
        <v>435</v>
      </c>
      <c r="B1616">
        <v>2022</v>
      </c>
      <c r="C1616">
        <v>78</v>
      </c>
      <c r="D1616" t="s">
        <v>428</v>
      </c>
      <c r="E1616" t="s">
        <v>429</v>
      </c>
      <c r="F1616" t="s">
        <v>433</v>
      </c>
      <c r="G1616" t="s">
        <v>134</v>
      </c>
      <c r="H1616" t="s">
        <v>257</v>
      </c>
      <c r="I1616" s="5">
        <v>50009</v>
      </c>
      <c r="J1616" t="str">
        <f>IFERROR(VLOOKUP(G1616,'LEAID Match'!$A$2:$B$183,2,FALSE),"")</f>
        <v/>
      </c>
      <c r="K1616">
        <f t="shared" si="25"/>
        <v>151</v>
      </c>
    </row>
    <row r="1617" spans="1:11" x14ac:dyDescent="0.2">
      <c r="A1617" t="s">
        <v>435</v>
      </c>
      <c r="B1617">
        <v>2022</v>
      </c>
      <c r="C1617">
        <v>109</v>
      </c>
      <c r="D1617" t="s">
        <v>428</v>
      </c>
      <c r="E1617" t="s">
        <v>429</v>
      </c>
      <c r="F1617" t="s">
        <v>433</v>
      </c>
      <c r="G1617" t="s">
        <v>150</v>
      </c>
      <c r="H1617" t="s">
        <v>150</v>
      </c>
      <c r="I1617" s="5">
        <v>154173</v>
      </c>
      <c r="J1617" t="str">
        <f>IFERROR(VLOOKUP(G1617,'LEAID Match'!$A$2:$B$183,2,FALSE),"")</f>
        <v/>
      </c>
      <c r="K1617">
        <f t="shared" si="25"/>
        <v>151</v>
      </c>
    </row>
    <row r="1618" spans="1:11" x14ac:dyDescent="0.2">
      <c r="A1618" t="s">
        <v>435</v>
      </c>
      <c r="B1618">
        <v>2022</v>
      </c>
      <c r="C1618">
        <v>110</v>
      </c>
      <c r="D1618" t="s">
        <v>428</v>
      </c>
      <c r="E1618" t="s">
        <v>429</v>
      </c>
      <c r="F1618" t="s">
        <v>433</v>
      </c>
      <c r="G1618" t="s">
        <v>151</v>
      </c>
      <c r="H1618" t="s">
        <v>151</v>
      </c>
      <c r="I1618" s="5">
        <v>157223</v>
      </c>
      <c r="J1618" t="str">
        <f>IFERROR(VLOOKUP(G1618,'LEAID Match'!$A$2:$B$183,2,FALSE),"")</f>
        <v/>
      </c>
      <c r="K1618">
        <f t="shared" si="25"/>
        <v>151</v>
      </c>
    </row>
    <row r="1619" spans="1:11" x14ac:dyDescent="0.2">
      <c r="A1619" t="s">
        <v>435</v>
      </c>
      <c r="B1619">
        <v>2022</v>
      </c>
      <c r="C1619">
        <v>116</v>
      </c>
      <c r="D1619" t="s">
        <v>428</v>
      </c>
      <c r="E1619" t="s">
        <v>429</v>
      </c>
      <c r="F1619" t="s">
        <v>433</v>
      </c>
      <c r="G1619" t="s">
        <v>153</v>
      </c>
      <c r="H1619" t="s">
        <v>153</v>
      </c>
      <c r="I1619" s="5">
        <v>106132</v>
      </c>
      <c r="J1619" t="str">
        <f>IFERROR(VLOOKUP(G1619,'LEAID Match'!$A$2:$B$183,2,FALSE),"")</f>
        <v/>
      </c>
      <c r="K1619">
        <f t="shared" si="25"/>
        <v>151</v>
      </c>
    </row>
    <row r="1620" spans="1:11" x14ac:dyDescent="0.2">
      <c r="A1620" t="s">
        <v>435</v>
      </c>
      <c r="B1620">
        <v>2022</v>
      </c>
      <c r="C1620">
        <v>127</v>
      </c>
      <c r="D1620" t="s">
        <v>428</v>
      </c>
      <c r="E1620" t="s">
        <v>429</v>
      </c>
      <c r="F1620" t="s">
        <v>433</v>
      </c>
      <c r="G1620" t="s">
        <v>184</v>
      </c>
      <c r="H1620" t="s">
        <v>184</v>
      </c>
      <c r="I1620" s="5">
        <v>1243845</v>
      </c>
      <c r="J1620" t="str">
        <f>IFERROR(VLOOKUP(G1620,'LEAID Match'!$A$2:$B$183,2,FALSE),"")</f>
        <v/>
      </c>
      <c r="K1620">
        <f t="shared" si="25"/>
        <v>151</v>
      </c>
    </row>
    <row r="1621" spans="1:11" x14ac:dyDescent="0.2">
      <c r="A1621" t="s">
        <v>435</v>
      </c>
      <c r="B1621">
        <v>2022</v>
      </c>
      <c r="C1621">
        <v>135</v>
      </c>
      <c r="D1621" t="s">
        <v>428</v>
      </c>
      <c r="E1621" t="s">
        <v>429</v>
      </c>
      <c r="F1621" t="s">
        <v>433</v>
      </c>
      <c r="G1621" t="s">
        <v>203</v>
      </c>
      <c r="H1621" t="s">
        <v>203</v>
      </c>
      <c r="I1621" s="5">
        <v>109242</v>
      </c>
      <c r="J1621" t="str">
        <f>IFERROR(VLOOKUP(G1621,'LEAID Match'!$A$2:$B$183,2,FALSE),"")</f>
        <v/>
      </c>
      <c r="K1621">
        <f t="shared" si="25"/>
        <v>151</v>
      </c>
    </row>
    <row r="1622" spans="1:11" x14ac:dyDescent="0.2">
      <c r="A1622" t="s">
        <v>435</v>
      </c>
      <c r="B1622">
        <v>2022</v>
      </c>
      <c r="C1622">
        <v>151</v>
      </c>
      <c r="D1622" t="s">
        <v>428</v>
      </c>
      <c r="E1622" t="s">
        <v>429</v>
      </c>
      <c r="F1622" t="s">
        <v>433</v>
      </c>
      <c r="G1622" t="s">
        <v>187</v>
      </c>
      <c r="H1622" t="s">
        <v>91</v>
      </c>
      <c r="I1622" s="5">
        <v>3417173</v>
      </c>
      <c r="J1622" t="str">
        <f>IFERROR(VLOOKUP(G1622,'LEAID Match'!$A$2:$B$183,2,FALSE),"")</f>
        <v/>
      </c>
      <c r="K1622">
        <f t="shared" si="25"/>
        <v>151</v>
      </c>
    </row>
    <row r="1623" spans="1:11" x14ac:dyDescent="0.2">
      <c r="A1623" t="s">
        <v>435</v>
      </c>
      <c r="B1623">
        <v>2022</v>
      </c>
      <c r="C1623">
        <v>153</v>
      </c>
      <c r="D1623" t="s">
        <v>428</v>
      </c>
      <c r="E1623" t="s">
        <v>429</v>
      </c>
      <c r="F1623" t="s">
        <v>433</v>
      </c>
      <c r="G1623" t="s">
        <v>401</v>
      </c>
      <c r="H1623" t="s">
        <v>401</v>
      </c>
      <c r="I1623" s="5">
        <v>70704</v>
      </c>
      <c r="J1623" t="str">
        <f>IFERROR(VLOOKUP(G1623,'LEAID Match'!$A$2:$B$183,2,FALSE),"")</f>
        <v/>
      </c>
      <c r="K1623">
        <f t="shared" si="25"/>
        <v>151</v>
      </c>
    </row>
    <row r="1624" spans="1:11" x14ac:dyDescent="0.2">
      <c r="A1624" t="s">
        <v>435</v>
      </c>
      <c r="B1624">
        <v>2022</v>
      </c>
      <c r="C1624">
        <v>188</v>
      </c>
      <c r="D1624" t="s">
        <v>428</v>
      </c>
      <c r="E1624" t="s">
        <v>429</v>
      </c>
      <c r="F1624" t="s">
        <v>433</v>
      </c>
      <c r="G1624" t="s">
        <v>114</v>
      </c>
      <c r="H1624" t="s">
        <v>114</v>
      </c>
      <c r="I1624" s="5">
        <v>22590856</v>
      </c>
      <c r="J1624" t="str">
        <f>IFERROR(VLOOKUP(G1624,'LEAID Match'!$A$2:$B$183,2,FALSE),"")</f>
        <v/>
      </c>
      <c r="K1624">
        <f t="shared" si="25"/>
        <v>151</v>
      </c>
    </row>
    <row r="1625" spans="1:11" x14ac:dyDescent="0.2">
      <c r="A1625" t="s">
        <v>435</v>
      </c>
      <c r="B1625">
        <v>2022</v>
      </c>
      <c r="C1625">
        <v>199</v>
      </c>
      <c r="D1625" t="s">
        <v>428</v>
      </c>
      <c r="E1625" t="s">
        <v>429</v>
      </c>
      <c r="F1625" t="s">
        <v>433</v>
      </c>
      <c r="G1625" t="s">
        <v>133</v>
      </c>
      <c r="H1625" t="s">
        <v>410</v>
      </c>
      <c r="I1625" s="5">
        <v>22896</v>
      </c>
      <c r="J1625" t="str">
        <f>IFERROR(VLOOKUP(G1625,'LEAID Match'!$A$2:$B$183,2,FALSE),"")</f>
        <v/>
      </c>
      <c r="K1625">
        <f t="shared" si="25"/>
        <v>151</v>
      </c>
    </row>
    <row r="1626" spans="1:11" x14ac:dyDescent="0.2">
      <c r="A1626" t="s">
        <v>435</v>
      </c>
      <c r="B1626">
        <v>2022</v>
      </c>
      <c r="C1626">
        <v>200</v>
      </c>
      <c r="D1626" t="s">
        <v>428</v>
      </c>
      <c r="E1626" t="s">
        <v>429</v>
      </c>
      <c r="F1626" t="s">
        <v>433</v>
      </c>
      <c r="G1626" t="s">
        <v>141</v>
      </c>
      <c r="H1626" t="s">
        <v>413</v>
      </c>
      <c r="I1626" s="5">
        <v>11287</v>
      </c>
      <c r="J1626" t="str">
        <f>IFERROR(VLOOKUP(G1626,'LEAID Match'!$A$2:$B$183,2,FALSE),"")</f>
        <v/>
      </c>
      <c r="K1626">
        <f t="shared" si="25"/>
        <v>151</v>
      </c>
    </row>
    <row r="1627" spans="1:11" x14ac:dyDescent="0.2">
      <c r="A1627" t="s">
        <v>435</v>
      </c>
      <c r="B1627">
        <v>2022</v>
      </c>
      <c r="C1627">
        <v>201</v>
      </c>
      <c r="D1627" t="s">
        <v>428</v>
      </c>
      <c r="E1627" t="s">
        <v>429</v>
      </c>
      <c r="F1627" t="s">
        <v>433</v>
      </c>
      <c r="G1627" t="s">
        <v>140</v>
      </c>
      <c r="H1627" t="s">
        <v>414</v>
      </c>
      <c r="I1627" s="5">
        <v>96300</v>
      </c>
      <c r="J1627" t="str">
        <f>IFERROR(VLOOKUP(G1627,'LEAID Match'!$A$2:$B$183,2,FALSE),"")</f>
        <v/>
      </c>
      <c r="K1627">
        <f t="shared" si="25"/>
        <v>151</v>
      </c>
    </row>
    <row r="1628" spans="1:11" x14ac:dyDescent="0.2">
      <c r="A1628" t="s">
        <v>435</v>
      </c>
      <c r="B1628">
        <v>2022</v>
      </c>
      <c r="C1628">
        <v>202</v>
      </c>
      <c r="D1628" t="s">
        <v>428</v>
      </c>
      <c r="E1628" t="s">
        <v>429</v>
      </c>
      <c r="F1628" t="s">
        <v>433</v>
      </c>
      <c r="G1628" t="s">
        <v>139</v>
      </c>
      <c r="H1628" t="s">
        <v>416</v>
      </c>
      <c r="I1628" s="5">
        <v>264681</v>
      </c>
      <c r="J1628" t="str">
        <f>IFERROR(VLOOKUP(G1628,'LEAID Match'!$A$2:$B$183,2,FALSE),"")</f>
        <v/>
      </c>
      <c r="K1628">
        <f t="shared" si="25"/>
        <v>151</v>
      </c>
    </row>
    <row r="1629" spans="1:11" x14ac:dyDescent="0.2">
      <c r="A1629" t="s">
        <v>435</v>
      </c>
      <c r="B1629">
        <v>2022</v>
      </c>
      <c r="C1629">
        <v>207</v>
      </c>
      <c r="D1629" t="s">
        <v>428</v>
      </c>
      <c r="E1629" t="s">
        <v>429</v>
      </c>
      <c r="F1629" t="s">
        <v>433</v>
      </c>
      <c r="G1629" t="s">
        <v>419</v>
      </c>
      <c r="H1629" t="s">
        <v>419</v>
      </c>
      <c r="I1629" s="5">
        <v>330499</v>
      </c>
      <c r="J1629" t="str">
        <f>IFERROR(VLOOKUP(G1629,'LEAID Match'!$A$2:$B$183,2,FALSE),"")</f>
        <v/>
      </c>
      <c r="K1629">
        <f t="shared" si="25"/>
        <v>151</v>
      </c>
    </row>
    <row r="1630" spans="1:11" x14ac:dyDescent="0.2">
      <c r="A1630" t="s">
        <v>435</v>
      </c>
      <c r="B1630">
        <v>2023</v>
      </c>
      <c r="C1630">
        <v>85</v>
      </c>
      <c r="D1630" t="s">
        <v>428</v>
      </c>
      <c r="E1630" t="s">
        <v>429</v>
      </c>
      <c r="F1630" t="s">
        <v>433</v>
      </c>
      <c r="G1630" t="s">
        <v>145</v>
      </c>
      <c r="H1630" t="s">
        <v>145</v>
      </c>
      <c r="I1630" s="5">
        <v>365269</v>
      </c>
      <c r="J1630" t="str">
        <f>IFERROR(VLOOKUP(G1630,'LEAID Match'!$A$2:$B$183,2,FALSE),"")</f>
        <v/>
      </c>
      <c r="K1630">
        <f t="shared" si="25"/>
        <v>151</v>
      </c>
    </row>
    <row r="1631" spans="1:11" x14ac:dyDescent="0.2">
      <c r="A1631" t="s">
        <v>435</v>
      </c>
      <c r="B1631">
        <v>2023</v>
      </c>
      <c r="C1631">
        <v>37</v>
      </c>
      <c r="D1631" t="s">
        <v>428</v>
      </c>
      <c r="E1631" t="s">
        <v>429</v>
      </c>
      <c r="F1631" t="s">
        <v>433</v>
      </c>
      <c r="G1631" t="s">
        <v>233</v>
      </c>
      <c r="H1631" t="s">
        <v>233</v>
      </c>
      <c r="I1631" s="5">
        <v>483809</v>
      </c>
      <c r="J1631" t="str">
        <f>IFERROR(VLOOKUP(G1631,'LEAID Match'!$A$2:$B$183,2,FALSE),"")</f>
        <v/>
      </c>
      <c r="K1631">
        <f t="shared" si="25"/>
        <v>151</v>
      </c>
    </row>
    <row r="1632" spans="1:11" x14ac:dyDescent="0.2">
      <c r="A1632" t="s">
        <v>435</v>
      </c>
      <c r="B1632">
        <v>2023</v>
      </c>
      <c r="C1632">
        <v>38</v>
      </c>
      <c r="D1632" t="s">
        <v>428</v>
      </c>
      <c r="E1632" t="s">
        <v>429</v>
      </c>
      <c r="F1632" t="s">
        <v>433</v>
      </c>
      <c r="G1632" t="s">
        <v>178</v>
      </c>
      <c r="H1632" t="s">
        <v>234</v>
      </c>
      <c r="I1632" s="5">
        <v>2203084</v>
      </c>
      <c r="J1632" t="str">
        <f>IFERROR(VLOOKUP(G1632,'LEAID Match'!$A$2:$B$183,2,FALSE),"")</f>
        <v/>
      </c>
      <c r="K1632">
        <f t="shared" si="25"/>
        <v>151</v>
      </c>
    </row>
    <row r="1633" spans="1:11" x14ac:dyDescent="0.2">
      <c r="A1633" t="s">
        <v>435</v>
      </c>
      <c r="B1633">
        <v>2023</v>
      </c>
      <c r="C1633">
        <v>39</v>
      </c>
      <c r="D1633" t="s">
        <v>428</v>
      </c>
      <c r="E1633" t="s">
        <v>429</v>
      </c>
      <c r="F1633" t="s">
        <v>433</v>
      </c>
      <c r="G1633" t="s">
        <v>179</v>
      </c>
      <c r="H1633" t="s">
        <v>179</v>
      </c>
      <c r="I1633" s="5">
        <v>1175546</v>
      </c>
      <c r="J1633" t="str">
        <f>IFERROR(VLOOKUP(G1633,'LEAID Match'!$A$2:$B$183,2,FALSE),"")</f>
        <v/>
      </c>
      <c r="K1633">
        <f t="shared" si="25"/>
        <v>151</v>
      </c>
    </row>
    <row r="1634" spans="1:11" x14ac:dyDescent="0.2">
      <c r="A1634" t="s">
        <v>435</v>
      </c>
      <c r="B1634">
        <v>2023</v>
      </c>
      <c r="C1634">
        <v>47</v>
      </c>
      <c r="D1634" t="s">
        <v>428</v>
      </c>
      <c r="E1634" t="s">
        <v>429</v>
      </c>
      <c r="F1634" t="s">
        <v>433</v>
      </c>
      <c r="G1634" t="s">
        <v>404</v>
      </c>
      <c r="H1634" t="s">
        <v>404</v>
      </c>
      <c r="I1634" s="5">
        <v>160667</v>
      </c>
      <c r="J1634" t="str">
        <f>IFERROR(VLOOKUP(G1634,'LEAID Match'!$A$2:$B$183,2,FALSE),"")</f>
        <v/>
      </c>
      <c r="K1634">
        <f t="shared" si="25"/>
        <v>151</v>
      </c>
    </row>
    <row r="1635" spans="1:11" x14ac:dyDescent="0.2">
      <c r="A1635" t="s">
        <v>435</v>
      </c>
      <c r="B1635">
        <v>2023</v>
      </c>
      <c r="C1635">
        <v>64</v>
      </c>
      <c r="D1635" t="s">
        <v>428</v>
      </c>
      <c r="E1635" t="s">
        <v>429</v>
      </c>
      <c r="F1635" t="s">
        <v>433</v>
      </c>
      <c r="G1635" t="s">
        <v>405</v>
      </c>
      <c r="H1635" t="s">
        <v>405</v>
      </c>
      <c r="I1635" s="5">
        <v>19915</v>
      </c>
      <c r="J1635" t="str">
        <f>IFERROR(VLOOKUP(G1635,'LEAID Match'!$A$2:$B$183,2,FALSE),"")</f>
        <v/>
      </c>
      <c r="K1635">
        <f t="shared" si="25"/>
        <v>151</v>
      </c>
    </row>
    <row r="1636" spans="1:11" x14ac:dyDescent="0.2">
      <c r="A1636" t="s">
        <v>435</v>
      </c>
      <c r="B1636">
        <v>2023</v>
      </c>
      <c r="C1636">
        <v>78</v>
      </c>
      <c r="D1636" t="s">
        <v>428</v>
      </c>
      <c r="E1636" t="s">
        <v>429</v>
      </c>
      <c r="F1636" t="s">
        <v>433</v>
      </c>
      <c r="G1636" t="s">
        <v>134</v>
      </c>
      <c r="H1636" t="s">
        <v>257</v>
      </c>
      <c r="I1636" s="5">
        <v>53777</v>
      </c>
      <c r="J1636" t="str">
        <f>IFERROR(VLOOKUP(G1636,'LEAID Match'!$A$2:$B$183,2,FALSE),"")</f>
        <v/>
      </c>
      <c r="K1636">
        <f t="shared" si="25"/>
        <v>151</v>
      </c>
    </row>
    <row r="1637" spans="1:11" x14ac:dyDescent="0.2">
      <c r="A1637" t="s">
        <v>435</v>
      </c>
      <c r="B1637">
        <v>2023</v>
      </c>
      <c r="C1637">
        <v>109</v>
      </c>
      <c r="D1637" t="s">
        <v>428</v>
      </c>
      <c r="E1637" t="s">
        <v>429</v>
      </c>
      <c r="F1637" t="s">
        <v>433</v>
      </c>
      <c r="G1637" t="s">
        <v>150</v>
      </c>
      <c r="H1637" t="s">
        <v>150</v>
      </c>
      <c r="I1637" s="5">
        <v>161980</v>
      </c>
      <c r="J1637" t="str">
        <f>IFERROR(VLOOKUP(G1637,'LEAID Match'!$A$2:$B$183,2,FALSE),"")</f>
        <v/>
      </c>
      <c r="K1637">
        <f t="shared" si="25"/>
        <v>151</v>
      </c>
    </row>
    <row r="1638" spans="1:11" x14ac:dyDescent="0.2">
      <c r="A1638" t="s">
        <v>435</v>
      </c>
      <c r="B1638">
        <v>2023</v>
      </c>
      <c r="C1638">
        <v>110</v>
      </c>
      <c r="D1638" t="s">
        <v>428</v>
      </c>
      <c r="E1638" t="s">
        <v>429</v>
      </c>
      <c r="F1638" t="s">
        <v>433</v>
      </c>
      <c r="G1638" t="s">
        <v>151</v>
      </c>
      <c r="H1638" t="s">
        <v>151</v>
      </c>
      <c r="I1638" s="5">
        <v>164523</v>
      </c>
      <c r="J1638" t="str">
        <f>IFERROR(VLOOKUP(G1638,'LEAID Match'!$A$2:$B$183,2,FALSE),"")</f>
        <v/>
      </c>
      <c r="K1638">
        <f t="shared" si="25"/>
        <v>151</v>
      </c>
    </row>
    <row r="1639" spans="1:11" x14ac:dyDescent="0.2">
      <c r="A1639" t="s">
        <v>435</v>
      </c>
      <c r="B1639">
        <v>2023</v>
      </c>
      <c r="C1639">
        <v>116</v>
      </c>
      <c r="D1639" t="s">
        <v>428</v>
      </c>
      <c r="E1639" t="s">
        <v>429</v>
      </c>
      <c r="F1639" t="s">
        <v>433</v>
      </c>
      <c r="G1639" t="s">
        <v>153</v>
      </c>
      <c r="H1639" t="s">
        <v>153</v>
      </c>
      <c r="I1639" s="5">
        <v>108933</v>
      </c>
      <c r="J1639" t="str">
        <f>IFERROR(VLOOKUP(G1639,'LEAID Match'!$A$2:$B$183,2,FALSE),"")</f>
        <v/>
      </c>
      <c r="K1639">
        <f t="shared" si="25"/>
        <v>151</v>
      </c>
    </row>
    <row r="1640" spans="1:11" x14ac:dyDescent="0.2">
      <c r="A1640" t="s">
        <v>435</v>
      </c>
      <c r="B1640">
        <v>2023</v>
      </c>
      <c r="C1640">
        <v>118</v>
      </c>
      <c r="D1640" t="s">
        <v>428</v>
      </c>
      <c r="E1640" t="s">
        <v>429</v>
      </c>
      <c r="F1640" t="s">
        <v>433</v>
      </c>
      <c r="G1640" t="s">
        <v>406</v>
      </c>
      <c r="H1640" t="s">
        <v>406</v>
      </c>
      <c r="I1640" s="5">
        <v>37531</v>
      </c>
      <c r="J1640" t="str">
        <f>IFERROR(VLOOKUP(G1640,'LEAID Match'!$A$2:$B$183,2,FALSE),"")</f>
        <v/>
      </c>
      <c r="K1640">
        <f t="shared" si="25"/>
        <v>151</v>
      </c>
    </row>
    <row r="1641" spans="1:11" x14ac:dyDescent="0.2">
      <c r="A1641" t="s">
        <v>435</v>
      </c>
      <c r="B1641">
        <v>2023</v>
      </c>
      <c r="C1641">
        <v>127</v>
      </c>
      <c r="D1641" t="s">
        <v>428</v>
      </c>
      <c r="E1641" t="s">
        <v>429</v>
      </c>
      <c r="F1641" t="s">
        <v>433</v>
      </c>
      <c r="G1641" t="s">
        <v>184</v>
      </c>
      <c r="H1641" t="s">
        <v>184</v>
      </c>
      <c r="I1641" s="5">
        <v>1303562</v>
      </c>
      <c r="J1641" t="str">
        <f>IFERROR(VLOOKUP(G1641,'LEAID Match'!$A$2:$B$183,2,FALSE),"")</f>
        <v/>
      </c>
      <c r="K1641">
        <f t="shared" si="25"/>
        <v>151</v>
      </c>
    </row>
    <row r="1642" spans="1:11" x14ac:dyDescent="0.2">
      <c r="A1642" t="s">
        <v>435</v>
      </c>
      <c r="B1642">
        <v>2023</v>
      </c>
      <c r="C1642">
        <v>135</v>
      </c>
      <c r="D1642" t="s">
        <v>428</v>
      </c>
      <c r="E1642" t="s">
        <v>429</v>
      </c>
      <c r="F1642" t="s">
        <v>433</v>
      </c>
      <c r="G1642" t="s">
        <v>203</v>
      </c>
      <c r="H1642" t="s">
        <v>203</v>
      </c>
      <c r="I1642" s="5">
        <v>113093</v>
      </c>
      <c r="J1642" t="str">
        <f>IFERROR(VLOOKUP(G1642,'LEAID Match'!$A$2:$B$183,2,FALSE),"")</f>
        <v/>
      </c>
      <c r="K1642">
        <f t="shared" si="25"/>
        <v>151</v>
      </c>
    </row>
    <row r="1643" spans="1:11" x14ac:dyDescent="0.2">
      <c r="A1643" t="s">
        <v>435</v>
      </c>
      <c r="B1643">
        <v>2023</v>
      </c>
      <c r="C1643">
        <v>139</v>
      </c>
      <c r="D1643" t="s">
        <v>428</v>
      </c>
      <c r="E1643" t="s">
        <v>429</v>
      </c>
      <c r="F1643" t="s">
        <v>433</v>
      </c>
      <c r="G1643" t="s">
        <v>407</v>
      </c>
      <c r="H1643" t="s">
        <v>407</v>
      </c>
      <c r="I1643" s="5">
        <v>796</v>
      </c>
      <c r="J1643" t="str">
        <f>IFERROR(VLOOKUP(G1643,'LEAID Match'!$A$2:$B$183,2,FALSE),"")</f>
        <v/>
      </c>
      <c r="K1643">
        <f t="shared" si="25"/>
        <v>151</v>
      </c>
    </row>
    <row r="1644" spans="1:11" x14ac:dyDescent="0.2">
      <c r="A1644" t="s">
        <v>435</v>
      </c>
      <c r="B1644">
        <v>2023</v>
      </c>
      <c r="C1644">
        <v>151</v>
      </c>
      <c r="D1644" t="s">
        <v>428</v>
      </c>
      <c r="E1644" t="s">
        <v>429</v>
      </c>
      <c r="F1644" t="s">
        <v>433</v>
      </c>
      <c r="G1644" t="s">
        <v>187</v>
      </c>
      <c r="H1644" t="s">
        <v>91</v>
      </c>
      <c r="I1644" s="5">
        <v>3541291</v>
      </c>
      <c r="J1644" t="str">
        <f>IFERROR(VLOOKUP(G1644,'LEAID Match'!$A$2:$B$183,2,FALSE),"")</f>
        <v/>
      </c>
      <c r="K1644">
        <f t="shared" si="25"/>
        <v>151</v>
      </c>
    </row>
    <row r="1645" spans="1:11" x14ac:dyDescent="0.2">
      <c r="A1645" t="s">
        <v>435</v>
      </c>
      <c r="B1645">
        <v>2023</v>
      </c>
      <c r="C1645">
        <v>153</v>
      </c>
      <c r="D1645" t="s">
        <v>428</v>
      </c>
      <c r="E1645" t="s">
        <v>429</v>
      </c>
      <c r="F1645" t="s">
        <v>433</v>
      </c>
      <c r="G1645" t="s">
        <v>401</v>
      </c>
      <c r="H1645" t="s">
        <v>401</v>
      </c>
      <c r="I1645" s="5">
        <v>80042</v>
      </c>
      <c r="J1645" t="str">
        <f>IFERROR(VLOOKUP(G1645,'LEAID Match'!$A$2:$B$183,2,FALSE),"")</f>
        <v/>
      </c>
      <c r="K1645">
        <f t="shared" si="25"/>
        <v>151</v>
      </c>
    </row>
    <row r="1646" spans="1:11" x14ac:dyDescent="0.2">
      <c r="A1646" t="s">
        <v>435</v>
      </c>
      <c r="B1646">
        <v>2023</v>
      </c>
      <c r="C1646">
        <v>188</v>
      </c>
      <c r="D1646" t="s">
        <v>428</v>
      </c>
      <c r="E1646" t="s">
        <v>429</v>
      </c>
      <c r="F1646" t="s">
        <v>433</v>
      </c>
      <c r="G1646" t="s">
        <v>114</v>
      </c>
      <c r="H1646" t="s">
        <v>114</v>
      </c>
      <c r="I1646" s="5">
        <v>23779200</v>
      </c>
      <c r="J1646" t="str">
        <f>IFERROR(VLOOKUP(G1646,'LEAID Match'!$A$2:$B$183,2,FALSE),"")</f>
        <v/>
      </c>
      <c r="K1646">
        <f t="shared" si="25"/>
        <v>151</v>
      </c>
    </row>
    <row r="1647" spans="1:11" x14ac:dyDescent="0.2">
      <c r="A1647" t="s">
        <v>435</v>
      </c>
      <c r="B1647">
        <v>2023</v>
      </c>
      <c r="C1647">
        <v>199</v>
      </c>
      <c r="D1647" t="s">
        <v>428</v>
      </c>
      <c r="E1647" t="s">
        <v>429</v>
      </c>
      <c r="F1647" t="s">
        <v>433</v>
      </c>
      <c r="G1647" t="s">
        <v>133</v>
      </c>
      <c r="H1647" t="s">
        <v>411</v>
      </c>
      <c r="I1647" s="5">
        <v>23583</v>
      </c>
      <c r="J1647" t="str">
        <f>IFERROR(VLOOKUP(G1647,'LEAID Match'!$A$2:$B$183,2,FALSE),"")</f>
        <v/>
      </c>
      <c r="K1647">
        <f t="shared" si="25"/>
        <v>151</v>
      </c>
    </row>
    <row r="1648" spans="1:11" x14ac:dyDescent="0.2">
      <c r="A1648" t="s">
        <v>435</v>
      </c>
      <c r="B1648">
        <v>2023</v>
      </c>
      <c r="C1648">
        <v>200</v>
      </c>
      <c r="D1648" t="s">
        <v>428</v>
      </c>
      <c r="E1648" t="s">
        <v>429</v>
      </c>
      <c r="F1648" t="s">
        <v>433</v>
      </c>
      <c r="G1648" t="s">
        <v>141</v>
      </c>
      <c r="H1648" t="s">
        <v>413</v>
      </c>
      <c r="I1648" s="5">
        <v>12077</v>
      </c>
      <c r="J1648" t="str">
        <f>IFERROR(VLOOKUP(G1648,'LEAID Match'!$A$2:$B$183,2,FALSE),"")</f>
        <v/>
      </c>
      <c r="K1648">
        <f t="shared" si="25"/>
        <v>151</v>
      </c>
    </row>
    <row r="1649" spans="1:11" x14ac:dyDescent="0.2">
      <c r="A1649" t="s">
        <v>435</v>
      </c>
      <c r="B1649">
        <v>2023</v>
      </c>
      <c r="C1649">
        <v>201</v>
      </c>
      <c r="D1649" t="s">
        <v>428</v>
      </c>
      <c r="E1649" t="s">
        <v>429</v>
      </c>
      <c r="F1649" t="s">
        <v>433</v>
      </c>
      <c r="G1649" t="s">
        <v>140</v>
      </c>
      <c r="H1649" t="s">
        <v>414</v>
      </c>
      <c r="I1649" s="5">
        <v>88544</v>
      </c>
      <c r="J1649" t="str">
        <f>IFERROR(VLOOKUP(G1649,'LEAID Match'!$A$2:$B$183,2,FALSE),"")</f>
        <v/>
      </c>
      <c r="K1649">
        <f t="shared" si="25"/>
        <v>151</v>
      </c>
    </row>
    <row r="1650" spans="1:11" x14ac:dyDescent="0.2">
      <c r="A1650" t="s">
        <v>435</v>
      </c>
      <c r="B1650">
        <v>2023</v>
      </c>
      <c r="C1650">
        <v>202</v>
      </c>
      <c r="D1650" t="s">
        <v>428</v>
      </c>
      <c r="E1650" t="s">
        <v>429</v>
      </c>
      <c r="F1650" t="s">
        <v>433</v>
      </c>
      <c r="G1650" t="s">
        <v>139</v>
      </c>
      <c r="H1650" t="s">
        <v>417</v>
      </c>
      <c r="I1650" s="5">
        <v>286587</v>
      </c>
      <c r="J1650" t="str">
        <f>IFERROR(VLOOKUP(G1650,'LEAID Match'!$A$2:$B$183,2,FALSE),"")</f>
        <v/>
      </c>
      <c r="K1650">
        <f t="shared" si="25"/>
        <v>151</v>
      </c>
    </row>
    <row r="1651" spans="1:11" x14ac:dyDescent="0.2">
      <c r="A1651" t="s">
        <v>435</v>
      </c>
      <c r="B1651">
        <v>2023</v>
      </c>
      <c r="C1651">
        <v>207</v>
      </c>
      <c r="D1651" t="s">
        <v>428</v>
      </c>
      <c r="E1651" t="s">
        <v>429</v>
      </c>
      <c r="F1651" t="s">
        <v>433</v>
      </c>
      <c r="G1651" t="s">
        <v>419</v>
      </c>
      <c r="H1651" t="s">
        <v>418</v>
      </c>
      <c r="I1651" s="5">
        <v>360185</v>
      </c>
      <c r="J1651" t="str">
        <f>IFERROR(VLOOKUP(G1651,'LEAID Match'!$A$2:$B$183,2,FALSE),"")</f>
        <v/>
      </c>
      <c r="K1651">
        <f t="shared" si="25"/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C94C-B878-1844-B7CD-555D3E6FC267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C83E-CFB7-544B-AC77-F5DCC0B06EE5}">
  <sheetPr>
    <tabColor rgb="FFFFFF00"/>
  </sheetPr>
  <dimension ref="A1:D1613"/>
  <sheetViews>
    <sheetView workbookViewId="0">
      <selection activeCell="C2" sqref="C2:D2"/>
    </sheetView>
  </sheetViews>
  <sheetFormatPr baseColWidth="10" defaultRowHeight="16" x14ac:dyDescent="0.2"/>
  <cols>
    <col min="1" max="1" width="5.1640625" bestFit="1" customWidth="1"/>
    <col min="2" max="2" width="43.6640625" style="2" bestFit="1" customWidth="1"/>
    <col min="3" max="3" width="20.5" bestFit="1" customWidth="1"/>
    <col min="4" max="4" width="17.83203125" bestFit="1" customWidth="1"/>
  </cols>
  <sheetData>
    <row r="1" spans="1:4" x14ac:dyDescent="0.2">
      <c r="A1" t="s">
        <v>0</v>
      </c>
      <c r="B1" s="2" t="s">
        <v>1</v>
      </c>
      <c r="C1" t="s">
        <v>2</v>
      </c>
      <c r="D1" t="s">
        <v>3</v>
      </c>
    </row>
    <row r="2" spans="1:4" x14ac:dyDescent="0.2">
      <c r="A2">
        <v>2015</v>
      </c>
      <c r="B2" s="2" t="s">
        <v>15</v>
      </c>
      <c r="C2" s="4">
        <v>356898</v>
      </c>
      <c r="D2" s="3">
        <v>1.125614E-3</v>
      </c>
    </row>
    <row r="3" spans="1:4" x14ac:dyDescent="0.2">
      <c r="A3">
        <v>2015</v>
      </c>
      <c r="B3" s="2" t="s">
        <v>4</v>
      </c>
      <c r="C3" s="1">
        <v>756591</v>
      </c>
      <c r="D3">
        <v>2.3861960000000002E-3</v>
      </c>
    </row>
    <row r="4" spans="1:4" x14ac:dyDescent="0.2">
      <c r="A4">
        <v>2015</v>
      </c>
      <c r="B4" s="2" t="s">
        <v>5</v>
      </c>
      <c r="C4" s="1">
        <v>12570</v>
      </c>
      <c r="D4">
        <v>3.9644000000000002E-5</v>
      </c>
    </row>
    <row r="5" spans="1:4" x14ac:dyDescent="0.2">
      <c r="A5">
        <v>2015</v>
      </c>
      <c r="B5" s="2" t="s">
        <v>6</v>
      </c>
      <c r="C5" s="1">
        <v>19381</v>
      </c>
      <c r="D5">
        <v>6.1124999999999995E-5</v>
      </c>
    </row>
    <row r="6" spans="1:4" x14ac:dyDescent="0.2">
      <c r="A6">
        <v>2015</v>
      </c>
      <c r="B6" s="2" t="s">
        <v>7</v>
      </c>
      <c r="C6" s="1">
        <v>189320</v>
      </c>
      <c r="D6">
        <v>5.9709100000000001E-4</v>
      </c>
    </row>
    <row r="7" spans="1:4" x14ac:dyDescent="0.2">
      <c r="A7">
        <v>2015</v>
      </c>
      <c r="B7" s="2" t="s">
        <v>8</v>
      </c>
      <c r="C7" s="1">
        <v>449570</v>
      </c>
      <c r="D7">
        <v>1.417888E-3</v>
      </c>
    </row>
    <row r="8" spans="1:4" x14ac:dyDescent="0.2">
      <c r="A8">
        <v>2015</v>
      </c>
      <c r="B8" s="2" t="s">
        <v>9</v>
      </c>
      <c r="C8" s="1">
        <v>1670938</v>
      </c>
      <c r="D8">
        <v>5.2699319999999997E-3</v>
      </c>
    </row>
    <row r="9" spans="1:4" x14ac:dyDescent="0.2">
      <c r="A9">
        <v>2015</v>
      </c>
      <c r="B9" s="2" t="s">
        <v>10</v>
      </c>
      <c r="C9" s="1">
        <v>3740846</v>
      </c>
      <c r="D9">
        <v>1.1798167E-2</v>
      </c>
    </row>
    <row r="10" spans="1:4" x14ac:dyDescent="0.2">
      <c r="A10">
        <v>2015</v>
      </c>
      <c r="B10" s="2" t="s">
        <v>11</v>
      </c>
      <c r="C10" s="1">
        <v>99248</v>
      </c>
      <c r="D10">
        <v>3.1301499999999998E-4</v>
      </c>
    </row>
    <row r="11" spans="1:4" x14ac:dyDescent="0.2">
      <c r="A11">
        <v>2015</v>
      </c>
      <c r="B11" s="2" t="s">
        <v>12</v>
      </c>
      <c r="C11" s="1">
        <v>15048767</v>
      </c>
      <c r="D11">
        <v>4.7461962000000003E-2</v>
      </c>
    </row>
    <row r="12" spans="1:4" x14ac:dyDescent="0.2">
      <c r="A12">
        <v>2015</v>
      </c>
      <c r="B12" s="2" t="s">
        <v>13</v>
      </c>
      <c r="C12" s="1">
        <v>4165658</v>
      </c>
      <c r="D12">
        <v>1.3137973000000001E-2</v>
      </c>
    </row>
    <row r="13" spans="1:4" x14ac:dyDescent="0.2">
      <c r="A13">
        <v>2015</v>
      </c>
      <c r="B13" s="2" t="s">
        <v>14</v>
      </c>
      <c r="C13" s="1">
        <v>658147</v>
      </c>
      <c r="D13">
        <v>2.075716E-3</v>
      </c>
    </row>
    <row r="14" spans="1:4" x14ac:dyDescent="0.2">
      <c r="A14">
        <v>2015</v>
      </c>
      <c r="B14" s="2" t="s">
        <v>16</v>
      </c>
      <c r="C14" s="1">
        <v>165221</v>
      </c>
      <c r="D14">
        <v>5.2108600000000003E-4</v>
      </c>
    </row>
    <row r="15" spans="1:4" x14ac:dyDescent="0.2">
      <c r="A15">
        <v>2015</v>
      </c>
      <c r="B15" s="2" t="s">
        <v>17</v>
      </c>
      <c r="C15" s="1">
        <v>493967</v>
      </c>
      <c r="D15">
        <v>1.55791E-3</v>
      </c>
    </row>
    <row r="16" spans="1:4" x14ac:dyDescent="0.2">
      <c r="A16">
        <v>2015</v>
      </c>
      <c r="B16" s="2" t="s">
        <v>18</v>
      </c>
      <c r="C16" s="1">
        <v>193204</v>
      </c>
      <c r="D16">
        <v>6.0934100000000001E-4</v>
      </c>
    </row>
    <row r="17" spans="1:4" x14ac:dyDescent="0.2">
      <c r="A17">
        <v>2015</v>
      </c>
      <c r="B17" s="2" t="s">
        <v>19</v>
      </c>
      <c r="C17" s="1">
        <v>2472674</v>
      </c>
      <c r="D17">
        <v>7.7985110000000002E-3</v>
      </c>
    </row>
    <row r="18" spans="1:4" x14ac:dyDescent="0.2">
      <c r="A18">
        <v>2015</v>
      </c>
      <c r="B18" s="2" t="s">
        <v>20</v>
      </c>
      <c r="C18" s="1">
        <v>113369</v>
      </c>
      <c r="D18">
        <v>3.5755299999999998E-4</v>
      </c>
    </row>
    <row r="19" spans="1:4" x14ac:dyDescent="0.2">
      <c r="A19">
        <v>2015</v>
      </c>
      <c r="B19" s="2" t="s">
        <v>21</v>
      </c>
      <c r="C19" s="1">
        <v>96105</v>
      </c>
      <c r="D19">
        <v>3.03104E-4</v>
      </c>
    </row>
    <row r="20" spans="1:4" x14ac:dyDescent="0.2">
      <c r="A20">
        <v>2015</v>
      </c>
      <c r="B20" s="2" t="s">
        <v>22</v>
      </c>
      <c r="C20" s="1">
        <v>320390</v>
      </c>
      <c r="D20">
        <v>1.0104720000000001E-3</v>
      </c>
    </row>
    <row r="21" spans="1:4" x14ac:dyDescent="0.2">
      <c r="A21">
        <v>2015</v>
      </c>
      <c r="B21" s="2" t="s">
        <v>23</v>
      </c>
      <c r="C21" s="1">
        <v>191293</v>
      </c>
      <c r="D21">
        <v>6.0331600000000001E-4</v>
      </c>
    </row>
    <row r="22" spans="1:4" x14ac:dyDescent="0.2">
      <c r="A22">
        <v>2015</v>
      </c>
      <c r="B22" s="2" t="s">
        <v>24</v>
      </c>
      <c r="C22" s="1">
        <v>2252246</v>
      </c>
      <c r="D22">
        <v>7.1033069999999997E-3</v>
      </c>
    </row>
    <row r="23" spans="1:4" x14ac:dyDescent="0.2">
      <c r="A23">
        <v>2015</v>
      </c>
      <c r="B23" s="2" t="s">
        <v>25</v>
      </c>
      <c r="C23" s="1">
        <v>148982</v>
      </c>
      <c r="D23">
        <v>4.6987E-4</v>
      </c>
    </row>
    <row r="24" spans="1:4" x14ac:dyDescent="0.2">
      <c r="A24">
        <v>2015</v>
      </c>
      <c r="B24" s="2" t="s">
        <v>26</v>
      </c>
      <c r="C24" s="1">
        <v>206182</v>
      </c>
      <c r="D24">
        <v>6.5027300000000004E-4</v>
      </c>
    </row>
    <row r="25" spans="1:4" x14ac:dyDescent="0.2">
      <c r="A25">
        <v>2015</v>
      </c>
      <c r="B25" s="2" t="s">
        <v>27</v>
      </c>
      <c r="C25" s="1">
        <v>110637</v>
      </c>
      <c r="D25">
        <v>3.4893599999999999E-4</v>
      </c>
    </row>
    <row r="26" spans="1:4" x14ac:dyDescent="0.2">
      <c r="A26">
        <v>2015</v>
      </c>
      <c r="B26" s="2" t="s">
        <v>28</v>
      </c>
      <c r="C26" s="1">
        <v>617325</v>
      </c>
      <c r="D26">
        <v>1.9469680000000001E-3</v>
      </c>
    </row>
    <row r="27" spans="1:4" x14ac:dyDescent="0.2">
      <c r="A27">
        <v>2015</v>
      </c>
      <c r="B27" s="2" t="s">
        <v>29</v>
      </c>
      <c r="C27" s="1">
        <v>4650130</v>
      </c>
      <c r="D27">
        <v>1.4665938E-2</v>
      </c>
    </row>
    <row r="28" spans="1:4" x14ac:dyDescent="0.2">
      <c r="A28">
        <v>2015</v>
      </c>
      <c r="B28" s="2" t="s">
        <v>30</v>
      </c>
      <c r="C28" s="1">
        <v>223049</v>
      </c>
      <c r="D28">
        <v>7.0346999999999999E-4</v>
      </c>
    </row>
    <row r="29" spans="1:4" x14ac:dyDescent="0.2">
      <c r="A29">
        <v>2015</v>
      </c>
      <c r="B29" s="2" t="s">
        <v>31</v>
      </c>
      <c r="C29" s="1">
        <v>144714</v>
      </c>
      <c r="D29">
        <v>4.5640900000000001E-4</v>
      </c>
    </row>
    <row r="30" spans="1:4" x14ac:dyDescent="0.2">
      <c r="A30">
        <v>2015</v>
      </c>
      <c r="B30" s="2" t="s">
        <v>32</v>
      </c>
      <c r="C30" s="1">
        <v>84866</v>
      </c>
      <c r="D30">
        <v>2.6765600000000001E-4</v>
      </c>
    </row>
    <row r="31" spans="1:4" x14ac:dyDescent="0.2">
      <c r="A31">
        <v>2015</v>
      </c>
      <c r="B31" s="2" t="s">
        <v>33</v>
      </c>
      <c r="C31" s="1">
        <v>133947</v>
      </c>
      <c r="D31">
        <v>4.2245199999999997E-4</v>
      </c>
    </row>
    <row r="32" spans="1:4" x14ac:dyDescent="0.2">
      <c r="A32">
        <v>2015</v>
      </c>
      <c r="B32" s="2" t="s">
        <v>34</v>
      </c>
      <c r="C32" s="1">
        <v>1156034</v>
      </c>
      <c r="D32">
        <v>3.64599E-3</v>
      </c>
    </row>
    <row r="33" spans="1:4" x14ac:dyDescent="0.2">
      <c r="A33">
        <v>2015</v>
      </c>
      <c r="B33" s="2" t="s">
        <v>35</v>
      </c>
      <c r="C33" s="1">
        <v>622626</v>
      </c>
      <c r="D33">
        <v>1.9636839999999998E-3</v>
      </c>
    </row>
    <row r="34" spans="1:4" x14ac:dyDescent="0.2">
      <c r="A34">
        <v>2015</v>
      </c>
      <c r="B34" s="2" t="s">
        <v>36</v>
      </c>
      <c r="C34" s="1">
        <v>286611</v>
      </c>
      <c r="D34">
        <v>9.0393400000000001E-4</v>
      </c>
    </row>
    <row r="35" spans="1:4" x14ac:dyDescent="0.2">
      <c r="A35">
        <v>2015</v>
      </c>
      <c r="B35" s="2" t="s">
        <v>37</v>
      </c>
      <c r="C35" s="1">
        <v>645084</v>
      </c>
      <c r="D35">
        <v>2.0345150000000002E-3</v>
      </c>
    </row>
    <row r="36" spans="1:4" x14ac:dyDescent="0.2">
      <c r="A36">
        <v>2015</v>
      </c>
      <c r="B36" s="2" t="s">
        <v>38</v>
      </c>
      <c r="C36" s="1">
        <v>155770</v>
      </c>
      <c r="D36">
        <v>4.9127899999999996E-4</v>
      </c>
    </row>
    <row r="37" spans="1:4" x14ac:dyDescent="0.2">
      <c r="A37">
        <v>2015</v>
      </c>
      <c r="B37" s="2" t="s">
        <v>39</v>
      </c>
      <c r="C37" s="1">
        <v>216442</v>
      </c>
      <c r="D37">
        <v>6.8263000000000004E-4</v>
      </c>
    </row>
    <row r="38" spans="1:4" x14ac:dyDescent="0.2">
      <c r="A38">
        <v>2015</v>
      </c>
      <c r="B38" s="2" t="s">
        <v>40</v>
      </c>
      <c r="C38" s="1">
        <v>218800</v>
      </c>
      <c r="D38">
        <v>6.9006899999999997E-4</v>
      </c>
    </row>
    <row r="39" spans="1:4" x14ac:dyDescent="0.2">
      <c r="A39">
        <v>2015</v>
      </c>
      <c r="B39" s="2" t="s">
        <v>41</v>
      </c>
      <c r="C39" s="1">
        <v>519039</v>
      </c>
      <c r="D39">
        <v>1.6369850000000001E-3</v>
      </c>
    </row>
    <row r="40" spans="1:4" x14ac:dyDescent="0.2">
      <c r="A40">
        <v>2015</v>
      </c>
      <c r="B40" s="2" t="s">
        <v>42</v>
      </c>
      <c r="C40" s="1">
        <v>196784</v>
      </c>
      <c r="D40">
        <v>6.2063400000000001E-4</v>
      </c>
    </row>
    <row r="41" spans="1:4" x14ac:dyDescent="0.2">
      <c r="A41">
        <v>2015</v>
      </c>
      <c r="B41" s="2" t="s">
        <v>43</v>
      </c>
      <c r="C41" s="1">
        <v>182554</v>
      </c>
      <c r="D41">
        <v>5.7575300000000003E-4</v>
      </c>
    </row>
    <row r="42" spans="1:4" x14ac:dyDescent="0.2">
      <c r="A42">
        <v>2015</v>
      </c>
      <c r="B42" s="2" t="s">
        <v>44</v>
      </c>
      <c r="C42" s="1">
        <v>186989</v>
      </c>
      <c r="D42">
        <v>5.8973900000000004E-4</v>
      </c>
    </row>
    <row r="43" spans="1:4" x14ac:dyDescent="0.2">
      <c r="A43">
        <v>2015</v>
      </c>
      <c r="B43" s="2" t="s">
        <v>45</v>
      </c>
      <c r="C43" s="1">
        <v>134888</v>
      </c>
      <c r="D43">
        <v>4.2541999999999998E-4</v>
      </c>
    </row>
    <row r="44" spans="1:4" x14ac:dyDescent="0.2">
      <c r="A44">
        <v>2015</v>
      </c>
      <c r="B44" s="2" t="s">
        <v>46</v>
      </c>
      <c r="C44" s="1">
        <v>435431</v>
      </c>
      <c r="D44">
        <v>1.3732950000000001E-3</v>
      </c>
    </row>
    <row r="45" spans="1:4" x14ac:dyDescent="0.2">
      <c r="A45">
        <v>2015</v>
      </c>
      <c r="B45" s="2" t="s">
        <v>47</v>
      </c>
      <c r="C45" s="1">
        <v>136098</v>
      </c>
      <c r="D45">
        <v>4.2923700000000001E-4</v>
      </c>
    </row>
    <row r="46" spans="1:4" x14ac:dyDescent="0.2">
      <c r="A46">
        <v>2015</v>
      </c>
      <c r="B46" s="2" t="s">
        <v>48</v>
      </c>
      <c r="C46" s="1">
        <v>4041805</v>
      </c>
      <c r="D46">
        <v>1.2747356E-2</v>
      </c>
    </row>
    <row r="47" spans="1:4" x14ac:dyDescent="0.2">
      <c r="A47">
        <v>2015</v>
      </c>
      <c r="B47" s="2" t="s">
        <v>49</v>
      </c>
      <c r="C47" s="1">
        <v>1366172</v>
      </c>
      <c r="D47">
        <v>4.3087400000000001E-3</v>
      </c>
    </row>
    <row r="48" spans="1:4" x14ac:dyDescent="0.2">
      <c r="A48">
        <v>2015</v>
      </c>
      <c r="B48" s="2" t="s">
        <v>50</v>
      </c>
      <c r="C48" s="1">
        <v>250386</v>
      </c>
      <c r="D48">
        <v>7.8968699999999996E-4</v>
      </c>
    </row>
    <row r="49" spans="1:4" x14ac:dyDescent="0.2">
      <c r="A49">
        <v>2015</v>
      </c>
      <c r="B49" s="2" t="s">
        <v>51</v>
      </c>
      <c r="C49" s="1">
        <v>672838</v>
      </c>
      <c r="D49">
        <v>2.1220480000000001E-3</v>
      </c>
    </row>
    <row r="50" spans="1:4" x14ac:dyDescent="0.2">
      <c r="A50">
        <v>2015</v>
      </c>
      <c r="B50" s="2" t="s">
        <v>52</v>
      </c>
      <c r="C50" s="1">
        <v>184624</v>
      </c>
      <c r="D50">
        <v>5.8228100000000003E-4</v>
      </c>
    </row>
    <row r="51" spans="1:4" x14ac:dyDescent="0.2">
      <c r="A51">
        <v>2015</v>
      </c>
      <c r="B51" s="2" t="s">
        <v>53</v>
      </c>
      <c r="C51" s="1">
        <v>676832</v>
      </c>
      <c r="D51">
        <v>2.1346450000000001E-3</v>
      </c>
    </row>
    <row r="52" spans="1:4" x14ac:dyDescent="0.2">
      <c r="A52">
        <v>2015</v>
      </c>
      <c r="B52" s="2" t="s">
        <v>54</v>
      </c>
      <c r="C52" s="1">
        <v>133916</v>
      </c>
      <c r="D52">
        <v>4.22354E-4</v>
      </c>
    </row>
    <row r="53" spans="1:4" x14ac:dyDescent="0.2">
      <c r="A53">
        <v>2015</v>
      </c>
      <c r="B53" s="2" t="s">
        <v>55</v>
      </c>
      <c r="C53" s="1">
        <v>2125337</v>
      </c>
      <c r="D53">
        <v>6.7030520000000001E-3</v>
      </c>
    </row>
    <row r="54" spans="1:4" x14ac:dyDescent="0.2">
      <c r="A54">
        <v>2015</v>
      </c>
      <c r="B54" s="2" t="s">
        <v>56</v>
      </c>
      <c r="C54" s="1">
        <v>2007966</v>
      </c>
      <c r="D54">
        <v>6.3328789999999996E-3</v>
      </c>
    </row>
    <row r="55" spans="1:4" x14ac:dyDescent="0.2">
      <c r="A55">
        <v>2015</v>
      </c>
      <c r="B55" s="2" t="s">
        <v>57</v>
      </c>
      <c r="C55" s="1">
        <v>2073479</v>
      </c>
      <c r="D55">
        <v>6.5394980000000004E-3</v>
      </c>
    </row>
    <row r="56" spans="1:4" x14ac:dyDescent="0.2">
      <c r="A56">
        <v>2015</v>
      </c>
      <c r="B56" s="2" t="s">
        <v>58</v>
      </c>
      <c r="C56" s="1">
        <v>440307</v>
      </c>
      <c r="D56">
        <v>1.388673E-3</v>
      </c>
    </row>
    <row r="57" spans="1:4" x14ac:dyDescent="0.2">
      <c r="A57">
        <v>2015</v>
      </c>
      <c r="B57" s="2" t="s">
        <v>59</v>
      </c>
      <c r="C57" s="1">
        <v>2684833</v>
      </c>
      <c r="D57">
        <v>8.4676339999999999E-3</v>
      </c>
    </row>
    <row r="58" spans="1:4" x14ac:dyDescent="0.2">
      <c r="A58">
        <v>2015</v>
      </c>
      <c r="B58" s="2" t="s">
        <v>60</v>
      </c>
      <c r="C58" s="1">
        <v>112279</v>
      </c>
      <c r="D58">
        <v>3.5411399999999999E-4</v>
      </c>
    </row>
    <row r="59" spans="1:4" x14ac:dyDescent="0.2">
      <c r="A59">
        <v>2015</v>
      </c>
      <c r="B59" s="2" t="s">
        <v>61</v>
      </c>
      <c r="C59" s="1">
        <v>1946151</v>
      </c>
      <c r="D59">
        <v>6.1379199999999998E-3</v>
      </c>
    </row>
    <row r="60" spans="1:4" x14ac:dyDescent="0.2">
      <c r="A60">
        <v>2015</v>
      </c>
      <c r="B60" s="2" t="s">
        <v>62</v>
      </c>
      <c r="C60" s="1">
        <v>465562</v>
      </c>
      <c r="D60">
        <v>1.468327E-3</v>
      </c>
    </row>
    <row r="61" spans="1:4" x14ac:dyDescent="0.2">
      <c r="A61">
        <v>2015</v>
      </c>
      <c r="B61" s="2" t="s">
        <v>63</v>
      </c>
      <c r="C61" s="1">
        <v>351311</v>
      </c>
      <c r="D61">
        <v>1.1079900000000001E-3</v>
      </c>
    </row>
    <row r="62" spans="1:4" x14ac:dyDescent="0.2">
      <c r="A62">
        <v>2015</v>
      </c>
      <c r="B62" s="2" t="s">
        <v>64</v>
      </c>
      <c r="C62" s="1">
        <v>759831</v>
      </c>
      <c r="D62">
        <v>2.396413E-3</v>
      </c>
    </row>
    <row r="63" spans="1:4" x14ac:dyDescent="0.2">
      <c r="A63">
        <v>2015</v>
      </c>
      <c r="B63" s="2" t="s">
        <v>65</v>
      </c>
      <c r="C63" s="1">
        <v>96955</v>
      </c>
      <c r="D63">
        <v>3.0578400000000003E-4</v>
      </c>
    </row>
    <row r="64" spans="1:4" x14ac:dyDescent="0.2">
      <c r="A64">
        <v>2015</v>
      </c>
      <c r="B64" s="2" t="s">
        <v>66</v>
      </c>
      <c r="C64" s="1">
        <v>308658</v>
      </c>
      <c r="D64">
        <v>9.7347000000000004E-4</v>
      </c>
    </row>
    <row r="65" spans="1:4" x14ac:dyDescent="0.2">
      <c r="A65">
        <v>2015</v>
      </c>
      <c r="B65" s="2" t="s">
        <v>67</v>
      </c>
      <c r="C65" s="1">
        <v>1407492</v>
      </c>
      <c r="D65">
        <v>4.4390549999999999E-3</v>
      </c>
    </row>
    <row r="66" spans="1:4" x14ac:dyDescent="0.2">
      <c r="A66">
        <v>2015</v>
      </c>
      <c r="B66" s="2" t="s">
        <v>68</v>
      </c>
      <c r="C66" s="1">
        <v>92244</v>
      </c>
      <c r="D66">
        <v>2.9092700000000002E-4</v>
      </c>
    </row>
    <row r="67" spans="1:4" x14ac:dyDescent="0.2">
      <c r="A67">
        <v>2015</v>
      </c>
      <c r="B67" s="2" t="s">
        <v>69</v>
      </c>
      <c r="C67" s="1">
        <v>1675091</v>
      </c>
      <c r="D67">
        <v>5.283032E-3</v>
      </c>
    </row>
    <row r="68" spans="1:4" x14ac:dyDescent="0.2">
      <c r="A68">
        <v>2015</v>
      </c>
      <c r="B68" s="2" t="s">
        <v>70</v>
      </c>
      <c r="C68" s="1">
        <v>1688610</v>
      </c>
      <c r="D68">
        <v>5.3256670000000001E-3</v>
      </c>
    </row>
    <row r="69" spans="1:4" x14ac:dyDescent="0.2">
      <c r="A69">
        <v>2015</v>
      </c>
      <c r="B69" s="2" t="s">
        <v>71</v>
      </c>
      <c r="C69" s="1">
        <v>1572710</v>
      </c>
      <c r="D69">
        <v>4.9601339999999997E-3</v>
      </c>
    </row>
    <row r="70" spans="1:4" x14ac:dyDescent="0.2">
      <c r="A70">
        <v>2015</v>
      </c>
      <c r="B70" s="2" t="s">
        <v>72</v>
      </c>
      <c r="C70" s="1">
        <v>670028</v>
      </c>
      <c r="D70">
        <v>2.1131869999999999E-3</v>
      </c>
    </row>
    <row r="71" spans="1:4" x14ac:dyDescent="0.2">
      <c r="A71">
        <v>2015</v>
      </c>
      <c r="B71" s="2" t="s">
        <v>73</v>
      </c>
      <c r="C71" s="1">
        <v>127898</v>
      </c>
      <c r="D71">
        <v>4.03373E-4</v>
      </c>
    </row>
    <row r="72" spans="1:4" x14ac:dyDescent="0.2">
      <c r="A72">
        <v>2015</v>
      </c>
      <c r="B72" s="2" t="s">
        <v>74</v>
      </c>
      <c r="C72" s="1">
        <v>138494</v>
      </c>
      <c r="D72">
        <v>4.3679299999999999E-4</v>
      </c>
    </row>
    <row r="73" spans="1:4" x14ac:dyDescent="0.2">
      <c r="A73">
        <v>2015</v>
      </c>
      <c r="B73" s="2" t="s">
        <v>75</v>
      </c>
      <c r="C73" s="1">
        <v>5273462</v>
      </c>
      <c r="D73">
        <v>1.6631852999999999E-2</v>
      </c>
    </row>
    <row r="74" spans="1:4" x14ac:dyDescent="0.2">
      <c r="A74">
        <v>2015</v>
      </c>
      <c r="B74" s="2" t="s">
        <v>76</v>
      </c>
      <c r="C74" s="1">
        <v>441821</v>
      </c>
      <c r="D74">
        <v>1.393448E-3</v>
      </c>
    </row>
    <row r="75" spans="1:4" x14ac:dyDescent="0.2">
      <c r="A75">
        <v>2015</v>
      </c>
      <c r="B75" s="2" t="s">
        <v>77</v>
      </c>
      <c r="C75" s="1">
        <v>124117</v>
      </c>
      <c r="D75">
        <v>3.9145100000000002E-4</v>
      </c>
    </row>
    <row r="76" spans="1:4" x14ac:dyDescent="0.2">
      <c r="A76">
        <v>2015</v>
      </c>
      <c r="B76" s="2" t="s">
        <v>78</v>
      </c>
      <c r="C76" s="1">
        <v>118587</v>
      </c>
      <c r="D76">
        <v>3.7400999999999998E-4</v>
      </c>
    </row>
    <row r="77" spans="1:4" x14ac:dyDescent="0.2">
      <c r="A77">
        <v>2015</v>
      </c>
      <c r="B77" s="2" t="s">
        <v>79</v>
      </c>
      <c r="C77" s="1">
        <v>180528</v>
      </c>
      <c r="D77">
        <v>5.6936300000000003E-4</v>
      </c>
    </row>
    <row r="78" spans="1:4" x14ac:dyDescent="0.2">
      <c r="A78">
        <v>2015</v>
      </c>
      <c r="B78" s="2" t="s">
        <v>80</v>
      </c>
      <c r="C78" s="1">
        <v>351350</v>
      </c>
      <c r="D78">
        <v>1.108115E-3</v>
      </c>
    </row>
    <row r="79" spans="1:4" x14ac:dyDescent="0.2">
      <c r="A79">
        <v>2015</v>
      </c>
      <c r="B79" s="2" t="s">
        <v>81</v>
      </c>
      <c r="C79" s="1">
        <v>449679</v>
      </c>
      <c r="D79">
        <v>1.4182330000000001E-3</v>
      </c>
    </row>
    <row r="80" spans="1:4" x14ac:dyDescent="0.2">
      <c r="A80">
        <v>2015</v>
      </c>
      <c r="B80" s="2" t="s">
        <v>82</v>
      </c>
      <c r="C80" s="1">
        <v>657739</v>
      </c>
      <c r="D80">
        <v>2.0744280000000001E-3</v>
      </c>
    </row>
    <row r="81" spans="1:4" x14ac:dyDescent="0.2">
      <c r="A81">
        <v>2015</v>
      </c>
      <c r="B81" s="2" t="s">
        <v>83</v>
      </c>
      <c r="C81" s="1">
        <v>6906</v>
      </c>
      <c r="D81">
        <v>2.1781E-5</v>
      </c>
    </row>
    <row r="82" spans="1:4" x14ac:dyDescent="0.2">
      <c r="A82">
        <v>2015</v>
      </c>
      <c r="B82" s="2" t="s">
        <v>84</v>
      </c>
      <c r="C82" s="1">
        <v>269504</v>
      </c>
      <c r="D82">
        <v>8.4998199999999999E-4</v>
      </c>
    </row>
    <row r="83" spans="1:4" x14ac:dyDescent="0.2">
      <c r="A83">
        <v>2015</v>
      </c>
      <c r="B83" s="2" t="s">
        <v>85</v>
      </c>
      <c r="C83" s="1">
        <v>5235106</v>
      </c>
      <c r="D83">
        <v>1.6510878999999999E-2</v>
      </c>
    </row>
    <row r="84" spans="1:4" x14ac:dyDescent="0.2">
      <c r="A84">
        <v>2015</v>
      </c>
      <c r="B84" s="2" t="s">
        <v>86</v>
      </c>
      <c r="C84" s="1">
        <v>2414274</v>
      </c>
      <c r="D84">
        <v>7.6143230000000001E-3</v>
      </c>
    </row>
    <row r="85" spans="1:4" x14ac:dyDescent="0.2">
      <c r="A85">
        <v>2015</v>
      </c>
      <c r="B85" s="2" t="s">
        <v>87</v>
      </c>
      <c r="C85" s="1">
        <v>280901</v>
      </c>
      <c r="D85">
        <v>8.8592599999999999E-4</v>
      </c>
    </row>
    <row r="86" spans="1:4" x14ac:dyDescent="0.2">
      <c r="A86">
        <v>2015</v>
      </c>
      <c r="B86" s="2" t="s">
        <v>88</v>
      </c>
      <c r="C86" s="1">
        <v>7494</v>
      </c>
      <c r="D86">
        <v>2.3635999999999999E-5</v>
      </c>
    </row>
    <row r="87" spans="1:4" x14ac:dyDescent="0.2">
      <c r="A87">
        <v>2015</v>
      </c>
      <c r="B87" s="2" t="s">
        <v>89</v>
      </c>
      <c r="C87" s="1">
        <v>859694</v>
      </c>
      <c r="D87">
        <v>2.7113699999999998E-3</v>
      </c>
    </row>
    <row r="88" spans="1:4" x14ac:dyDescent="0.2">
      <c r="A88">
        <v>2015</v>
      </c>
      <c r="B88" s="2" t="s">
        <v>90</v>
      </c>
      <c r="C88" s="1">
        <v>110761</v>
      </c>
      <c r="D88">
        <v>3.4932799999999999E-4</v>
      </c>
    </row>
    <row r="89" spans="1:4" x14ac:dyDescent="0.2">
      <c r="A89">
        <v>2015</v>
      </c>
      <c r="B89" s="2" t="s">
        <v>91</v>
      </c>
      <c r="C89" s="1">
        <v>1691475</v>
      </c>
      <c r="D89">
        <v>5.3347029999999997E-3</v>
      </c>
    </row>
    <row r="90" spans="1:4" x14ac:dyDescent="0.2">
      <c r="A90">
        <v>2015</v>
      </c>
      <c r="B90" s="2" t="s">
        <v>92</v>
      </c>
      <c r="C90" s="1">
        <v>300096</v>
      </c>
      <c r="D90">
        <v>9.4646499999999996E-4</v>
      </c>
    </row>
    <row r="91" spans="1:4" x14ac:dyDescent="0.2">
      <c r="A91">
        <v>2015</v>
      </c>
      <c r="B91" s="2" t="s">
        <v>93</v>
      </c>
      <c r="C91" s="1">
        <v>111765</v>
      </c>
      <c r="D91">
        <v>3.52493E-4</v>
      </c>
    </row>
    <row r="92" spans="1:4" x14ac:dyDescent="0.2">
      <c r="A92">
        <v>2015</v>
      </c>
      <c r="B92" s="2" t="s">
        <v>94</v>
      </c>
      <c r="C92" s="1">
        <v>103505</v>
      </c>
      <c r="D92">
        <v>3.2644400000000001E-4</v>
      </c>
    </row>
    <row r="93" spans="1:4" x14ac:dyDescent="0.2">
      <c r="A93">
        <v>2015</v>
      </c>
      <c r="B93" s="2" t="s">
        <v>95</v>
      </c>
      <c r="C93" s="1">
        <v>362336</v>
      </c>
      <c r="D93">
        <v>1.1427620000000001E-3</v>
      </c>
    </row>
    <row r="94" spans="1:4" x14ac:dyDescent="0.2">
      <c r="A94">
        <v>2015</v>
      </c>
      <c r="B94" s="2" t="s">
        <v>96</v>
      </c>
      <c r="C94" s="1">
        <v>893318</v>
      </c>
      <c r="D94">
        <v>2.8174160000000001E-3</v>
      </c>
    </row>
    <row r="95" spans="1:4" x14ac:dyDescent="0.2">
      <c r="A95">
        <v>2015</v>
      </c>
      <c r="B95" s="2" t="s">
        <v>97</v>
      </c>
      <c r="C95" s="1">
        <v>257063</v>
      </c>
      <c r="D95">
        <v>8.1074399999999996E-4</v>
      </c>
    </row>
    <row r="96" spans="1:4" x14ac:dyDescent="0.2">
      <c r="A96">
        <v>2015</v>
      </c>
      <c r="B96" s="2" t="s">
        <v>98</v>
      </c>
      <c r="C96" s="1">
        <v>708699</v>
      </c>
      <c r="D96">
        <v>2.2351480000000002E-3</v>
      </c>
    </row>
    <row r="97" spans="1:4" x14ac:dyDescent="0.2">
      <c r="A97">
        <v>2015</v>
      </c>
      <c r="B97" s="2" t="s">
        <v>99</v>
      </c>
      <c r="C97" s="1">
        <v>371357</v>
      </c>
      <c r="D97">
        <v>1.1712140000000001E-3</v>
      </c>
    </row>
    <row r="98" spans="1:4" x14ac:dyDescent="0.2">
      <c r="A98">
        <v>2015</v>
      </c>
      <c r="B98" s="2" t="s">
        <v>100</v>
      </c>
      <c r="C98" s="1">
        <v>83284</v>
      </c>
      <c r="D98">
        <v>2.6266700000000001E-4</v>
      </c>
    </row>
    <row r="99" spans="1:4" x14ac:dyDescent="0.2">
      <c r="A99">
        <v>2015</v>
      </c>
      <c r="B99" s="2" t="s">
        <v>101</v>
      </c>
      <c r="C99" s="1">
        <v>986340</v>
      </c>
      <c r="D99">
        <v>3.1107959999999999E-3</v>
      </c>
    </row>
    <row r="100" spans="1:4" x14ac:dyDescent="0.2">
      <c r="A100">
        <v>2015</v>
      </c>
      <c r="B100" s="2" t="s">
        <v>102</v>
      </c>
      <c r="C100" s="1">
        <v>464963</v>
      </c>
      <c r="D100">
        <v>1.466438E-3</v>
      </c>
    </row>
    <row r="101" spans="1:4" x14ac:dyDescent="0.2">
      <c r="A101">
        <v>2015</v>
      </c>
      <c r="B101" s="2" t="s">
        <v>103</v>
      </c>
      <c r="C101" s="1">
        <v>588893</v>
      </c>
      <c r="D101">
        <v>1.8572969999999999E-3</v>
      </c>
    </row>
    <row r="102" spans="1:4" x14ac:dyDescent="0.2">
      <c r="A102">
        <v>2015</v>
      </c>
      <c r="B102" s="2" t="s">
        <v>104</v>
      </c>
      <c r="C102" s="1">
        <v>42363</v>
      </c>
      <c r="D102">
        <v>1.3360600000000001E-4</v>
      </c>
    </row>
    <row r="103" spans="1:4" x14ac:dyDescent="0.2">
      <c r="A103">
        <v>2015</v>
      </c>
      <c r="B103" s="2" t="s">
        <v>105</v>
      </c>
      <c r="C103" s="1">
        <v>848236</v>
      </c>
      <c r="D103">
        <v>2.6752310000000001E-3</v>
      </c>
    </row>
    <row r="104" spans="1:4" x14ac:dyDescent="0.2">
      <c r="A104">
        <v>2015</v>
      </c>
      <c r="B104" s="2" t="s">
        <v>106</v>
      </c>
      <c r="C104" s="1">
        <v>5507</v>
      </c>
      <c r="D104">
        <v>1.7368E-5</v>
      </c>
    </row>
    <row r="105" spans="1:4" x14ac:dyDescent="0.2">
      <c r="A105">
        <v>2015</v>
      </c>
      <c r="B105" s="2" t="s">
        <v>107</v>
      </c>
      <c r="C105" s="1">
        <v>216379</v>
      </c>
      <c r="D105">
        <v>6.8243299999999998E-4</v>
      </c>
    </row>
    <row r="106" spans="1:4" x14ac:dyDescent="0.2">
      <c r="A106">
        <v>2015</v>
      </c>
      <c r="B106" s="2" t="s">
        <v>108</v>
      </c>
      <c r="C106" s="1">
        <v>3448684</v>
      </c>
      <c r="D106">
        <v>1.0876726E-2</v>
      </c>
    </row>
    <row r="107" spans="1:4" x14ac:dyDescent="0.2">
      <c r="A107">
        <v>2015</v>
      </c>
      <c r="B107" s="2" t="s">
        <v>109</v>
      </c>
      <c r="C107" s="1">
        <v>246140</v>
      </c>
      <c r="D107">
        <v>7.76296E-4</v>
      </c>
    </row>
    <row r="108" spans="1:4" x14ac:dyDescent="0.2">
      <c r="A108">
        <v>2015</v>
      </c>
      <c r="B108" s="2" t="s">
        <v>110</v>
      </c>
      <c r="C108" s="1">
        <v>3027472</v>
      </c>
      <c r="D108">
        <v>9.5482740000000007E-3</v>
      </c>
    </row>
    <row r="109" spans="1:4" x14ac:dyDescent="0.2">
      <c r="A109">
        <v>2015</v>
      </c>
      <c r="B109" s="2" t="s">
        <v>111</v>
      </c>
      <c r="C109" s="1">
        <v>348210</v>
      </c>
      <c r="D109">
        <v>1.098211E-3</v>
      </c>
    </row>
    <row r="110" spans="1:4" x14ac:dyDescent="0.2">
      <c r="A110">
        <v>2015</v>
      </c>
      <c r="B110" s="2" t="s">
        <v>112</v>
      </c>
      <c r="C110" s="1">
        <v>682937</v>
      </c>
      <c r="D110">
        <v>2.153898E-3</v>
      </c>
    </row>
    <row r="111" spans="1:4" x14ac:dyDescent="0.2">
      <c r="A111">
        <v>2015</v>
      </c>
      <c r="B111" s="2" t="s">
        <v>113</v>
      </c>
      <c r="C111" s="1">
        <v>448638</v>
      </c>
      <c r="D111">
        <v>1.4149480000000001E-3</v>
      </c>
    </row>
    <row r="112" spans="1:4" x14ac:dyDescent="0.2">
      <c r="A112">
        <v>2015</v>
      </c>
      <c r="B112" s="2" t="s">
        <v>114</v>
      </c>
      <c r="C112" s="1">
        <v>14032047</v>
      </c>
      <c r="D112">
        <v>4.4255351999999998E-2</v>
      </c>
    </row>
    <row r="113" spans="1:4" x14ac:dyDescent="0.2">
      <c r="A113">
        <v>2015</v>
      </c>
      <c r="B113" s="2" t="s">
        <v>115</v>
      </c>
      <c r="C113" s="1">
        <v>687778</v>
      </c>
      <c r="D113">
        <v>2.1691670000000001E-3</v>
      </c>
    </row>
    <row r="114" spans="1:4" x14ac:dyDescent="0.2">
      <c r="A114">
        <v>2015</v>
      </c>
      <c r="B114" s="2" t="s">
        <v>116</v>
      </c>
      <c r="C114" s="1">
        <v>286763</v>
      </c>
      <c r="D114">
        <v>9.0441700000000002E-4</v>
      </c>
    </row>
    <row r="115" spans="1:4" x14ac:dyDescent="0.2">
      <c r="A115">
        <v>2015</v>
      </c>
      <c r="B115" s="2" t="s">
        <v>117</v>
      </c>
      <c r="C115" s="1">
        <v>252233</v>
      </c>
      <c r="D115">
        <v>7.9551199999999996E-4</v>
      </c>
    </row>
    <row r="116" spans="1:4" x14ac:dyDescent="0.2">
      <c r="A116">
        <v>2015</v>
      </c>
      <c r="B116" s="2" t="s">
        <v>118</v>
      </c>
      <c r="C116" s="1">
        <v>202108</v>
      </c>
      <c r="D116">
        <v>6.3742499999999995E-4</v>
      </c>
    </row>
    <row r="117" spans="1:4" x14ac:dyDescent="0.2">
      <c r="A117">
        <v>2015</v>
      </c>
      <c r="B117" s="2" t="s">
        <v>119</v>
      </c>
      <c r="C117" s="1">
        <v>177071</v>
      </c>
      <c r="D117">
        <v>5.5845999999999999E-4</v>
      </c>
    </row>
    <row r="118" spans="1:4" x14ac:dyDescent="0.2">
      <c r="A118">
        <v>2015</v>
      </c>
      <c r="B118" s="2" t="s">
        <v>120</v>
      </c>
      <c r="C118" s="1">
        <v>84765</v>
      </c>
      <c r="D118">
        <v>2.6733799999999999E-4</v>
      </c>
    </row>
    <row r="119" spans="1:4" x14ac:dyDescent="0.2">
      <c r="A119">
        <v>2015</v>
      </c>
      <c r="B119" s="2" t="s">
        <v>121</v>
      </c>
      <c r="C119" s="1">
        <v>74811</v>
      </c>
      <c r="D119">
        <v>2.35944E-4</v>
      </c>
    </row>
    <row r="120" spans="1:4" x14ac:dyDescent="0.2">
      <c r="A120">
        <v>2015</v>
      </c>
      <c r="B120" s="2" t="s">
        <v>122</v>
      </c>
      <c r="C120" s="1">
        <v>122581</v>
      </c>
      <c r="D120">
        <v>3.8660399999999997E-4</v>
      </c>
    </row>
    <row r="121" spans="1:4" x14ac:dyDescent="0.2">
      <c r="A121">
        <v>2015</v>
      </c>
      <c r="B121" s="2" t="s">
        <v>123</v>
      </c>
      <c r="C121" s="1">
        <v>119122</v>
      </c>
      <c r="D121">
        <v>3.7569600000000002E-4</v>
      </c>
    </row>
    <row r="122" spans="1:4" x14ac:dyDescent="0.2">
      <c r="A122">
        <v>2015</v>
      </c>
      <c r="B122" s="2" t="s">
        <v>124</v>
      </c>
      <c r="C122" s="1">
        <v>39199</v>
      </c>
      <c r="D122">
        <v>1.23628E-4</v>
      </c>
    </row>
    <row r="123" spans="1:4" x14ac:dyDescent="0.2">
      <c r="A123">
        <v>2015</v>
      </c>
      <c r="B123" s="2" t="s">
        <v>125</v>
      </c>
      <c r="C123" s="1">
        <v>94750</v>
      </c>
      <c r="D123">
        <v>2.9882800000000001E-4</v>
      </c>
    </row>
    <row r="124" spans="1:4" x14ac:dyDescent="0.2">
      <c r="A124">
        <v>2015</v>
      </c>
      <c r="B124" s="2" t="s">
        <v>126</v>
      </c>
      <c r="C124" s="1">
        <v>47612</v>
      </c>
      <c r="D124">
        <v>1.50161E-4</v>
      </c>
    </row>
    <row r="125" spans="1:4" x14ac:dyDescent="0.2">
      <c r="A125">
        <v>2015</v>
      </c>
      <c r="B125" s="2" t="s">
        <v>127</v>
      </c>
      <c r="C125" s="1">
        <v>255016</v>
      </c>
      <c r="D125">
        <v>8.0428800000000001E-4</v>
      </c>
    </row>
    <row r="126" spans="1:4" x14ac:dyDescent="0.2">
      <c r="A126">
        <v>2015</v>
      </c>
      <c r="B126" s="2" t="s">
        <v>128</v>
      </c>
      <c r="C126" s="1">
        <v>218109</v>
      </c>
      <c r="D126">
        <v>6.87888E-4</v>
      </c>
    </row>
    <row r="127" spans="1:4" x14ac:dyDescent="0.2">
      <c r="A127">
        <v>2015</v>
      </c>
      <c r="B127" s="2" t="s">
        <v>129</v>
      </c>
      <c r="C127" s="1">
        <v>66899</v>
      </c>
      <c r="D127">
        <v>2.10991E-4</v>
      </c>
    </row>
    <row r="128" spans="1:4" x14ac:dyDescent="0.2">
      <c r="A128">
        <v>2015</v>
      </c>
      <c r="B128" s="2" t="s">
        <v>130</v>
      </c>
      <c r="C128" s="1">
        <v>68121</v>
      </c>
      <c r="D128">
        <v>2.14847E-4</v>
      </c>
    </row>
    <row r="129" spans="1:4" x14ac:dyDescent="0.2">
      <c r="A129">
        <v>2015</v>
      </c>
      <c r="B129" s="2" t="s">
        <v>131</v>
      </c>
      <c r="C129" s="1">
        <v>138269</v>
      </c>
      <c r="D129">
        <v>4.3608399999999999E-4</v>
      </c>
    </row>
    <row r="130" spans="1:4" x14ac:dyDescent="0.2">
      <c r="A130">
        <v>2015</v>
      </c>
      <c r="B130" s="2" t="s">
        <v>132</v>
      </c>
      <c r="C130" s="1">
        <v>64640</v>
      </c>
      <c r="D130">
        <v>2.0386699999999999E-4</v>
      </c>
    </row>
    <row r="131" spans="1:4" x14ac:dyDescent="0.2">
      <c r="A131">
        <v>2015</v>
      </c>
      <c r="B131" s="2" t="s">
        <v>133</v>
      </c>
      <c r="C131" s="1">
        <v>22502</v>
      </c>
      <c r="D131">
        <v>7.0968000000000002E-5</v>
      </c>
    </row>
    <row r="132" spans="1:4" x14ac:dyDescent="0.2">
      <c r="A132">
        <v>2015</v>
      </c>
      <c r="B132" s="2" t="s">
        <v>134</v>
      </c>
      <c r="C132" s="1">
        <v>35466</v>
      </c>
      <c r="D132">
        <v>1.11854E-4</v>
      </c>
    </row>
    <row r="133" spans="1:4" x14ac:dyDescent="0.2">
      <c r="A133">
        <v>2015</v>
      </c>
      <c r="B133" s="2" t="s">
        <v>135</v>
      </c>
      <c r="C133" s="1">
        <v>255139</v>
      </c>
      <c r="D133">
        <v>8.0467699999999995E-4</v>
      </c>
    </row>
    <row r="134" spans="1:4" x14ac:dyDescent="0.2">
      <c r="A134">
        <v>2015</v>
      </c>
      <c r="B134" s="2" t="s">
        <v>136</v>
      </c>
      <c r="C134" s="1">
        <v>553850</v>
      </c>
      <c r="D134">
        <v>1.746774E-3</v>
      </c>
    </row>
    <row r="135" spans="1:4" x14ac:dyDescent="0.2">
      <c r="A135">
        <v>2015</v>
      </c>
      <c r="B135" s="2" t="s">
        <v>137</v>
      </c>
      <c r="C135" s="1">
        <v>25046</v>
      </c>
      <c r="D135">
        <v>7.8992999999999994E-5</v>
      </c>
    </row>
    <row r="136" spans="1:4" x14ac:dyDescent="0.2">
      <c r="A136">
        <v>2015</v>
      </c>
      <c r="B136" s="2" t="s">
        <v>138</v>
      </c>
      <c r="C136" s="1">
        <v>212202</v>
      </c>
      <c r="D136">
        <v>6.6925800000000005E-4</v>
      </c>
    </row>
    <row r="137" spans="1:4" x14ac:dyDescent="0.2">
      <c r="A137">
        <v>2015</v>
      </c>
      <c r="B137" s="2" t="s">
        <v>139</v>
      </c>
      <c r="C137" s="1">
        <v>212254</v>
      </c>
      <c r="D137">
        <v>6.6942300000000004E-4</v>
      </c>
    </row>
    <row r="138" spans="1:4" x14ac:dyDescent="0.2">
      <c r="A138">
        <v>2015</v>
      </c>
      <c r="B138" s="2" t="s">
        <v>140</v>
      </c>
      <c r="C138" s="1">
        <v>45002</v>
      </c>
      <c r="D138">
        <v>1.4192999999999999E-4</v>
      </c>
    </row>
    <row r="139" spans="1:4" x14ac:dyDescent="0.2">
      <c r="A139">
        <v>2015</v>
      </c>
      <c r="B139" s="2" t="s">
        <v>141</v>
      </c>
      <c r="C139" s="1">
        <v>6461</v>
      </c>
      <c r="D139">
        <v>2.0378E-5</v>
      </c>
    </row>
    <row r="140" spans="1:4" x14ac:dyDescent="0.2">
      <c r="A140">
        <v>2015</v>
      </c>
      <c r="B140" s="2" t="s">
        <v>142</v>
      </c>
      <c r="C140" s="1">
        <v>103421</v>
      </c>
      <c r="D140">
        <v>3.2617799999999999E-4</v>
      </c>
    </row>
    <row r="141" spans="1:4" x14ac:dyDescent="0.2">
      <c r="A141">
        <v>2015</v>
      </c>
      <c r="B141" s="2" t="s">
        <v>143</v>
      </c>
      <c r="C141" s="1">
        <v>395715</v>
      </c>
      <c r="D141">
        <v>1.248037E-3</v>
      </c>
    </row>
    <row r="142" spans="1:4" x14ac:dyDescent="0.2">
      <c r="A142">
        <v>2015</v>
      </c>
      <c r="B142" s="2" t="s">
        <v>144</v>
      </c>
      <c r="C142" s="1">
        <v>83084</v>
      </c>
      <c r="D142">
        <v>2.6203799999999997E-4</v>
      </c>
    </row>
    <row r="143" spans="1:4" x14ac:dyDescent="0.2">
      <c r="A143">
        <v>2015</v>
      </c>
      <c r="B143" s="2" t="s">
        <v>145</v>
      </c>
      <c r="C143" s="1">
        <v>173945</v>
      </c>
      <c r="D143">
        <v>5.4860300000000005E-4</v>
      </c>
    </row>
    <row r="144" spans="1:4" x14ac:dyDescent="0.2">
      <c r="A144">
        <v>2015</v>
      </c>
      <c r="B144" s="2" t="s">
        <v>146</v>
      </c>
      <c r="C144" s="1">
        <v>67742</v>
      </c>
      <c r="D144">
        <v>2.1364999999999999E-4</v>
      </c>
    </row>
    <row r="145" spans="1:4" x14ac:dyDescent="0.2">
      <c r="A145">
        <v>2015</v>
      </c>
      <c r="B145" s="2" t="s">
        <v>147</v>
      </c>
      <c r="C145" s="1">
        <v>68947</v>
      </c>
      <c r="D145">
        <v>2.1745E-4</v>
      </c>
    </row>
    <row r="146" spans="1:4" x14ac:dyDescent="0.2">
      <c r="A146">
        <v>2015</v>
      </c>
      <c r="B146" s="2" t="s">
        <v>148</v>
      </c>
      <c r="C146" s="1">
        <v>74297</v>
      </c>
      <c r="D146">
        <v>2.3432300000000001E-4</v>
      </c>
    </row>
    <row r="147" spans="1:4" x14ac:dyDescent="0.2">
      <c r="A147">
        <v>2015</v>
      </c>
      <c r="B147" s="2" t="s">
        <v>149</v>
      </c>
      <c r="C147" s="1">
        <v>135997</v>
      </c>
      <c r="D147">
        <v>4.2891799999999998E-4</v>
      </c>
    </row>
    <row r="148" spans="1:4" x14ac:dyDescent="0.2">
      <c r="A148">
        <v>2015</v>
      </c>
      <c r="B148" s="2" t="s">
        <v>150</v>
      </c>
      <c r="C148" s="1">
        <v>114632</v>
      </c>
      <c r="D148">
        <v>3.6153599999999998E-4</v>
      </c>
    </row>
    <row r="149" spans="1:4" x14ac:dyDescent="0.2">
      <c r="A149">
        <v>2015</v>
      </c>
      <c r="B149" s="2" t="s">
        <v>151</v>
      </c>
      <c r="C149" s="1">
        <v>113341</v>
      </c>
      <c r="D149">
        <v>3.5746399999999999E-4</v>
      </c>
    </row>
    <row r="150" spans="1:4" x14ac:dyDescent="0.2">
      <c r="A150">
        <v>2015</v>
      </c>
      <c r="B150" s="2" t="s">
        <v>152</v>
      </c>
      <c r="C150" s="1">
        <v>53567</v>
      </c>
      <c r="D150">
        <v>1.6894300000000001E-4</v>
      </c>
    </row>
    <row r="151" spans="1:4" x14ac:dyDescent="0.2">
      <c r="A151">
        <v>2015</v>
      </c>
      <c r="B151" s="2" t="s">
        <v>153</v>
      </c>
      <c r="C151" s="1">
        <v>51595</v>
      </c>
      <c r="D151">
        <v>1.62724E-4</v>
      </c>
    </row>
    <row r="152" spans="1:4" x14ac:dyDescent="0.2">
      <c r="A152">
        <v>2015</v>
      </c>
      <c r="B152" s="2" t="s">
        <v>154</v>
      </c>
      <c r="C152" s="1">
        <v>303796</v>
      </c>
      <c r="D152">
        <v>9.5813500000000004E-4</v>
      </c>
    </row>
    <row r="153" spans="1:4" x14ac:dyDescent="0.2">
      <c r="A153">
        <v>2015</v>
      </c>
      <c r="B153" s="2" t="s">
        <v>155</v>
      </c>
      <c r="C153" s="1">
        <v>102065</v>
      </c>
      <c r="D153">
        <v>3.2190000000000002E-4</v>
      </c>
    </row>
    <row r="154" spans="1:4" x14ac:dyDescent="0.2">
      <c r="A154">
        <v>2015</v>
      </c>
      <c r="B154" s="2" t="s">
        <v>156</v>
      </c>
      <c r="C154" s="1">
        <v>19771</v>
      </c>
      <c r="D154">
        <v>6.2355999999999997E-5</v>
      </c>
    </row>
    <row r="155" spans="1:4" x14ac:dyDescent="0.2">
      <c r="A155">
        <v>2015</v>
      </c>
      <c r="B155" s="2" t="s">
        <v>157</v>
      </c>
      <c r="C155" s="1">
        <v>59156</v>
      </c>
      <c r="D155">
        <v>1.8656900000000001E-4</v>
      </c>
    </row>
    <row r="156" spans="1:4" x14ac:dyDescent="0.2">
      <c r="A156">
        <v>2015</v>
      </c>
      <c r="B156" s="2" t="s">
        <v>158</v>
      </c>
      <c r="C156" s="1">
        <v>109352</v>
      </c>
      <c r="D156">
        <v>3.4488200000000002E-4</v>
      </c>
    </row>
    <row r="157" spans="1:4" x14ac:dyDescent="0.2">
      <c r="A157">
        <v>2015</v>
      </c>
      <c r="B157" s="2" t="s">
        <v>159</v>
      </c>
      <c r="C157" s="1">
        <v>84383</v>
      </c>
      <c r="D157">
        <v>2.6613500000000003E-4</v>
      </c>
    </row>
    <row r="158" spans="1:4" x14ac:dyDescent="0.2">
      <c r="A158">
        <v>2015</v>
      </c>
      <c r="B158" s="2" t="s">
        <v>160</v>
      </c>
      <c r="C158" s="1">
        <v>82132</v>
      </c>
      <c r="D158">
        <v>2.5903500000000002E-4</v>
      </c>
    </row>
    <row r="159" spans="1:4" x14ac:dyDescent="0.2">
      <c r="A159">
        <v>2015</v>
      </c>
      <c r="B159" s="2" t="s">
        <v>161</v>
      </c>
      <c r="C159" s="1">
        <v>317162</v>
      </c>
      <c r="D159">
        <v>1.0002889999999999E-3</v>
      </c>
    </row>
    <row r="160" spans="1:4" x14ac:dyDescent="0.2">
      <c r="A160">
        <v>2015</v>
      </c>
      <c r="B160" s="2" t="s">
        <v>162</v>
      </c>
      <c r="C160" s="1">
        <v>199692</v>
      </c>
      <c r="D160">
        <v>6.2980299999999996E-4</v>
      </c>
    </row>
    <row r="161" spans="1:4" x14ac:dyDescent="0.2">
      <c r="A161">
        <v>2015</v>
      </c>
      <c r="B161" s="2" t="s">
        <v>163</v>
      </c>
      <c r="C161" s="1">
        <v>90903</v>
      </c>
      <c r="D161">
        <v>2.8669500000000001E-4</v>
      </c>
    </row>
    <row r="162" spans="1:4" x14ac:dyDescent="0.2">
      <c r="A162">
        <v>2015</v>
      </c>
      <c r="B162" s="2" t="s">
        <v>164</v>
      </c>
      <c r="C162" s="1">
        <v>60095</v>
      </c>
      <c r="D162">
        <v>1.8953399999999999E-4</v>
      </c>
    </row>
    <row r="163" spans="1:4" x14ac:dyDescent="0.2">
      <c r="A163">
        <v>2015</v>
      </c>
      <c r="B163" s="2" t="s">
        <v>165</v>
      </c>
      <c r="C163" s="1">
        <v>130754</v>
      </c>
      <c r="D163">
        <v>4.1238100000000002E-4</v>
      </c>
    </row>
    <row r="164" spans="1:4" x14ac:dyDescent="0.2">
      <c r="A164">
        <v>2015</v>
      </c>
      <c r="B164" s="2" t="s">
        <v>166</v>
      </c>
      <c r="C164" s="1">
        <v>85066</v>
      </c>
      <c r="D164">
        <v>2.6828900000000001E-4</v>
      </c>
    </row>
    <row r="165" spans="1:4" x14ac:dyDescent="0.2">
      <c r="A165">
        <v>2015</v>
      </c>
      <c r="B165" s="2" t="s">
        <v>167</v>
      </c>
      <c r="C165" s="1">
        <v>158970</v>
      </c>
      <c r="D165">
        <v>5.0137100000000002E-4</v>
      </c>
    </row>
    <row r="166" spans="1:4" x14ac:dyDescent="0.2">
      <c r="A166">
        <v>2015</v>
      </c>
      <c r="B166" s="2" t="s">
        <v>168</v>
      </c>
      <c r="C166" s="1">
        <v>44892</v>
      </c>
      <c r="D166">
        <v>1.4158199999999999E-4</v>
      </c>
    </row>
    <row r="167" spans="1:4" x14ac:dyDescent="0.2">
      <c r="A167">
        <v>2015</v>
      </c>
      <c r="B167" s="2" t="s">
        <v>169</v>
      </c>
      <c r="C167" s="1">
        <v>129724</v>
      </c>
      <c r="D167">
        <v>4.09133E-4</v>
      </c>
    </row>
    <row r="168" spans="1:4" x14ac:dyDescent="0.2">
      <c r="A168">
        <v>2015</v>
      </c>
      <c r="B168" s="2" t="s">
        <v>170</v>
      </c>
      <c r="C168" s="1">
        <v>224237</v>
      </c>
      <c r="D168">
        <v>7.0721399999999995E-4</v>
      </c>
    </row>
    <row r="169" spans="1:4" x14ac:dyDescent="0.2">
      <c r="A169">
        <v>2015</v>
      </c>
      <c r="B169" s="2" t="s">
        <v>171</v>
      </c>
      <c r="C169" s="1">
        <v>128981</v>
      </c>
      <c r="D169">
        <v>4.0678900000000001E-4</v>
      </c>
    </row>
    <row r="170" spans="1:4" x14ac:dyDescent="0.2">
      <c r="A170">
        <v>2015</v>
      </c>
      <c r="B170" s="2" t="s">
        <v>172</v>
      </c>
      <c r="C170" s="1">
        <v>6847</v>
      </c>
      <c r="D170">
        <v>2.1593000000000001E-5</v>
      </c>
    </row>
    <row r="171" spans="1:4" x14ac:dyDescent="0.2">
      <c r="A171">
        <v>2015</v>
      </c>
      <c r="B171" s="2" t="s">
        <v>173</v>
      </c>
      <c r="C171" s="1">
        <v>159478</v>
      </c>
      <c r="D171">
        <v>5.02974E-4</v>
      </c>
    </row>
    <row r="172" spans="1:4" x14ac:dyDescent="0.2">
      <c r="A172">
        <v>2016</v>
      </c>
      <c r="B172" s="2" t="s">
        <v>174</v>
      </c>
    </row>
    <row r="173" spans="1:4" x14ac:dyDescent="0.2">
      <c r="A173">
        <v>2016</v>
      </c>
      <c r="B173" s="2" t="s">
        <v>15</v>
      </c>
      <c r="C173" s="1">
        <v>379305</v>
      </c>
      <c r="D173">
        <v>1.145674E-3</v>
      </c>
    </row>
    <row r="174" spans="1:4" x14ac:dyDescent="0.2">
      <c r="A174">
        <v>2016</v>
      </c>
      <c r="B174" s="2" t="s">
        <v>120</v>
      </c>
      <c r="C174" s="1">
        <v>127111</v>
      </c>
      <c r="D174">
        <v>3.8393299999999998E-4</v>
      </c>
    </row>
    <row r="175" spans="1:4" x14ac:dyDescent="0.2">
      <c r="A175">
        <v>2016</v>
      </c>
      <c r="B175" s="2" t="s">
        <v>4</v>
      </c>
      <c r="C175" s="1">
        <v>751839</v>
      </c>
      <c r="D175">
        <v>2.270897E-3</v>
      </c>
    </row>
    <row r="176" spans="1:4" x14ac:dyDescent="0.2">
      <c r="A176">
        <v>2016</v>
      </c>
      <c r="B176" s="2" t="s">
        <v>121</v>
      </c>
      <c r="C176" s="1">
        <v>78023</v>
      </c>
      <c r="D176">
        <v>2.35665E-4</v>
      </c>
    </row>
    <row r="177" spans="1:4" x14ac:dyDescent="0.2">
      <c r="A177">
        <v>2016</v>
      </c>
      <c r="B177" s="2" t="s">
        <v>122</v>
      </c>
      <c r="C177" s="1">
        <v>165327</v>
      </c>
      <c r="D177">
        <v>4.9936299999999996E-4</v>
      </c>
    </row>
    <row r="178" spans="1:4" x14ac:dyDescent="0.2">
      <c r="A178">
        <v>2016</v>
      </c>
      <c r="B178" s="2" t="s">
        <v>123</v>
      </c>
      <c r="C178" s="1">
        <v>138957</v>
      </c>
      <c r="D178">
        <v>4.1971400000000001E-4</v>
      </c>
    </row>
    <row r="179" spans="1:4" x14ac:dyDescent="0.2">
      <c r="A179">
        <v>2016</v>
      </c>
      <c r="B179" s="2" t="s">
        <v>5</v>
      </c>
      <c r="C179" s="1">
        <v>13343</v>
      </c>
      <c r="D179">
        <v>4.0302000000000001E-5</v>
      </c>
    </row>
    <row r="180" spans="1:4" x14ac:dyDescent="0.2">
      <c r="A180">
        <v>2016</v>
      </c>
      <c r="B180" s="2" t="s">
        <v>6</v>
      </c>
      <c r="C180" s="1">
        <v>15218</v>
      </c>
      <c r="D180">
        <v>4.5964999999999998E-5</v>
      </c>
    </row>
    <row r="181" spans="1:4" x14ac:dyDescent="0.2">
      <c r="A181">
        <v>2016</v>
      </c>
      <c r="B181" s="2" t="s">
        <v>7</v>
      </c>
      <c r="C181" s="1">
        <v>199844</v>
      </c>
      <c r="D181">
        <v>6.0362000000000002E-4</v>
      </c>
    </row>
    <row r="182" spans="1:4" x14ac:dyDescent="0.2">
      <c r="A182">
        <v>2016</v>
      </c>
      <c r="B182" s="2" t="s">
        <v>8</v>
      </c>
      <c r="C182" s="1">
        <v>461909</v>
      </c>
      <c r="D182">
        <v>1.3951759999999999E-3</v>
      </c>
    </row>
    <row r="183" spans="1:4" x14ac:dyDescent="0.2">
      <c r="A183">
        <v>2016</v>
      </c>
      <c r="B183" s="2" t="s">
        <v>124</v>
      </c>
      <c r="C183" s="1">
        <v>47567</v>
      </c>
      <c r="D183">
        <v>1.4367399999999999E-4</v>
      </c>
    </row>
    <row r="184" spans="1:4" x14ac:dyDescent="0.2">
      <c r="A184">
        <v>2016</v>
      </c>
      <c r="B184" s="2" t="s">
        <v>175</v>
      </c>
      <c r="C184" s="1">
        <v>134289</v>
      </c>
      <c r="D184">
        <v>4.05614E-4</v>
      </c>
    </row>
    <row r="185" spans="1:4" x14ac:dyDescent="0.2">
      <c r="A185">
        <v>2016</v>
      </c>
      <c r="B185" s="2" t="s">
        <v>176</v>
      </c>
      <c r="C185" s="1">
        <v>1650757</v>
      </c>
      <c r="D185">
        <v>4.9860399999999997E-3</v>
      </c>
    </row>
    <row r="186" spans="1:4" x14ac:dyDescent="0.2">
      <c r="A186">
        <v>2016</v>
      </c>
      <c r="B186" s="2" t="s">
        <v>10</v>
      </c>
      <c r="C186" s="1">
        <v>3750220</v>
      </c>
      <c r="D186">
        <v>1.1327377E-2</v>
      </c>
    </row>
    <row r="187" spans="1:4" x14ac:dyDescent="0.2">
      <c r="A187">
        <v>2016</v>
      </c>
      <c r="B187" s="2" t="s">
        <v>11</v>
      </c>
      <c r="C187" s="1">
        <v>101881</v>
      </c>
      <c r="D187">
        <v>3.0772699999999999E-4</v>
      </c>
    </row>
    <row r="188" spans="1:4" x14ac:dyDescent="0.2">
      <c r="A188">
        <v>2016</v>
      </c>
      <c r="B188" s="2" t="s">
        <v>177</v>
      </c>
      <c r="C188" s="1">
        <v>15305313</v>
      </c>
      <c r="D188">
        <v>4.6229036000000001E-2</v>
      </c>
    </row>
    <row r="189" spans="1:4" x14ac:dyDescent="0.2">
      <c r="A189">
        <v>2016</v>
      </c>
      <c r="B189" s="2" t="s">
        <v>13</v>
      </c>
      <c r="C189" s="1">
        <v>4334790</v>
      </c>
      <c r="D189">
        <v>1.3093046000000001E-2</v>
      </c>
    </row>
    <row r="190" spans="1:4" x14ac:dyDescent="0.2">
      <c r="A190">
        <v>2016</v>
      </c>
      <c r="B190" s="2" t="s">
        <v>14</v>
      </c>
      <c r="C190" s="1">
        <v>686204</v>
      </c>
      <c r="D190">
        <v>2.0726500000000001E-3</v>
      </c>
    </row>
    <row r="191" spans="1:4" x14ac:dyDescent="0.2">
      <c r="A191">
        <v>2016</v>
      </c>
      <c r="B191" s="2" t="s">
        <v>16</v>
      </c>
      <c r="C191" s="1">
        <v>167298</v>
      </c>
      <c r="D191">
        <v>5.0531600000000001E-4</v>
      </c>
    </row>
    <row r="192" spans="1:4" x14ac:dyDescent="0.2">
      <c r="A192">
        <v>2016</v>
      </c>
      <c r="B192" s="2" t="s">
        <v>17</v>
      </c>
      <c r="C192" s="1">
        <v>512858</v>
      </c>
      <c r="D192">
        <v>1.5490650000000001E-3</v>
      </c>
    </row>
    <row r="193" spans="1:4" x14ac:dyDescent="0.2">
      <c r="A193">
        <v>2016</v>
      </c>
      <c r="B193" s="2" t="s">
        <v>18</v>
      </c>
      <c r="C193" s="1">
        <v>201434</v>
      </c>
      <c r="D193">
        <v>6.0842299999999997E-4</v>
      </c>
    </row>
    <row r="194" spans="1:4" x14ac:dyDescent="0.2">
      <c r="A194">
        <v>2016</v>
      </c>
      <c r="B194" s="2" t="s">
        <v>19</v>
      </c>
      <c r="C194" s="1">
        <v>2539902</v>
      </c>
      <c r="D194">
        <v>7.6716639999999999E-3</v>
      </c>
    </row>
    <row r="195" spans="1:4" x14ac:dyDescent="0.2">
      <c r="A195">
        <v>2016</v>
      </c>
      <c r="B195" s="2" t="s">
        <v>20</v>
      </c>
      <c r="C195" s="1">
        <v>112317</v>
      </c>
      <c r="D195">
        <v>3.3924900000000002E-4</v>
      </c>
    </row>
    <row r="196" spans="1:4" x14ac:dyDescent="0.2">
      <c r="A196">
        <v>2016</v>
      </c>
      <c r="B196" s="2" t="s">
        <v>21</v>
      </c>
      <c r="C196" s="1">
        <v>93174</v>
      </c>
      <c r="D196">
        <v>2.8142800000000002E-4</v>
      </c>
    </row>
    <row r="197" spans="1:4" x14ac:dyDescent="0.2">
      <c r="A197">
        <v>2016</v>
      </c>
      <c r="B197" s="2" t="s">
        <v>22</v>
      </c>
      <c r="C197" s="1">
        <v>331209</v>
      </c>
      <c r="D197">
        <v>1.0004020000000001E-3</v>
      </c>
    </row>
    <row r="198" spans="1:4" x14ac:dyDescent="0.2">
      <c r="A198">
        <v>2016</v>
      </c>
      <c r="B198" s="2" t="s">
        <v>23</v>
      </c>
      <c r="C198" s="1">
        <v>183457</v>
      </c>
      <c r="D198">
        <v>5.5412400000000002E-4</v>
      </c>
    </row>
    <row r="199" spans="1:4" x14ac:dyDescent="0.2">
      <c r="A199">
        <v>2016</v>
      </c>
      <c r="B199" s="2" t="s">
        <v>24</v>
      </c>
      <c r="C199" s="1">
        <v>2334521</v>
      </c>
      <c r="D199">
        <v>7.0513199999999998E-3</v>
      </c>
    </row>
    <row r="200" spans="1:4" x14ac:dyDescent="0.2">
      <c r="A200">
        <v>2016</v>
      </c>
      <c r="B200" s="2" t="s">
        <v>25</v>
      </c>
      <c r="C200" s="1">
        <v>152645</v>
      </c>
      <c r="D200">
        <v>4.6105799999999998E-4</v>
      </c>
    </row>
    <row r="201" spans="1:4" x14ac:dyDescent="0.2">
      <c r="A201">
        <v>2016</v>
      </c>
      <c r="B201" s="2" t="s">
        <v>26</v>
      </c>
      <c r="C201" s="1">
        <v>210876</v>
      </c>
      <c r="D201">
        <v>6.3694200000000004E-4</v>
      </c>
    </row>
    <row r="202" spans="1:4" x14ac:dyDescent="0.2">
      <c r="A202">
        <v>2016</v>
      </c>
      <c r="B202" s="2" t="s">
        <v>126</v>
      </c>
      <c r="C202" s="1">
        <v>59864</v>
      </c>
      <c r="D202">
        <v>1.80817E-4</v>
      </c>
    </row>
    <row r="203" spans="1:4" x14ac:dyDescent="0.2">
      <c r="A203">
        <v>2016</v>
      </c>
      <c r="B203" s="2" t="s">
        <v>27</v>
      </c>
      <c r="C203" s="1">
        <v>130136</v>
      </c>
      <c r="D203">
        <v>3.9306999999999998E-4</v>
      </c>
    </row>
    <row r="204" spans="1:4" x14ac:dyDescent="0.2">
      <c r="A204">
        <v>2016</v>
      </c>
      <c r="B204" s="2" t="s">
        <v>28</v>
      </c>
      <c r="C204" s="1">
        <v>643225</v>
      </c>
      <c r="D204">
        <v>1.9428329999999999E-3</v>
      </c>
    </row>
    <row r="205" spans="1:4" x14ac:dyDescent="0.2">
      <c r="A205">
        <v>2016</v>
      </c>
      <c r="B205" s="2" t="s">
        <v>127</v>
      </c>
      <c r="C205" s="1">
        <v>266890</v>
      </c>
      <c r="D205">
        <v>8.0612999999999995E-4</v>
      </c>
    </row>
    <row r="206" spans="1:4" x14ac:dyDescent="0.2">
      <c r="A206">
        <v>2016</v>
      </c>
      <c r="B206" s="2" t="s">
        <v>29</v>
      </c>
      <c r="C206" s="1">
        <v>4817827</v>
      </c>
      <c r="D206">
        <v>1.4552038E-2</v>
      </c>
    </row>
    <row r="207" spans="1:4" x14ac:dyDescent="0.2">
      <c r="A207">
        <v>2016</v>
      </c>
      <c r="B207" s="2" t="s">
        <v>178</v>
      </c>
      <c r="C207" s="1">
        <v>1595498</v>
      </c>
      <c r="D207">
        <v>4.8191329999999998E-3</v>
      </c>
    </row>
    <row r="208" spans="1:4" x14ac:dyDescent="0.2">
      <c r="A208">
        <v>2016</v>
      </c>
      <c r="B208" s="2" t="s">
        <v>179</v>
      </c>
      <c r="C208" s="1">
        <v>485748</v>
      </c>
      <c r="D208">
        <v>1.4671809999999999E-3</v>
      </c>
    </row>
    <row r="209" spans="1:4" x14ac:dyDescent="0.2">
      <c r="A209">
        <v>2016</v>
      </c>
      <c r="B209" s="2" t="s">
        <v>128</v>
      </c>
      <c r="C209" s="1">
        <v>283256</v>
      </c>
      <c r="D209">
        <v>8.5556300000000005E-4</v>
      </c>
    </row>
    <row r="210" spans="1:4" x14ac:dyDescent="0.2">
      <c r="A210">
        <v>2016</v>
      </c>
      <c r="B210" s="2" t="s">
        <v>30</v>
      </c>
      <c r="C210" s="1">
        <v>231407</v>
      </c>
      <c r="D210">
        <v>6.9895500000000002E-4</v>
      </c>
    </row>
    <row r="211" spans="1:4" x14ac:dyDescent="0.2">
      <c r="A211">
        <v>2016</v>
      </c>
      <c r="B211" s="2" t="s">
        <v>31</v>
      </c>
      <c r="C211" s="1">
        <v>146564</v>
      </c>
      <c r="D211">
        <v>4.4268999999999998E-4</v>
      </c>
    </row>
    <row r="212" spans="1:4" x14ac:dyDescent="0.2">
      <c r="A212">
        <v>2016</v>
      </c>
      <c r="B212" s="2" t="s">
        <v>32</v>
      </c>
      <c r="C212" s="1">
        <v>89425</v>
      </c>
      <c r="D212">
        <v>2.7010400000000001E-4</v>
      </c>
    </row>
    <row r="213" spans="1:4" x14ac:dyDescent="0.2">
      <c r="A213">
        <v>2016</v>
      </c>
      <c r="B213" s="2" t="s">
        <v>33</v>
      </c>
      <c r="C213" s="1">
        <v>129174</v>
      </c>
      <c r="D213">
        <v>3.9016399999999997E-4</v>
      </c>
    </row>
    <row r="214" spans="1:4" x14ac:dyDescent="0.2">
      <c r="A214">
        <v>2016</v>
      </c>
      <c r="B214" s="2" t="s">
        <v>34</v>
      </c>
      <c r="C214" s="1">
        <v>1184641</v>
      </c>
      <c r="D214">
        <v>3.5781570000000002E-3</v>
      </c>
    </row>
    <row r="215" spans="1:4" x14ac:dyDescent="0.2">
      <c r="A215">
        <v>2016</v>
      </c>
      <c r="B215" s="2" t="s">
        <v>129</v>
      </c>
      <c r="C215" s="1">
        <v>70657</v>
      </c>
      <c r="D215">
        <v>2.1341599999999999E-4</v>
      </c>
    </row>
    <row r="216" spans="1:4" x14ac:dyDescent="0.2">
      <c r="A216">
        <v>2016</v>
      </c>
      <c r="B216" s="2" t="s">
        <v>35</v>
      </c>
      <c r="C216" s="1">
        <v>661913</v>
      </c>
      <c r="D216">
        <v>1.99928E-3</v>
      </c>
    </row>
    <row r="217" spans="1:4" x14ac:dyDescent="0.2">
      <c r="A217">
        <v>2016</v>
      </c>
      <c r="B217" s="2" t="s">
        <v>36</v>
      </c>
      <c r="C217" s="1">
        <v>301285</v>
      </c>
      <c r="D217">
        <v>9.1001799999999996E-4</v>
      </c>
    </row>
    <row r="218" spans="1:4" x14ac:dyDescent="0.2">
      <c r="A218">
        <v>2016</v>
      </c>
      <c r="B218" s="2" t="s">
        <v>37</v>
      </c>
      <c r="C218" s="1">
        <v>674505</v>
      </c>
      <c r="D218">
        <v>2.0373129999999998E-3</v>
      </c>
    </row>
    <row r="219" spans="1:4" x14ac:dyDescent="0.2">
      <c r="A219">
        <v>2016</v>
      </c>
      <c r="B219" s="2" t="s">
        <v>38</v>
      </c>
      <c r="C219" s="1">
        <v>158620</v>
      </c>
      <c r="D219">
        <v>4.7910500000000001E-4</v>
      </c>
    </row>
    <row r="220" spans="1:4" x14ac:dyDescent="0.2">
      <c r="A220">
        <v>2016</v>
      </c>
      <c r="B220" s="2" t="s">
        <v>39</v>
      </c>
      <c r="C220" s="1">
        <v>223757</v>
      </c>
      <c r="D220">
        <v>6.7584800000000005E-4</v>
      </c>
    </row>
    <row r="221" spans="1:4" x14ac:dyDescent="0.2">
      <c r="A221">
        <v>2016</v>
      </c>
      <c r="B221" s="2" t="s">
        <v>40</v>
      </c>
      <c r="C221" s="1">
        <v>219678</v>
      </c>
      <c r="D221">
        <v>6.6352800000000003E-4</v>
      </c>
    </row>
    <row r="222" spans="1:4" x14ac:dyDescent="0.2">
      <c r="A222">
        <v>2016</v>
      </c>
      <c r="B222" s="2" t="s">
        <v>41</v>
      </c>
      <c r="C222" s="1">
        <v>537379</v>
      </c>
      <c r="D222">
        <v>1.62313E-3</v>
      </c>
    </row>
    <row r="223" spans="1:4" x14ac:dyDescent="0.2">
      <c r="A223">
        <v>2016</v>
      </c>
      <c r="B223" s="2" t="s">
        <v>42</v>
      </c>
      <c r="C223" s="1">
        <v>211694</v>
      </c>
      <c r="D223">
        <v>6.3941300000000003E-4</v>
      </c>
    </row>
    <row r="224" spans="1:4" x14ac:dyDescent="0.2">
      <c r="A224">
        <v>2016</v>
      </c>
      <c r="B224" s="2" t="s">
        <v>43</v>
      </c>
      <c r="C224" s="1">
        <v>185583</v>
      </c>
      <c r="D224">
        <v>5.6054499999999997E-4</v>
      </c>
    </row>
    <row r="225" spans="1:4" x14ac:dyDescent="0.2">
      <c r="A225">
        <v>2016</v>
      </c>
      <c r="B225" s="2" t="s">
        <v>44</v>
      </c>
      <c r="C225" s="1">
        <v>177537</v>
      </c>
      <c r="D225">
        <v>5.3624300000000005E-4</v>
      </c>
    </row>
    <row r="226" spans="1:4" x14ac:dyDescent="0.2">
      <c r="A226">
        <v>2016</v>
      </c>
      <c r="B226" s="2" t="s">
        <v>130</v>
      </c>
      <c r="C226" s="1">
        <v>76979</v>
      </c>
      <c r="D226">
        <v>2.3251200000000001E-4</v>
      </c>
    </row>
    <row r="227" spans="1:4" x14ac:dyDescent="0.2">
      <c r="A227">
        <v>2016</v>
      </c>
      <c r="B227" s="2" t="s">
        <v>131</v>
      </c>
      <c r="C227" s="1">
        <v>143022</v>
      </c>
      <c r="D227">
        <v>4.3199200000000002E-4</v>
      </c>
    </row>
    <row r="228" spans="1:4" x14ac:dyDescent="0.2">
      <c r="A228">
        <v>2016</v>
      </c>
      <c r="B228" s="2" t="s">
        <v>45</v>
      </c>
      <c r="C228" s="1">
        <v>138414</v>
      </c>
      <c r="D228">
        <v>4.18074E-4</v>
      </c>
    </row>
    <row r="229" spans="1:4" x14ac:dyDescent="0.2">
      <c r="A229">
        <v>2016</v>
      </c>
      <c r="B229" s="2" t="s">
        <v>46</v>
      </c>
      <c r="C229" s="1">
        <v>439253</v>
      </c>
      <c r="D229">
        <v>1.3267450000000001E-3</v>
      </c>
    </row>
    <row r="230" spans="1:4" x14ac:dyDescent="0.2">
      <c r="A230">
        <v>2016</v>
      </c>
      <c r="B230" s="2" t="s">
        <v>47</v>
      </c>
      <c r="C230" s="1">
        <v>147258</v>
      </c>
      <c r="D230">
        <v>4.4478600000000002E-4</v>
      </c>
    </row>
    <row r="231" spans="1:4" x14ac:dyDescent="0.2">
      <c r="A231">
        <v>2016</v>
      </c>
      <c r="B231" s="2" t="s">
        <v>132</v>
      </c>
      <c r="C231" s="1">
        <v>70812</v>
      </c>
      <c r="D231">
        <v>2.13885E-4</v>
      </c>
    </row>
    <row r="232" spans="1:4" x14ac:dyDescent="0.2">
      <c r="A232">
        <v>2016</v>
      </c>
      <c r="B232" s="2" t="s">
        <v>180</v>
      </c>
      <c r="C232" s="1">
        <v>23379</v>
      </c>
      <c r="D232">
        <v>7.0615000000000001E-5</v>
      </c>
    </row>
    <row r="233" spans="1:4" x14ac:dyDescent="0.2">
      <c r="A233">
        <v>2016</v>
      </c>
      <c r="B233" s="2" t="s">
        <v>181</v>
      </c>
      <c r="C233" s="1">
        <v>35296</v>
      </c>
      <c r="D233">
        <v>1.0661E-4</v>
      </c>
    </row>
    <row r="234" spans="1:4" x14ac:dyDescent="0.2">
      <c r="A234">
        <v>2016</v>
      </c>
      <c r="B234" s="2" t="s">
        <v>135</v>
      </c>
      <c r="C234" s="1">
        <v>271107</v>
      </c>
      <c r="D234">
        <v>8.1886700000000003E-4</v>
      </c>
    </row>
    <row r="235" spans="1:4" x14ac:dyDescent="0.2">
      <c r="A235">
        <v>2016</v>
      </c>
      <c r="B235" s="2" t="s">
        <v>136</v>
      </c>
      <c r="C235" s="1">
        <v>564525</v>
      </c>
      <c r="D235">
        <v>1.705123E-3</v>
      </c>
    </row>
    <row r="236" spans="1:4" x14ac:dyDescent="0.2">
      <c r="A236">
        <v>2016</v>
      </c>
      <c r="B236" s="2" t="s">
        <v>137</v>
      </c>
      <c r="C236" s="1">
        <v>28983</v>
      </c>
      <c r="D236">
        <v>8.7541999999999996E-5</v>
      </c>
    </row>
    <row r="237" spans="1:4" x14ac:dyDescent="0.2">
      <c r="A237">
        <v>2016</v>
      </c>
      <c r="B237" s="2" t="s">
        <v>182</v>
      </c>
      <c r="C237" s="1">
        <v>236737</v>
      </c>
      <c r="D237">
        <v>7.1505400000000002E-4</v>
      </c>
    </row>
    <row r="238" spans="1:4" x14ac:dyDescent="0.2">
      <c r="A238">
        <v>2016</v>
      </c>
      <c r="B238" s="2" t="s">
        <v>139</v>
      </c>
      <c r="C238" s="1">
        <v>211814</v>
      </c>
      <c r="D238">
        <v>6.3977499999999998E-4</v>
      </c>
    </row>
    <row r="239" spans="1:4" x14ac:dyDescent="0.2">
      <c r="A239">
        <v>2016</v>
      </c>
      <c r="B239" s="2" t="s">
        <v>48</v>
      </c>
      <c r="C239" s="1">
        <v>4201186</v>
      </c>
      <c r="D239">
        <v>1.2689501000000001E-2</v>
      </c>
    </row>
    <row r="240" spans="1:4" x14ac:dyDescent="0.2">
      <c r="A240">
        <v>2016</v>
      </c>
      <c r="B240" s="2" t="s">
        <v>140</v>
      </c>
      <c r="C240" s="1">
        <v>51388</v>
      </c>
      <c r="D240">
        <v>1.55215E-4</v>
      </c>
    </row>
    <row r="241" spans="1:4" x14ac:dyDescent="0.2">
      <c r="A241">
        <v>2016</v>
      </c>
      <c r="B241" s="2" t="s">
        <v>141</v>
      </c>
      <c r="C241" s="1">
        <v>13867</v>
      </c>
      <c r="D241">
        <v>4.1885000000000003E-5</v>
      </c>
    </row>
    <row r="242" spans="1:4" x14ac:dyDescent="0.2">
      <c r="A242">
        <v>2016</v>
      </c>
      <c r="B242" s="2" t="s">
        <v>183</v>
      </c>
      <c r="C242" s="1">
        <v>116998</v>
      </c>
      <c r="D242">
        <v>3.5338699999999998E-4</v>
      </c>
    </row>
    <row r="243" spans="1:4" x14ac:dyDescent="0.2">
      <c r="A243">
        <v>2016</v>
      </c>
      <c r="B243" s="2" t="s">
        <v>143</v>
      </c>
      <c r="C243" s="1">
        <v>407368</v>
      </c>
      <c r="D243">
        <v>1.230437E-3</v>
      </c>
    </row>
    <row r="244" spans="1:4" x14ac:dyDescent="0.2">
      <c r="A244">
        <v>2016</v>
      </c>
      <c r="B244" s="2" t="s">
        <v>144</v>
      </c>
      <c r="C244" s="1">
        <v>110279</v>
      </c>
      <c r="D244">
        <v>3.3309300000000002E-4</v>
      </c>
    </row>
    <row r="245" spans="1:4" x14ac:dyDescent="0.2">
      <c r="A245">
        <v>2016</v>
      </c>
      <c r="B245" s="2" t="s">
        <v>145</v>
      </c>
      <c r="C245" s="1">
        <v>189403</v>
      </c>
      <c r="D245">
        <v>5.7208400000000005E-4</v>
      </c>
    </row>
    <row r="246" spans="1:4" x14ac:dyDescent="0.2">
      <c r="A246">
        <v>2016</v>
      </c>
      <c r="B246" s="2" t="s">
        <v>49</v>
      </c>
      <c r="C246" s="1">
        <v>1427127</v>
      </c>
      <c r="D246">
        <v>4.3105749999999996E-3</v>
      </c>
    </row>
    <row r="247" spans="1:4" x14ac:dyDescent="0.2">
      <c r="A247">
        <v>2016</v>
      </c>
      <c r="B247" s="2" t="s">
        <v>50</v>
      </c>
      <c r="C247" s="1">
        <v>239523</v>
      </c>
      <c r="D247">
        <v>7.2346900000000002E-4</v>
      </c>
    </row>
    <row r="248" spans="1:4" x14ac:dyDescent="0.2">
      <c r="A248">
        <v>2016</v>
      </c>
      <c r="B248" s="2" t="s">
        <v>51</v>
      </c>
      <c r="C248" s="1">
        <v>634809</v>
      </c>
      <c r="D248">
        <v>1.917413E-3</v>
      </c>
    </row>
    <row r="249" spans="1:4" x14ac:dyDescent="0.2">
      <c r="A249">
        <v>2016</v>
      </c>
      <c r="B249" s="2" t="s">
        <v>52</v>
      </c>
      <c r="C249" s="1">
        <v>178562</v>
      </c>
      <c r="D249">
        <v>5.3933900000000001E-4</v>
      </c>
    </row>
    <row r="250" spans="1:4" x14ac:dyDescent="0.2">
      <c r="A250">
        <v>2016</v>
      </c>
      <c r="B250" s="2" t="s">
        <v>53</v>
      </c>
      <c r="C250" s="1">
        <v>721793</v>
      </c>
      <c r="D250">
        <v>2.1801450000000001E-3</v>
      </c>
    </row>
    <row r="251" spans="1:4" x14ac:dyDescent="0.2">
      <c r="A251">
        <v>2016</v>
      </c>
      <c r="B251" s="2" t="s">
        <v>146</v>
      </c>
      <c r="C251" s="1">
        <v>72296</v>
      </c>
      <c r="D251">
        <v>2.1836699999999999E-4</v>
      </c>
    </row>
    <row r="252" spans="1:4" x14ac:dyDescent="0.2">
      <c r="A252">
        <v>2016</v>
      </c>
      <c r="B252" s="2" t="s">
        <v>54</v>
      </c>
      <c r="C252" s="1">
        <v>133809</v>
      </c>
      <c r="D252">
        <v>4.0416399999999999E-4</v>
      </c>
    </row>
    <row r="253" spans="1:4" x14ac:dyDescent="0.2">
      <c r="A253">
        <v>2016</v>
      </c>
      <c r="B253" s="2" t="s">
        <v>147</v>
      </c>
      <c r="C253" s="1">
        <v>72089</v>
      </c>
      <c r="D253">
        <v>2.1774199999999999E-4</v>
      </c>
    </row>
    <row r="254" spans="1:4" x14ac:dyDescent="0.2">
      <c r="A254">
        <v>2016</v>
      </c>
      <c r="B254" s="2" t="s">
        <v>55</v>
      </c>
      <c r="C254" s="1">
        <v>2249461</v>
      </c>
      <c r="D254">
        <v>6.7943999999999999E-3</v>
      </c>
    </row>
    <row r="255" spans="1:4" x14ac:dyDescent="0.2">
      <c r="A255">
        <v>2016</v>
      </c>
      <c r="B255" s="2" t="s">
        <v>56</v>
      </c>
      <c r="C255" s="1">
        <v>2027085</v>
      </c>
      <c r="D255">
        <v>6.1227230000000001E-3</v>
      </c>
    </row>
    <row r="256" spans="1:4" x14ac:dyDescent="0.2">
      <c r="A256">
        <v>2016</v>
      </c>
      <c r="B256" s="2" t="s">
        <v>57</v>
      </c>
      <c r="C256" s="1">
        <v>2091857</v>
      </c>
      <c r="D256">
        <v>6.3183639999999999E-3</v>
      </c>
    </row>
    <row r="257" spans="1:4" x14ac:dyDescent="0.2">
      <c r="A257">
        <v>2016</v>
      </c>
      <c r="B257" s="2" t="s">
        <v>58</v>
      </c>
      <c r="C257" s="1">
        <v>481588</v>
      </c>
      <c r="D257">
        <v>1.4546159999999999E-3</v>
      </c>
    </row>
    <row r="258" spans="1:4" x14ac:dyDescent="0.2">
      <c r="A258">
        <v>2016</v>
      </c>
      <c r="B258" s="2" t="s">
        <v>148</v>
      </c>
      <c r="C258" s="1">
        <v>77730</v>
      </c>
      <c r="D258">
        <v>2.3478E-4</v>
      </c>
    </row>
    <row r="259" spans="1:4" x14ac:dyDescent="0.2">
      <c r="A259">
        <v>2016</v>
      </c>
      <c r="B259" s="2" t="s">
        <v>59</v>
      </c>
      <c r="C259" s="1">
        <v>2722505</v>
      </c>
      <c r="D259">
        <v>8.2232090000000004E-3</v>
      </c>
    </row>
    <row r="260" spans="1:4" x14ac:dyDescent="0.2">
      <c r="A260">
        <v>2016</v>
      </c>
      <c r="B260" s="2" t="s">
        <v>149</v>
      </c>
      <c r="C260" s="1">
        <v>139693</v>
      </c>
      <c r="D260">
        <v>4.21937E-4</v>
      </c>
    </row>
    <row r="261" spans="1:4" x14ac:dyDescent="0.2">
      <c r="A261">
        <v>2016</v>
      </c>
      <c r="B261" s="2" t="s">
        <v>60</v>
      </c>
      <c r="C261" s="1">
        <v>114607</v>
      </c>
      <c r="D261">
        <v>3.46165E-4</v>
      </c>
    </row>
    <row r="262" spans="1:4" x14ac:dyDescent="0.2">
      <c r="A262">
        <v>2016</v>
      </c>
      <c r="B262" s="2" t="s">
        <v>61</v>
      </c>
      <c r="C262" s="1">
        <v>2065452</v>
      </c>
      <c r="D262">
        <v>6.2386079999999997E-3</v>
      </c>
    </row>
    <row r="263" spans="1:4" x14ac:dyDescent="0.2">
      <c r="A263">
        <v>2016</v>
      </c>
      <c r="B263" s="2" t="s">
        <v>62</v>
      </c>
      <c r="C263" s="1">
        <v>474836</v>
      </c>
      <c r="D263">
        <v>1.434222E-3</v>
      </c>
    </row>
    <row r="264" spans="1:4" x14ac:dyDescent="0.2">
      <c r="A264">
        <v>2016</v>
      </c>
      <c r="B264" s="2" t="s">
        <v>63</v>
      </c>
      <c r="C264" s="1">
        <v>361240</v>
      </c>
      <c r="D264">
        <v>1.09111E-3</v>
      </c>
    </row>
    <row r="265" spans="1:4" x14ac:dyDescent="0.2">
      <c r="A265">
        <v>2016</v>
      </c>
      <c r="B265" s="2" t="s">
        <v>64</v>
      </c>
      <c r="C265" s="1">
        <v>787680</v>
      </c>
      <c r="D265">
        <v>2.3791530000000002E-3</v>
      </c>
    </row>
    <row r="266" spans="1:4" x14ac:dyDescent="0.2">
      <c r="A266">
        <v>2016</v>
      </c>
      <c r="B266" s="2" t="s">
        <v>65</v>
      </c>
      <c r="C266" s="1">
        <v>108321</v>
      </c>
      <c r="D266">
        <v>3.2717899999999998E-4</v>
      </c>
    </row>
    <row r="267" spans="1:4" x14ac:dyDescent="0.2">
      <c r="A267">
        <v>2016</v>
      </c>
      <c r="B267" s="2" t="s">
        <v>66</v>
      </c>
      <c r="C267" s="1">
        <v>307771</v>
      </c>
      <c r="D267">
        <v>9.2960899999999997E-4</v>
      </c>
    </row>
    <row r="268" spans="1:4" x14ac:dyDescent="0.2">
      <c r="A268">
        <v>2016</v>
      </c>
      <c r="B268" s="2" t="s">
        <v>150</v>
      </c>
      <c r="C268" s="1">
        <v>114135</v>
      </c>
      <c r="D268">
        <v>3.4474000000000001E-4</v>
      </c>
    </row>
    <row r="269" spans="1:4" x14ac:dyDescent="0.2">
      <c r="A269">
        <v>2016</v>
      </c>
      <c r="B269" s="2" t="s">
        <v>151</v>
      </c>
      <c r="C269" s="1">
        <v>108780</v>
      </c>
      <c r="D269">
        <v>3.2856500000000001E-4</v>
      </c>
    </row>
    <row r="270" spans="1:4" x14ac:dyDescent="0.2">
      <c r="A270">
        <v>2016</v>
      </c>
      <c r="B270" s="2" t="s">
        <v>67</v>
      </c>
      <c r="C270" s="1">
        <v>1479879</v>
      </c>
      <c r="D270">
        <v>4.469911E-3</v>
      </c>
    </row>
    <row r="271" spans="1:4" x14ac:dyDescent="0.2">
      <c r="A271">
        <v>2016</v>
      </c>
      <c r="B271" s="2" t="s">
        <v>68</v>
      </c>
      <c r="C271" s="1">
        <v>85297</v>
      </c>
      <c r="D271">
        <v>2.57636E-4</v>
      </c>
    </row>
    <row r="272" spans="1:4" x14ac:dyDescent="0.2">
      <c r="A272">
        <v>2016</v>
      </c>
      <c r="B272" s="2" t="s">
        <v>69</v>
      </c>
      <c r="C272" s="1">
        <v>1749133</v>
      </c>
      <c r="D272">
        <v>5.2831809999999996E-3</v>
      </c>
    </row>
    <row r="273" spans="1:4" x14ac:dyDescent="0.2">
      <c r="A273">
        <v>2016</v>
      </c>
      <c r="B273" s="2" t="s">
        <v>152</v>
      </c>
      <c r="C273" s="1">
        <v>67729</v>
      </c>
      <c r="D273">
        <v>2.0457299999999999E-4</v>
      </c>
    </row>
    <row r="274" spans="1:4" x14ac:dyDescent="0.2">
      <c r="A274">
        <v>2016</v>
      </c>
      <c r="B274" s="2" t="s">
        <v>153</v>
      </c>
      <c r="C274" s="1">
        <v>58893</v>
      </c>
      <c r="D274">
        <v>1.7788400000000001E-4</v>
      </c>
    </row>
    <row r="275" spans="1:4" x14ac:dyDescent="0.2">
      <c r="A275">
        <v>2016</v>
      </c>
      <c r="B275" s="2" t="s">
        <v>70</v>
      </c>
      <c r="C275" s="1">
        <v>1754455</v>
      </c>
      <c r="D275">
        <v>5.2992550000000001E-3</v>
      </c>
    </row>
    <row r="276" spans="1:4" x14ac:dyDescent="0.2">
      <c r="A276">
        <v>2016</v>
      </c>
      <c r="B276" s="2" t="s">
        <v>71</v>
      </c>
      <c r="C276" s="1">
        <v>1604526</v>
      </c>
      <c r="D276">
        <v>4.8464010000000002E-3</v>
      </c>
    </row>
    <row r="277" spans="1:4" x14ac:dyDescent="0.2">
      <c r="A277">
        <v>2016</v>
      </c>
      <c r="B277" s="2" t="s">
        <v>72</v>
      </c>
      <c r="C277" s="1">
        <v>674772</v>
      </c>
      <c r="D277">
        <v>2.03812E-3</v>
      </c>
    </row>
    <row r="278" spans="1:4" x14ac:dyDescent="0.2">
      <c r="A278">
        <v>2016</v>
      </c>
      <c r="B278" s="2" t="s">
        <v>73</v>
      </c>
      <c r="C278" s="1">
        <v>126562</v>
      </c>
      <c r="D278">
        <v>3.8227500000000001E-4</v>
      </c>
    </row>
    <row r="279" spans="1:4" x14ac:dyDescent="0.2">
      <c r="A279">
        <v>2016</v>
      </c>
      <c r="B279" s="2" t="s">
        <v>74</v>
      </c>
      <c r="C279" s="1">
        <v>144762</v>
      </c>
      <c r="D279">
        <v>4.3724699999999998E-4</v>
      </c>
    </row>
    <row r="280" spans="1:4" x14ac:dyDescent="0.2">
      <c r="A280">
        <v>2016</v>
      </c>
      <c r="B280" s="2" t="s">
        <v>75</v>
      </c>
      <c r="C280" s="1">
        <v>5553646</v>
      </c>
      <c r="D280">
        <v>1.6774548E-2</v>
      </c>
    </row>
    <row r="281" spans="1:4" x14ac:dyDescent="0.2">
      <c r="A281">
        <v>2016</v>
      </c>
      <c r="B281" s="2" t="s">
        <v>76</v>
      </c>
      <c r="C281" s="1">
        <v>445013</v>
      </c>
      <c r="D281">
        <v>1.3441429999999999E-3</v>
      </c>
    </row>
    <row r="282" spans="1:4" x14ac:dyDescent="0.2">
      <c r="A282">
        <v>2016</v>
      </c>
      <c r="B282" s="2" t="s">
        <v>77</v>
      </c>
      <c r="C282" s="1">
        <v>125893</v>
      </c>
      <c r="D282">
        <v>3.8025400000000001E-4</v>
      </c>
    </row>
    <row r="283" spans="1:4" x14ac:dyDescent="0.2">
      <c r="A283">
        <v>2016</v>
      </c>
      <c r="B283" s="2" t="s">
        <v>78</v>
      </c>
      <c r="C283" s="1">
        <v>114912</v>
      </c>
      <c r="D283">
        <v>3.4708699999999999E-4</v>
      </c>
    </row>
    <row r="284" spans="1:4" x14ac:dyDescent="0.2">
      <c r="A284">
        <v>2016</v>
      </c>
      <c r="B284" s="2" t="s">
        <v>184</v>
      </c>
      <c r="C284" s="1">
        <v>1141405</v>
      </c>
      <c r="D284">
        <v>3.4475640000000002E-3</v>
      </c>
    </row>
    <row r="285" spans="1:4" x14ac:dyDescent="0.2">
      <c r="A285">
        <v>2016</v>
      </c>
      <c r="B285" s="2" t="s">
        <v>154</v>
      </c>
      <c r="C285" s="1">
        <v>332007</v>
      </c>
      <c r="D285">
        <v>1.002813E-3</v>
      </c>
    </row>
    <row r="286" spans="1:4" x14ac:dyDescent="0.2">
      <c r="A286">
        <v>2016</v>
      </c>
      <c r="B286" s="2" t="s">
        <v>155</v>
      </c>
      <c r="C286" s="1">
        <v>103844</v>
      </c>
      <c r="D286">
        <v>3.1365599999999999E-4</v>
      </c>
    </row>
    <row r="287" spans="1:4" x14ac:dyDescent="0.2">
      <c r="A287">
        <v>2016</v>
      </c>
      <c r="B287" s="2" t="s">
        <v>79</v>
      </c>
      <c r="C287" s="1">
        <v>196947</v>
      </c>
      <c r="D287">
        <v>5.9486999999999995E-4</v>
      </c>
    </row>
    <row r="288" spans="1:4" x14ac:dyDescent="0.2">
      <c r="A288">
        <v>2016</v>
      </c>
      <c r="B288" s="2" t="s">
        <v>80</v>
      </c>
      <c r="C288" s="1">
        <v>369893</v>
      </c>
      <c r="D288">
        <v>1.1172459999999999E-3</v>
      </c>
    </row>
    <row r="289" spans="1:4" x14ac:dyDescent="0.2">
      <c r="A289">
        <v>2016</v>
      </c>
      <c r="B289" s="2" t="s">
        <v>157</v>
      </c>
      <c r="C289" s="1">
        <v>65300</v>
      </c>
      <c r="D289">
        <v>1.9723599999999999E-4</v>
      </c>
    </row>
    <row r="290" spans="1:4" x14ac:dyDescent="0.2">
      <c r="A290">
        <v>2016</v>
      </c>
      <c r="B290" s="2" t="s">
        <v>81</v>
      </c>
      <c r="C290" s="1">
        <v>459599</v>
      </c>
      <c r="D290">
        <v>1.3881989999999999E-3</v>
      </c>
    </row>
    <row r="291" spans="1:4" x14ac:dyDescent="0.2">
      <c r="A291">
        <v>2016</v>
      </c>
      <c r="B291" s="2" t="s">
        <v>82</v>
      </c>
      <c r="C291" s="1">
        <v>696122</v>
      </c>
      <c r="D291">
        <v>2.1026059999999999E-3</v>
      </c>
    </row>
    <row r="292" spans="1:4" x14ac:dyDescent="0.2">
      <c r="A292">
        <v>2016</v>
      </c>
      <c r="B292" s="2" t="s">
        <v>83</v>
      </c>
      <c r="C292" s="1">
        <v>8092</v>
      </c>
      <c r="D292">
        <v>2.4442000000000001E-5</v>
      </c>
    </row>
    <row r="293" spans="1:4" x14ac:dyDescent="0.2">
      <c r="A293">
        <v>2016</v>
      </c>
      <c r="B293" s="2" t="s">
        <v>84</v>
      </c>
      <c r="C293" s="1">
        <v>290232</v>
      </c>
      <c r="D293">
        <v>8.7663300000000003E-4</v>
      </c>
    </row>
    <row r="294" spans="1:4" x14ac:dyDescent="0.2">
      <c r="A294">
        <v>2016</v>
      </c>
      <c r="B294" s="2" t="s">
        <v>185</v>
      </c>
      <c r="C294" s="1">
        <v>112873</v>
      </c>
      <c r="D294">
        <v>3.40928E-4</v>
      </c>
    </row>
    <row r="295" spans="1:4" x14ac:dyDescent="0.2">
      <c r="A295">
        <v>2016</v>
      </c>
      <c r="B295" s="2" t="s">
        <v>85</v>
      </c>
      <c r="C295" s="1">
        <v>5301322</v>
      </c>
      <c r="D295">
        <v>1.6012413999999999E-2</v>
      </c>
    </row>
    <row r="296" spans="1:4" x14ac:dyDescent="0.2">
      <c r="A296">
        <v>2016</v>
      </c>
      <c r="B296" s="2" t="s">
        <v>86</v>
      </c>
      <c r="C296" s="1">
        <v>2516814</v>
      </c>
      <c r="D296">
        <v>7.601928E-3</v>
      </c>
    </row>
    <row r="297" spans="1:4" x14ac:dyDescent="0.2">
      <c r="A297">
        <v>2016</v>
      </c>
      <c r="B297" s="2" t="s">
        <v>87</v>
      </c>
      <c r="C297" s="1">
        <v>296509</v>
      </c>
      <c r="D297">
        <v>8.9559299999999998E-4</v>
      </c>
    </row>
    <row r="298" spans="1:4" x14ac:dyDescent="0.2">
      <c r="A298">
        <v>2016</v>
      </c>
      <c r="B298" s="2" t="s">
        <v>88</v>
      </c>
      <c r="C298" s="1">
        <v>6173</v>
      </c>
      <c r="D298">
        <v>1.8644999999999999E-5</v>
      </c>
    </row>
    <row r="299" spans="1:4" x14ac:dyDescent="0.2">
      <c r="A299">
        <v>2016</v>
      </c>
      <c r="B299" s="2" t="s">
        <v>89</v>
      </c>
      <c r="C299" s="1">
        <v>879994</v>
      </c>
      <c r="D299">
        <v>2.657984E-3</v>
      </c>
    </row>
    <row r="300" spans="1:4" x14ac:dyDescent="0.2">
      <c r="A300">
        <v>2016</v>
      </c>
      <c r="B300" s="2" t="s">
        <v>186</v>
      </c>
      <c r="C300" s="1">
        <v>98631</v>
      </c>
      <c r="D300">
        <v>2.9791099999999999E-4</v>
      </c>
    </row>
    <row r="301" spans="1:4" x14ac:dyDescent="0.2">
      <c r="A301">
        <v>2016</v>
      </c>
      <c r="B301" s="2" t="s">
        <v>90</v>
      </c>
      <c r="C301" s="1">
        <v>120817</v>
      </c>
      <c r="D301">
        <v>3.6492300000000002E-4</v>
      </c>
    </row>
    <row r="302" spans="1:4" x14ac:dyDescent="0.2">
      <c r="A302">
        <v>2016</v>
      </c>
      <c r="B302" s="2" t="s">
        <v>187</v>
      </c>
      <c r="C302" s="1">
        <v>1809633</v>
      </c>
      <c r="D302">
        <v>5.4659180000000002E-3</v>
      </c>
    </row>
    <row r="303" spans="1:4" x14ac:dyDescent="0.2">
      <c r="A303">
        <v>2016</v>
      </c>
      <c r="B303" s="2" t="s">
        <v>92</v>
      </c>
      <c r="C303" s="1">
        <v>309160</v>
      </c>
      <c r="D303">
        <v>9.3380399999999999E-4</v>
      </c>
    </row>
    <row r="304" spans="1:4" x14ac:dyDescent="0.2">
      <c r="A304">
        <v>2016</v>
      </c>
      <c r="B304" s="2" t="s">
        <v>93</v>
      </c>
      <c r="C304" s="1">
        <v>116459</v>
      </c>
      <c r="D304">
        <v>3.5175899999999999E-4</v>
      </c>
    </row>
    <row r="305" spans="1:4" x14ac:dyDescent="0.2">
      <c r="A305">
        <v>2016</v>
      </c>
      <c r="B305" s="2" t="s">
        <v>160</v>
      </c>
      <c r="C305" s="1">
        <v>96072</v>
      </c>
      <c r="D305">
        <v>2.9018099999999998E-4</v>
      </c>
    </row>
    <row r="306" spans="1:4" x14ac:dyDescent="0.2">
      <c r="A306">
        <v>2016</v>
      </c>
      <c r="B306" s="2" t="s">
        <v>161</v>
      </c>
      <c r="C306" s="1">
        <v>352028</v>
      </c>
      <c r="D306">
        <v>1.063285E-3</v>
      </c>
    </row>
    <row r="307" spans="1:4" x14ac:dyDescent="0.2">
      <c r="A307">
        <v>2016</v>
      </c>
      <c r="B307" s="2" t="s">
        <v>94</v>
      </c>
      <c r="C307" s="1">
        <v>99055</v>
      </c>
      <c r="D307">
        <v>2.9919099999999998E-4</v>
      </c>
    </row>
    <row r="308" spans="1:4" x14ac:dyDescent="0.2">
      <c r="A308">
        <v>2016</v>
      </c>
      <c r="B308" s="2" t="s">
        <v>95</v>
      </c>
      <c r="C308" s="1">
        <v>364157</v>
      </c>
      <c r="D308">
        <v>1.0999200000000001E-3</v>
      </c>
    </row>
    <row r="309" spans="1:4" x14ac:dyDescent="0.2">
      <c r="A309">
        <v>2016</v>
      </c>
      <c r="B309" s="2" t="s">
        <v>162</v>
      </c>
      <c r="C309" s="1">
        <v>208916</v>
      </c>
      <c r="D309">
        <v>6.3102199999999996E-4</v>
      </c>
    </row>
    <row r="310" spans="1:4" x14ac:dyDescent="0.2">
      <c r="A310">
        <v>2016</v>
      </c>
      <c r="B310" s="2" t="s">
        <v>96</v>
      </c>
      <c r="C310" s="1">
        <v>927166</v>
      </c>
      <c r="D310">
        <v>2.8004649999999998E-3</v>
      </c>
    </row>
    <row r="311" spans="1:4" x14ac:dyDescent="0.2">
      <c r="A311">
        <v>2016</v>
      </c>
      <c r="B311" s="2" t="s">
        <v>97</v>
      </c>
      <c r="C311" s="1">
        <v>276059</v>
      </c>
      <c r="D311">
        <v>8.3382400000000005E-4</v>
      </c>
    </row>
    <row r="312" spans="1:4" x14ac:dyDescent="0.2">
      <c r="A312">
        <v>2016</v>
      </c>
      <c r="B312" s="2" t="s">
        <v>98</v>
      </c>
      <c r="C312" s="1">
        <v>702761</v>
      </c>
      <c r="D312">
        <v>2.1226589999999998E-3</v>
      </c>
    </row>
    <row r="313" spans="1:4" x14ac:dyDescent="0.2">
      <c r="A313">
        <v>2016</v>
      </c>
      <c r="B313" s="2" t="s">
        <v>99</v>
      </c>
      <c r="C313" s="1">
        <v>377627</v>
      </c>
      <c r="D313">
        <v>1.140606E-3</v>
      </c>
    </row>
    <row r="314" spans="1:4" x14ac:dyDescent="0.2">
      <c r="A314">
        <v>2016</v>
      </c>
      <c r="B314" s="2" t="s">
        <v>100</v>
      </c>
      <c r="C314" s="1">
        <v>83757</v>
      </c>
      <c r="D314">
        <v>2.5298399999999999E-4</v>
      </c>
    </row>
    <row r="315" spans="1:4" x14ac:dyDescent="0.2">
      <c r="A315">
        <v>2016</v>
      </c>
      <c r="B315" s="2" t="s">
        <v>188</v>
      </c>
      <c r="C315" s="1">
        <v>1006140</v>
      </c>
      <c r="D315">
        <v>3.0390019999999998E-3</v>
      </c>
    </row>
    <row r="316" spans="1:4" x14ac:dyDescent="0.2">
      <c r="A316">
        <v>2016</v>
      </c>
      <c r="B316" s="2" t="s">
        <v>102</v>
      </c>
      <c r="C316" s="1">
        <v>493974</v>
      </c>
      <c r="D316">
        <v>1.4920269999999999E-3</v>
      </c>
    </row>
    <row r="317" spans="1:4" x14ac:dyDescent="0.2">
      <c r="A317">
        <v>2016</v>
      </c>
      <c r="B317" s="2" t="s">
        <v>163</v>
      </c>
      <c r="C317" s="1">
        <v>110344</v>
      </c>
      <c r="D317">
        <v>3.3328900000000001E-4</v>
      </c>
    </row>
    <row r="318" spans="1:4" x14ac:dyDescent="0.2">
      <c r="A318">
        <v>2016</v>
      </c>
      <c r="B318" s="2" t="s">
        <v>103</v>
      </c>
      <c r="C318" s="1">
        <v>598406</v>
      </c>
      <c r="D318">
        <v>1.807459E-3</v>
      </c>
    </row>
    <row r="319" spans="1:4" x14ac:dyDescent="0.2">
      <c r="A319">
        <v>2016</v>
      </c>
      <c r="B319" s="2" t="s">
        <v>104</v>
      </c>
      <c r="C319" s="1">
        <v>40374</v>
      </c>
      <c r="D319">
        <v>1.2194800000000001E-4</v>
      </c>
    </row>
    <row r="320" spans="1:4" x14ac:dyDescent="0.2">
      <c r="A320">
        <v>2016</v>
      </c>
      <c r="B320" s="2" t="s">
        <v>164</v>
      </c>
      <c r="C320" s="1">
        <v>55858</v>
      </c>
      <c r="D320">
        <v>1.68717E-4</v>
      </c>
    </row>
    <row r="321" spans="1:4" x14ac:dyDescent="0.2">
      <c r="A321">
        <v>2016</v>
      </c>
      <c r="B321" s="2" t="s">
        <v>165</v>
      </c>
      <c r="C321" s="1">
        <v>130920</v>
      </c>
      <c r="D321">
        <v>3.9543800000000002E-4</v>
      </c>
    </row>
    <row r="322" spans="1:4" x14ac:dyDescent="0.2">
      <c r="A322">
        <v>2016</v>
      </c>
      <c r="B322" s="2" t="s">
        <v>105</v>
      </c>
      <c r="C322" s="1">
        <v>914357</v>
      </c>
      <c r="D322">
        <v>2.7617760000000001E-3</v>
      </c>
    </row>
    <row r="323" spans="1:4" x14ac:dyDescent="0.2">
      <c r="A323">
        <v>2016</v>
      </c>
      <c r="B323" s="2" t="s">
        <v>166</v>
      </c>
      <c r="C323" s="1">
        <v>96747</v>
      </c>
      <c r="D323">
        <v>2.9221999999999999E-4</v>
      </c>
    </row>
    <row r="324" spans="1:4" x14ac:dyDescent="0.2">
      <c r="A324">
        <v>2016</v>
      </c>
      <c r="B324" s="2" t="s">
        <v>167</v>
      </c>
      <c r="C324" s="1">
        <v>168943</v>
      </c>
      <c r="D324">
        <v>5.1028499999999997E-4</v>
      </c>
    </row>
    <row r="325" spans="1:4" x14ac:dyDescent="0.2">
      <c r="A325">
        <v>2016</v>
      </c>
      <c r="B325" s="2" t="s">
        <v>106</v>
      </c>
      <c r="C325" s="1">
        <v>7102</v>
      </c>
      <c r="D325">
        <v>2.1450999999999998E-5</v>
      </c>
    </row>
    <row r="326" spans="1:4" x14ac:dyDescent="0.2">
      <c r="A326">
        <v>2016</v>
      </c>
      <c r="B326" s="2" t="s">
        <v>107</v>
      </c>
      <c r="C326" s="1">
        <v>193199</v>
      </c>
      <c r="D326">
        <v>5.8354900000000005E-4</v>
      </c>
    </row>
    <row r="327" spans="1:4" x14ac:dyDescent="0.2">
      <c r="A327">
        <v>2016</v>
      </c>
      <c r="B327" s="2" t="s">
        <v>108</v>
      </c>
      <c r="C327" s="1">
        <v>3618091</v>
      </c>
      <c r="D327">
        <v>1.0928287E-2</v>
      </c>
    </row>
    <row r="328" spans="1:4" x14ac:dyDescent="0.2">
      <c r="A328">
        <v>2016</v>
      </c>
      <c r="B328" s="2" t="s">
        <v>168</v>
      </c>
      <c r="C328" s="1">
        <v>50461</v>
      </c>
      <c r="D328">
        <v>1.5241500000000001E-4</v>
      </c>
    </row>
    <row r="329" spans="1:4" x14ac:dyDescent="0.2">
      <c r="A329">
        <v>2016</v>
      </c>
      <c r="B329" s="2" t="s">
        <v>109</v>
      </c>
      <c r="C329" s="1">
        <v>256531</v>
      </c>
      <c r="D329">
        <v>7.7484099999999996E-4</v>
      </c>
    </row>
    <row r="330" spans="1:4" x14ac:dyDescent="0.2">
      <c r="A330">
        <v>2016</v>
      </c>
      <c r="B330" s="2" t="s">
        <v>110</v>
      </c>
      <c r="C330" s="1">
        <v>3238794</v>
      </c>
      <c r="D330">
        <v>9.7826370000000003E-3</v>
      </c>
    </row>
    <row r="331" spans="1:4" x14ac:dyDescent="0.2">
      <c r="A331">
        <v>2016</v>
      </c>
      <c r="B331" s="2" t="s">
        <v>169</v>
      </c>
      <c r="C331" s="1">
        <v>130678</v>
      </c>
      <c r="D331">
        <v>3.94707E-4</v>
      </c>
    </row>
    <row r="332" spans="1:4" x14ac:dyDescent="0.2">
      <c r="A332">
        <v>2016</v>
      </c>
      <c r="B332" s="2" t="s">
        <v>170</v>
      </c>
      <c r="C332" s="1">
        <v>227150</v>
      </c>
      <c r="D332">
        <v>6.8609699999999999E-4</v>
      </c>
    </row>
    <row r="333" spans="1:4" x14ac:dyDescent="0.2">
      <c r="A333">
        <v>2016</v>
      </c>
      <c r="B333" s="2" t="s">
        <v>111</v>
      </c>
      <c r="C333" s="1">
        <v>342221</v>
      </c>
      <c r="D333">
        <v>1.0336639999999999E-3</v>
      </c>
    </row>
    <row r="334" spans="1:4" x14ac:dyDescent="0.2">
      <c r="A334">
        <v>2016</v>
      </c>
      <c r="B334" s="2" t="s">
        <v>112</v>
      </c>
      <c r="C334" s="1">
        <v>678575</v>
      </c>
      <c r="D334">
        <v>2.0496059999999998E-3</v>
      </c>
    </row>
    <row r="335" spans="1:4" x14ac:dyDescent="0.2">
      <c r="A335">
        <v>2016</v>
      </c>
      <c r="B335" s="2" t="s">
        <v>113</v>
      </c>
      <c r="C335" s="1">
        <v>451246</v>
      </c>
      <c r="D335">
        <v>1.3629689999999999E-3</v>
      </c>
    </row>
    <row r="336" spans="1:4" x14ac:dyDescent="0.2">
      <c r="A336">
        <v>2016</v>
      </c>
      <c r="B336" s="2" t="s">
        <v>114</v>
      </c>
      <c r="C336" s="1">
        <v>14742871</v>
      </c>
      <c r="D336">
        <v>4.4530205000000003E-2</v>
      </c>
    </row>
    <row r="337" spans="1:4" x14ac:dyDescent="0.2">
      <c r="A337">
        <v>2016</v>
      </c>
      <c r="B337" s="2" t="s">
        <v>115</v>
      </c>
      <c r="C337" s="1">
        <v>696859</v>
      </c>
      <c r="D337">
        <v>2.1048320000000001E-3</v>
      </c>
    </row>
    <row r="338" spans="1:4" x14ac:dyDescent="0.2">
      <c r="A338">
        <v>2016</v>
      </c>
      <c r="B338" s="2" t="s">
        <v>116</v>
      </c>
      <c r="C338" s="1">
        <v>311771</v>
      </c>
      <c r="D338">
        <v>9.4169100000000003E-4</v>
      </c>
    </row>
    <row r="339" spans="1:4" x14ac:dyDescent="0.2">
      <c r="A339">
        <v>2016</v>
      </c>
      <c r="B339" s="2" t="s">
        <v>117</v>
      </c>
      <c r="C339" s="1">
        <v>271043</v>
      </c>
      <c r="D339">
        <v>8.1867400000000003E-4</v>
      </c>
    </row>
    <row r="340" spans="1:4" x14ac:dyDescent="0.2">
      <c r="A340">
        <v>2016</v>
      </c>
      <c r="B340" s="2" t="s">
        <v>171</v>
      </c>
      <c r="C340" s="1">
        <v>137189</v>
      </c>
      <c r="D340">
        <v>4.14373E-4</v>
      </c>
    </row>
    <row r="341" spans="1:4" x14ac:dyDescent="0.2">
      <c r="A341">
        <v>2016</v>
      </c>
      <c r="B341" s="2" t="s">
        <v>118</v>
      </c>
      <c r="C341" s="1">
        <v>201133</v>
      </c>
      <c r="D341">
        <v>6.0751399999999997E-4</v>
      </c>
    </row>
    <row r="342" spans="1:4" x14ac:dyDescent="0.2">
      <c r="A342">
        <v>2016</v>
      </c>
      <c r="B342" s="2" t="s">
        <v>119</v>
      </c>
      <c r="C342" s="1">
        <v>191176</v>
      </c>
      <c r="D342">
        <v>5.7743900000000001E-4</v>
      </c>
    </row>
    <row r="343" spans="1:4" x14ac:dyDescent="0.2">
      <c r="A343">
        <v>2016</v>
      </c>
      <c r="B343" s="2" t="s">
        <v>173</v>
      </c>
      <c r="C343" s="1">
        <v>177001</v>
      </c>
      <c r="D343">
        <v>5.3462400000000004E-4</v>
      </c>
    </row>
    <row r="344" spans="1:4" x14ac:dyDescent="0.2">
      <c r="A344">
        <v>2017</v>
      </c>
      <c r="B344" s="2" t="s">
        <v>15</v>
      </c>
      <c r="C344" s="1">
        <v>386025</v>
      </c>
      <c r="D344">
        <v>1.0979360000000001E-3</v>
      </c>
    </row>
    <row r="345" spans="1:4" x14ac:dyDescent="0.2">
      <c r="A345">
        <v>2017</v>
      </c>
      <c r="B345" s="2" t="s">
        <v>120</v>
      </c>
      <c r="C345" s="1">
        <v>142451</v>
      </c>
      <c r="D345">
        <v>4.0516100000000002E-4</v>
      </c>
    </row>
    <row r="346" spans="1:4" x14ac:dyDescent="0.2">
      <c r="A346">
        <v>2017</v>
      </c>
      <c r="B346" s="2" t="s">
        <v>189</v>
      </c>
      <c r="C346" s="1">
        <v>58808</v>
      </c>
      <c r="D346">
        <v>1.67262E-4</v>
      </c>
    </row>
    <row r="347" spans="1:4" x14ac:dyDescent="0.2">
      <c r="A347">
        <v>2017</v>
      </c>
      <c r="B347" s="2" t="s">
        <v>4</v>
      </c>
      <c r="C347" s="1">
        <v>752306</v>
      </c>
      <c r="D347">
        <v>2.1397170000000002E-3</v>
      </c>
    </row>
    <row r="348" spans="1:4" x14ac:dyDescent="0.2">
      <c r="A348">
        <v>2017</v>
      </c>
      <c r="B348" s="2" t="s">
        <v>121</v>
      </c>
      <c r="C348" s="1">
        <v>102145</v>
      </c>
      <c r="D348">
        <v>2.9052199999999998E-4</v>
      </c>
    </row>
    <row r="349" spans="1:4" x14ac:dyDescent="0.2">
      <c r="A349">
        <v>2017</v>
      </c>
      <c r="B349" s="2" t="s">
        <v>122</v>
      </c>
      <c r="C349" s="1">
        <v>184714</v>
      </c>
      <c r="D349">
        <v>5.2536599999999998E-4</v>
      </c>
    </row>
    <row r="350" spans="1:4" x14ac:dyDescent="0.2">
      <c r="A350">
        <v>2017</v>
      </c>
      <c r="B350" s="2" t="s">
        <v>123</v>
      </c>
      <c r="C350" s="1">
        <v>160213</v>
      </c>
      <c r="D350">
        <v>4.5567999999999997E-4</v>
      </c>
    </row>
    <row r="351" spans="1:4" x14ac:dyDescent="0.2">
      <c r="A351">
        <v>2017</v>
      </c>
      <c r="B351" s="2" t="s">
        <v>5</v>
      </c>
      <c r="C351" s="1">
        <v>14063</v>
      </c>
      <c r="D351">
        <v>3.9997999999999999E-5</v>
      </c>
    </row>
    <row r="352" spans="1:4" x14ac:dyDescent="0.2">
      <c r="A352">
        <v>2017</v>
      </c>
      <c r="B352" s="2" t="s">
        <v>6</v>
      </c>
      <c r="C352" s="1">
        <v>11171</v>
      </c>
      <c r="D352">
        <v>3.1773000000000002E-5</v>
      </c>
    </row>
    <row r="353" spans="1:4" x14ac:dyDescent="0.2">
      <c r="A353">
        <v>2017</v>
      </c>
      <c r="B353" s="2" t="s">
        <v>7</v>
      </c>
      <c r="C353" s="1">
        <v>212977</v>
      </c>
      <c r="D353">
        <v>6.0575099999999997E-4</v>
      </c>
    </row>
    <row r="354" spans="1:4" x14ac:dyDescent="0.2">
      <c r="A354">
        <v>2017</v>
      </c>
      <c r="B354" s="2" t="s">
        <v>8</v>
      </c>
      <c r="C354" s="1">
        <v>480097</v>
      </c>
      <c r="D354">
        <v>1.365497E-3</v>
      </c>
    </row>
    <row r="355" spans="1:4" x14ac:dyDescent="0.2">
      <c r="A355">
        <v>2017</v>
      </c>
      <c r="B355" s="2" t="s">
        <v>124</v>
      </c>
      <c r="C355" s="1">
        <v>49117</v>
      </c>
      <c r="D355">
        <v>1.3969899999999999E-4</v>
      </c>
    </row>
    <row r="356" spans="1:4" x14ac:dyDescent="0.2">
      <c r="A356">
        <v>2017</v>
      </c>
      <c r="B356" s="2" t="s">
        <v>175</v>
      </c>
      <c r="C356" s="1">
        <v>160951</v>
      </c>
      <c r="D356">
        <v>4.5777900000000001E-4</v>
      </c>
    </row>
    <row r="357" spans="1:4" x14ac:dyDescent="0.2">
      <c r="A357">
        <v>2017</v>
      </c>
      <c r="B357" s="2" t="s">
        <v>176</v>
      </c>
      <c r="C357" s="1">
        <v>1688384</v>
      </c>
      <c r="D357">
        <v>4.80212E-3</v>
      </c>
    </row>
    <row r="358" spans="1:4" x14ac:dyDescent="0.2">
      <c r="A358">
        <v>2017</v>
      </c>
      <c r="B358" s="2" t="s">
        <v>10</v>
      </c>
      <c r="C358" s="1">
        <v>3710757</v>
      </c>
      <c r="D358">
        <v>1.0554175000000001E-2</v>
      </c>
    </row>
    <row r="359" spans="1:4" x14ac:dyDescent="0.2">
      <c r="A359">
        <v>2017</v>
      </c>
      <c r="B359" s="2" t="s">
        <v>11</v>
      </c>
      <c r="C359" s="1">
        <v>103921</v>
      </c>
      <c r="D359">
        <v>2.9557299999999998E-4</v>
      </c>
    </row>
    <row r="360" spans="1:4" x14ac:dyDescent="0.2">
      <c r="A360">
        <v>2017</v>
      </c>
      <c r="B360" s="2" t="s">
        <v>177</v>
      </c>
      <c r="C360" s="1">
        <v>16125488</v>
      </c>
      <c r="D360">
        <v>4.5864285999999997E-2</v>
      </c>
    </row>
    <row r="361" spans="1:4" x14ac:dyDescent="0.2">
      <c r="A361">
        <v>2017</v>
      </c>
      <c r="B361" s="2" t="s">
        <v>13</v>
      </c>
      <c r="C361" s="1">
        <v>4611370</v>
      </c>
      <c r="D361">
        <v>1.3115708E-2</v>
      </c>
    </row>
    <row r="362" spans="1:4" x14ac:dyDescent="0.2">
      <c r="A362">
        <v>2017</v>
      </c>
      <c r="B362" s="2" t="s">
        <v>14</v>
      </c>
      <c r="C362" s="1">
        <v>720754</v>
      </c>
      <c r="D362">
        <v>2.0499759999999998E-3</v>
      </c>
    </row>
    <row r="363" spans="1:4" x14ac:dyDescent="0.2">
      <c r="A363">
        <v>2017</v>
      </c>
      <c r="B363" s="2" t="s">
        <v>16</v>
      </c>
      <c r="C363" s="1">
        <v>181703</v>
      </c>
      <c r="D363">
        <v>5.1680200000000002E-4</v>
      </c>
    </row>
    <row r="364" spans="1:4" x14ac:dyDescent="0.2">
      <c r="A364">
        <v>2017</v>
      </c>
      <c r="B364" s="2" t="s">
        <v>17</v>
      </c>
      <c r="C364" s="1">
        <v>531649</v>
      </c>
      <c r="D364">
        <v>1.5121220000000001E-3</v>
      </c>
    </row>
    <row r="365" spans="1:4" x14ac:dyDescent="0.2">
      <c r="A365">
        <v>2017</v>
      </c>
      <c r="B365" s="2" t="s">
        <v>18</v>
      </c>
      <c r="C365" s="1">
        <v>214054</v>
      </c>
      <c r="D365">
        <v>6.0881499999999996E-4</v>
      </c>
    </row>
    <row r="366" spans="1:4" x14ac:dyDescent="0.2">
      <c r="A366">
        <v>2017</v>
      </c>
      <c r="B366" s="2" t="s">
        <v>19</v>
      </c>
      <c r="C366" s="1">
        <v>2666570</v>
      </c>
      <c r="D366">
        <v>7.5842870000000003E-3</v>
      </c>
    </row>
    <row r="367" spans="1:4" x14ac:dyDescent="0.2">
      <c r="A367">
        <v>2017</v>
      </c>
      <c r="B367" s="2" t="s">
        <v>20</v>
      </c>
      <c r="C367" s="1">
        <v>107804</v>
      </c>
      <c r="D367">
        <v>3.0661700000000002E-4</v>
      </c>
    </row>
    <row r="368" spans="1:4" x14ac:dyDescent="0.2">
      <c r="A368">
        <v>2017</v>
      </c>
      <c r="B368" s="2" t="s">
        <v>21</v>
      </c>
      <c r="C368" s="1">
        <v>100577</v>
      </c>
      <c r="D368">
        <v>2.8606200000000001E-4</v>
      </c>
    </row>
    <row r="369" spans="1:4" x14ac:dyDescent="0.2">
      <c r="A369">
        <v>2017</v>
      </c>
      <c r="B369" s="2" t="s">
        <v>22</v>
      </c>
      <c r="C369" s="1">
        <v>334580</v>
      </c>
      <c r="D369">
        <v>9.5161599999999996E-4</v>
      </c>
    </row>
    <row r="370" spans="1:4" x14ac:dyDescent="0.2">
      <c r="A370">
        <v>2017</v>
      </c>
      <c r="B370" s="2" t="s">
        <v>23</v>
      </c>
      <c r="C370" s="1">
        <v>187779</v>
      </c>
      <c r="D370">
        <v>5.3408299999999998E-4</v>
      </c>
    </row>
    <row r="371" spans="1:4" x14ac:dyDescent="0.2">
      <c r="A371">
        <v>2017</v>
      </c>
      <c r="B371" s="2" t="s">
        <v>24</v>
      </c>
      <c r="C371" s="1">
        <v>2500700</v>
      </c>
      <c r="D371">
        <v>7.112518E-3</v>
      </c>
    </row>
    <row r="372" spans="1:4" x14ac:dyDescent="0.2">
      <c r="A372">
        <v>2017</v>
      </c>
      <c r="B372" s="2" t="s">
        <v>25</v>
      </c>
      <c r="C372" s="1">
        <v>154964</v>
      </c>
      <c r="D372">
        <v>4.4075000000000001E-4</v>
      </c>
    </row>
    <row r="373" spans="1:4" x14ac:dyDescent="0.2">
      <c r="A373">
        <v>2017</v>
      </c>
      <c r="B373" s="2" t="s">
        <v>26</v>
      </c>
      <c r="C373" s="1">
        <v>231084</v>
      </c>
      <c r="D373">
        <v>6.5725199999999999E-4</v>
      </c>
    </row>
    <row r="374" spans="1:4" x14ac:dyDescent="0.2">
      <c r="A374">
        <v>2017</v>
      </c>
      <c r="B374" s="2" t="s">
        <v>126</v>
      </c>
      <c r="C374" s="1">
        <v>72091</v>
      </c>
      <c r="D374">
        <v>2.0504200000000001E-4</v>
      </c>
    </row>
    <row r="375" spans="1:4" x14ac:dyDescent="0.2">
      <c r="A375">
        <v>2017</v>
      </c>
      <c r="B375" s="2" t="s">
        <v>27</v>
      </c>
      <c r="C375" s="1">
        <v>124604</v>
      </c>
      <c r="D375">
        <v>3.5439999999999999E-4</v>
      </c>
    </row>
    <row r="376" spans="1:4" x14ac:dyDescent="0.2">
      <c r="A376">
        <v>2017</v>
      </c>
      <c r="B376" s="2" t="s">
        <v>28</v>
      </c>
      <c r="C376" s="1">
        <v>701656</v>
      </c>
      <c r="D376">
        <v>1.995658E-3</v>
      </c>
    </row>
    <row r="377" spans="1:4" x14ac:dyDescent="0.2">
      <c r="A377">
        <v>2017</v>
      </c>
      <c r="B377" s="2" t="s">
        <v>127</v>
      </c>
      <c r="C377" s="1">
        <v>267711</v>
      </c>
      <c r="D377">
        <v>7.6142600000000005E-4</v>
      </c>
    </row>
    <row r="378" spans="1:4" x14ac:dyDescent="0.2">
      <c r="A378">
        <v>2017</v>
      </c>
      <c r="B378" s="2" t="s">
        <v>29</v>
      </c>
      <c r="C378" s="1">
        <v>5069155</v>
      </c>
      <c r="D378">
        <v>1.4417744999999999E-2</v>
      </c>
    </row>
    <row r="379" spans="1:4" x14ac:dyDescent="0.2">
      <c r="A379">
        <v>2017</v>
      </c>
      <c r="B379" s="2" t="s">
        <v>178</v>
      </c>
      <c r="C379" s="1">
        <v>1700124</v>
      </c>
      <c r="D379">
        <v>4.8355109999999998E-3</v>
      </c>
    </row>
    <row r="380" spans="1:4" x14ac:dyDescent="0.2">
      <c r="A380">
        <v>2017</v>
      </c>
      <c r="B380" s="2" t="s">
        <v>179</v>
      </c>
      <c r="C380" s="1">
        <v>607179</v>
      </c>
      <c r="D380">
        <v>1.7269449999999999E-3</v>
      </c>
    </row>
    <row r="381" spans="1:4" x14ac:dyDescent="0.2">
      <c r="A381">
        <v>2017</v>
      </c>
      <c r="B381" s="2" t="s">
        <v>128</v>
      </c>
      <c r="C381" s="1">
        <v>325893</v>
      </c>
      <c r="D381">
        <v>9.2690800000000005E-4</v>
      </c>
    </row>
    <row r="382" spans="1:4" x14ac:dyDescent="0.2">
      <c r="A382">
        <v>2017</v>
      </c>
      <c r="B382" s="2" t="s">
        <v>30</v>
      </c>
      <c r="C382" s="1">
        <v>243246</v>
      </c>
      <c r="D382">
        <v>6.9184300000000004E-4</v>
      </c>
    </row>
    <row r="383" spans="1:4" x14ac:dyDescent="0.2">
      <c r="A383">
        <v>2017</v>
      </c>
      <c r="B383" s="2" t="s">
        <v>31</v>
      </c>
      <c r="C383" s="1">
        <v>153129</v>
      </c>
      <c r="D383">
        <v>4.3553100000000001E-4</v>
      </c>
    </row>
    <row r="384" spans="1:4" x14ac:dyDescent="0.2">
      <c r="A384">
        <v>2017</v>
      </c>
      <c r="B384" s="2" t="s">
        <v>32</v>
      </c>
      <c r="C384" s="1">
        <v>86776</v>
      </c>
      <c r="D384">
        <v>2.4680900000000001E-4</v>
      </c>
    </row>
    <row r="385" spans="1:4" x14ac:dyDescent="0.2">
      <c r="A385">
        <v>2017</v>
      </c>
      <c r="B385" s="2" t="s">
        <v>33</v>
      </c>
      <c r="C385" s="1">
        <v>133846</v>
      </c>
      <c r="D385">
        <v>3.8068599999999998E-4</v>
      </c>
    </row>
    <row r="386" spans="1:4" x14ac:dyDescent="0.2">
      <c r="A386">
        <v>2017</v>
      </c>
      <c r="B386" s="2" t="s">
        <v>34</v>
      </c>
      <c r="C386" s="1">
        <v>1207762</v>
      </c>
      <c r="D386">
        <v>3.4351300000000002E-3</v>
      </c>
    </row>
    <row r="387" spans="1:4" x14ac:dyDescent="0.2">
      <c r="A387">
        <v>2017</v>
      </c>
      <c r="B387" s="2" t="s">
        <v>129</v>
      </c>
      <c r="C387" s="1">
        <v>96825</v>
      </c>
      <c r="D387">
        <v>2.7539099999999999E-4</v>
      </c>
    </row>
    <row r="388" spans="1:4" x14ac:dyDescent="0.2">
      <c r="A388">
        <v>2017</v>
      </c>
      <c r="B388" s="2" t="s">
        <v>35</v>
      </c>
      <c r="C388" s="1">
        <v>702280</v>
      </c>
      <c r="D388">
        <v>1.9974319999999999E-3</v>
      </c>
    </row>
    <row r="389" spans="1:4" x14ac:dyDescent="0.2">
      <c r="A389">
        <v>2017</v>
      </c>
      <c r="B389" s="2" t="s">
        <v>36</v>
      </c>
      <c r="C389" s="1">
        <v>308076</v>
      </c>
      <c r="D389">
        <v>8.7623300000000002E-4</v>
      </c>
    </row>
    <row r="390" spans="1:4" x14ac:dyDescent="0.2">
      <c r="A390">
        <v>2017</v>
      </c>
      <c r="B390" s="2" t="s">
        <v>37</v>
      </c>
      <c r="C390" s="1">
        <v>708945</v>
      </c>
      <c r="D390">
        <v>2.0163889999999999E-3</v>
      </c>
    </row>
    <row r="391" spans="1:4" x14ac:dyDescent="0.2">
      <c r="A391">
        <v>2017</v>
      </c>
      <c r="B391" s="2" t="s">
        <v>38</v>
      </c>
      <c r="C391" s="1">
        <v>153186</v>
      </c>
      <c r="D391">
        <v>4.3569300000000002E-4</v>
      </c>
    </row>
    <row r="392" spans="1:4" x14ac:dyDescent="0.2">
      <c r="A392">
        <v>2017</v>
      </c>
      <c r="B392" s="2" t="s">
        <v>190</v>
      </c>
      <c r="C392" s="1">
        <v>58594</v>
      </c>
      <c r="D392">
        <v>1.6665399999999999E-4</v>
      </c>
    </row>
    <row r="393" spans="1:4" x14ac:dyDescent="0.2">
      <c r="A393">
        <v>2017</v>
      </c>
      <c r="B393" s="2" t="s">
        <v>39</v>
      </c>
      <c r="C393" s="1">
        <v>226551</v>
      </c>
      <c r="D393">
        <v>6.4435899999999995E-4</v>
      </c>
    </row>
    <row r="394" spans="1:4" x14ac:dyDescent="0.2">
      <c r="A394">
        <v>2017</v>
      </c>
      <c r="B394" s="2" t="s">
        <v>40</v>
      </c>
      <c r="C394" s="1">
        <v>226198</v>
      </c>
      <c r="D394">
        <v>6.4335499999999997E-4</v>
      </c>
    </row>
    <row r="395" spans="1:4" x14ac:dyDescent="0.2">
      <c r="A395">
        <v>2017</v>
      </c>
      <c r="B395" s="2" t="s">
        <v>41</v>
      </c>
      <c r="C395" s="1">
        <v>535450</v>
      </c>
      <c r="D395">
        <v>1.522933E-3</v>
      </c>
    </row>
    <row r="396" spans="1:4" x14ac:dyDescent="0.2">
      <c r="A396">
        <v>2017</v>
      </c>
      <c r="B396" s="2" t="s">
        <v>42</v>
      </c>
      <c r="C396" s="1">
        <v>224361</v>
      </c>
      <c r="D396">
        <v>6.3812999999999999E-4</v>
      </c>
    </row>
    <row r="397" spans="1:4" x14ac:dyDescent="0.2">
      <c r="A397">
        <v>2017</v>
      </c>
      <c r="B397" s="2" t="s">
        <v>43</v>
      </c>
      <c r="C397" s="1">
        <v>181371</v>
      </c>
      <c r="D397">
        <v>5.1585699999999999E-4</v>
      </c>
    </row>
    <row r="398" spans="1:4" x14ac:dyDescent="0.2">
      <c r="A398">
        <v>2017</v>
      </c>
      <c r="B398" s="2" t="s">
        <v>44</v>
      </c>
      <c r="C398" s="1">
        <v>191825</v>
      </c>
      <c r="D398">
        <v>5.45591E-4</v>
      </c>
    </row>
    <row r="399" spans="1:4" x14ac:dyDescent="0.2">
      <c r="A399">
        <v>2017</v>
      </c>
      <c r="B399" s="2" t="s">
        <v>130</v>
      </c>
      <c r="C399" s="1">
        <v>83049</v>
      </c>
      <c r="D399">
        <v>2.36209E-4</v>
      </c>
    </row>
    <row r="400" spans="1:4" x14ac:dyDescent="0.2">
      <c r="A400">
        <v>2017</v>
      </c>
      <c r="B400" s="2" t="s">
        <v>131</v>
      </c>
      <c r="C400" s="1">
        <v>156408</v>
      </c>
      <c r="D400">
        <v>4.44857E-4</v>
      </c>
    </row>
    <row r="401" spans="1:4" x14ac:dyDescent="0.2">
      <c r="A401">
        <v>2017</v>
      </c>
      <c r="B401" s="2" t="s">
        <v>45</v>
      </c>
      <c r="C401" s="1">
        <v>145158</v>
      </c>
      <c r="D401">
        <v>4.1285999999999997E-4</v>
      </c>
    </row>
    <row r="402" spans="1:4" x14ac:dyDescent="0.2">
      <c r="A402">
        <v>2017</v>
      </c>
      <c r="B402" s="2" t="s">
        <v>46</v>
      </c>
      <c r="C402" s="1">
        <v>462948</v>
      </c>
      <c r="D402">
        <v>1.316722E-3</v>
      </c>
    </row>
    <row r="403" spans="1:4" x14ac:dyDescent="0.2">
      <c r="A403">
        <v>2017</v>
      </c>
      <c r="B403" s="2" t="s">
        <v>47</v>
      </c>
      <c r="C403" s="1">
        <v>148393</v>
      </c>
      <c r="D403">
        <v>4.22061E-4</v>
      </c>
    </row>
    <row r="404" spans="1:4" x14ac:dyDescent="0.2">
      <c r="A404">
        <v>2017</v>
      </c>
      <c r="B404" s="2" t="s">
        <v>132</v>
      </c>
      <c r="C404" s="1">
        <v>92483</v>
      </c>
      <c r="D404">
        <v>2.6304099999999999E-4</v>
      </c>
    </row>
    <row r="405" spans="1:4" x14ac:dyDescent="0.2">
      <c r="A405">
        <v>2017</v>
      </c>
      <c r="B405" s="2" t="s">
        <v>133</v>
      </c>
      <c r="C405" s="1">
        <v>24048</v>
      </c>
      <c r="D405">
        <v>6.8398000000000005E-5</v>
      </c>
    </row>
    <row r="406" spans="1:4" x14ac:dyDescent="0.2">
      <c r="A406">
        <v>2017</v>
      </c>
      <c r="B406" s="2" t="s">
        <v>134</v>
      </c>
      <c r="C406" s="1">
        <v>37138</v>
      </c>
      <c r="D406">
        <v>1.05628E-4</v>
      </c>
    </row>
    <row r="407" spans="1:4" x14ac:dyDescent="0.2">
      <c r="A407">
        <v>2017</v>
      </c>
      <c r="B407" s="2" t="s">
        <v>135</v>
      </c>
      <c r="C407" s="1">
        <v>360207</v>
      </c>
      <c r="D407">
        <v>1.024505E-3</v>
      </c>
    </row>
    <row r="408" spans="1:4" x14ac:dyDescent="0.2">
      <c r="A408">
        <v>2017</v>
      </c>
      <c r="B408" s="2" t="s">
        <v>136</v>
      </c>
      <c r="C408" s="1">
        <v>602797</v>
      </c>
      <c r="D408">
        <v>1.714482E-3</v>
      </c>
    </row>
    <row r="409" spans="1:4" x14ac:dyDescent="0.2">
      <c r="A409">
        <v>2017</v>
      </c>
      <c r="B409" s="2" t="s">
        <v>137</v>
      </c>
      <c r="C409" s="1">
        <v>44783</v>
      </c>
      <c r="D409">
        <v>1.27372E-4</v>
      </c>
    </row>
    <row r="410" spans="1:4" x14ac:dyDescent="0.2">
      <c r="A410">
        <v>2017</v>
      </c>
      <c r="B410" s="2" t="s">
        <v>182</v>
      </c>
      <c r="C410" s="1">
        <v>243144</v>
      </c>
      <c r="D410">
        <v>6.9155300000000002E-4</v>
      </c>
    </row>
    <row r="411" spans="1:4" x14ac:dyDescent="0.2">
      <c r="A411">
        <v>2017</v>
      </c>
      <c r="B411" s="2" t="s">
        <v>139</v>
      </c>
      <c r="C411" s="1">
        <v>216241</v>
      </c>
      <c r="D411">
        <v>6.15035E-4</v>
      </c>
    </row>
    <row r="412" spans="1:4" x14ac:dyDescent="0.2">
      <c r="A412">
        <v>2017</v>
      </c>
      <c r="B412" s="2" t="s">
        <v>48</v>
      </c>
      <c r="C412" s="1">
        <v>4409059</v>
      </c>
      <c r="D412">
        <v>1.2540292999999999E-2</v>
      </c>
    </row>
    <row r="413" spans="1:4" x14ac:dyDescent="0.2">
      <c r="A413">
        <v>2017</v>
      </c>
      <c r="B413" s="2" t="s">
        <v>140</v>
      </c>
      <c r="C413" s="1">
        <v>56774</v>
      </c>
      <c r="D413">
        <v>1.6147700000000001E-4</v>
      </c>
    </row>
    <row r="414" spans="1:4" x14ac:dyDescent="0.2">
      <c r="A414">
        <v>2017</v>
      </c>
      <c r="B414" s="2" t="s">
        <v>141</v>
      </c>
      <c r="C414" s="1">
        <v>9101</v>
      </c>
      <c r="D414">
        <v>2.5885E-5</v>
      </c>
    </row>
    <row r="415" spans="1:4" x14ac:dyDescent="0.2">
      <c r="A415">
        <v>2017</v>
      </c>
      <c r="B415" s="2" t="s">
        <v>183</v>
      </c>
      <c r="C415" s="1">
        <v>117885</v>
      </c>
      <c r="D415">
        <v>3.3529000000000002E-4</v>
      </c>
    </row>
    <row r="416" spans="1:4" x14ac:dyDescent="0.2">
      <c r="A416">
        <v>2017</v>
      </c>
      <c r="B416" s="2" t="s">
        <v>143</v>
      </c>
      <c r="C416" s="1">
        <v>441374</v>
      </c>
      <c r="D416">
        <v>1.255361E-3</v>
      </c>
    </row>
    <row r="417" spans="1:4" x14ac:dyDescent="0.2">
      <c r="A417">
        <v>2017</v>
      </c>
      <c r="B417" s="2" t="s">
        <v>144</v>
      </c>
      <c r="C417" s="1">
        <v>139896</v>
      </c>
      <c r="D417">
        <v>3.9789399999999998E-4</v>
      </c>
    </row>
    <row r="418" spans="1:4" x14ac:dyDescent="0.2">
      <c r="A418">
        <v>2017</v>
      </c>
      <c r="B418" s="2" t="s">
        <v>145</v>
      </c>
      <c r="C418" s="1">
        <v>200617</v>
      </c>
      <c r="D418">
        <v>5.7059700000000005E-4</v>
      </c>
    </row>
    <row r="419" spans="1:4" x14ac:dyDescent="0.2">
      <c r="A419">
        <v>2017</v>
      </c>
      <c r="B419" s="2" t="s">
        <v>49</v>
      </c>
      <c r="C419" s="1">
        <v>1501617</v>
      </c>
      <c r="D419">
        <v>4.2709150000000001E-3</v>
      </c>
    </row>
    <row r="420" spans="1:4" x14ac:dyDescent="0.2">
      <c r="A420">
        <v>2017</v>
      </c>
      <c r="B420" s="2" t="s">
        <v>50</v>
      </c>
      <c r="C420" s="1">
        <v>230825</v>
      </c>
      <c r="D420">
        <v>6.5651499999999998E-4</v>
      </c>
    </row>
    <row r="421" spans="1:4" x14ac:dyDescent="0.2">
      <c r="A421">
        <v>2017</v>
      </c>
      <c r="B421" s="2" t="s">
        <v>51</v>
      </c>
      <c r="C421" s="1">
        <v>624020</v>
      </c>
      <c r="D421">
        <v>1.774844E-3</v>
      </c>
    </row>
    <row r="422" spans="1:4" x14ac:dyDescent="0.2">
      <c r="A422">
        <v>2017</v>
      </c>
      <c r="B422" s="2" t="s">
        <v>52</v>
      </c>
      <c r="C422" s="1">
        <v>177038</v>
      </c>
      <c r="D422">
        <v>5.0353300000000002E-4</v>
      </c>
    </row>
    <row r="423" spans="1:4" x14ac:dyDescent="0.2">
      <c r="A423">
        <v>2017</v>
      </c>
      <c r="B423" s="2" t="s">
        <v>53</v>
      </c>
      <c r="C423" s="1">
        <v>787104</v>
      </c>
      <c r="D423">
        <v>2.2386900000000002E-3</v>
      </c>
    </row>
    <row r="424" spans="1:4" x14ac:dyDescent="0.2">
      <c r="A424">
        <v>2017</v>
      </c>
      <c r="B424" s="2" t="s">
        <v>146</v>
      </c>
      <c r="C424" s="1">
        <v>72403</v>
      </c>
      <c r="D424">
        <v>2.0592900000000001E-4</v>
      </c>
    </row>
    <row r="425" spans="1:4" x14ac:dyDescent="0.2">
      <c r="A425">
        <v>2017</v>
      </c>
      <c r="B425" s="2" t="s">
        <v>54</v>
      </c>
      <c r="C425" s="1">
        <v>131666</v>
      </c>
      <c r="D425">
        <v>3.7448599999999999E-4</v>
      </c>
    </row>
    <row r="426" spans="1:4" x14ac:dyDescent="0.2">
      <c r="A426">
        <v>2017</v>
      </c>
      <c r="B426" s="2" t="s">
        <v>147</v>
      </c>
      <c r="C426" s="1">
        <v>82211</v>
      </c>
      <c r="D426">
        <v>2.3382500000000001E-4</v>
      </c>
    </row>
    <row r="427" spans="1:4" x14ac:dyDescent="0.2">
      <c r="A427">
        <v>2017</v>
      </c>
      <c r="B427" s="2" t="s">
        <v>55</v>
      </c>
      <c r="C427" s="1">
        <v>2334089</v>
      </c>
      <c r="D427">
        <v>6.6386409999999998E-3</v>
      </c>
    </row>
    <row r="428" spans="1:4" x14ac:dyDescent="0.2">
      <c r="A428">
        <v>2017</v>
      </c>
      <c r="B428" s="2" t="s">
        <v>56</v>
      </c>
      <c r="C428" s="1">
        <v>2101086</v>
      </c>
      <c r="D428">
        <v>5.9759310000000003E-3</v>
      </c>
    </row>
    <row r="429" spans="1:4" x14ac:dyDescent="0.2">
      <c r="A429">
        <v>2017</v>
      </c>
      <c r="B429" s="2" t="s">
        <v>57</v>
      </c>
      <c r="C429" s="1">
        <v>2205750</v>
      </c>
      <c r="D429">
        <v>6.2736179999999999E-3</v>
      </c>
    </row>
    <row r="430" spans="1:4" x14ac:dyDescent="0.2">
      <c r="A430">
        <v>2017</v>
      </c>
      <c r="B430" s="2" t="s">
        <v>58</v>
      </c>
      <c r="C430" s="1">
        <v>467637</v>
      </c>
      <c r="D430">
        <v>1.3300580000000001E-3</v>
      </c>
    </row>
    <row r="431" spans="1:4" x14ac:dyDescent="0.2">
      <c r="A431">
        <v>2017</v>
      </c>
      <c r="B431" s="2" t="s">
        <v>148</v>
      </c>
      <c r="C431" s="1">
        <v>87101</v>
      </c>
      <c r="D431">
        <v>2.47734E-4</v>
      </c>
    </row>
    <row r="432" spans="1:4" x14ac:dyDescent="0.2">
      <c r="A432">
        <v>2017</v>
      </c>
      <c r="B432" s="2" t="s">
        <v>59</v>
      </c>
      <c r="C432" s="1">
        <v>2855274</v>
      </c>
      <c r="D432">
        <v>8.1210009999999992E-3</v>
      </c>
    </row>
    <row r="433" spans="1:4" x14ac:dyDescent="0.2">
      <c r="A433">
        <v>2017</v>
      </c>
      <c r="B433" s="2" t="s">
        <v>149</v>
      </c>
      <c r="C433" s="1">
        <v>157507</v>
      </c>
      <c r="D433">
        <v>4.47983E-4</v>
      </c>
    </row>
    <row r="434" spans="1:4" x14ac:dyDescent="0.2">
      <c r="A434">
        <v>2017</v>
      </c>
      <c r="B434" s="2" t="s">
        <v>60</v>
      </c>
      <c r="C434" s="1">
        <v>123686</v>
      </c>
      <c r="D434">
        <v>3.5178899999999998E-4</v>
      </c>
    </row>
    <row r="435" spans="1:4" x14ac:dyDescent="0.2">
      <c r="A435">
        <v>2017</v>
      </c>
      <c r="B435" s="2" t="s">
        <v>61</v>
      </c>
      <c r="C435" s="1">
        <v>2168525</v>
      </c>
      <c r="D435">
        <v>6.1677420000000004E-3</v>
      </c>
    </row>
    <row r="436" spans="1:4" x14ac:dyDescent="0.2">
      <c r="A436">
        <v>2017</v>
      </c>
      <c r="B436" s="2" t="s">
        <v>62</v>
      </c>
      <c r="C436" s="1">
        <v>457709</v>
      </c>
      <c r="D436">
        <v>1.3018210000000001E-3</v>
      </c>
    </row>
    <row r="437" spans="1:4" x14ac:dyDescent="0.2">
      <c r="A437">
        <v>2017</v>
      </c>
      <c r="B437" s="2" t="s">
        <v>63</v>
      </c>
      <c r="C437" s="1">
        <v>380099</v>
      </c>
      <c r="D437">
        <v>1.0810819999999999E-3</v>
      </c>
    </row>
    <row r="438" spans="1:4" x14ac:dyDescent="0.2">
      <c r="A438">
        <v>2017</v>
      </c>
      <c r="B438" s="2" t="s">
        <v>64</v>
      </c>
      <c r="C438" s="1">
        <v>802895</v>
      </c>
      <c r="D438">
        <v>2.2836029999999999E-3</v>
      </c>
    </row>
    <row r="439" spans="1:4" x14ac:dyDescent="0.2">
      <c r="A439">
        <v>2017</v>
      </c>
      <c r="B439" s="2" t="s">
        <v>65</v>
      </c>
      <c r="C439" s="1">
        <v>113952</v>
      </c>
      <c r="D439">
        <v>3.2410300000000001E-4</v>
      </c>
    </row>
    <row r="440" spans="1:4" x14ac:dyDescent="0.2">
      <c r="A440">
        <v>2017</v>
      </c>
      <c r="B440" s="2" t="s">
        <v>66</v>
      </c>
      <c r="C440" s="1">
        <v>317639</v>
      </c>
      <c r="D440">
        <v>9.0343200000000002E-4</v>
      </c>
    </row>
    <row r="441" spans="1:4" x14ac:dyDescent="0.2">
      <c r="A441">
        <v>2017</v>
      </c>
      <c r="B441" s="2" t="s">
        <v>150</v>
      </c>
      <c r="C441" s="1">
        <v>118899</v>
      </c>
      <c r="D441">
        <v>3.38174E-4</v>
      </c>
    </row>
    <row r="442" spans="1:4" x14ac:dyDescent="0.2">
      <c r="A442">
        <v>2017</v>
      </c>
      <c r="B442" s="2" t="s">
        <v>151</v>
      </c>
      <c r="C442" s="1">
        <v>117881</v>
      </c>
      <c r="D442">
        <v>3.35278E-4</v>
      </c>
    </row>
    <row r="443" spans="1:4" x14ac:dyDescent="0.2">
      <c r="A443">
        <v>2017</v>
      </c>
      <c r="B443" s="2" t="s">
        <v>67</v>
      </c>
      <c r="C443" s="1">
        <v>1559316</v>
      </c>
      <c r="D443">
        <v>4.4350229999999997E-3</v>
      </c>
    </row>
    <row r="444" spans="1:4" x14ac:dyDescent="0.2">
      <c r="A444">
        <v>2017</v>
      </c>
      <c r="B444" s="2" t="s">
        <v>68</v>
      </c>
      <c r="C444" s="1">
        <v>88588</v>
      </c>
      <c r="D444">
        <v>2.5196300000000001E-4</v>
      </c>
    </row>
    <row r="445" spans="1:4" x14ac:dyDescent="0.2">
      <c r="A445">
        <v>2017</v>
      </c>
      <c r="B445" s="2" t="s">
        <v>69</v>
      </c>
      <c r="C445" s="1">
        <v>1844185</v>
      </c>
      <c r="D445">
        <v>5.2452510000000003E-3</v>
      </c>
    </row>
    <row r="446" spans="1:4" x14ac:dyDescent="0.2">
      <c r="A446">
        <v>2017</v>
      </c>
      <c r="B446" s="2" t="s">
        <v>152</v>
      </c>
      <c r="C446" s="1">
        <v>71726</v>
      </c>
      <c r="D446">
        <v>2.0400400000000001E-4</v>
      </c>
    </row>
    <row r="447" spans="1:4" x14ac:dyDescent="0.2">
      <c r="A447">
        <v>2017</v>
      </c>
      <c r="B447" s="2" t="s">
        <v>153</v>
      </c>
      <c r="C447" s="1">
        <v>63707</v>
      </c>
      <c r="D447">
        <v>1.81196E-4</v>
      </c>
    </row>
    <row r="448" spans="1:4" x14ac:dyDescent="0.2">
      <c r="A448">
        <v>2017</v>
      </c>
      <c r="B448" s="2" t="s">
        <v>70</v>
      </c>
      <c r="C448" s="1">
        <v>1853247</v>
      </c>
      <c r="D448">
        <v>5.2710250000000004E-3</v>
      </c>
    </row>
    <row r="449" spans="1:4" x14ac:dyDescent="0.2">
      <c r="A449">
        <v>2017</v>
      </c>
      <c r="B449" s="2" t="s">
        <v>71</v>
      </c>
      <c r="C449" s="1">
        <v>1652616</v>
      </c>
      <c r="D449">
        <v>4.7003879999999998E-3</v>
      </c>
    </row>
    <row r="450" spans="1:4" x14ac:dyDescent="0.2">
      <c r="A450">
        <v>2017</v>
      </c>
      <c r="B450" s="2" t="s">
        <v>72</v>
      </c>
      <c r="C450" s="1">
        <v>707507</v>
      </c>
      <c r="D450">
        <v>2.0122989999999999E-3</v>
      </c>
    </row>
    <row r="451" spans="1:4" x14ac:dyDescent="0.2">
      <c r="A451">
        <v>2017</v>
      </c>
      <c r="B451" s="2" t="s">
        <v>73</v>
      </c>
      <c r="C451" s="1">
        <v>127711</v>
      </c>
      <c r="D451">
        <v>3.6323699999999998E-4</v>
      </c>
    </row>
    <row r="452" spans="1:4" x14ac:dyDescent="0.2">
      <c r="A452">
        <v>2017</v>
      </c>
      <c r="B452" s="2" t="s">
        <v>74</v>
      </c>
      <c r="C452" s="1">
        <v>154596</v>
      </c>
      <c r="D452">
        <v>4.3970400000000002E-4</v>
      </c>
    </row>
    <row r="453" spans="1:4" x14ac:dyDescent="0.2">
      <c r="A453">
        <v>2017</v>
      </c>
      <c r="B453" s="2" t="s">
        <v>75</v>
      </c>
      <c r="C453" s="1">
        <v>5765439</v>
      </c>
      <c r="D453">
        <v>1.6398123000000001E-2</v>
      </c>
    </row>
    <row r="454" spans="1:4" x14ac:dyDescent="0.2">
      <c r="A454">
        <v>2017</v>
      </c>
      <c r="B454" s="2" t="s">
        <v>76</v>
      </c>
      <c r="C454" s="1">
        <v>469407</v>
      </c>
      <c r="D454">
        <v>1.335092E-3</v>
      </c>
    </row>
    <row r="455" spans="1:4" x14ac:dyDescent="0.2">
      <c r="A455">
        <v>2017</v>
      </c>
      <c r="B455" s="2" t="s">
        <v>77</v>
      </c>
      <c r="C455" s="1">
        <v>123346</v>
      </c>
      <c r="D455">
        <v>3.5082199999999998E-4</v>
      </c>
    </row>
    <row r="456" spans="1:4" x14ac:dyDescent="0.2">
      <c r="A456">
        <v>2017</v>
      </c>
      <c r="B456" s="2" t="s">
        <v>78</v>
      </c>
      <c r="C456" s="1">
        <v>110395</v>
      </c>
      <c r="D456">
        <v>3.13987E-4</v>
      </c>
    </row>
    <row r="457" spans="1:4" x14ac:dyDescent="0.2">
      <c r="A457">
        <v>2017</v>
      </c>
      <c r="B457" s="2" t="s">
        <v>184</v>
      </c>
      <c r="C457" s="1">
        <v>1205320</v>
      </c>
      <c r="D457">
        <v>3.4281839999999999E-3</v>
      </c>
    </row>
    <row r="458" spans="1:4" x14ac:dyDescent="0.2">
      <c r="A458">
        <v>2017</v>
      </c>
      <c r="B458" s="2" t="s">
        <v>154</v>
      </c>
      <c r="C458" s="1">
        <v>367439</v>
      </c>
      <c r="D458">
        <v>1.045074E-3</v>
      </c>
    </row>
    <row r="459" spans="1:4" x14ac:dyDescent="0.2">
      <c r="A459">
        <v>2017</v>
      </c>
      <c r="B459" s="2" t="s">
        <v>155</v>
      </c>
      <c r="C459" s="1">
        <v>100473</v>
      </c>
      <c r="D459">
        <v>2.8576600000000001E-4</v>
      </c>
    </row>
    <row r="460" spans="1:4" x14ac:dyDescent="0.2">
      <c r="A460">
        <v>2017</v>
      </c>
      <c r="B460" s="2" t="s">
        <v>79</v>
      </c>
      <c r="C460" s="1">
        <v>222183</v>
      </c>
      <c r="D460">
        <v>6.3193500000000003E-4</v>
      </c>
    </row>
    <row r="461" spans="1:4" x14ac:dyDescent="0.2">
      <c r="A461">
        <v>2017</v>
      </c>
      <c r="B461" s="2" t="s">
        <v>80</v>
      </c>
      <c r="C461" s="1">
        <v>363565</v>
      </c>
      <c r="D461">
        <v>1.0340550000000001E-3</v>
      </c>
    </row>
    <row r="462" spans="1:4" x14ac:dyDescent="0.2">
      <c r="A462">
        <v>2017</v>
      </c>
      <c r="B462" s="2" t="s">
        <v>157</v>
      </c>
      <c r="C462" s="1">
        <v>70560</v>
      </c>
      <c r="D462">
        <v>2.00688E-4</v>
      </c>
    </row>
    <row r="463" spans="1:4" x14ac:dyDescent="0.2">
      <c r="A463">
        <v>2017</v>
      </c>
      <c r="B463" s="2" t="s">
        <v>81</v>
      </c>
      <c r="C463" s="1">
        <v>480306</v>
      </c>
      <c r="D463">
        <v>1.3660910000000001E-3</v>
      </c>
    </row>
    <row r="464" spans="1:4" x14ac:dyDescent="0.2">
      <c r="A464">
        <v>2017</v>
      </c>
      <c r="B464" s="2" t="s">
        <v>82</v>
      </c>
      <c r="C464" s="1">
        <v>712976</v>
      </c>
      <c r="D464">
        <v>2.0278539999999999E-3</v>
      </c>
    </row>
    <row r="465" spans="1:4" x14ac:dyDescent="0.2">
      <c r="A465">
        <v>2017</v>
      </c>
      <c r="B465" s="2" t="s">
        <v>83</v>
      </c>
      <c r="C465" s="1">
        <v>11979</v>
      </c>
      <c r="D465">
        <v>3.4071E-5</v>
      </c>
    </row>
    <row r="466" spans="1:4" x14ac:dyDescent="0.2">
      <c r="A466">
        <v>2017</v>
      </c>
      <c r="B466" s="2" t="s">
        <v>84</v>
      </c>
      <c r="C466" s="1">
        <v>316141</v>
      </c>
      <c r="D466">
        <v>8.9917199999999995E-4</v>
      </c>
    </row>
    <row r="467" spans="1:4" x14ac:dyDescent="0.2">
      <c r="A467">
        <v>2017</v>
      </c>
      <c r="B467" s="2" t="s">
        <v>185</v>
      </c>
      <c r="C467" s="1">
        <v>118761</v>
      </c>
      <c r="D467">
        <v>3.37781E-4</v>
      </c>
    </row>
    <row r="468" spans="1:4" x14ac:dyDescent="0.2">
      <c r="A468">
        <v>2017</v>
      </c>
      <c r="B468" s="2" t="s">
        <v>85</v>
      </c>
      <c r="C468" s="1">
        <v>5429334</v>
      </c>
      <c r="D468">
        <v>1.544217E-2</v>
      </c>
    </row>
    <row r="469" spans="1:4" x14ac:dyDescent="0.2">
      <c r="A469">
        <v>2017</v>
      </c>
      <c r="B469" s="2" t="s">
        <v>86</v>
      </c>
      <c r="C469" s="1">
        <v>2633670</v>
      </c>
      <c r="D469">
        <v>7.4907120000000001E-3</v>
      </c>
    </row>
    <row r="470" spans="1:4" x14ac:dyDescent="0.2">
      <c r="A470">
        <v>2017</v>
      </c>
      <c r="B470" s="2" t="s">
        <v>87</v>
      </c>
      <c r="C470" s="1">
        <v>314743</v>
      </c>
      <c r="D470">
        <v>8.95195E-4</v>
      </c>
    </row>
    <row r="471" spans="1:4" x14ac:dyDescent="0.2">
      <c r="A471">
        <v>2017</v>
      </c>
      <c r="B471" s="2" t="s">
        <v>88</v>
      </c>
      <c r="C471" s="1">
        <v>6193</v>
      </c>
      <c r="D471">
        <v>1.7614000000000001E-5</v>
      </c>
    </row>
    <row r="472" spans="1:4" x14ac:dyDescent="0.2">
      <c r="A472">
        <v>2017</v>
      </c>
      <c r="B472" s="2" t="s">
        <v>89</v>
      </c>
      <c r="C472" s="1">
        <v>884361</v>
      </c>
      <c r="D472">
        <v>2.5153089999999999E-3</v>
      </c>
    </row>
    <row r="473" spans="1:4" x14ac:dyDescent="0.2">
      <c r="A473">
        <v>2017</v>
      </c>
      <c r="B473" s="2" t="s">
        <v>159</v>
      </c>
      <c r="C473" s="1">
        <v>111356</v>
      </c>
      <c r="D473">
        <v>3.1671999999999999E-4</v>
      </c>
    </row>
    <row r="474" spans="1:4" x14ac:dyDescent="0.2">
      <c r="A474">
        <v>2017</v>
      </c>
      <c r="B474" s="2" t="s">
        <v>90</v>
      </c>
      <c r="C474" s="1">
        <v>126341</v>
      </c>
      <c r="D474">
        <v>3.5933999999999998E-4</v>
      </c>
    </row>
    <row r="475" spans="1:4" x14ac:dyDescent="0.2">
      <c r="A475">
        <v>2017</v>
      </c>
      <c r="B475" s="2" t="s">
        <v>187</v>
      </c>
      <c r="C475" s="1">
        <v>1932970</v>
      </c>
      <c r="D475">
        <v>5.4977740000000004E-3</v>
      </c>
    </row>
    <row r="476" spans="1:4" x14ac:dyDescent="0.2">
      <c r="A476">
        <v>2017</v>
      </c>
      <c r="B476" s="2" t="s">
        <v>92</v>
      </c>
      <c r="C476" s="1">
        <v>339368</v>
      </c>
      <c r="D476">
        <v>9.6523400000000004E-4</v>
      </c>
    </row>
    <row r="477" spans="1:4" x14ac:dyDescent="0.2">
      <c r="A477">
        <v>2017</v>
      </c>
      <c r="B477" s="2" t="s">
        <v>93</v>
      </c>
      <c r="C477" s="1">
        <v>121553</v>
      </c>
      <c r="D477">
        <v>3.4572200000000002E-4</v>
      </c>
    </row>
    <row r="478" spans="1:4" x14ac:dyDescent="0.2">
      <c r="A478">
        <v>2017</v>
      </c>
      <c r="B478" s="2" t="s">
        <v>160</v>
      </c>
      <c r="C478" s="1">
        <v>92330</v>
      </c>
      <c r="D478">
        <v>2.6260600000000003E-4</v>
      </c>
    </row>
    <row r="479" spans="1:4" x14ac:dyDescent="0.2">
      <c r="A479">
        <v>2017</v>
      </c>
      <c r="B479" s="2" t="s">
        <v>161</v>
      </c>
      <c r="C479" s="1">
        <v>397404</v>
      </c>
      <c r="D479">
        <v>1.130301E-3</v>
      </c>
    </row>
    <row r="480" spans="1:4" x14ac:dyDescent="0.2">
      <c r="A480">
        <v>2017</v>
      </c>
      <c r="B480" s="2" t="s">
        <v>94</v>
      </c>
      <c r="C480" s="1">
        <v>112780</v>
      </c>
      <c r="D480">
        <v>3.2077000000000001E-4</v>
      </c>
    </row>
    <row r="481" spans="1:4" x14ac:dyDescent="0.2">
      <c r="A481">
        <v>2017</v>
      </c>
      <c r="B481" s="2" t="s">
        <v>95</v>
      </c>
      <c r="C481" s="1">
        <v>358234</v>
      </c>
      <c r="D481">
        <v>1.0188930000000001E-3</v>
      </c>
    </row>
    <row r="482" spans="1:4" x14ac:dyDescent="0.2">
      <c r="A482">
        <v>2017</v>
      </c>
      <c r="B482" s="2" t="s">
        <v>162</v>
      </c>
      <c r="C482" s="1">
        <v>222842</v>
      </c>
      <c r="D482">
        <v>6.3380999999999995E-4</v>
      </c>
    </row>
    <row r="483" spans="1:4" x14ac:dyDescent="0.2">
      <c r="A483">
        <v>2017</v>
      </c>
      <c r="B483" s="2" t="s">
        <v>96</v>
      </c>
      <c r="C483" s="1">
        <v>976925</v>
      </c>
      <c r="D483">
        <v>2.778581E-3</v>
      </c>
    </row>
    <row r="484" spans="1:4" x14ac:dyDescent="0.2">
      <c r="A484">
        <v>2017</v>
      </c>
      <c r="B484" s="2" t="s">
        <v>97</v>
      </c>
      <c r="C484" s="1">
        <v>293691</v>
      </c>
      <c r="D484">
        <v>8.3531899999999995E-4</v>
      </c>
    </row>
    <row r="485" spans="1:4" x14ac:dyDescent="0.2">
      <c r="A485">
        <v>2017</v>
      </c>
      <c r="B485" s="2" t="s">
        <v>98</v>
      </c>
      <c r="C485" s="1">
        <v>748204</v>
      </c>
      <c r="D485">
        <v>2.1280499999999998E-3</v>
      </c>
    </row>
    <row r="486" spans="1:4" x14ac:dyDescent="0.2">
      <c r="A486">
        <v>2017</v>
      </c>
      <c r="B486" s="2" t="s">
        <v>99</v>
      </c>
      <c r="C486" s="1">
        <v>382070</v>
      </c>
      <c r="D486">
        <v>1.0866879999999999E-3</v>
      </c>
    </row>
    <row r="487" spans="1:4" x14ac:dyDescent="0.2">
      <c r="A487">
        <v>2017</v>
      </c>
      <c r="B487" s="2" t="s">
        <v>100</v>
      </c>
      <c r="C487" s="1">
        <v>87662</v>
      </c>
      <c r="D487">
        <v>2.4932900000000001E-4</v>
      </c>
    </row>
    <row r="488" spans="1:4" x14ac:dyDescent="0.2">
      <c r="A488">
        <v>2017</v>
      </c>
      <c r="B488" s="2" t="s">
        <v>188</v>
      </c>
      <c r="C488" s="1">
        <v>1028653</v>
      </c>
      <c r="D488">
        <v>2.9257060000000001E-3</v>
      </c>
    </row>
    <row r="489" spans="1:4" x14ac:dyDescent="0.2">
      <c r="A489">
        <v>2017</v>
      </c>
      <c r="B489" s="2" t="s">
        <v>102</v>
      </c>
      <c r="C489" s="1">
        <v>508207</v>
      </c>
      <c r="D489">
        <v>1.445448E-3</v>
      </c>
    </row>
    <row r="490" spans="1:4" x14ac:dyDescent="0.2">
      <c r="A490">
        <v>2017</v>
      </c>
      <c r="B490" s="2" t="s">
        <v>163</v>
      </c>
      <c r="C490" s="1">
        <v>146793</v>
      </c>
      <c r="D490">
        <v>4.1751000000000001E-4</v>
      </c>
    </row>
    <row r="491" spans="1:4" x14ac:dyDescent="0.2">
      <c r="A491">
        <v>2017</v>
      </c>
      <c r="B491" s="2" t="s">
        <v>103</v>
      </c>
      <c r="C491" s="1">
        <v>630162</v>
      </c>
      <c r="D491">
        <v>1.7923139999999999E-3</v>
      </c>
    </row>
    <row r="492" spans="1:4" x14ac:dyDescent="0.2">
      <c r="A492">
        <v>2017</v>
      </c>
      <c r="B492" s="2" t="s">
        <v>104</v>
      </c>
      <c r="C492" s="1">
        <v>30664</v>
      </c>
      <c r="D492">
        <v>8.7214999999999998E-5</v>
      </c>
    </row>
    <row r="493" spans="1:4" x14ac:dyDescent="0.2">
      <c r="A493">
        <v>2017</v>
      </c>
      <c r="B493" s="2" t="s">
        <v>164</v>
      </c>
      <c r="C493" s="1">
        <v>67537</v>
      </c>
      <c r="D493">
        <v>1.92089E-4</v>
      </c>
    </row>
    <row r="494" spans="1:4" x14ac:dyDescent="0.2">
      <c r="A494">
        <v>2017</v>
      </c>
      <c r="B494" s="2" t="s">
        <v>165</v>
      </c>
      <c r="C494" s="1">
        <v>139895</v>
      </c>
      <c r="D494">
        <v>3.9789099999999999E-4</v>
      </c>
    </row>
    <row r="495" spans="1:4" x14ac:dyDescent="0.2">
      <c r="A495">
        <v>2017</v>
      </c>
      <c r="B495" s="2" t="s">
        <v>105</v>
      </c>
      <c r="C495" s="1">
        <v>984569</v>
      </c>
      <c r="D495">
        <v>2.8003220000000001E-3</v>
      </c>
    </row>
    <row r="496" spans="1:4" x14ac:dyDescent="0.2">
      <c r="A496">
        <v>2017</v>
      </c>
      <c r="B496" s="2" t="s">
        <v>166</v>
      </c>
      <c r="C496" s="1">
        <v>119823</v>
      </c>
      <c r="D496">
        <v>3.4080200000000002E-4</v>
      </c>
    </row>
    <row r="497" spans="1:4" x14ac:dyDescent="0.2">
      <c r="A497">
        <v>2017</v>
      </c>
      <c r="B497" s="2" t="s">
        <v>167</v>
      </c>
      <c r="C497" s="1">
        <v>173964</v>
      </c>
      <c r="D497">
        <v>4.9479000000000005E-4</v>
      </c>
    </row>
    <row r="498" spans="1:4" x14ac:dyDescent="0.2">
      <c r="A498">
        <v>2017</v>
      </c>
      <c r="B498" s="2" t="s">
        <v>106</v>
      </c>
      <c r="C498" s="1">
        <v>7555</v>
      </c>
      <c r="D498">
        <v>2.1488000000000002E-5</v>
      </c>
    </row>
    <row r="499" spans="1:4" x14ac:dyDescent="0.2">
      <c r="A499">
        <v>2017</v>
      </c>
      <c r="B499" s="2" t="s">
        <v>107</v>
      </c>
      <c r="C499" s="1">
        <v>198897</v>
      </c>
      <c r="D499">
        <v>5.6570500000000001E-4</v>
      </c>
    </row>
    <row r="500" spans="1:4" x14ac:dyDescent="0.2">
      <c r="A500">
        <v>2017</v>
      </c>
      <c r="B500" s="2" t="s">
        <v>108</v>
      </c>
      <c r="C500" s="1">
        <v>3982106</v>
      </c>
      <c r="D500">
        <v>1.1325949E-2</v>
      </c>
    </row>
    <row r="501" spans="1:4" x14ac:dyDescent="0.2">
      <c r="A501">
        <v>2017</v>
      </c>
      <c r="B501" s="2" t="s">
        <v>168</v>
      </c>
      <c r="C501" s="1">
        <v>57055</v>
      </c>
      <c r="D501">
        <v>1.6227599999999999E-4</v>
      </c>
    </row>
    <row r="502" spans="1:4" x14ac:dyDescent="0.2">
      <c r="A502">
        <v>2017</v>
      </c>
      <c r="B502" s="2" t="s">
        <v>109</v>
      </c>
      <c r="C502" s="1">
        <v>283251</v>
      </c>
      <c r="D502">
        <v>8.0562600000000004E-4</v>
      </c>
    </row>
    <row r="503" spans="1:4" x14ac:dyDescent="0.2">
      <c r="A503">
        <v>2017</v>
      </c>
      <c r="B503" s="2" t="s">
        <v>110</v>
      </c>
      <c r="C503" s="1">
        <v>3589068</v>
      </c>
      <c r="D503">
        <v>1.0208066E-2</v>
      </c>
    </row>
    <row r="504" spans="1:4" x14ac:dyDescent="0.2">
      <c r="A504">
        <v>2017</v>
      </c>
      <c r="B504" s="2" t="s">
        <v>169</v>
      </c>
      <c r="C504" s="1">
        <v>138117</v>
      </c>
      <c r="D504">
        <v>3.92834E-4</v>
      </c>
    </row>
    <row r="505" spans="1:4" x14ac:dyDescent="0.2">
      <c r="A505">
        <v>2017</v>
      </c>
      <c r="B505" s="2" t="s">
        <v>170</v>
      </c>
      <c r="C505" s="1">
        <v>276052</v>
      </c>
      <c r="D505">
        <v>7.8514999999999998E-4</v>
      </c>
    </row>
    <row r="506" spans="1:4" x14ac:dyDescent="0.2">
      <c r="A506">
        <v>2017</v>
      </c>
      <c r="B506" s="2" t="s">
        <v>111</v>
      </c>
      <c r="C506" s="1">
        <v>337906</v>
      </c>
      <c r="D506">
        <v>9.6107600000000005E-4</v>
      </c>
    </row>
    <row r="507" spans="1:4" x14ac:dyDescent="0.2">
      <c r="A507">
        <v>2017</v>
      </c>
      <c r="B507" s="2" t="s">
        <v>112</v>
      </c>
      <c r="C507" s="1">
        <v>701228</v>
      </c>
      <c r="D507">
        <v>1.9944400000000001E-3</v>
      </c>
    </row>
    <row r="508" spans="1:4" x14ac:dyDescent="0.2">
      <c r="A508">
        <v>2017</v>
      </c>
      <c r="B508" s="2" t="s">
        <v>113</v>
      </c>
      <c r="C508" s="1">
        <v>453124</v>
      </c>
      <c r="D508">
        <v>1.28878E-3</v>
      </c>
    </row>
    <row r="509" spans="1:4" x14ac:dyDescent="0.2">
      <c r="A509">
        <v>2017</v>
      </c>
      <c r="B509" s="2" t="s">
        <v>114</v>
      </c>
      <c r="C509" s="1">
        <v>15956901</v>
      </c>
      <c r="D509">
        <v>4.5384789000000002E-2</v>
      </c>
    </row>
    <row r="510" spans="1:4" x14ac:dyDescent="0.2">
      <c r="A510">
        <v>2017</v>
      </c>
      <c r="B510" s="2" t="s">
        <v>115</v>
      </c>
      <c r="C510" s="1">
        <v>714984</v>
      </c>
      <c r="D510">
        <v>2.0335650000000002E-3</v>
      </c>
    </row>
    <row r="511" spans="1:4" x14ac:dyDescent="0.2">
      <c r="A511">
        <v>2017</v>
      </c>
      <c r="B511" s="2" t="s">
        <v>116</v>
      </c>
      <c r="C511" s="1">
        <v>325810</v>
      </c>
      <c r="D511">
        <v>9.2667200000000002E-4</v>
      </c>
    </row>
    <row r="512" spans="1:4" x14ac:dyDescent="0.2">
      <c r="A512">
        <v>2017</v>
      </c>
      <c r="B512" s="2" t="s">
        <v>117</v>
      </c>
      <c r="C512" s="1">
        <v>294458</v>
      </c>
      <c r="D512">
        <v>8.3750100000000004E-4</v>
      </c>
    </row>
    <row r="513" spans="1:4" x14ac:dyDescent="0.2">
      <c r="A513">
        <v>2017</v>
      </c>
      <c r="B513" s="2" t="s">
        <v>171</v>
      </c>
      <c r="C513" s="1">
        <v>139313</v>
      </c>
      <c r="D513">
        <v>3.9623600000000001E-4</v>
      </c>
    </row>
    <row r="514" spans="1:4" x14ac:dyDescent="0.2">
      <c r="A514">
        <v>2017</v>
      </c>
      <c r="B514" s="2" t="s">
        <v>118</v>
      </c>
      <c r="C514" s="1">
        <v>199802</v>
      </c>
      <c r="D514">
        <v>5.6827899999999998E-4</v>
      </c>
    </row>
    <row r="515" spans="1:4" x14ac:dyDescent="0.2">
      <c r="A515">
        <v>2017</v>
      </c>
      <c r="B515" s="2" t="s">
        <v>119</v>
      </c>
      <c r="C515" s="1">
        <v>207449</v>
      </c>
      <c r="D515">
        <v>5.9002900000000005E-4</v>
      </c>
    </row>
    <row r="516" spans="1:4" x14ac:dyDescent="0.2">
      <c r="A516">
        <v>2017</v>
      </c>
      <c r="B516" s="2" t="s">
        <v>173</v>
      </c>
      <c r="C516" s="1">
        <v>198391</v>
      </c>
      <c r="D516">
        <v>5.6426600000000001E-4</v>
      </c>
    </row>
    <row r="517" spans="1:4" x14ac:dyDescent="0.2">
      <c r="A517">
        <v>2018</v>
      </c>
      <c r="B517" s="2" t="s">
        <v>15</v>
      </c>
      <c r="C517" s="1">
        <v>388638</v>
      </c>
      <c r="D517">
        <v>1.067084E-3</v>
      </c>
    </row>
    <row r="518" spans="1:4" x14ac:dyDescent="0.2">
      <c r="A518">
        <v>2018</v>
      </c>
      <c r="B518" s="2" t="s">
        <v>189</v>
      </c>
      <c r="C518" s="1">
        <v>108479</v>
      </c>
      <c r="D518">
        <v>2.9785199999999998E-4</v>
      </c>
    </row>
    <row r="519" spans="1:4" x14ac:dyDescent="0.2">
      <c r="A519">
        <v>2018</v>
      </c>
      <c r="B519" s="2" t="s">
        <v>4</v>
      </c>
      <c r="C519" s="1">
        <v>798962</v>
      </c>
      <c r="D519">
        <v>2.1937129999999999E-3</v>
      </c>
    </row>
    <row r="520" spans="1:4" x14ac:dyDescent="0.2">
      <c r="A520">
        <v>2018</v>
      </c>
      <c r="B520" s="2" t="s">
        <v>121</v>
      </c>
      <c r="C520" s="1">
        <v>126754</v>
      </c>
      <c r="D520">
        <v>3.4802999999999999E-4</v>
      </c>
    </row>
    <row r="521" spans="1:4" x14ac:dyDescent="0.2">
      <c r="A521">
        <v>2018</v>
      </c>
      <c r="B521" s="2" t="s">
        <v>122</v>
      </c>
      <c r="C521" s="1">
        <v>200792</v>
      </c>
      <c r="D521">
        <v>5.5131500000000003E-4</v>
      </c>
    </row>
    <row r="522" spans="1:4" x14ac:dyDescent="0.2">
      <c r="A522">
        <v>2018</v>
      </c>
      <c r="B522" s="2" t="s">
        <v>123</v>
      </c>
      <c r="C522" s="1">
        <v>169360</v>
      </c>
      <c r="D522">
        <v>4.6501300000000001E-4</v>
      </c>
    </row>
    <row r="523" spans="1:4" x14ac:dyDescent="0.2">
      <c r="A523">
        <v>2018</v>
      </c>
      <c r="B523" s="2" t="s">
        <v>5</v>
      </c>
      <c r="C523" s="1">
        <v>14181</v>
      </c>
      <c r="D523">
        <v>3.8936999999999997E-5</v>
      </c>
    </row>
    <row r="524" spans="1:4" x14ac:dyDescent="0.2">
      <c r="A524">
        <v>2018</v>
      </c>
      <c r="B524" s="2" t="s">
        <v>6</v>
      </c>
      <c r="C524" s="1">
        <v>12548</v>
      </c>
      <c r="D524">
        <v>3.4452999999999997E-5</v>
      </c>
    </row>
    <row r="525" spans="1:4" x14ac:dyDescent="0.2">
      <c r="A525">
        <v>2018</v>
      </c>
      <c r="B525" s="2" t="s">
        <v>7</v>
      </c>
      <c r="C525" s="1">
        <v>226128</v>
      </c>
      <c r="D525">
        <v>6.2088200000000001E-4</v>
      </c>
    </row>
    <row r="526" spans="1:4" x14ac:dyDescent="0.2">
      <c r="A526">
        <v>2018</v>
      </c>
      <c r="B526" s="2" t="s">
        <v>8</v>
      </c>
      <c r="C526" s="1">
        <v>506005</v>
      </c>
      <c r="D526">
        <v>1.3893410000000001E-3</v>
      </c>
    </row>
    <row r="527" spans="1:4" x14ac:dyDescent="0.2">
      <c r="A527">
        <v>2018</v>
      </c>
      <c r="B527" s="2" t="s">
        <v>124</v>
      </c>
      <c r="C527" s="1">
        <v>77242</v>
      </c>
      <c r="D527">
        <v>2.12084E-4</v>
      </c>
    </row>
    <row r="528" spans="1:4" x14ac:dyDescent="0.2">
      <c r="A528">
        <v>2018</v>
      </c>
      <c r="B528" s="2" t="s">
        <v>125</v>
      </c>
      <c r="C528" s="1">
        <v>202198</v>
      </c>
      <c r="D528">
        <v>5.55176E-4</v>
      </c>
    </row>
    <row r="529" spans="1:4" x14ac:dyDescent="0.2">
      <c r="A529">
        <v>2018</v>
      </c>
      <c r="B529" s="2" t="s">
        <v>9</v>
      </c>
      <c r="C529" s="1">
        <v>1713629</v>
      </c>
      <c r="D529">
        <v>4.705117E-3</v>
      </c>
    </row>
    <row r="530" spans="1:4" x14ac:dyDescent="0.2">
      <c r="A530">
        <v>2018</v>
      </c>
      <c r="B530" s="2" t="s">
        <v>191</v>
      </c>
      <c r="C530" s="1">
        <v>3707068</v>
      </c>
      <c r="D530">
        <v>1.017851E-2</v>
      </c>
    </row>
    <row r="531" spans="1:4" x14ac:dyDescent="0.2">
      <c r="A531">
        <v>2018</v>
      </c>
      <c r="B531" s="2" t="s">
        <v>11</v>
      </c>
      <c r="C531" s="1">
        <v>112732</v>
      </c>
      <c r="D531">
        <v>3.0953000000000003E-4</v>
      </c>
    </row>
    <row r="532" spans="1:4" x14ac:dyDescent="0.2">
      <c r="A532">
        <v>2018</v>
      </c>
      <c r="B532" s="2" t="s">
        <v>192</v>
      </c>
      <c r="C532" s="1">
        <v>16815983</v>
      </c>
      <c r="D532">
        <v>4.6171709999999998E-2</v>
      </c>
    </row>
    <row r="533" spans="1:4" x14ac:dyDescent="0.2">
      <c r="A533">
        <v>2018</v>
      </c>
      <c r="B533" s="2" t="s">
        <v>13</v>
      </c>
      <c r="C533" s="1">
        <v>5169522</v>
      </c>
      <c r="D533">
        <v>1.4193976000000001E-2</v>
      </c>
    </row>
    <row r="534" spans="1:4" x14ac:dyDescent="0.2">
      <c r="A534">
        <v>2018</v>
      </c>
      <c r="B534" s="2" t="s">
        <v>14</v>
      </c>
      <c r="C534" s="1">
        <v>758407</v>
      </c>
      <c r="D534">
        <v>2.082361E-3</v>
      </c>
    </row>
    <row r="535" spans="1:4" x14ac:dyDescent="0.2">
      <c r="A535">
        <v>2018</v>
      </c>
      <c r="B535" s="2" t="s">
        <v>16</v>
      </c>
      <c r="C535" s="1">
        <v>189899</v>
      </c>
      <c r="D535">
        <v>5.2140599999999997E-4</v>
      </c>
    </row>
    <row r="536" spans="1:4" x14ac:dyDescent="0.2">
      <c r="A536">
        <v>2018</v>
      </c>
      <c r="B536" s="2" t="s">
        <v>17</v>
      </c>
      <c r="C536" s="1">
        <v>557621</v>
      </c>
      <c r="D536">
        <v>1.5310619999999999E-3</v>
      </c>
    </row>
    <row r="537" spans="1:4" x14ac:dyDescent="0.2">
      <c r="A537">
        <v>2018</v>
      </c>
      <c r="B537" s="2" t="s">
        <v>193</v>
      </c>
      <c r="C537" s="1">
        <v>228100</v>
      </c>
      <c r="D537">
        <v>6.2629500000000002E-4</v>
      </c>
    </row>
    <row r="538" spans="1:4" x14ac:dyDescent="0.2">
      <c r="A538">
        <v>2018</v>
      </c>
      <c r="B538" s="2" t="s">
        <v>19</v>
      </c>
      <c r="C538" s="1">
        <v>2820685</v>
      </c>
      <c r="D538">
        <v>7.7447660000000002E-3</v>
      </c>
    </row>
    <row r="539" spans="1:4" x14ac:dyDescent="0.2">
      <c r="A539">
        <v>2018</v>
      </c>
      <c r="B539" s="2" t="s">
        <v>194</v>
      </c>
      <c r="C539" s="1">
        <v>118717</v>
      </c>
      <c r="D539">
        <v>3.2596200000000001E-4</v>
      </c>
    </row>
    <row r="540" spans="1:4" x14ac:dyDescent="0.2">
      <c r="A540">
        <v>2018</v>
      </c>
      <c r="B540" s="2" t="s">
        <v>21</v>
      </c>
      <c r="C540" s="1">
        <v>116889</v>
      </c>
      <c r="D540">
        <v>3.2094300000000002E-4</v>
      </c>
    </row>
    <row r="541" spans="1:4" x14ac:dyDescent="0.2">
      <c r="A541">
        <v>2018</v>
      </c>
      <c r="B541" s="2" t="s">
        <v>22</v>
      </c>
      <c r="C541" s="1">
        <v>346581</v>
      </c>
      <c r="D541">
        <v>9.5160899999999996E-4</v>
      </c>
    </row>
    <row r="542" spans="1:4" x14ac:dyDescent="0.2">
      <c r="A542">
        <v>2018</v>
      </c>
      <c r="B542" s="2" t="s">
        <v>23</v>
      </c>
      <c r="C542" s="1">
        <v>183179</v>
      </c>
      <c r="D542">
        <v>5.0295500000000003E-4</v>
      </c>
    </row>
    <row r="543" spans="1:4" x14ac:dyDescent="0.2">
      <c r="A543">
        <v>2018</v>
      </c>
      <c r="B543" s="2" t="s">
        <v>195</v>
      </c>
      <c r="C543" s="1">
        <v>2639348</v>
      </c>
      <c r="D543">
        <v>7.2468690000000004E-3</v>
      </c>
    </row>
    <row r="544" spans="1:4" x14ac:dyDescent="0.2">
      <c r="A544">
        <v>2018</v>
      </c>
      <c r="B544" s="2" t="s">
        <v>25</v>
      </c>
      <c r="C544" s="1">
        <v>168308</v>
      </c>
      <c r="D544">
        <v>4.6212400000000001E-4</v>
      </c>
    </row>
    <row r="545" spans="1:4" x14ac:dyDescent="0.2">
      <c r="A545">
        <v>2018</v>
      </c>
      <c r="B545" s="2" t="s">
        <v>26</v>
      </c>
      <c r="C545" s="1">
        <v>225580</v>
      </c>
      <c r="D545">
        <v>6.1937500000000003E-4</v>
      </c>
    </row>
    <row r="546" spans="1:4" x14ac:dyDescent="0.2">
      <c r="A546">
        <v>2018</v>
      </c>
      <c r="B546" s="2" t="s">
        <v>126</v>
      </c>
      <c r="C546" s="1">
        <v>96117</v>
      </c>
      <c r="D546">
        <v>2.63909E-4</v>
      </c>
    </row>
    <row r="547" spans="1:4" x14ac:dyDescent="0.2">
      <c r="A547">
        <v>2018</v>
      </c>
      <c r="B547" s="2" t="s">
        <v>27</v>
      </c>
      <c r="C547" s="1">
        <v>130173</v>
      </c>
      <c r="D547">
        <v>3.5741800000000003E-4</v>
      </c>
    </row>
    <row r="548" spans="1:4" x14ac:dyDescent="0.2">
      <c r="A548">
        <v>2018</v>
      </c>
      <c r="B548" s="2" t="s">
        <v>28</v>
      </c>
      <c r="C548" s="1">
        <v>719425</v>
      </c>
      <c r="D548">
        <v>1.9753280000000002E-3</v>
      </c>
    </row>
    <row r="549" spans="1:4" x14ac:dyDescent="0.2">
      <c r="A549">
        <v>2018</v>
      </c>
      <c r="B549" s="2" t="s">
        <v>127</v>
      </c>
      <c r="C549" s="1">
        <v>292945</v>
      </c>
      <c r="D549">
        <v>8.0433900000000005E-4</v>
      </c>
    </row>
    <row r="550" spans="1:4" x14ac:dyDescent="0.2">
      <c r="A550">
        <v>2018</v>
      </c>
      <c r="B550" s="2" t="s">
        <v>29</v>
      </c>
      <c r="C550" s="1">
        <v>5306777</v>
      </c>
      <c r="D550">
        <v>1.4570839E-2</v>
      </c>
    </row>
    <row r="551" spans="1:4" x14ac:dyDescent="0.2">
      <c r="A551">
        <v>2018</v>
      </c>
      <c r="B551" s="2" t="s">
        <v>178</v>
      </c>
      <c r="C551" s="1">
        <v>1750327</v>
      </c>
      <c r="D551">
        <v>4.8058789999999999E-3</v>
      </c>
    </row>
    <row r="552" spans="1:4" x14ac:dyDescent="0.2">
      <c r="A552">
        <v>2018</v>
      </c>
      <c r="B552" s="2" t="s">
        <v>179</v>
      </c>
      <c r="C552" s="1">
        <v>727833</v>
      </c>
      <c r="D552">
        <v>1.9984149999999999E-3</v>
      </c>
    </row>
    <row r="553" spans="1:4" x14ac:dyDescent="0.2">
      <c r="A553">
        <v>2018</v>
      </c>
      <c r="B553" s="2" t="s">
        <v>128</v>
      </c>
      <c r="C553" s="1">
        <v>353343</v>
      </c>
      <c r="D553">
        <v>9.7017499999999999E-4</v>
      </c>
    </row>
    <row r="554" spans="1:4" x14ac:dyDescent="0.2">
      <c r="A554">
        <v>2018</v>
      </c>
      <c r="B554" s="2" t="s">
        <v>30</v>
      </c>
      <c r="C554" s="1">
        <v>252378</v>
      </c>
      <c r="D554">
        <v>6.9295499999999998E-4</v>
      </c>
    </row>
    <row r="555" spans="1:4" x14ac:dyDescent="0.2">
      <c r="A555">
        <v>2018</v>
      </c>
      <c r="B555" s="2" t="s">
        <v>31</v>
      </c>
      <c r="C555" s="1">
        <v>153230</v>
      </c>
      <c r="D555">
        <v>4.2072300000000002E-4</v>
      </c>
    </row>
    <row r="556" spans="1:4" x14ac:dyDescent="0.2">
      <c r="A556">
        <v>2018</v>
      </c>
      <c r="B556" s="2" t="s">
        <v>32</v>
      </c>
      <c r="C556" s="1">
        <v>93518</v>
      </c>
      <c r="D556">
        <v>2.5677399999999998E-4</v>
      </c>
    </row>
    <row r="557" spans="1:4" x14ac:dyDescent="0.2">
      <c r="A557">
        <v>2018</v>
      </c>
      <c r="B557" s="2" t="s">
        <v>33</v>
      </c>
      <c r="C557" s="1">
        <v>136410</v>
      </c>
      <c r="D557">
        <v>3.7454300000000002E-4</v>
      </c>
    </row>
    <row r="558" spans="1:4" x14ac:dyDescent="0.2">
      <c r="A558">
        <v>2018</v>
      </c>
      <c r="B558" s="2" t="s">
        <v>34</v>
      </c>
      <c r="C558" s="1">
        <v>1255197</v>
      </c>
      <c r="D558">
        <v>3.4463990000000002E-3</v>
      </c>
    </row>
    <row r="559" spans="1:4" x14ac:dyDescent="0.2">
      <c r="A559">
        <v>2018</v>
      </c>
      <c r="B559" s="2" t="s">
        <v>129</v>
      </c>
      <c r="C559" s="1">
        <v>109516</v>
      </c>
      <c r="D559">
        <v>3.0069999999999999E-4</v>
      </c>
    </row>
    <row r="560" spans="1:4" x14ac:dyDescent="0.2">
      <c r="A560">
        <v>2018</v>
      </c>
      <c r="B560" s="2" t="s">
        <v>35</v>
      </c>
      <c r="C560" s="1">
        <v>733275</v>
      </c>
      <c r="D560">
        <v>2.0133550000000001E-3</v>
      </c>
    </row>
    <row r="561" spans="1:4" x14ac:dyDescent="0.2">
      <c r="A561">
        <v>2018</v>
      </c>
      <c r="B561" s="2" t="s">
        <v>36</v>
      </c>
      <c r="C561" s="1">
        <v>326165</v>
      </c>
      <c r="D561">
        <v>8.9555199999999998E-4</v>
      </c>
    </row>
    <row r="562" spans="1:4" x14ac:dyDescent="0.2">
      <c r="A562">
        <v>2018</v>
      </c>
      <c r="B562" s="2" t="s">
        <v>37</v>
      </c>
      <c r="C562" s="1">
        <v>748874</v>
      </c>
      <c r="D562">
        <v>2.0561849999999999E-3</v>
      </c>
    </row>
    <row r="563" spans="1:4" x14ac:dyDescent="0.2">
      <c r="A563">
        <v>2018</v>
      </c>
      <c r="B563" s="2" t="s">
        <v>38</v>
      </c>
      <c r="C563" s="1">
        <v>161487</v>
      </c>
      <c r="D563">
        <v>4.4339599999999998E-4</v>
      </c>
    </row>
    <row r="564" spans="1:4" x14ac:dyDescent="0.2">
      <c r="A564">
        <v>2018</v>
      </c>
      <c r="B564" s="2" t="s">
        <v>196</v>
      </c>
      <c r="C564" s="1">
        <v>73828</v>
      </c>
      <c r="D564">
        <v>2.0270999999999999E-4</v>
      </c>
    </row>
    <row r="565" spans="1:4" x14ac:dyDescent="0.2">
      <c r="A565">
        <v>2018</v>
      </c>
      <c r="B565" s="2" t="s">
        <v>197</v>
      </c>
      <c r="C565" s="1">
        <v>42137</v>
      </c>
      <c r="D565">
        <v>1.15695E-4</v>
      </c>
    </row>
    <row r="566" spans="1:4" x14ac:dyDescent="0.2">
      <c r="A566">
        <v>2018</v>
      </c>
      <c r="B566" s="2" t="s">
        <v>39</v>
      </c>
      <c r="C566" s="1">
        <v>249159</v>
      </c>
      <c r="D566">
        <v>6.8411600000000002E-4</v>
      </c>
    </row>
    <row r="567" spans="1:4" x14ac:dyDescent="0.2">
      <c r="A567">
        <v>2018</v>
      </c>
      <c r="B567" s="2" t="s">
        <v>40</v>
      </c>
      <c r="C567" s="1">
        <v>234156</v>
      </c>
      <c r="D567">
        <v>6.42923E-4</v>
      </c>
    </row>
    <row r="568" spans="1:4" x14ac:dyDescent="0.2">
      <c r="A568">
        <v>2018</v>
      </c>
      <c r="B568" s="2" t="s">
        <v>41</v>
      </c>
      <c r="C568" s="1">
        <v>559597</v>
      </c>
      <c r="D568">
        <v>1.536487E-3</v>
      </c>
    </row>
    <row r="569" spans="1:4" x14ac:dyDescent="0.2">
      <c r="A569">
        <v>2018</v>
      </c>
      <c r="B569" s="2" t="s">
        <v>42</v>
      </c>
      <c r="C569" s="1">
        <v>254456</v>
      </c>
      <c r="D569">
        <v>6.9866199999999996E-4</v>
      </c>
    </row>
    <row r="570" spans="1:4" x14ac:dyDescent="0.2">
      <c r="A570">
        <v>2018</v>
      </c>
      <c r="B570" s="2" t="s">
        <v>43</v>
      </c>
      <c r="C570" s="1">
        <v>188241</v>
      </c>
      <c r="D570">
        <v>5.1685399999999997E-4</v>
      </c>
    </row>
    <row r="571" spans="1:4" x14ac:dyDescent="0.2">
      <c r="A571">
        <v>2018</v>
      </c>
      <c r="B571" s="2" t="s">
        <v>44</v>
      </c>
      <c r="C571" s="1">
        <v>211598</v>
      </c>
      <c r="D571">
        <v>5.8098600000000002E-4</v>
      </c>
    </row>
    <row r="572" spans="1:4" x14ac:dyDescent="0.2">
      <c r="A572">
        <v>2018</v>
      </c>
      <c r="B572" s="2" t="s">
        <v>130</v>
      </c>
      <c r="C572" s="1">
        <v>84923</v>
      </c>
      <c r="D572">
        <v>2.33172E-4</v>
      </c>
    </row>
    <row r="573" spans="1:4" x14ac:dyDescent="0.2">
      <c r="A573">
        <v>2018</v>
      </c>
      <c r="B573" s="2" t="s">
        <v>131</v>
      </c>
      <c r="C573" s="1">
        <v>175416</v>
      </c>
      <c r="D573">
        <v>4.8164099999999999E-4</v>
      </c>
    </row>
    <row r="574" spans="1:4" x14ac:dyDescent="0.2">
      <c r="A574">
        <v>2018</v>
      </c>
      <c r="B574" s="2" t="s">
        <v>45</v>
      </c>
      <c r="C574" s="1">
        <v>154136</v>
      </c>
      <c r="D574">
        <v>4.23211E-4</v>
      </c>
    </row>
    <row r="575" spans="1:4" x14ac:dyDescent="0.2">
      <c r="A575">
        <v>2018</v>
      </c>
      <c r="B575" s="2" t="s">
        <v>46</v>
      </c>
      <c r="C575" s="1">
        <v>493509</v>
      </c>
      <c r="D575">
        <v>1.355031E-3</v>
      </c>
    </row>
    <row r="576" spans="1:4" x14ac:dyDescent="0.2">
      <c r="A576">
        <v>2018</v>
      </c>
      <c r="B576" s="2" t="s">
        <v>47</v>
      </c>
      <c r="C576" s="1">
        <v>160875</v>
      </c>
      <c r="D576">
        <v>4.4171400000000001E-4</v>
      </c>
    </row>
    <row r="577" spans="1:4" x14ac:dyDescent="0.2">
      <c r="A577">
        <v>2018</v>
      </c>
      <c r="B577" s="2" t="s">
        <v>132</v>
      </c>
      <c r="C577" s="1">
        <v>111534</v>
      </c>
      <c r="D577">
        <v>3.0624E-4</v>
      </c>
    </row>
    <row r="578" spans="1:4" x14ac:dyDescent="0.2">
      <c r="A578">
        <v>2018</v>
      </c>
      <c r="B578" s="2" t="s">
        <v>198</v>
      </c>
      <c r="C578" s="1">
        <v>45576</v>
      </c>
      <c r="D578">
        <v>1.2513699999999999E-4</v>
      </c>
    </row>
    <row r="579" spans="1:4" x14ac:dyDescent="0.2">
      <c r="A579">
        <v>2018</v>
      </c>
      <c r="B579" s="2" t="s">
        <v>135</v>
      </c>
      <c r="C579" s="1">
        <v>400241</v>
      </c>
      <c r="D579">
        <v>1.098943E-3</v>
      </c>
    </row>
    <row r="580" spans="1:4" x14ac:dyDescent="0.2">
      <c r="A580">
        <v>2018</v>
      </c>
      <c r="B580" s="2" t="s">
        <v>137</v>
      </c>
      <c r="C580" s="1">
        <v>47157</v>
      </c>
      <c r="D580">
        <v>1.2947999999999999E-4</v>
      </c>
    </row>
    <row r="581" spans="1:4" x14ac:dyDescent="0.2">
      <c r="A581">
        <v>2018</v>
      </c>
      <c r="B581" s="2" t="s">
        <v>199</v>
      </c>
      <c r="C581" s="1">
        <v>209898</v>
      </c>
      <c r="D581">
        <v>5.76316E-4</v>
      </c>
    </row>
    <row r="582" spans="1:4" x14ac:dyDescent="0.2">
      <c r="A582">
        <v>2018</v>
      </c>
      <c r="B582" s="2" t="s">
        <v>48</v>
      </c>
      <c r="C582" s="1">
        <v>4592950</v>
      </c>
      <c r="D582">
        <v>1.261088E-2</v>
      </c>
    </row>
    <row r="583" spans="1:4" x14ac:dyDescent="0.2">
      <c r="A583">
        <v>2018</v>
      </c>
      <c r="B583" s="2" t="s">
        <v>183</v>
      </c>
      <c r="C583" s="1">
        <v>117311</v>
      </c>
      <c r="D583">
        <v>3.2210000000000002E-4</v>
      </c>
    </row>
    <row r="584" spans="1:4" x14ac:dyDescent="0.2">
      <c r="A584">
        <v>2018</v>
      </c>
      <c r="B584" s="2" t="s">
        <v>143</v>
      </c>
      <c r="C584" s="1">
        <v>441008</v>
      </c>
      <c r="D584">
        <v>1.210877E-3</v>
      </c>
    </row>
    <row r="585" spans="1:4" x14ac:dyDescent="0.2">
      <c r="A585">
        <v>2018</v>
      </c>
      <c r="B585" s="2" t="s">
        <v>144</v>
      </c>
      <c r="C585" s="1">
        <v>132067</v>
      </c>
      <c r="D585">
        <v>3.6261799999999999E-4</v>
      </c>
    </row>
    <row r="586" spans="1:4" x14ac:dyDescent="0.2">
      <c r="A586">
        <v>2018</v>
      </c>
      <c r="B586" s="2" t="s">
        <v>145</v>
      </c>
      <c r="C586" s="1">
        <v>213427</v>
      </c>
      <c r="D586">
        <v>5.8600700000000004E-4</v>
      </c>
    </row>
    <row r="587" spans="1:4" x14ac:dyDescent="0.2">
      <c r="A587">
        <v>2018</v>
      </c>
      <c r="B587" s="2" t="s">
        <v>49</v>
      </c>
      <c r="C587" s="1">
        <v>1591523</v>
      </c>
      <c r="D587">
        <v>4.3698510000000001E-3</v>
      </c>
    </row>
    <row r="588" spans="1:4" x14ac:dyDescent="0.2">
      <c r="A588">
        <v>2018</v>
      </c>
      <c r="B588" s="2" t="s">
        <v>50</v>
      </c>
      <c r="C588" s="1">
        <v>238088</v>
      </c>
      <c r="D588">
        <v>6.5372E-4</v>
      </c>
    </row>
    <row r="589" spans="1:4" x14ac:dyDescent="0.2">
      <c r="A589">
        <v>2018</v>
      </c>
      <c r="B589" s="2" t="s">
        <v>51</v>
      </c>
      <c r="C589" s="1">
        <v>665469</v>
      </c>
      <c r="D589">
        <v>1.827181E-3</v>
      </c>
    </row>
    <row r="590" spans="1:4" x14ac:dyDescent="0.2">
      <c r="A590">
        <v>2018</v>
      </c>
      <c r="B590" s="2" t="s">
        <v>52</v>
      </c>
      <c r="C590" s="1">
        <v>172463</v>
      </c>
      <c r="D590">
        <v>4.7353199999999998E-4</v>
      </c>
    </row>
    <row r="591" spans="1:4" x14ac:dyDescent="0.2">
      <c r="A591">
        <v>2018</v>
      </c>
      <c r="B591" s="2" t="s">
        <v>53</v>
      </c>
      <c r="C591" s="1">
        <v>857131</v>
      </c>
      <c r="D591">
        <v>2.3534269999999999E-3</v>
      </c>
    </row>
    <row r="592" spans="1:4" x14ac:dyDescent="0.2">
      <c r="A592">
        <v>2018</v>
      </c>
      <c r="B592" s="2" t="s">
        <v>146</v>
      </c>
      <c r="C592" s="1">
        <v>75826</v>
      </c>
      <c r="D592">
        <v>2.0819499999999999E-4</v>
      </c>
    </row>
    <row r="593" spans="1:4" x14ac:dyDescent="0.2">
      <c r="A593">
        <v>2018</v>
      </c>
      <c r="B593" s="2" t="s">
        <v>54</v>
      </c>
      <c r="C593" s="1">
        <v>124314</v>
      </c>
      <c r="D593">
        <v>3.4132800000000001E-4</v>
      </c>
    </row>
    <row r="594" spans="1:4" x14ac:dyDescent="0.2">
      <c r="A594">
        <v>2018</v>
      </c>
      <c r="B594" s="2" t="s">
        <v>147</v>
      </c>
      <c r="C594" s="1">
        <v>82452</v>
      </c>
      <c r="D594">
        <v>2.2638899999999999E-4</v>
      </c>
    </row>
    <row r="595" spans="1:4" x14ac:dyDescent="0.2">
      <c r="A595">
        <v>2018</v>
      </c>
      <c r="B595" s="2" t="s">
        <v>55</v>
      </c>
      <c r="C595" s="1">
        <v>2453061</v>
      </c>
      <c r="D595">
        <v>6.7353789999999997E-3</v>
      </c>
    </row>
    <row r="596" spans="1:4" x14ac:dyDescent="0.2">
      <c r="A596">
        <v>2018</v>
      </c>
      <c r="B596" s="2" t="s">
        <v>56</v>
      </c>
      <c r="C596" s="1">
        <v>2161390</v>
      </c>
      <c r="D596">
        <v>5.9345370000000001E-3</v>
      </c>
    </row>
    <row r="597" spans="1:4" x14ac:dyDescent="0.2">
      <c r="A597">
        <v>2018</v>
      </c>
      <c r="B597" s="2" t="s">
        <v>57</v>
      </c>
      <c r="C597" s="1">
        <v>2380913</v>
      </c>
      <c r="D597">
        <v>6.5372829999999996E-3</v>
      </c>
    </row>
    <row r="598" spans="1:4" x14ac:dyDescent="0.2">
      <c r="A598">
        <v>2018</v>
      </c>
      <c r="B598" s="2" t="s">
        <v>58</v>
      </c>
      <c r="C598" s="1">
        <v>458634</v>
      </c>
      <c r="D598">
        <v>1.259273E-3</v>
      </c>
    </row>
    <row r="599" spans="1:4" x14ac:dyDescent="0.2">
      <c r="A599">
        <v>2018</v>
      </c>
      <c r="B599" s="2" t="s">
        <v>148</v>
      </c>
      <c r="C599" s="1">
        <v>90267</v>
      </c>
      <c r="D599">
        <v>2.4784500000000001E-4</v>
      </c>
    </row>
    <row r="600" spans="1:4" x14ac:dyDescent="0.2">
      <c r="A600">
        <v>2018</v>
      </c>
      <c r="B600" s="2" t="s">
        <v>59</v>
      </c>
      <c r="C600" s="1">
        <v>3007933</v>
      </c>
      <c r="D600">
        <v>8.2588939999999993E-3</v>
      </c>
    </row>
    <row r="601" spans="1:4" x14ac:dyDescent="0.2">
      <c r="A601">
        <v>2018</v>
      </c>
      <c r="B601" s="2" t="s">
        <v>149</v>
      </c>
      <c r="C601" s="1">
        <v>157999</v>
      </c>
      <c r="D601">
        <v>4.33819E-4</v>
      </c>
    </row>
    <row r="602" spans="1:4" x14ac:dyDescent="0.2">
      <c r="A602">
        <v>2018</v>
      </c>
      <c r="B602" s="2" t="s">
        <v>60</v>
      </c>
      <c r="C602" s="1">
        <v>123236</v>
      </c>
      <c r="D602">
        <v>3.3837E-4</v>
      </c>
    </row>
    <row r="603" spans="1:4" x14ac:dyDescent="0.2">
      <c r="A603">
        <v>2018</v>
      </c>
      <c r="B603" s="2" t="s">
        <v>61</v>
      </c>
      <c r="C603" s="1">
        <v>2304503</v>
      </c>
      <c r="D603">
        <v>6.3274830000000001E-3</v>
      </c>
    </row>
    <row r="604" spans="1:4" x14ac:dyDescent="0.2">
      <c r="A604">
        <v>2018</v>
      </c>
      <c r="B604" s="2" t="s">
        <v>62</v>
      </c>
      <c r="C604" s="1">
        <v>489631</v>
      </c>
      <c r="D604">
        <v>1.344381E-3</v>
      </c>
    </row>
    <row r="605" spans="1:4" x14ac:dyDescent="0.2">
      <c r="A605">
        <v>2018</v>
      </c>
      <c r="B605" s="2" t="s">
        <v>63</v>
      </c>
      <c r="C605" s="1">
        <v>400092</v>
      </c>
      <c r="D605">
        <v>1.0985350000000001E-3</v>
      </c>
    </row>
    <row r="606" spans="1:4" x14ac:dyDescent="0.2">
      <c r="A606">
        <v>2018</v>
      </c>
      <c r="B606" s="2" t="s">
        <v>64</v>
      </c>
      <c r="C606" s="1">
        <v>846815</v>
      </c>
      <c r="D606">
        <v>2.3251029999999998E-3</v>
      </c>
    </row>
    <row r="607" spans="1:4" x14ac:dyDescent="0.2">
      <c r="A607">
        <v>2018</v>
      </c>
      <c r="B607" s="2" t="s">
        <v>65</v>
      </c>
      <c r="C607" s="1">
        <v>117853</v>
      </c>
      <c r="D607">
        <v>3.2359100000000003E-4</v>
      </c>
    </row>
    <row r="608" spans="1:4" x14ac:dyDescent="0.2">
      <c r="A608">
        <v>2018</v>
      </c>
      <c r="B608" s="2" t="s">
        <v>66</v>
      </c>
      <c r="C608" s="1">
        <v>347282</v>
      </c>
      <c r="D608">
        <v>9.5353400000000002E-4</v>
      </c>
    </row>
    <row r="609" spans="1:4" x14ac:dyDescent="0.2">
      <c r="A609">
        <v>2018</v>
      </c>
      <c r="B609" s="2" t="s">
        <v>150</v>
      </c>
      <c r="C609" s="1">
        <v>127281</v>
      </c>
      <c r="D609">
        <v>3.4947599999999999E-4</v>
      </c>
    </row>
    <row r="610" spans="1:4" x14ac:dyDescent="0.2">
      <c r="A610">
        <v>2018</v>
      </c>
      <c r="B610" s="2" t="s">
        <v>151</v>
      </c>
      <c r="C610" s="1">
        <v>125439</v>
      </c>
      <c r="D610">
        <v>3.44419E-4</v>
      </c>
    </row>
    <row r="611" spans="1:4" x14ac:dyDescent="0.2">
      <c r="A611">
        <v>2018</v>
      </c>
      <c r="B611" s="2" t="s">
        <v>200</v>
      </c>
      <c r="C611" s="1">
        <v>16941994</v>
      </c>
      <c r="D611">
        <v>4.6517698000000003E-2</v>
      </c>
    </row>
    <row r="612" spans="1:4" x14ac:dyDescent="0.2">
      <c r="A612">
        <v>2018</v>
      </c>
      <c r="B612" s="2" t="s">
        <v>67</v>
      </c>
      <c r="C612" s="1">
        <v>1661056</v>
      </c>
      <c r="D612">
        <v>4.5607690000000001E-3</v>
      </c>
    </row>
    <row r="613" spans="1:4" x14ac:dyDescent="0.2">
      <c r="A613">
        <v>2018</v>
      </c>
      <c r="B613" s="2" t="s">
        <v>68</v>
      </c>
      <c r="C613" s="1">
        <v>91320</v>
      </c>
      <c r="D613">
        <v>2.5073599999999999E-4</v>
      </c>
    </row>
    <row r="614" spans="1:4" x14ac:dyDescent="0.2">
      <c r="A614">
        <v>2018</v>
      </c>
      <c r="B614" s="2" t="s">
        <v>69</v>
      </c>
      <c r="C614" s="1">
        <v>1938079</v>
      </c>
      <c r="D614">
        <v>5.3213899999999996E-3</v>
      </c>
    </row>
    <row r="615" spans="1:4" x14ac:dyDescent="0.2">
      <c r="A615">
        <v>2018</v>
      </c>
      <c r="B615" s="2" t="s">
        <v>152</v>
      </c>
      <c r="C615" s="1">
        <v>75491</v>
      </c>
      <c r="D615">
        <v>2.07276E-4</v>
      </c>
    </row>
    <row r="616" spans="1:4" x14ac:dyDescent="0.2">
      <c r="A616">
        <v>2018</v>
      </c>
      <c r="B616" s="2" t="s">
        <v>153</v>
      </c>
      <c r="C616" s="1">
        <v>71087</v>
      </c>
      <c r="D616">
        <v>1.95183E-4</v>
      </c>
    </row>
    <row r="617" spans="1:4" x14ac:dyDescent="0.2">
      <c r="A617">
        <v>2018</v>
      </c>
      <c r="B617" s="2" t="s">
        <v>70</v>
      </c>
      <c r="C617" s="1">
        <v>1941996</v>
      </c>
      <c r="D617">
        <v>5.3321460000000003E-3</v>
      </c>
    </row>
    <row r="618" spans="1:4" x14ac:dyDescent="0.2">
      <c r="A618">
        <v>2018</v>
      </c>
      <c r="B618" s="2" t="s">
        <v>71</v>
      </c>
      <c r="C618" s="1">
        <v>1685203</v>
      </c>
      <c r="D618">
        <v>4.6270690000000001E-3</v>
      </c>
    </row>
    <row r="619" spans="1:4" x14ac:dyDescent="0.2">
      <c r="A619">
        <v>2018</v>
      </c>
      <c r="B619" s="2" t="s">
        <v>72</v>
      </c>
      <c r="C619" s="1">
        <v>720950</v>
      </c>
      <c r="D619">
        <v>1.9795139999999999E-3</v>
      </c>
    </row>
    <row r="620" spans="1:4" x14ac:dyDescent="0.2">
      <c r="A620">
        <v>2018</v>
      </c>
      <c r="B620" s="2" t="s">
        <v>73</v>
      </c>
      <c r="C620" s="1">
        <v>136528</v>
      </c>
      <c r="D620">
        <v>3.74865E-4</v>
      </c>
    </row>
    <row r="621" spans="1:4" x14ac:dyDescent="0.2">
      <c r="A621">
        <v>2018</v>
      </c>
      <c r="B621" s="2" t="s">
        <v>74</v>
      </c>
      <c r="C621" s="1">
        <v>174836</v>
      </c>
      <c r="D621">
        <v>4.8004900000000002E-4</v>
      </c>
    </row>
    <row r="622" spans="1:4" x14ac:dyDescent="0.2">
      <c r="A622">
        <v>2018</v>
      </c>
      <c r="B622" s="2" t="s">
        <v>75</v>
      </c>
      <c r="C622" s="1">
        <v>6221589</v>
      </c>
      <c r="D622">
        <v>1.7082640999999999E-2</v>
      </c>
    </row>
    <row r="623" spans="1:4" x14ac:dyDescent="0.2">
      <c r="A623">
        <v>2018</v>
      </c>
      <c r="B623" s="2" t="s">
        <v>76</v>
      </c>
      <c r="C623" s="1">
        <v>498797</v>
      </c>
      <c r="D623">
        <v>1.3695490000000001E-3</v>
      </c>
    </row>
    <row r="624" spans="1:4" x14ac:dyDescent="0.2">
      <c r="A624">
        <v>2018</v>
      </c>
      <c r="B624" s="2" t="s">
        <v>201</v>
      </c>
      <c r="C624" s="1">
        <v>128261</v>
      </c>
      <c r="D624">
        <v>3.52166E-4</v>
      </c>
    </row>
    <row r="625" spans="1:4" x14ac:dyDescent="0.2">
      <c r="A625">
        <v>2018</v>
      </c>
      <c r="B625" s="2" t="s">
        <v>78</v>
      </c>
      <c r="C625" s="1">
        <v>118441</v>
      </c>
      <c r="D625">
        <v>3.2520299999999998E-4</v>
      </c>
    </row>
    <row r="626" spans="1:4" x14ac:dyDescent="0.2">
      <c r="A626">
        <v>2018</v>
      </c>
      <c r="B626" s="2" t="s">
        <v>154</v>
      </c>
      <c r="C626" s="1">
        <v>371826</v>
      </c>
      <c r="D626">
        <v>1.020925E-3</v>
      </c>
    </row>
    <row r="627" spans="1:4" x14ac:dyDescent="0.2">
      <c r="A627">
        <v>2018</v>
      </c>
      <c r="B627" s="2" t="s">
        <v>155</v>
      </c>
      <c r="C627" s="1">
        <v>102639</v>
      </c>
      <c r="D627">
        <v>2.81816E-4</v>
      </c>
    </row>
    <row r="628" spans="1:4" x14ac:dyDescent="0.2">
      <c r="A628">
        <v>2018</v>
      </c>
      <c r="B628" s="2" t="s">
        <v>79</v>
      </c>
      <c r="C628" s="1">
        <v>227301</v>
      </c>
      <c r="D628">
        <v>6.2410099999999995E-4</v>
      </c>
    </row>
    <row r="629" spans="1:4" x14ac:dyDescent="0.2">
      <c r="A629">
        <v>2018</v>
      </c>
      <c r="B629" s="2" t="s">
        <v>80</v>
      </c>
      <c r="C629" s="1">
        <v>392232</v>
      </c>
      <c r="D629">
        <v>1.0769519999999999E-3</v>
      </c>
    </row>
    <row r="630" spans="1:4" x14ac:dyDescent="0.2">
      <c r="A630">
        <v>2018</v>
      </c>
      <c r="B630" s="2" t="s">
        <v>157</v>
      </c>
      <c r="C630" s="1">
        <v>76377</v>
      </c>
      <c r="D630">
        <v>2.0970900000000001E-4</v>
      </c>
    </row>
    <row r="631" spans="1:4" x14ac:dyDescent="0.2">
      <c r="A631">
        <v>2018</v>
      </c>
      <c r="B631" s="2" t="s">
        <v>81</v>
      </c>
      <c r="C631" s="1">
        <v>489011</v>
      </c>
      <c r="D631">
        <v>1.3426810000000001E-3</v>
      </c>
    </row>
    <row r="632" spans="1:4" x14ac:dyDescent="0.2">
      <c r="A632">
        <v>2018</v>
      </c>
      <c r="B632" s="2" t="s">
        <v>202</v>
      </c>
      <c r="C632" s="1">
        <v>51587</v>
      </c>
      <c r="D632">
        <v>1.4164200000000001E-4</v>
      </c>
    </row>
    <row r="633" spans="1:4" x14ac:dyDescent="0.2">
      <c r="A633">
        <v>2018</v>
      </c>
      <c r="B633" s="2" t="s">
        <v>203</v>
      </c>
      <c r="C633" s="1">
        <v>39719</v>
      </c>
      <c r="D633">
        <v>1.09057E-4</v>
      </c>
    </row>
    <row r="634" spans="1:4" x14ac:dyDescent="0.2">
      <c r="A634">
        <v>2018</v>
      </c>
      <c r="B634" s="2" t="s">
        <v>82</v>
      </c>
      <c r="C634" s="1">
        <v>749977</v>
      </c>
      <c r="D634">
        <v>2.0592140000000002E-3</v>
      </c>
    </row>
    <row r="635" spans="1:4" x14ac:dyDescent="0.2">
      <c r="A635">
        <v>2018</v>
      </c>
      <c r="B635" s="2" t="s">
        <v>83</v>
      </c>
      <c r="C635" s="1">
        <v>12294</v>
      </c>
      <c r="D635">
        <v>3.3754999999999998E-5</v>
      </c>
    </row>
    <row r="636" spans="1:4" x14ac:dyDescent="0.2">
      <c r="A636">
        <v>2018</v>
      </c>
      <c r="B636" s="2" t="s">
        <v>84</v>
      </c>
      <c r="C636" s="1">
        <v>329358</v>
      </c>
      <c r="D636">
        <v>9.0432000000000002E-4</v>
      </c>
    </row>
    <row r="637" spans="1:4" x14ac:dyDescent="0.2">
      <c r="A637">
        <v>2018</v>
      </c>
      <c r="B637" s="2" t="s">
        <v>158</v>
      </c>
      <c r="C637" s="1">
        <v>123851</v>
      </c>
      <c r="D637">
        <v>3.4005899999999998E-4</v>
      </c>
    </row>
    <row r="638" spans="1:4" x14ac:dyDescent="0.2">
      <c r="A638">
        <v>2018</v>
      </c>
      <c r="B638" s="2" t="s">
        <v>85</v>
      </c>
      <c r="C638" s="1">
        <v>5656486</v>
      </c>
      <c r="D638">
        <v>1.5531034000000001E-2</v>
      </c>
    </row>
    <row r="639" spans="1:4" x14ac:dyDescent="0.2">
      <c r="A639">
        <v>2018</v>
      </c>
      <c r="B639" s="2" t="s">
        <v>86</v>
      </c>
      <c r="C639" s="1">
        <v>2787199</v>
      </c>
      <c r="D639">
        <v>7.6528220000000001E-3</v>
      </c>
    </row>
    <row r="640" spans="1:4" x14ac:dyDescent="0.2">
      <c r="A640">
        <v>2018</v>
      </c>
      <c r="B640" s="2" t="s">
        <v>87</v>
      </c>
      <c r="C640" s="1">
        <v>315400</v>
      </c>
      <c r="D640">
        <v>8.6599400000000003E-4</v>
      </c>
    </row>
    <row r="641" spans="1:4" x14ac:dyDescent="0.2">
      <c r="A641">
        <v>2018</v>
      </c>
      <c r="B641" s="2" t="s">
        <v>88</v>
      </c>
      <c r="C641" s="1">
        <v>6186</v>
      </c>
      <c r="D641">
        <v>1.6985000000000001E-5</v>
      </c>
    </row>
    <row r="642" spans="1:4" x14ac:dyDescent="0.2">
      <c r="A642">
        <v>2018</v>
      </c>
      <c r="B642" s="2" t="s">
        <v>89</v>
      </c>
      <c r="C642" s="1">
        <v>925826</v>
      </c>
      <c r="D642">
        <v>2.5420439999999998E-3</v>
      </c>
    </row>
    <row r="643" spans="1:4" x14ac:dyDescent="0.2">
      <c r="A643">
        <v>2018</v>
      </c>
      <c r="B643" s="2" t="s">
        <v>159</v>
      </c>
      <c r="C643" s="1">
        <v>132699</v>
      </c>
      <c r="D643">
        <v>3.6435200000000002E-4</v>
      </c>
    </row>
    <row r="644" spans="1:4" x14ac:dyDescent="0.2">
      <c r="A644">
        <v>2018</v>
      </c>
      <c r="B644" s="2" t="s">
        <v>90</v>
      </c>
      <c r="C644" s="1">
        <v>131595</v>
      </c>
      <c r="D644">
        <v>3.6132200000000002E-4</v>
      </c>
    </row>
    <row r="645" spans="1:4" x14ac:dyDescent="0.2">
      <c r="A645">
        <v>2018</v>
      </c>
      <c r="B645" s="2" t="s">
        <v>187</v>
      </c>
      <c r="C645" s="1">
        <v>2085434</v>
      </c>
      <c r="D645">
        <v>5.7259839999999999E-3</v>
      </c>
    </row>
    <row r="646" spans="1:4" x14ac:dyDescent="0.2">
      <c r="A646">
        <v>2018</v>
      </c>
      <c r="B646" s="2" t="s">
        <v>92</v>
      </c>
      <c r="C646" s="1">
        <v>341533</v>
      </c>
      <c r="D646">
        <v>9.3774799999999997E-4</v>
      </c>
    </row>
    <row r="647" spans="1:4" x14ac:dyDescent="0.2">
      <c r="A647">
        <v>2018</v>
      </c>
      <c r="B647" s="2" t="s">
        <v>93</v>
      </c>
      <c r="C647" s="1">
        <v>130112</v>
      </c>
      <c r="D647">
        <v>3.5724800000000001E-4</v>
      </c>
    </row>
    <row r="648" spans="1:4" x14ac:dyDescent="0.2">
      <c r="A648">
        <v>2018</v>
      </c>
      <c r="B648" s="2" t="s">
        <v>160</v>
      </c>
      <c r="C648" s="1">
        <v>98545</v>
      </c>
      <c r="D648">
        <v>2.70575E-4</v>
      </c>
    </row>
    <row r="649" spans="1:4" x14ac:dyDescent="0.2">
      <c r="A649">
        <v>2018</v>
      </c>
      <c r="B649" s="2" t="s">
        <v>161</v>
      </c>
      <c r="C649" s="1">
        <v>438954</v>
      </c>
      <c r="D649">
        <v>1.2052370000000001E-3</v>
      </c>
    </row>
    <row r="650" spans="1:4" x14ac:dyDescent="0.2">
      <c r="A650">
        <v>2018</v>
      </c>
      <c r="B650" s="2" t="s">
        <v>204</v>
      </c>
      <c r="C650" s="1">
        <v>125235</v>
      </c>
      <c r="D650">
        <v>3.4385900000000002E-4</v>
      </c>
    </row>
    <row r="651" spans="1:4" x14ac:dyDescent="0.2">
      <c r="A651">
        <v>2018</v>
      </c>
      <c r="B651" s="2" t="s">
        <v>95</v>
      </c>
      <c r="C651" s="1">
        <v>380884</v>
      </c>
      <c r="D651">
        <v>1.045795E-3</v>
      </c>
    </row>
    <row r="652" spans="1:4" x14ac:dyDescent="0.2">
      <c r="A652">
        <v>2018</v>
      </c>
      <c r="B652" s="2" t="s">
        <v>162</v>
      </c>
      <c r="C652" s="1">
        <v>234430</v>
      </c>
      <c r="D652">
        <v>6.4367600000000004E-4</v>
      </c>
    </row>
    <row r="653" spans="1:4" x14ac:dyDescent="0.2">
      <c r="A653">
        <v>2018</v>
      </c>
      <c r="B653" s="2" t="s">
        <v>96</v>
      </c>
      <c r="C653" s="1">
        <v>1022897</v>
      </c>
      <c r="D653">
        <v>2.8085720000000001E-3</v>
      </c>
    </row>
    <row r="654" spans="1:4" x14ac:dyDescent="0.2">
      <c r="A654">
        <v>2018</v>
      </c>
      <c r="B654" s="2" t="s">
        <v>97</v>
      </c>
      <c r="C654" s="1">
        <v>298095</v>
      </c>
      <c r="D654">
        <v>8.1848000000000001E-4</v>
      </c>
    </row>
    <row r="655" spans="1:4" x14ac:dyDescent="0.2">
      <c r="A655">
        <v>2018</v>
      </c>
      <c r="B655" s="2" t="s">
        <v>98</v>
      </c>
      <c r="C655" s="1">
        <v>795898</v>
      </c>
      <c r="D655">
        <v>2.1853010000000002E-3</v>
      </c>
    </row>
    <row r="656" spans="1:4" x14ac:dyDescent="0.2">
      <c r="A656">
        <v>2018</v>
      </c>
      <c r="B656" s="2" t="s">
        <v>99</v>
      </c>
      <c r="C656" s="1">
        <v>413287</v>
      </c>
      <c r="D656">
        <v>1.1347620000000001E-3</v>
      </c>
    </row>
    <row r="657" spans="1:4" x14ac:dyDescent="0.2">
      <c r="A657">
        <v>2018</v>
      </c>
      <c r="B657" s="2" t="s">
        <v>100</v>
      </c>
      <c r="C657" s="1">
        <v>87831</v>
      </c>
      <c r="D657">
        <v>2.41158E-4</v>
      </c>
    </row>
    <row r="658" spans="1:4" x14ac:dyDescent="0.2">
      <c r="A658">
        <v>2018</v>
      </c>
      <c r="B658" s="2" t="s">
        <v>205</v>
      </c>
      <c r="C658" s="1">
        <v>1071764</v>
      </c>
      <c r="D658">
        <v>2.9427469999999999E-3</v>
      </c>
    </row>
    <row r="659" spans="1:4" x14ac:dyDescent="0.2">
      <c r="A659">
        <v>2018</v>
      </c>
      <c r="B659" s="2" t="s">
        <v>102</v>
      </c>
      <c r="C659" s="1">
        <v>550262</v>
      </c>
      <c r="D659">
        <v>1.510857E-3</v>
      </c>
    </row>
    <row r="660" spans="1:4" x14ac:dyDescent="0.2">
      <c r="A660">
        <v>2018</v>
      </c>
      <c r="B660" s="2" t="s">
        <v>163</v>
      </c>
      <c r="C660" s="1">
        <v>142420</v>
      </c>
      <c r="D660">
        <v>3.9104400000000001E-4</v>
      </c>
    </row>
    <row r="661" spans="1:4" x14ac:dyDescent="0.2">
      <c r="A661">
        <v>2018</v>
      </c>
      <c r="B661" s="2" t="s">
        <v>103</v>
      </c>
      <c r="C661" s="1">
        <v>646170</v>
      </c>
      <c r="D661">
        <v>1.7741930000000001E-3</v>
      </c>
    </row>
    <row r="662" spans="1:4" x14ac:dyDescent="0.2">
      <c r="A662">
        <v>2018</v>
      </c>
      <c r="B662" s="2" t="s">
        <v>104</v>
      </c>
      <c r="C662" s="1">
        <v>43496</v>
      </c>
      <c r="D662">
        <v>1.19426E-4</v>
      </c>
    </row>
    <row r="663" spans="1:4" x14ac:dyDescent="0.2">
      <c r="A663">
        <v>2018</v>
      </c>
      <c r="B663" s="2" t="s">
        <v>164</v>
      </c>
      <c r="C663" s="1">
        <v>65558</v>
      </c>
      <c r="D663">
        <v>1.8000199999999999E-4</v>
      </c>
    </row>
    <row r="664" spans="1:4" x14ac:dyDescent="0.2">
      <c r="A664">
        <v>2018</v>
      </c>
      <c r="B664" s="2" t="s">
        <v>165</v>
      </c>
      <c r="C664" s="1">
        <v>146344</v>
      </c>
      <c r="D664">
        <v>4.0181800000000002E-4</v>
      </c>
    </row>
    <row r="665" spans="1:4" x14ac:dyDescent="0.2">
      <c r="A665">
        <v>2018</v>
      </c>
      <c r="B665" s="2" t="s">
        <v>105</v>
      </c>
      <c r="C665" s="1">
        <v>1036419</v>
      </c>
      <c r="D665">
        <v>2.8457000000000001E-3</v>
      </c>
    </row>
    <row r="666" spans="1:4" x14ac:dyDescent="0.2">
      <c r="A666">
        <v>2018</v>
      </c>
      <c r="B666" s="2" t="s">
        <v>206</v>
      </c>
      <c r="C666" s="1">
        <v>166969</v>
      </c>
      <c r="D666">
        <v>4.5844899999999999E-4</v>
      </c>
    </row>
    <row r="667" spans="1:4" x14ac:dyDescent="0.2">
      <c r="A667">
        <v>2018</v>
      </c>
      <c r="B667" s="2" t="s">
        <v>166</v>
      </c>
      <c r="C667" s="1">
        <v>138991</v>
      </c>
      <c r="D667">
        <v>3.8162899999999997E-4</v>
      </c>
    </row>
    <row r="668" spans="1:4" x14ac:dyDescent="0.2">
      <c r="A668">
        <v>2018</v>
      </c>
      <c r="B668" s="2" t="s">
        <v>167</v>
      </c>
      <c r="C668" s="1">
        <v>171562</v>
      </c>
      <c r="D668">
        <v>4.71058E-4</v>
      </c>
    </row>
    <row r="669" spans="1:4" x14ac:dyDescent="0.2">
      <c r="A669">
        <v>2018</v>
      </c>
      <c r="B669" s="2" t="s">
        <v>106</v>
      </c>
      <c r="C669" s="1">
        <v>8427</v>
      </c>
      <c r="D669">
        <v>2.3136999999999999E-5</v>
      </c>
    </row>
    <row r="670" spans="1:4" x14ac:dyDescent="0.2">
      <c r="A670">
        <v>2018</v>
      </c>
      <c r="B670" s="2" t="s">
        <v>107</v>
      </c>
      <c r="C670" s="1">
        <v>192801</v>
      </c>
      <c r="D670">
        <v>5.2937399999999999E-4</v>
      </c>
    </row>
    <row r="671" spans="1:4" x14ac:dyDescent="0.2">
      <c r="A671">
        <v>2018</v>
      </c>
      <c r="B671" s="2" t="s">
        <v>108</v>
      </c>
      <c r="C671" s="1">
        <v>4265527</v>
      </c>
      <c r="D671">
        <v>1.1711875E-2</v>
      </c>
    </row>
    <row r="672" spans="1:4" x14ac:dyDescent="0.2">
      <c r="A672">
        <v>2018</v>
      </c>
      <c r="B672" s="2" t="s">
        <v>168</v>
      </c>
      <c r="C672" s="1">
        <v>61334</v>
      </c>
      <c r="D672">
        <v>1.6840400000000001E-4</v>
      </c>
    </row>
    <row r="673" spans="1:4" x14ac:dyDescent="0.2">
      <c r="A673">
        <v>2018</v>
      </c>
      <c r="B673" s="2" t="s">
        <v>109</v>
      </c>
      <c r="C673" s="1">
        <v>302946</v>
      </c>
      <c r="D673">
        <v>8.3179900000000004E-4</v>
      </c>
    </row>
    <row r="674" spans="1:4" x14ac:dyDescent="0.2">
      <c r="A674">
        <v>2018</v>
      </c>
      <c r="B674" s="2" t="s">
        <v>110</v>
      </c>
      <c r="C674" s="1">
        <v>3845409</v>
      </c>
      <c r="D674">
        <v>1.0558352999999999E-2</v>
      </c>
    </row>
    <row r="675" spans="1:4" x14ac:dyDescent="0.2">
      <c r="A675">
        <v>2018</v>
      </c>
      <c r="B675" s="2" t="s">
        <v>169</v>
      </c>
      <c r="C675" s="1">
        <v>144502</v>
      </c>
      <c r="D675">
        <v>3.96759E-4</v>
      </c>
    </row>
    <row r="676" spans="1:4" x14ac:dyDescent="0.2">
      <c r="A676">
        <v>2018</v>
      </c>
      <c r="B676" s="2" t="s">
        <v>170</v>
      </c>
      <c r="C676" s="1">
        <v>254390</v>
      </c>
      <c r="D676">
        <v>6.9847900000000001E-4</v>
      </c>
    </row>
    <row r="677" spans="1:4" x14ac:dyDescent="0.2">
      <c r="A677">
        <v>2018</v>
      </c>
      <c r="B677" s="2" t="s">
        <v>111</v>
      </c>
      <c r="C677" s="1">
        <v>353660</v>
      </c>
      <c r="D677">
        <v>9.7104500000000002E-4</v>
      </c>
    </row>
    <row r="678" spans="1:4" x14ac:dyDescent="0.2">
      <c r="A678">
        <v>2018</v>
      </c>
      <c r="B678" s="2" t="s">
        <v>112</v>
      </c>
      <c r="C678" s="1">
        <v>731367</v>
      </c>
      <c r="D678">
        <v>2.0081180000000001E-3</v>
      </c>
    </row>
    <row r="679" spans="1:4" x14ac:dyDescent="0.2">
      <c r="A679">
        <v>2018</v>
      </c>
      <c r="B679" s="2" t="s">
        <v>113</v>
      </c>
      <c r="C679" s="1">
        <v>455022</v>
      </c>
      <c r="D679">
        <v>1.249357E-3</v>
      </c>
    </row>
    <row r="680" spans="1:4" x14ac:dyDescent="0.2">
      <c r="A680">
        <v>2018</v>
      </c>
      <c r="B680" s="2" t="s">
        <v>207</v>
      </c>
      <c r="C680" s="1">
        <v>723937</v>
      </c>
      <c r="D680">
        <v>1.9877179999999999E-3</v>
      </c>
    </row>
    <row r="681" spans="1:4" x14ac:dyDescent="0.2">
      <c r="A681">
        <v>2018</v>
      </c>
      <c r="B681" s="2" t="s">
        <v>116</v>
      </c>
      <c r="C681" s="1">
        <v>345884</v>
      </c>
      <c r="D681">
        <v>9.4969499999999997E-4</v>
      </c>
    </row>
    <row r="682" spans="1:4" x14ac:dyDescent="0.2">
      <c r="A682">
        <v>2018</v>
      </c>
      <c r="B682" s="2" t="s">
        <v>117</v>
      </c>
      <c r="C682" s="1">
        <v>318650</v>
      </c>
      <c r="D682">
        <v>8.7491800000000003E-4</v>
      </c>
    </row>
    <row r="683" spans="1:4" x14ac:dyDescent="0.2">
      <c r="A683">
        <v>2018</v>
      </c>
      <c r="B683" s="2" t="s">
        <v>171</v>
      </c>
      <c r="C683" s="1">
        <v>160703</v>
      </c>
      <c r="D683">
        <v>4.4124300000000002E-4</v>
      </c>
    </row>
    <row r="684" spans="1:4" x14ac:dyDescent="0.2">
      <c r="A684">
        <v>2018</v>
      </c>
      <c r="B684" s="2" t="s">
        <v>208</v>
      </c>
      <c r="C684" s="1">
        <v>209691</v>
      </c>
      <c r="D684">
        <v>5.7574899999999997E-4</v>
      </c>
    </row>
    <row r="685" spans="1:4" x14ac:dyDescent="0.2">
      <c r="A685">
        <v>2018</v>
      </c>
      <c r="B685" s="2" t="s">
        <v>119</v>
      </c>
      <c r="C685" s="1">
        <v>218946</v>
      </c>
      <c r="D685">
        <v>6.0116200000000003E-4</v>
      </c>
    </row>
    <row r="686" spans="1:4" x14ac:dyDescent="0.2">
      <c r="A686">
        <v>2018</v>
      </c>
      <c r="B686" s="2" t="s">
        <v>173</v>
      </c>
      <c r="C686" s="1">
        <v>225195</v>
      </c>
      <c r="D686">
        <v>6.1831799999999997E-4</v>
      </c>
    </row>
    <row r="687" spans="1:4" x14ac:dyDescent="0.2">
      <c r="A687">
        <v>2019</v>
      </c>
      <c r="B687" s="2" t="s">
        <v>209</v>
      </c>
      <c r="C687" s="1">
        <v>421013</v>
      </c>
      <c r="D687">
        <v>1.0950389999999999E-3</v>
      </c>
    </row>
    <row r="688" spans="1:4" x14ac:dyDescent="0.2">
      <c r="A688">
        <v>2019</v>
      </c>
      <c r="B688" s="2" t="s">
        <v>189</v>
      </c>
      <c r="C688" s="1">
        <v>137114</v>
      </c>
      <c r="D688">
        <v>3.5662900000000002E-4</v>
      </c>
    </row>
    <row r="689" spans="1:4" x14ac:dyDescent="0.2">
      <c r="A689">
        <v>2019</v>
      </c>
      <c r="B689" s="2" t="s">
        <v>210</v>
      </c>
      <c r="C689" s="1">
        <v>872900</v>
      </c>
      <c r="D689">
        <v>2.270382E-3</v>
      </c>
    </row>
    <row r="690" spans="1:4" x14ac:dyDescent="0.2">
      <c r="A690">
        <v>2019</v>
      </c>
      <c r="B690" s="2" t="s">
        <v>121</v>
      </c>
      <c r="C690" s="1">
        <v>144780</v>
      </c>
      <c r="D690">
        <v>3.7656899999999999E-4</v>
      </c>
    </row>
    <row r="691" spans="1:4" x14ac:dyDescent="0.2">
      <c r="A691">
        <v>2019</v>
      </c>
      <c r="B691" s="2" t="s">
        <v>122</v>
      </c>
      <c r="C691" s="1">
        <v>217150</v>
      </c>
      <c r="D691">
        <v>5.6479999999999996E-4</v>
      </c>
    </row>
    <row r="692" spans="1:4" x14ac:dyDescent="0.2">
      <c r="A692">
        <v>2019</v>
      </c>
      <c r="B692" s="2" t="s">
        <v>123</v>
      </c>
      <c r="C692" s="1">
        <v>170182</v>
      </c>
      <c r="D692">
        <v>4.4263800000000003E-4</v>
      </c>
    </row>
    <row r="693" spans="1:4" x14ac:dyDescent="0.2">
      <c r="A693">
        <v>2019</v>
      </c>
      <c r="B693" s="2" t="s">
        <v>211</v>
      </c>
      <c r="C693" s="1">
        <v>16582</v>
      </c>
      <c r="D693">
        <v>4.3129E-5</v>
      </c>
    </row>
    <row r="694" spans="1:4" x14ac:dyDescent="0.2">
      <c r="A694">
        <v>2019</v>
      </c>
      <c r="B694" s="2" t="s">
        <v>212</v>
      </c>
      <c r="C694" s="1">
        <v>13758</v>
      </c>
      <c r="D694">
        <v>3.5782999999999999E-5</v>
      </c>
    </row>
    <row r="695" spans="1:4" x14ac:dyDescent="0.2">
      <c r="A695">
        <v>2019</v>
      </c>
      <c r="B695" s="2" t="s">
        <v>7</v>
      </c>
      <c r="C695" s="1">
        <v>232262</v>
      </c>
      <c r="D695">
        <v>6.0410499999999996E-4</v>
      </c>
    </row>
    <row r="696" spans="1:4" x14ac:dyDescent="0.2">
      <c r="A696">
        <v>2019</v>
      </c>
      <c r="B696" s="2" t="s">
        <v>213</v>
      </c>
      <c r="C696" s="1">
        <v>557142</v>
      </c>
      <c r="D696">
        <v>1.4491059999999999E-3</v>
      </c>
    </row>
    <row r="697" spans="1:4" x14ac:dyDescent="0.2">
      <c r="A697">
        <v>2019</v>
      </c>
      <c r="B697" s="2" t="s">
        <v>124</v>
      </c>
      <c r="C697" s="1">
        <v>89254</v>
      </c>
      <c r="D697">
        <v>2.32148E-4</v>
      </c>
    </row>
    <row r="698" spans="1:4" x14ac:dyDescent="0.2">
      <c r="A698">
        <v>2019</v>
      </c>
      <c r="B698" s="2" t="s">
        <v>214</v>
      </c>
      <c r="C698" s="1">
        <v>202916</v>
      </c>
      <c r="D698">
        <v>5.2777800000000001E-4</v>
      </c>
    </row>
    <row r="699" spans="1:4" x14ac:dyDescent="0.2">
      <c r="A699">
        <v>2019</v>
      </c>
      <c r="B699" s="2" t="s">
        <v>215</v>
      </c>
      <c r="C699" s="1">
        <v>1788455</v>
      </c>
      <c r="D699">
        <v>4.6517049999999999E-3</v>
      </c>
    </row>
    <row r="700" spans="1:4" x14ac:dyDescent="0.2">
      <c r="A700">
        <v>2019</v>
      </c>
      <c r="B700" s="2" t="s">
        <v>216</v>
      </c>
      <c r="C700" s="1">
        <v>3849162</v>
      </c>
      <c r="D700">
        <v>1.0011528E-2</v>
      </c>
    </row>
    <row r="701" spans="1:4" x14ac:dyDescent="0.2">
      <c r="A701">
        <v>2019</v>
      </c>
      <c r="B701" s="2" t="s">
        <v>217</v>
      </c>
      <c r="C701" s="1">
        <v>117072</v>
      </c>
      <c r="D701">
        <v>3.0450099999999999E-4</v>
      </c>
    </row>
    <row r="702" spans="1:4" x14ac:dyDescent="0.2">
      <c r="A702">
        <v>2019</v>
      </c>
      <c r="B702" s="2" t="s">
        <v>218</v>
      </c>
      <c r="C702" s="1">
        <v>17429826</v>
      </c>
      <c r="D702">
        <v>4.5334328E-2</v>
      </c>
    </row>
    <row r="703" spans="1:4" x14ac:dyDescent="0.2">
      <c r="A703">
        <v>2019</v>
      </c>
      <c r="B703" s="2" t="s">
        <v>13</v>
      </c>
      <c r="C703" s="1">
        <v>5802877</v>
      </c>
      <c r="D703">
        <v>1.5093067E-2</v>
      </c>
    </row>
    <row r="704" spans="1:4" x14ac:dyDescent="0.2">
      <c r="A704">
        <v>2019</v>
      </c>
      <c r="B704" s="2" t="s">
        <v>219</v>
      </c>
      <c r="C704" s="1">
        <v>790595</v>
      </c>
      <c r="D704">
        <v>2.0563090000000001E-3</v>
      </c>
    </row>
    <row r="705" spans="1:4" x14ac:dyDescent="0.2">
      <c r="A705">
        <v>2019</v>
      </c>
      <c r="B705" s="2" t="s">
        <v>220</v>
      </c>
      <c r="C705" s="1">
        <v>204925</v>
      </c>
      <c r="D705">
        <v>5.3300299999999999E-4</v>
      </c>
    </row>
    <row r="706" spans="1:4" x14ac:dyDescent="0.2">
      <c r="A706">
        <v>2019</v>
      </c>
      <c r="B706" s="2" t="s">
        <v>17</v>
      </c>
      <c r="C706" s="1">
        <v>602464</v>
      </c>
      <c r="D706">
        <v>1.566986E-3</v>
      </c>
    </row>
    <row r="707" spans="1:4" x14ac:dyDescent="0.2">
      <c r="A707">
        <v>2019</v>
      </c>
      <c r="B707" s="2" t="s">
        <v>221</v>
      </c>
      <c r="C707" s="1">
        <v>250439</v>
      </c>
      <c r="D707">
        <v>6.5138100000000003E-4</v>
      </c>
    </row>
    <row r="708" spans="1:4" x14ac:dyDescent="0.2">
      <c r="A708">
        <v>2019</v>
      </c>
      <c r="B708" s="2" t="s">
        <v>222</v>
      </c>
      <c r="C708" s="1">
        <v>2979912</v>
      </c>
      <c r="D708">
        <v>7.750641E-3</v>
      </c>
    </row>
    <row r="709" spans="1:4" x14ac:dyDescent="0.2">
      <c r="A709">
        <v>2019</v>
      </c>
      <c r="B709" s="2" t="s">
        <v>223</v>
      </c>
      <c r="C709" s="1">
        <v>126291</v>
      </c>
      <c r="D709">
        <v>3.2847799999999999E-4</v>
      </c>
    </row>
    <row r="710" spans="1:4" x14ac:dyDescent="0.2">
      <c r="A710">
        <v>2019</v>
      </c>
      <c r="B710" s="2" t="s">
        <v>224</v>
      </c>
      <c r="C710" s="1">
        <v>131872</v>
      </c>
      <c r="D710">
        <v>3.4299299999999999E-4</v>
      </c>
    </row>
    <row r="711" spans="1:4" x14ac:dyDescent="0.2">
      <c r="A711">
        <v>2019</v>
      </c>
      <c r="B711" s="2" t="s">
        <v>225</v>
      </c>
      <c r="C711" s="1">
        <v>353875</v>
      </c>
      <c r="D711">
        <v>9.2041699999999998E-4</v>
      </c>
    </row>
    <row r="712" spans="1:4" x14ac:dyDescent="0.2">
      <c r="A712">
        <v>2019</v>
      </c>
      <c r="B712" s="2" t="s">
        <v>226</v>
      </c>
      <c r="C712" s="1">
        <v>169587</v>
      </c>
      <c r="D712">
        <v>4.4108800000000002E-4</v>
      </c>
    </row>
    <row r="713" spans="1:4" x14ac:dyDescent="0.2">
      <c r="A713">
        <v>2019</v>
      </c>
      <c r="B713" s="2" t="s">
        <v>227</v>
      </c>
      <c r="C713" s="1">
        <v>2872106</v>
      </c>
      <c r="D713">
        <v>7.4702409999999999E-3</v>
      </c>
    </row>
    <row r="714" spans="1:4" x14ac:dyDescent="0.2">
      <c r="A714">
        <v>2019</v>
      </c>
      <c r="B714" s="2" t="s">
        <v>228</v>
      </c>
      <c r="C714" s="1">
        <v>186754</v>
      </c>
      <c r="D714">
        <v>4.8574099999999998E-4</v>
      </c>
    </row>
    <row r="715" spans="1:4" x14ac:dyDescent="0.2">
      <c r="A715">
        <v>2019</v>
      </c>
      <c r="B715" s="2" t="s">
        <v>229</v>
      </c>
      <c r="C715" s="1">
        <v>227568</v>
      </c>
      <c r="D715">
        <v>5.9189599999999996E-4</v>
      </c>
    </row>
    <row r="716" spans="1:4" x14ac:dyDescent="0.2">
      <c r="A716">
        <v>2019</v>
      </c>
      <c r="B716" s="2" t="s">
        <v>126</v>
      </c>
      <c r="C716" s="1">
        <v>105463</v>
      </c>
      <c r="D716">
        <v>2.7430500000000002E-4</v>
      </c>
    </row>
    <row r="717" spans="1:4" x14ac:dyDescent="0.2">
      <c r="A717">
        <v>2019</v>
      </c>
      <c r="B717" s="2" t="s">
        <v>230</v>
      </c>
      <c r="C717" s="1">
        <v>129633</v>
      </c>
      <c r="D717">
        <v>3.3717099999999999E-4</v>
      </c>
    </row>
    <row r="718" spans="1:4" x14ac:dyDescent="0.2">
      <c r="A718">
        <v>2019</v>
      </c>
      <c r="B718" s="2" t="s">
        <v>231</v>
      </c>
      <c r="C718" s="1">
        <v>741227</v>
      </c>
      <c r="D718">
        <v>1.927904E-3</v>
      </c>
    </row>
    <row r="719" spans="1:4" x14ac:dyDescent="0.2">
      <c r="A719">
        <v>2019</v>
      </c>
      <c r="B719" s="2" t="s">
        <v>127</v>
      </c>
      <c r="C719" s="1">
        <v>302097</v>
      </c>
      <c r="D719">
        <v>7.8574299999999999E-4</v>
      </c>
    </row>
    <row r="720" spans="1:4" x14ac:dyDescent="0.2">
      <c r="A720">
        <v>2019</v>
      </c>
      <c r="B720" s="2" t="s">
        <v>232</v>
      </c>
      <c r="C720" s="1">
        <v>5524508</v>
      </c>
      <c r="D720">
        <v>1.4369041000000001E-2</v>
      </c>
    </row>
    <row r="721" spans="1:4" x14ac:dyDescent="0.2">
      <c r="A721">
        <v>2019</v>
      </c>
      <c r="B721" s="2" t="s">
        <v>233</v>
      </c>
      <c r="C721" s="1">
        <v>310030</v>
      </c>
      <c r="D721">
        <v>8.0637600000000003E-4</v>
      </c>
    </row>
    <row r="722" spans="1:4" x14ac:dyDescent="0.2">
      <c r="A722">
        <v>2019</v>
      </c>
      <c r="B722" s="2" t="s">
        <v>234</v>
      </c>
      <c r="C722" s="1">
        <v>1800130</v>
      </c>
      <c r="D722">
        <v>4.68207E-3</v>
      </c>
    </row>
    <row r="723" spans="1:4" x14ac:dyDescent="0.2">
      <c r="A723">
        <v>2019</v>
      </c>
      <c r="B723" s="2" t="s">
        <v>179</v>
      </c>
      <c r="C723" s="1">
        <v>834890</v>
      </c>
      <c r="D723">
        <v>2.1715179999999999E-3</v>
      </c>
    </row>
    <row r="724" spans="1:4" x14ac:dyDescent="0.2">
      <c r="A724">
        <v>2019</v>
      </c>
      <c r="B724" s="2" t="s">
        <v>128</v>
      </c>
      <c r="C724" s="1">
        <v>386668</v>
      </c>
      <c r="D724">
        <v>1.005709E-3</v>
      </c>
    </row>
    <row r="725" spans="1:4" x14ac:dyDescent="0.2">
      <c r="A725">
        <v>2019</v>
      </c>
      <c r="B725" s="2" t="s">
        <v>235</v>
      </c>
      <c r="C725" s="1">
        <v>249059</v>
      </c>
      <c r="D725">
        <v>6.4779300000000002E-4</v>
      </c>
    </row>
    <row r="726" spans="1:4" x14ac:dyDescent="0.2">
      <c r="A726">
        <v>2019</v>
      </c>
      <c r="B726" s="2" t="s">
        <v>236</v>
      </c>
      <c r="C726" s="1">
        <v>158719</v>
      </c>
      <c r="D726">
        <v>4.1282100000000001E-4</v>
      </c>
    </row>
    <row r="727" spans="1:4" x14ac:dyDescent="0.2">
      <c r="A727">
        <v>2019</v>
      </c>
      <c r="B727" s="2" t="s">
        <v>237</v>
      </c>
      <c r="C727" s="1">
        <v>99225</v>
      </c>
      <c r="D727">
        <v>2.5808199999999997E-4</v>
      </c>
    </row>
    <row r="728" spans="1:4" x14ac:dyDescent="0.2">
      <c r="A728">
        <v>2019</v>
      </c>
      <c r="B728" s="2" t="s">
        <v>238</v>
      </c>
      <c r="C728" s="1">
        <v>139446</v>
      </c>
      <c r="D728">
        <v>3.6269399999999999E-4</v>
      </c>
    </row>
    <row r="729" spans="1:4" x14ac:dyDescent="0.2">
      <c r="A729">
        <v>2019</v>
      </c>
      <c r="B729" s="2" t="s">
        <v>239</v>
      </c>
      <c r="C729" s="1">
        <v>1272823</v>
      </c>
      <c r="D729">
        <v>3.3105650000000001E-3</v>
      </c>
    </row>
    <row r="730" spans="1:4" x14ac:dyDescent="0.2">
      <c r="A730">
        <v>2019</v>
      </c>
      <c r="B730" s="2" t="s">
        <v>129</v>
      </c>
      <c r="C730" s="1">
        <v>116495</v>
      </c>
      <c r="D730">
        <v>3.0299899999999998E-4</v>
      </c>
    </row>
    <row r="731" spans="1:4" x14ac:dyDescent="0.2">
      <c r="A731">
        <v>2019</v>
      </c>
      <c r="B731" s="2" t="s">
        <v>240</v>
      </c>
      <c r="C731" s="1">
        <v>784735</v>
      </c>
      <c r="D731">
        <v>2.0410670000000001E-3</v>
      </c>
    </row>
    <row r="732" spans="1:4" x14ac:dyDescent="0.2">
      <c r="A732">
        <v>2019</v>
      </c>
      <c r="B732" s="2" t="s">
        <v>241</v>
      </c>
      <c r="C732" s="1">
        <v>338820</v>
      </c>
      <c r="D732">
        <v>8.8125900000000001E-4</v>
      </c>
    </row>
    <row r="733" spans="1:4" x14ac:dyDescent="0.2">
      <c r="A733">
        <v>2019</v>
      </c>
      <c r="B733" s="2" t="s">
        <v>242</v>
      </c>
      <c r="C733" s="1">
        <v>808596</v>
      </c>
      <c r="D733">
        <v>2.1031270000000002E-3</v>
      </c>
    </row>
    <row r="734" spans="1:4" x14ac:dyDescent="0.2">
      <c r="A734">
        <v>2019</v>
      </c>
      <c r="B734" s="2" t="s">
        <v>243</v>
      </c>
      <c r="C734" s="1">
        <v>83416</v>
      </c>
      <c r="D734">
        <v>2.1696199999999999E-4</v>
      </c>
    </row>
    <row r="735" spans="1:4" x14ac:dyDescent="0.2">
      <c r="A735">
        <v>2019</v>
      </c>
      <c r="B735" s="2" t="s">
        <v>244</v>
      </c>
      <c r="C735" s="1">
        <v>166305</v>
      </c>
      <c r="D735">
        <v>4.32552E-4</v>
      </c>
    </row>
    <row r="736" spans="1:4" x14ac:dyDescent="0.2">
      <c r="A736">
        <v>2019</v>
      </c>
      <c r="B736" s="2" t="s">
        <v>245</v>
      </c>
      <c r="C736" s="1">
        <v>81188</v>
      </c>
      <c r="D736">
        <v>2.1116599999999999E-4</v>
      </c>
    </row>
    <row r="737" spans="1:4" x14ac:dyDescent="0.2">
      <c r="A737">
        <v>2019</v>
      </c>
      <c r="B737" s="2" t="s">
        <v>196</v>
      </c>
      <c r="C737" s="1">
        <v>102272</v>
      </c>
      <c r="D737">
        <v>2.66006E-4</v>
      </c>
    </row>
    <row r="738" spans="1:4" x14ac:dyDescent="0.2">
      <c r="A738">
        <v>2019</v>
      </c>
      <c r="B738" s="2" t="s">
        <v>246</v>
      </c>
      <c r="C738" s="1">
        <v>211543</v>
      </c>
      <c r="D738">
        <v>5.5021599999999996E-4</v>
      </c>
    </row>
    <row r="739" spans="1:4" x14ac:dyDescent="0.2">
      <c r="A739">
        <v>2019</v>
      </c>
      <c r="B739" s="2" t="s">
        <v>247</v>
      </c>
      <c r="C739" s="1">
        <v>48767</v>
      </c>
      <c r="D739">
        <v>1.2684E-4</v>
      </c>
    </row>
    <row r="740" spans="1:4" x14ac:dyDescent="0.2">
      <c r="A740">
        <v>2019</v>
      </c>
      <c r="B740" s="2" t="s">
        <v>248</v>
      </c>
      <c r="C740" s="1">
        <v>259809</v>
      </c>
      <c r="D740">
        <v>6.75755E-4</v>
      </c>
    </row>
    <row r="741" spans="1:4" x14ac:dyDescent="0.2">
      <c r="A741">
        <v>2019</v>
      </c>
      <c r="B741" s="2" t="s">
        <v>249</v>
      </c>
      <c r="C741" s="1">
        <v>258692</v>
      </c>
      <c r="D741">
        <v>6.7284799999999998E-4</v>
      </c>
    </row>
    <row r="742" spans="1:4" x14ac:dyDescent="0.2">
      <c r="A742">
        <v>2019</v>
      </c>
      <c r="B742" s="2" t="s">
        <v>250</v>
      </c>
      <c r="C742" s="1">
        <v>615732</v>
      </c>
      <c r="D742">
        <v>1.6014950000000001E-3</v>
      </c>
    </row>
    <row r="743" spans="1:4" x14ac:dyDescent="0.2">
      <c r="A743">
        <v>2019</v>
      </c>
      <c r="B743" s="2" t="s">
        <v>251</v>
      </c>
      <c r="C743" s="1">
        <v>279282</v>
      </c>
      <c r="D743">
        <v>7.2640200000000002E-4</v>
      </c>
    </row>
    <row r="744" spans="1:4" x14ac:dyDescent="0.2">
      <c r="A744">
        <v>2019</v>
      </c>
      <c r="B744" s="2" t="s">
        <v>252</v>
      </c>
      <c r="C744" s="1">
        <v>206612</v>
      </c>
      <c r="D744">
        <v>5.3739100000000002E-4</v>
      </c>
    </row>
    <row r="745" spans="1:4" x14ac:dyDescent="0.2">
      <c r="A745">
        <v>2019</v>
      </c>
      <c r="B745" s="2" t="s">
        <v>253</v>
      </c>
      <c r="C745" s="1">
        <v>219673</v>
      </c>
      <c r="D745">
        <v>5.7136100000000005E-4</v>
      </c>
    </row>
    <row r="746" spans="1:4" x14ac:dyDescent="0.2">
      <c r="A746">
        <v>2019</v>
      </c>
      <c r="B746" s="2" t="s">
        <v>130</v>
      </c>
      <c r="C746" s="1">
        <v>98978</v>
      </c>
      <c r="D746">
        <v>2.5743899999999999E-4</v>
      </c>
    </row>
    <row r="747" spans="1:4" x14ac:dyDescent="0.2">
      <c r="A747">
        <v>2019</v>
      </c>
      <c r="B747" s="2" t="s">
        <v>131</v>
      </c>
      <c r="C747" s="1">
        <v>177441</v>
      </c>
      <c r="D747">
        <v>4.6151800000000001E-4</v>
      </c>
    </row>
    <row r="748" spans="1:4" x14ac:dyDescent="0.2">
      <c r="A748">
        <v>2019</v>
      </c>
      <c r="B748" s="2" t="s">
        <v>254</v>
      </c>
      <c r="C748" s="1">
        <v>155558</v>
      </c>
      <c r="D748">
        <v>4.0460000000000002E-4</v>
      </c>
    </row>
    <row r="749" spans="1:4" x14ac:dyDescent="0.2">
      <c r="A749">
        <v>2019</v>
      </c>
      <c r="B749" s="2" t="s">
        <v>255</v>
      </c>
      <c r="C749" s="1">
        <v>513344</v>
      </c>
      <c r="D749">
        <v>1.33519E-3</v>
      </c>
    </row>
    <row r="750" spans="1:4" x14ac:dyDescent="0.2">
      <c r="A750">
        <v>2019</v>
      </c>
      <c r="B750" s="2" t="s">
        <v>256</v>
      </c>
      <c r="C750" s="1">
        <v>167798</v>
      </c>
      <c r="D750">
        <v>4.3643700000000002E-4</v>
      </c>
    </row>
    <row r="751" spans="1:4" x14ac:dyDescent="0.2">
      <c r="A751">
        <v>2019</v>
      </c>
      <c r="B751" s="2" t="s">
        <v>132</v>
      </c>
      <c r="C751" s="1">
        <v>138935</v>
      </c>
      <c r="D751">
        <v>3.6136399999999998E-4</v>
      </c>
    </row>
    <row r="752" spans="1:4" x14ac:dyDescent="0.2">
      <c r="A752">
        <v>2019</v>
      </c>
      <c r="B752" s="2" t="s">
        <v>257</v>
      </c>
      <c r="C752" s="1">
        <v>47391</v>
      </c>
      <c r="D752">
        <v>1.2326200000000001E-4</v>
      </c>
    </row>
    <row r="753" spans="1:4" x14ac:dyDescent="0.2">
      <c r="A753">
        <v>2019</v>
      </c>
      <c r="B753" s="2" t="s">
        <v>135</v>
      </c>
      <c r="C753" s="1">
        <v>438931</v>
      </c>
      <c r="D753">
        <v>1.141644E-3</v>
      </c>
    </row>
    <row r="754" spans="1:4" x14ac:dyDescent="0.2">
      <c r="A754">
        <v>2019</v>
      </c>
      <c r="B754" s="2" t="s">
        <v>137</v>
      </c>
      <c r="C754" s="1">
        <v>59952</v>
      </c>
      <c r="D754">
        <v>1.5593399999999999E-4</v>
      </c>
    </row>
    <row r="755" spans="1:4" x14ac:dyDescent="0.2">
      <c r="A755">
        <v>2019</v>
      </c>
      <c r="B755" s="2" t="s">
        <v>258</v>
      </c>
      <c r="C755" s="1">
        <v>4850913</v>
      </c>
      <c r="D755">
        <v>1.2617045E-2</v>
      </c>
    </row>
    <row r="756" spans="1:4" x14ac:dyDescent="0.2">
      <c r="A756">
        <v>2019</v>
      </c>
      <c r="B756" s="2" t="s">
        <v>183</v>
      </c>
      <c r="C756" s="1">
        <v>138029</v>
      </c>
      <c r="D756">
        <v>3.5900800000000002E-4</v>
      </c>
    </row>
    <row r="757" spans="1:4" x14ac:dyDescent="0.2">
      <c r="A757">
        <v>2019</v>
      </c>
      <c r="B757" s="2" t="s">
        <v>143</v>
      </c>
      <c r="C757" s="1">
        <v>464407</v>
      </c>
      <c r="D757">
        <v>1.2079040000000001E-3</v>
      </c>
    </row>
    <row r="758" spans="1:4" x14ac:dyDescent="0.2">
      <c r="A758">
        <v>2019</v>
      </c>
      <c r="B758" s="2" t="s">
        <v>144</v>
      </c>
      <c r="C758" s="1">
        <v>168939</v>
      </c>
      <c r="D758">
        <v>4.3940500000000003E-4</v>
      </c>
    </row>
    <row r="759" spans="1:4" x14ac:dyDescent="0.2">
      <c r="A759">
        <v>2019</v>
      </c>
      <c r="B759" s="2" t="s">
        <v>145</v>
      </c>
      <c r="C759" s="1">
        <v>225091</v>
      </c>
      <c r="D759">
        <v>5.8545400000000001E-4</v>
      </c>
    </row>
    <row r="760" spans="1:4" x14ac:dyDescent="0.2">
      <c r="A760">
        <v>2019</v>
      </c>
      <c r="B760" s="2" t="s">
        <v>259</v>
      </c>
      <c r="C760" s="1">
        <v>1717823</v>
      </c>
      <c r="D760">
        <v>4.4679940000000003E-3</v>
      </c>
    </row>
    <row r="761" spans="1:4" x14ac:dyDescent="0.2">
      <c r="A761">
        <v>2019</v>
      </c>
      <c r="B761" s="2" t="s">
        <v>260</v>
      </c>
      <c r="C761" s="1">
        <v>246426</v>
      </c>
      <c r="D761">
        <v>6.4094399999999995E-4</v>
      </c>
    </row>
    <row r="762" spans="1:4" x14ac:dyDescent="0.2">
      <c r="A762">
        <v>2019</v>
      </c>
      <c r="B762" s="2" t="s">
        <v>51</v>
      </c>
      <c r="C762" s="1">
        <v>701931</v>
      </c>
      <c r="D762">
        <v>1.8256959999999999E-3</v>
      </c>
    </row>
    <row r="763" spans="1:4" x14ac:dyDescent="0.2">
      <c r="A763">
        <v>2019</v>
      </c>
      <c r="B763" s="2" t="s">
        <v>261</v>
      </c>
      <c r="C763" s="1">
        <v>192767</v>
      </c>
      <c r="D763">
        <v>5.0137900000000004E-4</v>
      </c>
    </row>
    <row r="764" spans="1:4" x14ac:dyDescent="0.2">
      <c r="A764">
        <v>2019</v>
      </c>
      <c r="B764" s="2" t="s">
        <v>262</v>
      </c>
      <c r="C764" s="1">
        <v>915899</v>
      </c>
      <c r="D764">
        <v>2.3822180000000002E-3</v>
      </c>
    </row>
    <row r="765" spans="1:4" x14ac:dyDescent="0.2">
      <c r="A765">
        <v>2019</v>
      </c>
      <c r="B765" s="2" t="s">
        <v>146</v>
      </c>
      <c r="C765" s="1">
        <v>86958</v>
      </c>
      <c r="D765">
        <v>2.2617500000000001E-4</v>
      </c>
    </row>
    <row r="766" spans="1:4" x14ac:dyDescent="0.2">
      <c r="A766">
        <v>2019</v>
      </c>
      <c r="B766" s="2" t="s">
        <v>54</v>
      </c>
      <c r="C766" s="1">
        <v>148486</v>
      </c>
      <c r="D766">
        <v>3.8620800000000003E-4</v>
      </c>
    </row>
    <row r="767" spans="1:4" x14ac:dyDescent="0.2">
      <c r="A767">
        <v>2019</v>
      </c>
      <c r="B767" s="2" t="s">
        <v>147</v>
      </c>
      <c r="C767" s="1">
        <v>86283</v>
      </c>
      <c r="D767">
        <v>2.2441799999999999E-4</v>
      </c>
    </row>
    <row r="768" spans="1:4" x14ac:dyDescent="0.2">
      <c r="A768">
        <v>2019</v>
      </c>
      <c r="B768" s="2" t="s">
        <v>263</v>
      </c>
      <c r="C768" s="1">
        <v>2549672</v>
      </c>
      <c r="D768">
        <v>6.631601E-3</v>
      </c>
    </row>
    <row r="769" spans="1:4" x14ac:dyDescent="0.2">
      <c r="A769">
        <v>2019</v>
      </c>
      <c r="B769" s="2" t="s">
        <v>264</v>
      </c>
      <c r="C769" s="1">
        <v>2243659</v>
      </c>
      <c r="D769">
        <v>5.8356739999999999E-3</v>
      </c>
    </row>
    <row r="770" spans="1:4" x14ac:dyDescent="0.2">
      <c r="A770">
        <v>2019</v>
      </c>
      <c r="B770" s="2" t="s">
        <v>265</v>
      </c>
      <c r="C770" s="1">
        <v>2610047</v>
      </c>
      <c r="D770">
        <v>6.7886350000000003E-3</v>
      </c>
    </row>
    <row r="771" spans="1:4" x14ac:dyDescent="0.2">
      <c r="A771">
        <v>2019</v>
      </c>
      <c r="B771" s="2" t="s">
        <v>266</v>
      </c>
      <c r="C771" s="1">
        <v>511076</v>
      </c>
      <c r="D771">
        <v>1.329289E-3</v>
      </c>
    </row>
    <row r="772" spans="1:4" x14ac:dyDescent="0.2">
      <c r="A772">
        <v>2019</v>
      </c>
      <c r="B772" s="2" t="s">
        <v>148</v>
      </c>
      <c r="C772" s="1">
        <v>91903</v>
      </c>
      <c r="D772">
        <v>2.3903600000000001E-4</v>
      </c>
    </row>
    <row r="773" spans="1:4" x14ac:dyDescent="0.2">
      <c r="A773">
        <v>2019</v>
      </c>
      <c r="B773" s="2" t="s">
        <v>267</v>
      </c>
      <c r="C773" s="1">
        <v>3159993</v>
      </c>
      <c r="D773">
        <v>8.2190249999999996E-3</v>
      </c>
    </row>
    <row r="774" spans="1:4" x14ac:dyDescent="0.2">
      <c r="A774">
        <v>2019</v>
      </c>
      <c r="B774" s="2" t="s">
        <v>149</v>
      </c>
      <c r="C774" s="1">
        <v>188838</v>
      </c>
      <c r="D774">
        <v>4.9116100000000005E-4</v>
      </c>
    </row>
    <row r="775" spans="1:4" x14ac:dyDescent="0.2">
      <c r="A775">
        <v>2019</v>
      </c>
      <c r="B775" s="2" t="s">
        <v>268</v>
      </c>
      <c r="C775" s="1">
        <v>136157</v>
      </c>
      <c r="D775">
        <v>3.5414000000000002E-4</v>
      </c>
    </row>
    <row r="776" spans="1:4" x14ac:dyDescent="0.2">
      <c r="A776">
        <v>2019</v>
      </c>
      <c r="B776" s="2" t="s">
        <v>269</v>
      </c>
      <c r="C776" s="1">
        <v>2406300</v>
      </c>
      <c r="D776">
        <v>6.2586960000000002E-3</v>
      </c>
    </row>
    <row r="777" spans="1:4" x14ac:dyDescent="0.2">
      <c r="A777">
        <v>2019</v>
      </c>
      <c r="B777" s="2" t="s">
        <v>270</v>
      </c>
      <c r="C777" s="1">
        <v>537910</v>
      </c>
      <c r="D777">
        <v>1.399085E-3</v>
      </c>
    </row>
    <row r="778" spans="1:4" x14ac:dyDescent="0.2">
      <c r="A778">
        <v>2019</v>
      </c>
      <c r="B778" s="2" t="s">
        <v>271</v>
      </c>
      <c r="C778" s="1">
        <v>414463</v>
      </c>
      <c r="D778">
        <v>1.0780029999999999E-3</v>
      </c>
    </row>
    <row r="779" spans="1:4" x14ac:dyDescent="0.2">
      <c r="A779">
        <v>2019</v>
      </c>
      <c r="B779" s="2" t="s">
        <v>272</v>
      </c>
      <c r="C779" s="1">
        <v>895516</v>
      </c>
      <c r="D779">
        <v>2.329205E-3</v>
      </c>
    </row>
    <row r="780" spans="1:4" x14ac:dyDescent="0.2">
      <c r="A780">
        <v>2019</v>
      </c>
      <c r="B780" s="2" t="s">
        <v>273</v>
      </c>
      <c r="C780" s="1">
        <v>120467</v>
      </c>
      <c r="D780">
        <v>3.1333000000000001E-4</v>
      </c>
    </row>
    <row r="781" spans="1:4" x14ac:dyDescent="0.2">
      <c r="A781">
        <v>2019</v>
      </c>
      <c r="B781" s="2" t="s">
        <v>274</v>
      </c>
      <c r="C781" s="1">
        <v>372026</v>
      </c>
      <c r="D781">
        <v>9.6762599999999997E-4</v>
      </c>
    </row>
    <row r="782" spans="1:4" x14ac:dyDescent="0.2">
      <c r="A782">
        <v>2019</v>
      </c>
      <c r="B782" s="2" t="s">
        <v>150</v>
      </c>
      <c r="C782" s="1">
        <v>134262</v>
      </c>
      <c r="D782">
        <v>3.4920900000000001E-4</v>
      </c>
    </row>
    <row r="783" spans="1:4" x14ac:dyDescent="0.2">
      <c r="A783">
        <v>2019</v>
      </c>
      <c r="B783" s="2" t="s">
        <v>151</v>
      </c>
      <c r="C783" s="1">
        <v>132248</v>
      </c>
      <c r="D783">
        <v>3.4397099999999999E-4</v>
      </c>
    </row>
    <row r="784" spans="1:4" x14ac:dyDescent="0.2">
      <c r="A784">
        <v>2019</v>
      </c>
      <c r="B784" s="2" t="s">
        <v>275</v>
      </c>
      <c r="C784" s="1">
        <v>18062679</v>
      </c>
      <c r="D784">
        <v>4.6980356000000001E-2</v>
      </c>
    </row>
    <row r="785" spans="1:4" x14ac:dyDescent="0.2">
      <c r="A785">
        <v>2019</v>
      </c>
      <c r="B785" s="2" t="s">
        <v>276</v>
      </c>
      <c r="C785" s="1">
        <v>1742403</v>
      </c>
      <c r="D785">
        <v>4.531925E-3</v>
      </c>
    </row>
    <row r="786" spans="1:4" x14ac:dyDescent="0.2">
      <c r="A786">
        <v>2019</v>
      </c>
      <c r="B786" s="2" t="s">
        <v>277</v>
      </c>
      <c r="C786" s="1">
        <v>101913</v>
      </c>
      <c r="D786">
        <v>2.6507100000000002E-4</v>
      </c>
    </row>
    <row r="787" spans="1:4" x14ac:dyDescent="0.2">
      <c r="A787">
        <v>2019</v>
      </c>
      <c r="B787" s="2" t="s">
        <v>278</v>
      </c>
      <c r="C787" s="1">
        <v>2069035</v>
      </c>
      <c r="D787">
        <v>5.3814830000000003E-3</v>
      </c>
    </row>
    <row r="788" spans="1:4" x14ac:dyDescent="0.2">
      <c r="A788">
        <v>2019</v>
      </c>
      <c r="B788" s="2" t="s">
        <v>152</v>
      </c>
      <c r="C788" s="1">
        <v>86596</v>
      </c>
      <c r="D788">
        <v>2.25233E-4</v>
      </c>
    </row>
    <row r="789" spans="1:4" x14ac:dyDescent="0.2">
      <c r="A789">
        <v>2019</v>
      </c>
      <c r="B789" s="2" t="s">
        <v>153</v>
      </c>
      <c r="C789" s="1">
        <v>78507</v>
      </c>
      <c r="D789">
        <v>2.0419500000000001E-4</v>
      </c>
    </row>
    <row r="790" spans="1:4" x14ac:dyDescent="0.2">
      <c r="A790">
        <v>2019</v>
      </c>
      <c r="B790" s="2" t="s">
        <v>279</v>
      </c>
      <c r="C790" s="1">
        <v>1783053</v>
      </c>
      <c r="D790">
        <v>4.6376530000000003E-3</v>
      </c>
    </row>
    <row r="791" spans="1:4" x14ac:dyDescent="0.2">
      <c r="A791">
        <v>2019</v>
      </c>
      <c r="B791" s="2" t="s">
        <v>280</v>
      </c>
      <c r="C791" s="1">
        <v>1715605</v>
      </c>
      <c r="D791">
        <v>4.4622259999999997E-3</v>
      </c>
    </row>
    <row r="792" spans="1:4" x14ac:dyDescent="0.2">
      <c r="A792">
        <v>2019</v>
      </c>
      <c r="B792" s="2" t="s">
        <v>72</v>
      </c>
      <c r="C792" s="1">
        <v>747825</v>
      </c>
      <c r="D792">
        <v>1.945064E-3</v>
      </c>
    </row>
    <row r="793" spans="1:4" x14ac:dyDescent="0.2">
      <c r="A793">
        <v>2019</v>
      </c>
      <c r="B793" s="2" t="s">
        <v>281</v>
      </c>
      <c r="C793" s="1">
        <v>141226</v>
      </c>
      <c r="D793">
        <v>3.67322E-4</v>
      </c>
    </row>
    <row r="794" spans="1:4" x14ac:dyDescent="0.2">
      <c r="A794">
        <v>2019</v>
      </c>
      <c r="B794" s="2" t="s">
        <v>282</v>
      </c>
      <c r="C794" s="1">
        <v>200664</v>
      </c>
      <c r="D794">
        <v>5.2191800000000001E-4</v>
      </c>
    </row>
    <row r="795" spans="1:4" x14ac:dyDescent="0.2">
      <c r="A795">
        <v>2019</v>
      </c>
      <c r="B795" s="2" t="s">
        <v>283</v>
      </c>
      <c r="C795" s="1">
        <v>6330769</v>
      </c>
      <c r="D795">
        <v>1.6466096E-2</v>
      </c>
    </row>
    <row r="796" spans="1:4" x14ac:dyDescent="0.2">
      <c r="A796">
        <v>2019</v>
      </c>
      <c r="B796" s="2" t="s">
        <v>284</v>
      </c>
      <c r="C796" s="1">
        <v>493144</v>
      </c>
      <c r="D796">
        <v>1.2826490000000001E-3</v>
      </c>
    </row>
    <row r="797" spans="1:4" x14ac:dyDescent="0.2">
      <c r="A797">
        <v>2019</v>
      </c>
      <c r="B797" s="2" t="s">
        <v>285</v>
      </c>
      <c r="C797" s="1">
        <v>140911</v>
      </c>
      <c r="D797">
        <v>3.6650499999999999E-4</v>
      </c>
    </row>
    <row r="798" spans="1:4" x14ac:dyDescent="0.2">
      <c r="A798">
        <v>2019</v>
      </c>
      <c r="B798" s="2" t="s">
        <v>286</v>
      </c>
      <c r="C798" s="1">
        <v>125728</v>
      </c>
      <c r="D798">
        <v>3.2701300000000002E-4</v>
      </c>
    </row>
    <row r="799" spans="1:4" x14ac:dyDescent="0.2">
      <c r="A799">
        <v>2019</v>
      </c>
      <c r="B799" s="2" t="s">
        <v>184</v>
      </c>
      <c r="C799" s="1">
        <v>1157820</v>
      </c>
      <c r="D799">
        <v>3.0114479999999999E-3</v>
      </c>
    </row>
    <row r="800" spans="1:4" x14ac:dyDescent="0.2">
      <c r="A800">
        <v>2019</v>
      </c>
      <c r="B800" s="2" t="s">
        <v>154</v>
      </c>
      <c r="C800" s="1">
        <v>386726</v>
      </c>
      <c r="D800">
        <v>1.005859E-3</v>
      </c>
    </row>
    <row r="801" spans="1:4" x14ac:dyDescent="0.2">
      <c r="A801">
        <v>2019</v>
      </c>
      <c r="B801" s="2" t="s">
        <v>155</v>
      </c>
      <c r="C801" s="1">
        <v>112828</v>
      </c>
      <c r="D801">
        <v>2.9346E-4</v>
      </c>
    </row>
    <row r="802" spans="1:4" x14ac:dyDescent="0.2">
      <c r="A802">
        <v>2019</v>
      </c>
      <c r="B802" s="2" t="s">
        <v>287</v>
      </c>
      <c r="C802" s="1">
        <v>233696</v>
      </c>
      <c r="D802">
        <v>6.0783400000000002E-4</v>
      </c>
    </row>
    <row r="803" spans="1:4" x14ac:dyDescent="0.2">
      <c r="A803">
        <v>2019</v>
      </c>
      <c r="B803" s="2" t="s">
        <v>288</v>
      </c>
      <c r="C803" s="1">
        <v>466917</v>
      </c>
      <c r="D803">
        <v>1.214433E-3</v>
      </c>
    </row>
    <row r="804" spans="1:4" x14ac:dyDescent="0.2">
      <c r="A804">
        <v>2019</v>
      </c>
      <c r="B804" s="2" t="s">
        <v>157</v>
      </c>
      <c r="C804" s="1">
        <v>81449</v>
      </c>
      <c r="D804">
        <v>2.1184599999999999E-4</v>
      </c>
    </row>
    <row r="805" spans="1:4" x14ac:dyDescent="0.2">
      <c r="A805">
        <v>2019</v>
      </c>
      <c r="B805" s="2" t="s">
        <v>289</v>
      </c>
      <c r="C805" s="1">
        <v>515020</v>
      </c>
      <c r="D805">
        <v>1.339547E-3</v>
      </c>
    </row>
    <row r="806" spans="1:4" x14ac:dyDescent="0.2">
      <c r="A806">
        <v>2019</v>
      </c>
      <c r="B806" s="2" t="s">
        <v>290</v>
      </c>
      <c r="C806" s="1">
        <v>75261</v>
      </c>
      <c r="D806">
        <v>1.9574999999999999E-4</v>
      </c>
    </row>
    <row r="807" spans="1:4" x14ac:dyDescent="0.2">
      <c r="A807">
        <v>2019</v>
      </c>
      <c r="B807" s="2" t="s">
        <v>203</v>
      </c>
      <c r="C807" s="1">
        <v>91897</v>
      </c>
      <c r="D807">
        <v>2.3902099999999999E-4</v>
      </c>
    </row>
    <row r="808" spans="1:4" x14ac:dyDescent="0.2">
      <c r="A808">
        <v>2019</v>
      </c>
      <c r="B808" s="2" t="s">
        <v>291</v>
      </c>
      <c r="C808" s="1">
        <v>760864</v>
      </c>
      <c r="D808">
        <v>1.97898E-3</v>
      </c>
    </row>
    <row r="809" spans="1:4" x14ac:dyDescent="0.2">
      <c r="A809">
        <v>2019</v>
      </c>
      <c r="B809" s="2" t="s">
        <v>292</v>
      </c>
      <c r="C809" s="1">
        <v>72553</v>
      </c>
      <c r="D809">
        <v>1.88708E-4</v>
      </c>
    </row>
    <row r="810" spans="1:4" x14ac:dyDescent="0.2">
      <c r="A810">
        <v>2019</v>
      </c>
      <c r="B810" s="2" t="s">
        <v>293</v>
      </c>
      <c r="C810" s="1">
        <v>11320</v>
      </c>
      <c r="D810">
        <v>2.9444000000000001E-5</v>
      </c>
    </row>
    <row r="811" spans="1:4" x14ac:dyDescent="0.2">
      <c r="A811">
        <v>2019</v>
      </c>
      <c r="B811" s="2" t="s">
        <v>294</v>
      </c>
      <c r="C811" s="1">
        <v>341872</v>
      </c>
      <c r="D811">
        <v>8.8919699999999999E-4</v>
      </c>
    </row>
    <row r="812" spans="1:4" x14ac:dyDescent="0.2">
      <c r="A812">
        <v>2019</v>
      </c>
      <c r="B812" s="2" t="s">
        <v>158</v>
      </c>
      <c r="C812" s="1">
        <v>134844</v>
      </c>
      <c r="D812">
        <v>3.5072400000000001E-4</v>
      </c>
    </row>
    <row r="813" spans="1:4" x14ac:dyDescent="0.2">
      <c r="A813">
        <v>2019</v>
      </c>
      <c r="B813" s="2" t="s">
        <v>295</v>
      </c>
      <c r="C813" s="1">
        <v>5873245</v>
      </c>
      <c r="D813">
        <v>1.5276092E-2</v>
      </c>
    </row>
    <row r="814" spans="1:4" x14ac:dyDescent="0.2">
      <c r="A814">
        <v>2019</v>
      </c>
      <c r="B814" s="2" t="s">
        <v>296</v>
      </c>
      <c r="C814" s="1">
        <v>2939407</v>
      </c>
      <c r="D814">
        <v>7.6452880000000001E-3</v>
      </c>
    </row>
    <row r="815" spans="1:4" x14ac:dyDescent="0.2">
      <c r="A815">
        <v>2019</v>
      </c>
      <c r="B815" s="2" t="s">
        <v>297</v>
      </c>
      <c r="C815" s="1">
        <v>322503</v>
      </c>
      <c r="D815">
        <v>8.3881699999999995E-4</v>
      </c>
    </row>
    <row r="816" spans="1:4" x14ac:dyDescent="0.2">
      <c r="A816">
        <v>2019</v>
      </c>
      <c r="B816" s="2" t="s">
        <v>298</v>
      </c>
      <c r="C816" s="1">
        <v>6205</v>
      </c>
      <c r="D816">
        <v>1.6138E-5</v>
      </c>
    </row>
    <row r="817" spans="1:4" x14ac:dyDescent="0.2">
      <c r="A817">
        <v>2019</v>
      </c>
      <c r="B817" s="2" t="s">
        <v>299</v>
      </c>
      <c r="C817" s="1">
        <v>1011296</v>
      </c>
      <c r="D817">
        <v>2.6303429999999998E-3</v>
      </c>
    </row>
    <row r="818" spans="1:4" x14ac:dyDescent="0.2">
      <c r="A818">
        <v>2019</v>
      </c>
      <c r="B818" s="2" t="s">
        <v>300</v>
      </c>
      <c r="C818" s="1">
        <v>71805</v>
      </c>
      <c r="D818">
        <v>1.86763E-4</v>
      </c>
    </row>
    <row r="819" spans="1:4" x14ac:dyDescent="0.2">
      <c r="A819">
        <v>2019</v>
      </c>
      <c r="B819" s="2" t="s">
        <v>159</v>
      </c>
      <c r="C819" s="1">
        <v>137939</v>
      </c>
      <c r="D819">
        <v>3.5877499999999998E-4</v>
      </c>
    </row>
    <row r="820" spans="1:4" x14ac:dyDescent="0.2">
      <c r="A820">
        <v>2019</v>
      </c>
      <c r="B820" s="2" t="s">
        <v>301</v>
      </c>
      <c r="C820" s="1">
        <v>142894</v>
      </c>
      <c r="D820">
        <v>3.71663E-4</v>
      </c>
    </row>
    <row r="821" spans="1:4" x14ac:dyDescent="0.2">
      <c r="A821">
        <v>2019</v>
      </c>
      <c r="B821" s="2" t="s">
        <v>91</v>
      </c>
      <c r="C821" s="1">
        <v>2344996</v>
      </c>
      <c r="D821">
        <v>6.0992479999999998E-3</v>
      </c>
    </row>
    <row r="822" spans="1:4" x14ac:dyDescent="0.2">
      <c r="A822">
        <v>2019</v>
      </c>
      <c r="B822" s="2" t="s">
        <v>302</v>
      </c>
      <c r="C822" s="1">
        <v>367433</v>
      </c>
      <c r="D822">
        <v>9.5567899999999997E-4</v>
      </c>
    </row>
    <row r="823" spans="1:4" x14ac:dyDescent="0.2">
      <c r="A823">
        <v>2019</v>
      </c>
      <c r="B823" s="2" t="s">
        <v>303</v>
      </c>
      <c r="C823" s="1">
        <v>130183</v>
      </c>
      <c r="D823">
        <v>3.3859999999999999E-4</v>
      </c>
    </row>
    <row r="824" spans="1:4" x14ac:dyDescent="0.2">
      <c r="A824">
        <v>2019</v>
      </c>
      <c r="B824" s="2" t="s">
        <v>160</v>
      </c>
      <c r="C824" s="1">
        <v>123526</v>
      </c>
      <c r="D824">
        <v>3.2128700000000002E-4</v>
      </c>
    </row>
    <row r="825" spans="1:4" x14ac:dyDescent="0.2">
      <c r="A825">
        <v>2019</v>
      </c>
      <c r="B825" s="2" t="s">
        <v>161</v>
      </c>
      <c r="C825" s="1">
        <v>465008</v>
      </c>
      <c r="D825">
        <v>1.209468E-3</v>
      </c>
    </row>
    <row r="826" spans="1:4" x14ac:dyDescent="0.2">
      <c r="A826">
        <v>2019</v>
      </c>
      <c r="B826" s="2" t="s">
        <v>304</v>
      </c>
      <c r="C826" s="1">
        <v>131298</v>
      </c>
      <c r="D826">
        <v>3.4150199999999998E-4</v>
      </c>
    </row>
    <row r="827" spans="1:4" x14ac:dyDescent="0.2">
      <c r="A827">
        <v>2019</v>
      </c>
      <c r="B827" s="2" t="s">
        <v>305</v>
      </c>
      <c r="C827" s="1">
        <v>389329</v>
      </c>
      <c r="D827">
        <v>1.01263E-3</v>
      </c>
    </row>
    <row r="828" spans="1:4" x14ac:dyDescent="0.2">
      <c r="A828">
        <v>2019</v>
      </c>
      <c r="B828" s="2" t="s">
        <v>162</v>
      </c>
      <c r="C828" s="1">
        <v>179123</v>
      </c>
      <c r="D828">
        <v>4.6589299999999999E-4</v>
      </c>
    </row>
    <row r="829" spans="1:4" x14ac:dyDescent="0.2">
      <c r="A829">
        <v>2019</v>
      </c>
      <c r="B829" s="2" t="s">
        <v>306</v>
      </c>
      <c r="C829" s="1">
        <v>1082256</v>
      </c>
      <c r="D829">
        <v>2.8149070000000002E-3</v>
      </c>
    </row>
    <row r="830" spans="1:4" x14ac:dyDescent="0.2">
      <c r="A830">
        <v>2019</v>
      </c>
      <c r="B830" s="2" t="s">
        <v>307</v>
      </c>
      <c r="C830" s="1">
        <v>311253</v>
      </c>
      <c r="D830">
        <v>8.0955800000000004E-4</v>
      </c>
    </row>
    <row r="831" spans="1:4" x14ac:dyDescent="0.2">
      <c r="A831">
        <v>2019</v>
      </c>
      <c r="B831" s="2" t="s">
        <v>308</v>
      </c>
      <c r="C831" s="1">
        <v>820401</v>
      </c>
      <c r="D831">
        <v>2.1338329999999999E-3</v>
      </c>
    </row>
    <row r="832" spans="1:4" x14ac:dyDescent="0.2">
      <c r="A832">
        <v>2019</v>
      </c>
      <c r="B832" s="2" t="s">
        <v>309</v>
      </c>
      <c r="C832" s="1">
        <v>440053</v>
      </c>
      <c r="D832">
        <v>1.1445629999999999E-3</v>
      </c>
    </row>
    <row r="833" spans="1:4" x14ac:dyDescent="0.2">
      <c r="A833">
        <v>2019</v>
      </c>
      <c r="B833" s="2" t="s">
        <v>310</v>
      </c>
      <c r="C833" s="1">
        <v>91052</v>
      </c>
      <c r="D833">
        <v>2.36822E-4</v>
      </c>
    </row>
    <row r="834" spans="1:4" x14ac:dyDescent="0.2">
      <c r="A834">
        <v>2019</v>
      </c>
      <c r="B834" s="2" t="s">
        <v>205</v>
      </c>
      <c r="C834" s="1">
        <v>1104932</v>
      </c>
      <c r="D834">
        <v>2.8738869999999999E-3</v>
      </c>
    </row>
    <row r="835" spans="1:4" x14ac:dyDescent="0.2">
      <c r="A835">
        <v>2019</v>
      </c>
      <c r="B835" s="2" t="s">
        <v>311</v>
      </c>
      <c r="C835" s="1">
        <v>571660</v>
      </c>
      <c r="D835">
        <v>1.4868660000000001E-3</v>
      </c>
    </row>
    <row r="836" spans="1:4" x14ac:dyDescent="0.2">
      <c r="A836">
        <v>2019</v>
      </c>
      <c r="B836" s="2" t="s">
        <v>163</v>
      </c>
      <c r="C836" s="1">
        <v>168684</v>
      </c>
      <c r="D836">
        <v>4.3874199999999999E-4</v>
      </c>
    </row>
    <row r="837" spans="1:4" x14ac:dyDescent="0.2">
      <c r="A837">
        <v>2019</v>
      </c>
      <c r="B837" s="2" t="s">
        <v>312</v>
      </c>
      <c r="C837" s="1">
        <v>712791</v>
      </c>
      <c r="D837">
        <v>1.853943E-3</v>
      </c>
    </row>
    <row r="838" spans="1:4" x14ac:dyDescent="0.2">
      <c r="A838">
        <v>2019</v>
      </c>
      <c r="B838" s="2" t="s">
        <v>313</v>
      </c>
      <c r="C838" s="1">
        <v>41583</v>
      </c>
      <c r="D838">
        <v>1.08157E-4</v>
      </c>
    </row>
    <row r="839" spans="1:4" x14ac:dyDescent="0.2">
      <c r="A839">
        <v>2019</v>
      </c>
      <c r="B839" s="2" t="s">
        <v>164</v>
      </c>
      <c r="C839" s="1">
        <v>61856</v>
      </c>
      <c r="D839">
        <v>1.6088499999999999E-4</v>
      </c>
    </row>
    <row r="840" spans="1:4" x14ac:dyDescent="0.2">
      <c r="A840">
        <v>2019</v>
      </c>
      <c r="B840" s="2" t="s">
        <v>165</v>
      </c>
      <c r="C840" s="1">
        <v>157592</v>
      </c>
      <c r="D840">
        <v>4.0989200000000003E-4</v>
      </c>
    </row>
    <row r="841" spans="1:4" x14ac:dyDescent="0.2">
      <c r="A841">
        <v>2019</v>
      </c>
      <c r="B841" s="2" t="s">
        <v>314</v>
      </c>
      <c r="C841" s="1">
        <v>1118887</v>
      </c>
      <c r="D841">
        <v>2.9101830000000002E-3</v>
      </c>
    </row>
    <row r="842" spans="1:4" x14ac:dyDescent="0.2">
      <c r="A842">
        <v>2019</v>
      </c>
      <c r="B842" s="2" t="s">
        <v>206</v>
      </c>
      <c r="C842" s="1">
        <v>169097</v>
      </c>
      <c r="D842">
        <v>4.3981499999999998E-4</v>
      </c>
    </row>
    <row r="843" spans="1:4" x14ac:dyDescent="0.2">
      <c r="A843">
        <v>2019</v>
      </c>
      <c r="B843" s="2" t="s">
        <v>166</v>
      </c>
      <c r="C843" s="1">
        <v>155215</v>
      </c>
      <c r="D843">
        <v>4.0370899999999998E-4</v>
      </c>
    </row>
    <row r="844" spans="1:4" x14ac:dyDescent="0.2">
      <c r="A844">
        <v>2019</v>
      </c>
      <c r="B844" s="2" t="s">
        <v>167</v>
      </c>
      <c r="C844" s="1">
        <v>175415</v>
      </c>
      <c r="D844">
        <v>4.5624800000000003E-4</v>
      </c>
    </row>
    <row r="845" spans="1:4" x14ac:dyDescent="0.2">
      <c r="A845">
        <v>2019</v>
      </c>
      <c r="B845" s="2" t="s">
        <v>315</v>
      </c>
      <c r="C845" s="1">
        <v>8275</v>
      </c>
      <c r="D845">
        <v>2.1522000000000002E-5</v>
      </c>
    </row>
    <row r="846" spans="1:4" x14ac:dyDescent="0.2">
      <c r="A846">
        <v>2019</v>
      </c>
      <c r="B846" s="2" t="s">
        <v>107</v>
      </c>
      <c r="C846" s="1">
        <v>204194</v>
      </c>
      <c r="D846">
        <v>5.3110099999999997E-4</v>
      </c>
    </row>
    <row r="847" spans="1:4" x14ac:dyDescent="0.2">
      <c r="A847">
        <v>2019</v>
      </c>
      <c r="B847" s="2" t="s">
        <v>316</v>
      </c>
      <c r="C847" s="1">
        <v>4525102</v>
      </c>
      <c r="D847">
        <v>1.1769620999999999E-2</v>
      </c>
    </row>
    <row r="848" spans="1:4" x14ac:dyDescent="0.2">
      <c r="A848">
        <v>2019</v>
      </c>
      <c r="B848" s="2" t="s">
        <v>168</v>
      </c>
      <c r="C848" s="1">
        <v>53576</v>
      </c>
      <c r="D848">
        <v>1.3934900000000001E-4</v>
      </c>
    </row>
    <row r="849" spans="1:4" x14ac:dyDescent="0.2">
      <c r="A849">
        <v>2019</v>
      </c>
      <c r="B849" s="2" t="s">
        <v>317</v>
      </c>
      <c r="C849" s="1">
        <v>320679</v>
      </c>
      <c r="D849">
        <v>8.3407499999999999E-4</v>
      </c>
    </row>
    <row r="850" spans="1:4" x14ac:dyDescent="0.2">
      <c r="A850">
        <v>2019</v>
      </c>
      <c r="B850" s="2" t="s">
        <v>318</v>
      </c>
      <c r="C850" s="1">
        <v>4164228</v>
      </c>
      <c r="D850">
        <v>1.0831001999999999E-2</v>
      </c>
    </row>
    <row r="851" spans="1:4" x14ac:dyDescent="0.2">
      <c r="A851">
        <v>2019</v>
      </c>
      <c r="B851" s="2" t="s">
        <v>169</v>
      </c>
      <c r="C851" s="1">
        <v>137860</v>
      </c>
      <c r="D851">
        <v>3.5856800000000003E-4</v>
      </c>
    </row>
    <row r="852" spans="1:4" x14ac:dyDescent="0.2">
      <c r="A852">
        <v>2019</v>
      </c>
      <c r="B852" s="2" t="s">
        <v>170</v>
      </c>
      <c r="C852" s="1">
        <v>286806</v>
      </c>
      <c r="D852">
        <v>7.4597300000000004E-4</v>
      </c>
    </row>
    <row r="853" spans="1:4" x14ac:dyDescent="0.2">
      <c r="A853">
        <v>2019</v>
      </c>
      <c r="B853" s="2" t="s">
        <v>319</v>
      </c>
      <c r="C853" s="1">
        <v>379778</v>
      </c>
      <c r="D853">
        <v>9.8778800000000008E-4</v>
      </c>
    </row>
    <row r="854" spans="1:4" x14ac:dyDescent="0.2">
      <c r="A854">
        <v>2019</v>
      </c>
      <c r="B854" s="2" t="s">
        <v>320</v>
      </c>
      <c r="C854" s="1">
        <v>779082</v>
      </c>
      <c r="D854">
        <v>2.0263640000000001E-3</v>
      </c>
    </row>
    <row r="855" spans="1:4" x14ac:dyDescent="0.2">
      <c r="A855">
        <v>2019</v>
      </c>
      <c r="B855" s="2" t="s">
        <v>321</v>
      </c>
      <c r="C855" s="1">
        <v>529751</v>
      </c>
      <c r="D855">
        <v>1.3778620000000001E-3</v>
      </c>
    </row>
    <row r="856" spans="1:4" x14ac:dyDescent="0.2">
      <c r="A856">
        <v>2019</v>
      </c>
      <c r="B856" s="2" t="s">
        <v>322</v>
      </c>
      <c r="C856" s="1">
        <v>726215</v>
      </c>
      <c r="D856">
        <v>1.888858E-3</v>
      </c>
    </row>
    <row r="857" spans="1:4" x14ac:dyDescent="0.2">
      <c r="A857">
        <v>2019</v>
      </c>
      <c r="B857" s="2" t="s">
        <v>323</v>
      </c>
      <c r="C857" s="1">
        <v>364049</v>
      </c>
      <c r="D857">
        <v>9.4687700000000005E-4</v>
      </c>
    </row>
    <row r="858" spans="1:4" x14ac:dyDescent="0.2">
      <c r="A858">
        <v>2019</v>
      </c>
      <c r="B858" s="2" t="s">
        <v>324</v>
      </c>
      <c r="C858" s="1">
        <v>337399</v>
      </c>
      <c r="D858">
        <v>8.7756300000000004E-4</v>
      </c>
    </row>
    <row r="859" spans="1:4" x14ac:dyDescent="0.2">
      <c r="A859">
        <v>2019</v>
      </c>
      <c r="B859" s="2" t="s">
        <v>171</v>
      </c>
      <c r="C859" s="1">
        <v>189118</v>
      </c>
      <c r="D859">
        <v>4.9188900000000002E-4</v>
      </c>
    </row>
    <row r="860" spans="1:4" x14ac:dyDescent="0.2">
      <c r="A860">
        <v>2019</v>
      </c>
      <c r="B860" s="2" t="s">
        <v>325</v>
      </c>
      <c r="C860" s="1">
        <v>216990</v>
      </c>
      <c r="D860">
        <v>5.6438300000000001E-4</v>
      </c>
    </row>
    <row r="861" spans="1:4" x14ac:dyDescent="0.2">
      <c r="A861">
        <v>2019</v>
      </c>
      <c r="B861" s="2" t="s">
        <v>326</v>
      </c>
      <c r="C861" s="1">
        <v>225345</v>
      </c>
      <c r="D861">
        <v>5.8611399999999999E-4</v>
      </c>
    </row>
    <row r="862" spans="1:4" x14ac:dyDescent="0.2">
      <c r="A862">
        <v>2019</v>
      </c>
      <c r="B862" s="2" t="s">
        <v>173</v>
      </c>
      <c r="C862" s="1">
        <v>242864</v>
      </c>
      <c r="D862">
        <v>6.3167900000000001E-4</v>
      </c>
    </row>
    <row r="863" spans="1:4" x14ac:dyDescent="0.2">
      <c r="A863">
        <v>2020</v>
      </c>
      <c r="B863" s="2" t="s">
        <v>209</v>
      </c>
      <c r="C863" s="1">
        <v>480133</v>
      </c>
      <c r="D863">
        <v>1.1292749999999999E-3</v>
      </c>
    </row>
    <row r="864" spans="1:4" x14ac:dyDescent="0.2">
      <c r="A864">
        <v>2020</v>
      </c>
      <c r="B864" s="2" t="s">
        <v>189</v>
      </c>
      <c r="C864" s="1">
        <v>177046</v>
      </c>
      <c r="D864">
        <v>4.1641300000000003E-4</v>
      </c>
    </row>
    <row r="865" spans="1:4" x14ac:dyDescent="0.2">
      <c r="A865">
        <v>2020</v>
      </c>
      <c r="B865" s="2" t="s">
        <v>327</v>
      </c>
      <c r="C865" s="1">
        <v>959114</v>
      </c>
      <c r="D865">
        <v>2.2558399999999998E-3</v>
      </c>
    </row>
    <row r="866" spans="1:4" x14ac:dyDescent="0.2">
      <c r="A866">
        <v>2020</v>
      </c>
      <c r="B866" s="2" t="s">
        <v>121</v>
      </c>
      <c r="C866" s="1">
        <v>169976</v>
      </c>
      <c r="D866">
        <v>3.9978399999999998E-4</v>
      </c>
    </row>
    <row r="867" spans="1:4" x14ac:dyDescent="0.2">
      <c r="A867">
        <v>2020</v>
      </c>
      <c r="B867" s="2" t="s">
        <v>122</v>
      </c>
      <c r="C867" s="1">
        <v>269235</v>
      </c>
      <c r="D867">
        <v>6.3324200000000001E-4</v>
      </c>
    </row>
    <row r="868" spans="1:4" x14ac:dyDescent="0.2">
      <c r="A868">
        <v>2020</v>
      </c>
      <c r="B868" s="2" t="s">
        <v>123</v>
      </c>
      <c r="C868" s="1">
        <v>193906</v>
      </c>
      <c r="D868">
        <v>4.5606800000000001E-4</v>
      </c>
    </row>
    <row r="869" spans="1:4" x14ac:dyDescent="0.2">
      <c r="A869">
        <v>2020</v>
      </c>
      <c r="B869" s="2" t="s">
        <v>211</v>
      </c>
      <c r="C869" s="1">
        <v>18522</v>
      </c>
      <c r="D869">
        <v>4.3563999999999998E-5</v>
      </c>
    </row>
    <row r="870" spans="1:4" x14ac:dyDescent="0.2">
      <c r="A870">
        <v>2020</v>
      </c>
      <c r="B870" s="2" t="s">
        <v>212</v>
      </c>
      <c r="C870" s="1">
        <v>16169</v>
      </c>
      <c r="D870">
        <v>3.803E-5</v>
      </c>
    </row>
    <row r="871" spans="1:4" x14ac:dyDescent="0.2">
      <c r="A871">
        <v>2020</v>
      </c>
      <c r="B871" s="2" t="s">
        <v>7</v>
      </c>
      <c r="C871" s="1">
        <v>266272</v>
      </c>
      <c r="D871">
        <v>6.26273E-4</v>
      </c>
    </row>
    <row r="872" spans="1:4" x14ac:dyDescent="0.2">
      <c r="A872">
        <v>2020</v>
      </c>
      <c r="B872" s="2" t="s">
        <v>213</v>
      </c>
      <c r="C872" s="1">
        <v>627104</v>
      </c>
      <c r="D872">
        <v>1.474951E-3</v>
      </c>
    </row>
    <row r="873" spans="1:4" x14ac:dyDescent="0.2">
      <c r="A873">
        <v>2020</v>
      </c>
      <c r="B873" s="2" t="s">
        <v>124</v>
      </c>
      <c r="C873" s="1">
        <v>94460</v>
      </c>
      <c r="D873">
        <v>2.2217E-4</v>
      </c>
    </row>
    <row r="874" spans="1:4" x14ac:dyDescent="0.2">
      <c r="A874">
        <v>2020</v>
      </c>
      <c r="B874" s="2" t="s">
        <v>214</v>
      </c>
      <c r="C874" s="1">
        <v>223712</v>
      </c>
      <c r="D874">
        <v>5.2617199999999999E-4</v>
      </c>
    </row>
    <row r="875" spans="1:4" x14ac:dyDescent="0.2">
      <c r="A875">
        <v>2020</v>
      </c>
      <c r="B875" s="2" t="s">
        <v>176</v>
      </c>
      <c r="C875" s="1">
        <v>1999068</v>
      </c>
      <c r="D875">
        <v>4.7018160000000002E-3</v>
      </c>
    </row>
    <row r="876" spans="1:4" x14ac:dyDescent="0.2">
      <c r="A876">
        <v>2020</v>
      </c>
      <c r="B876" s="2" t="s">
        <v>216</v>
      </c>
      <c r="C876" s="1">
        <v>4256216</v>
      </c>
      <c r="D876">
        <v>1.0010638000000001E-2</v>
      </c>
    </row>
    <row r="877" spans="1:4" x14ac:dyDescent="0.2">
      <c r="A877">
        <v>2020</v>
      </c>
      <c r="B877" s="2" t="s">
        <v>217</v>
      </c>
      <c r="C877" s="1">
        <v>128159</v>
      </c>
      <c r="D877">
        <v>3.0143100000000001E-4</v>
      </c>
    </row>
    <row r="878" spans="1:4" x14ac:dyDescent="0.2">
      <c r="A878">
        <v>2020</v>
      </c>
      <c r="B878" s="2" t="s">
        <v>177</v>
      </c>
      <c r="C878" s="1">
        <v>19163046</v>
      </c>
      <c r="D878">
        <v>4.5071565000000001E-2</v>
      </c>
    </row>
    <row r="879" spans="1:4" x14ac:dyDescent="0.2">
      <c r="A879">
        <v>2020</v>
      </c>
      <c r="B879" s="2" t="s">
        <v>13</v>
      </c>
      <c r="C879" s="1">
        <v>6478607</v>
      </c>
      <c r="D879">
        <v>1.5237710999999999E-2</v>
      </c>
    </row>
    <row r="880" spans="1:4" x14ac:dyDescent="0.2">
      <c r="A880">
        <v>2020</v>
      </c>
      <c r="B880" s="2" t="s">
        <v>328</v>
      </c>
      <c r="C880" s="1">
        <v>863364</v>
      </c>
      <c r="D880">
        <v>2.0306360000000002E-3</v>
      </c>
    </row>
    <row r="881" spans="1:4" x14ac:dyDescent="0.2">
      <c r="A881">
        <v>2020</v>
      </c>
      <c r="B881" s="2" t="s">
        <v>329</v>
      </c>
      <c r="C881" s="1">
        <v>226908</v>
      </c>
      <c r="D881">
        <v>5.3368899999999995E-4</v>
      </c>
    </row>
    <row r="882" spans="1:4" x14ac:dyDescent="0.2">
      <c r="A882">
        <v>2020</v>
      </c>
      <c r="B882" s="2" t="s">
        <v>17</v>
      </c>
      <c r="C882" s="1">
        <v>651456</v>
      </c>
      <c r="D882">
        <v>1.5322269999999999E-3</v>
      </c>
    </row>
    <row r="883" spans="1:4" x14ac:dyDescent="0.2">
      <c r="A883">
        <v>2020</v>
      </c>
      <c r="B883" s="2" t="s">
        <v>221</v>
      </c>
      <c r="C883" s="1">
        <v>274340</v>
      </c>
      <c r="D883">
        <v>6.4524899999999997E-4</v>
      </c>
    </row>
    <row r="884" spans="1:4" x14ac:dyDescent="0.2">
      <c r="A884">
        <v>2020</v>
      </c>
      <c r="B884" s="2" t="s">
        <v>222</v>
      </c>
      <c r="C884" s="1">
        <v>2963607</v>
      </c>
      <c r="D884">
        <v>6.9704160000000001E-3</v>
      </c>
    </row>
    <row r="885" spans="1:4" x14ac:dyDescent="0.2">
      <c r="A885">
        <v>2020</v>
      </c>
      <c r="B885" s="2" t="s">
        <v>223</v>
      </c>
      <c r="C885" s="1">
        <v>151039</v>
      </c>
      <c r="D885">
        <v>3.55244E-4</v>
      </c>
    </row>
    <row r="886" spans="1:4" x14ac:dyDescent="0.2">
      <c r="A886">
        <v>2020</v>
      </c>
      <c r="B886" s="2" t="s">
        <v>224</v>
      </c>
      <c r="C886" s="1">
        <v>143328</v>
      </c>
      <c r="D886">
        <v>3.3710800000000003E-4</v>
      </c>
    </row>
    <row r="887" spans="1:4" x14ac:dyDescent="0.2">
      <c r="A887">
        <v>2020</v>
      </c>
      <c r="B887" s="2" t="s">
        <v>330</v>
      </c>
      <c r="C887" s="1">
        <v>399588</v>
      </c>
      <c r="D887">
        <v>9.3983300000000005E-4</v>
      </c>
    </row>
    <row r="888" spans="1:4" x14ac:dyDescent="0.2">
      <c r="A888">
        <v>2020</v>
      </c>
      <c r="B888" s="2" t="s">
        <v>226</v>
      </c>
      <c r="C888" s="1">
        <v>188010</v>
      </c>
      <c r="D888">
        <v>4.4220000000000001E-4</v>
      </c>
    </row>
    <row r="889" spans="1:4" x14ac:dyDescent="0.2">
      <c r="A889">
        <v>2020</v>
      </c>
      <c r="B889" s="2" t="s">
        <v>331</v>
      </c>
      <c r="C889" s="1">
        <v>2902630</v>
      </c>
      <c r="D889">
        <v>6.8269979999999999E-3</v>
      </c>
    </row>
    <row r="890" spans="1:4" x14ac:dyDescent="0.2">
      <c r="A890">
        <v>2020</v>
      </c>
      <c r="B890" s="2" t="s">
        <v>332</v>
      </c>
      <c r="C890" s="1">
        <v>211414</v>
      </c>
      <c r="D890">
        <v>4.9724700000000003E-4</v>
      </c>
    </row>
    <row r="891" spans="1:4" x14ac:dyDescent="0.2">
      <c r="A891">
        <v>2020</v>
      </c>
      <c r="B891" s="2" t="s">
        <v>333</v>
      </c>
      <c r="C891" s="1">
        <v>243670</v>
      </c>
      <c r="D891">
        <v>5.7311299999999999E-4</v>
      </c>
    </row>
    <row r="892" spans="1:4" x14ac:dyDescent="0.2">
      <c r="A892">
        <v>2020</v>
      </c>
      <c r="B892" s="2" t="s">
        <v>126</v>
      </c>
      <c r="C892" s="1">
        <v>110588</v>
      </c>
      <c r="D892">
        <v>2.6010300000000003E-4</v>
      </c>
    </row>
    <row r="893" spans="1:4" x14ac:dyDescent="0.2">
      <c r="A893">
        <v>2020</v>
      </c>
      <c r="B893" s="2" t="s">
        <v>230</v>
      </c>
      <c r="C893" s="1">
        <v>140673</v>
      </c>
      <c r="D893">
        <v>3.3086299999999998E-4</v>
      </c>
    </row>
    <row r="894" spans="1:4" x14ac:dyDescent="0.2">
      <c r="A894">
        <v>2020</v>
      </c>
      <c r="B894" s="2" t="s">
        <v>334</v>
      </c>
      <c r="C894" s="1">
        <v>808285</v>
      </c>
      <c r="D894">
        <v>1.90109E-3</v>
      </c>
    </row>
    <row r="895" spans="1:4" x14ac:dyDescent="0.2">
      <c r="A895">
        <v>2020</v>
      </c>
      <c r="B895" s="2" t="s">
        <v>335</v>
      </c>
      <c r="C895" s="1">
        <v>339001</v>
      </c>
      <c r="D895">
        <v>7.9733199999999999E-4</v>
      </c>
    </row>
    <row r="896" spans="1:4" x14ac:dyDescent="0.2">
      <c r="A896">
        <v>2020</v>
      </c>
      <c r="B896" s="2" t="s">
        <v>336</v>
      </c>
      <c r="C896" s="1">
        <v>6438871</v>
      </c>
      <c r="D896">
        <v>1.5144252E-2</v>
      </c>
    </row>
    <row r="897" spans="1:4" x14ac:dyDescent="0.2">
      <c r="A897">
        <v>2020</v>
      </c>
      <c r="B897" s="2" t="s">
        <v>233</v>
      </c>
      <c r="C897" s="1">
        <v>354970</v>
      </c>
      <c r="D897">
        <v>8.3489100000000004E-4</v>
      </c>
    </row>
    <row r="898" spans="1:4" x14ac:dyDescent="0.2">
      <c r="A898">
        <v>2020</v>
      </c>
      <c r="B898" s="2" t="s">
        <v>234</v>
      </c>
      <c r="C898" s="1">
        <v>1928954</v>
      </c>
      <c r="D898">
        <v>4.5369080000000001E-3</v>
      </c>
    </row>
    <row r="899" spans="1:4" x14ac:dyDescent="0.2">
      <c r="A899">
        <v>2020</v>
      </c>
      <c r="B899" s="2" t="s">
        <v>179</v>
      </c>
      <c r="C899" s="1">
        <v>939770</v>
      </c>
      <c r="D899">
        <v>2.210343E-3</v>
      </c>
    </row>
    <row r="900" spans="1:4" x14ac:dyDescent="0.2">
      <c r="A900">
        <v>2020</v>
      </c>
      <c r="B900" s="2" t="s">
        <v>128</v>
      </c>
      <c r="C900" s="1">
        <v>451973</v>
      </c>
      <c r="D900">
        <v>1.0630419999999999E-3</v>
      </c>
    </row>
    <row r="901" spans="1:4" x14ac:dyDescent="0.2">
      <c r="A901">
        <v>2020</v>
      </c>
      <c r="B901" s="2" t="s">
        <v>337</v>
      </c>
      <c r="C901" s="1">
        <v>262032</v>
      </c>
      <c r="D901">
        <v>6.1629999999999996E-4</v>
      </c>
    </row>
    <row r="902" spans="1:4" x14ac:dyDescent="0.2">
      <c r="A902">
        <v>2020</v>
      </c>
      <c r="B902" s="2" t="s">
        <v>236</v>
      </c>
      <c r="C902" s="1">
        <v>177333</v>
      </c>
      <c r="D902">
        <v>4.1708799999999997E-4</v>
      </c>
    </row>
    <row r="903" spans="1:4" x14ac:dyDescent="0.2">
      <c r="A903">
        <v>2020</v>
      </c>
      <c r="B903" s="2" t="s">
        <v>338</v>
      </c>
      <c r="C903" s="1">
        <v>115635</v>
      </c>
      <c r="D903">
        <v>2.7197400000000002E-4</v>
      </c>
    </row>
    <row r="904" spans="1:4" x14ac:dyDescent="0.2">
      <c r="A904">
        <v>2020</v>
      </c>
      <c r="B904" s="2" t="s">
        <v>238</v>
      </c>
      <c r="C904" s="1">
        <v>154280</v>
      </c>
      <c r="D904">
        <v>3.6286700000000001E-4</v>
      </c>
    </row>
    <row r="905" spans="1:4" x14ac:dyDescent="0.2">
      <c r="A905">
        <v>2020</v>
      </c>
      <c r="B905" s="2" t="s">
        <v>339</v>
      </c>
      <c r="C905" s="1">
        <v>199855</v>
      </c>
      <c r="D905">
        <v>4.7006000000000001E-4</v>
      </c>
    </row>
    <row r="906" spans="1:4" x14ac:dyDescent="0.2">
      <c r="A906">
        <v>2020</v>
      </c>
      <c r="B906" s="2" t="s">
        <v>239</v>
      </c>
      <c r="C906" s="1">
        <v>1436592</v>
      </c>
      <c r="D906">
        <v>3.37887E-3</v>
      </c>
    </row>
    <row r="907" spans="1:4" x14ac:dyDescent="0.2">
      <c r="A907">
        <v>2020</v>
      </c>
      <c r="B907" s="2" t="s">
        <v>129</v>
      </c>
      <c r="C907" s="1">
        <v>137889</v>
      </c>
      <c r="D907">
        <v>3.24316E-4</v>
      </c>
    </row>
    <row r="908" spans="1:4" x14ac:dyDescent="0.2">
      <c r="A908">
        <v>2020</v>
      </c>
      <c r="B908" s="2" t="s">
        <v>340</v>
      </c>
      <c r="C908" s="1">
        <v>24222</v>
      </c>
      <c r="D908">
        <v>5.6969999999999998E-5</v>
      </c>
    </row>
    <row r="909" spans="1:4" x14ac:dyDescent="0.2">
      <c r="A909">
        <v>2020</v>
      </c>
      <c r="B909" s="2" t="s">
        <v>240</v>
      </c>
      <c r="C909" s="1">
        <v>851869</v>
      </c>
      <c r="D909">
        <v>2.003599E-3</v>
      </c>
    </row>
    <row r="910" spans="1:4" x14ac:dyDescent="0.2">
      <c r="A910">
        <v>2020</v>
      </c>
      <c r="B910" s="2" t="s">
        <v>241</v>
      </c>
      <c r="C910" s="1">
        <v>394625</v>
      </c>
      <c r="D910">
        <v>9.2816000000000003E-4</v>
      </c>
    </row>
    <row r="911" spans="1:4" x14ac:dyDescent="0.2">
      <c r="A911">
        <v>2020</v>
      </c>
      <c r="B911" s="2" t="s">
        <v>341</v>
      </c>
      <c r="C911" s="1">
        <v>131162</v>
      </c>
      <c r="D911">
        <v>3.0849399999999998E-4</v>
      </c>
    </row>
    <row r="912" spans="1:4" x14ac:dyDescent="0.2">
      <c r="A912">
        <v>2020</v>
      </c>
      <c r="B912" s="2" t="s">
        <v>242</v>
      </c>
      <c r="C912" s="1">
        <v>873260</v>
      </c>
      <c r="D912">
        <v>2.0539109999999998E-3</v>
      </c>
    </row>
    <row r="913" spans="1:4" x14ac:dyDescent="0.2">
      <c r="A913">
        <v>2020</v>
      </c>
      <c r="B913" s="2" t="s">
        <v>243</v>
      </c>
      <c r="C913" s="1">
        <v>157417</v>
      </c>
      <c r="D913">
        <v>3.70245E-4</v>
      </c>
    </row>
    <row r="914" spans="1:4" x14ac:dyDescent="0.2">
      <c r="A914">
        <v>2020</v>
      </c>
      <c r="B914" s="2" t="s">
        <v>342</v>
      </c>
      <c r="C914" s="1">
        <v>186880</v>
      </c>
      <c r="D914">
        <v>4.3954299999999998E-4</v>
      </c>
    </row>
    <row r="915" spans="1:4" x14ac:dyDescent="0.2">
      <c r="A915">
        <v>2020</v>
      </c>
      <c r="B915" s="2" t="s">
        <v>343</v>
      </c>
      <c r="C915" s="1">
        <v>115546</v>
      </c>
      <c r="D915">
        <v>2.7176499999999998E-4</v>
      </c>
    </row>
    <row r="916" spans="1:4" x14ac:dyDescent="0.2">
      <c r="A916">
        <v>2020</v>
      </c>
      <c r="B916" s="2" t="s">
        <v>245</v>
      </c>
      <c r="C916" s="1">
        <v>138764</v>
      </c>
      <c r="D916">
        <v>3.2637399999999999E-4</v>
      </c>
    </row>
    <row r="917" spans="1:4" x14ac:dyDescent="0.2">
      <c r="A917">
        <v>2020</v>
      </c>
      <c r="B917" s="2" t="s">
        <v>196</v>
      </c>
      <c r="C917" s="1">
        <v>147353</v>
      </c>
      <c r="D917">
        <v>3.4657500000000001E-4</v>
      </c>
    </row>
    <row r="918" spans="1:4" x14ac:dyDescent="0.2">
      <c r="A918">
        <v>2020</v>
      </c>
      <c r="B918" s="2" t="s">
        <v>344</v>
      </c>
      <c r="C918" s="1">
        <v>252785</v>
      </c>
      <c r="D918">
        <v>5.9455100000000002E-4</v>
      </c>
    </row>
    <row r="919" spans="1:4" x14ac:dyDescent="0.2">
      <c r="A919">
        <v>2020</v>
      </c>
      <c r="B919" s="2" t="s">
        <v>248</v>
      </c>
      <c r="C919" s="1">
        <v>287471</v>
      </c>
      <c r="D919">
        <v>6.7613299999999999E-4</v>
      </c>
    </row>
    <row r="920" spans="1:4" x14ac:dyDescent="0.2">
      <c r="A920">
        <v>2020</v>
      </c>
      <c r="B920" s="2" t="s">
        <v>345</v>
      </c>
      <c r="C920" s="1">
        <v>292836</v>
      </c>
      <c r="D920">
        <v>6.8875200000000005E-4</v>
      </c>
    </row>
    <row r="921" spans="1:4" x14ac:dyDescent="0.2">
      <c r="A921">
        <v>2020</v>
      </c>
      <c r="B921" s="2" t="s">
        <v>346</v>
      </c>
      <c r="C921" s="1">
        <v>685425</v>
      </c>
      <c r="D921">
        <v>1.612123E-3</v>
      </c>
    </row>
    <row r="922" spans="1:4" x14ac:dyDescent="0.2">
      <c r="A922">
        <v>2020</v>
      </c>
      <c r="B922" s="2" t="s">
        <v>251</v>
      </c>
      <c r="C922" s="1">
        <v>325663</v>
      </c>
      <c r="D922">
        <v>7.6596100000000001E-4</v>
      </c>
    </row>
    <row r="923" spans="1:4" x14ac:dyDescent="0.2">
      <c r="A923">
        <v>2020</v>
      </c>
      <c r="B923" s="2" t="s">
        <v>347</v>
      </c>
      <c r="C923" s="1">
        <v>215142</v>
      </c>
      <c r="D923">
        <v>5.0601499999999996E-4</v>
      </c>
    </row>
    <row r="924" spans="1:4" x14ac:dyDescent="0.2">
      <c r="A924">
        <v>2020</v>
      </c>
      <c r="B924" s="2" t="s">
        <v>253</v>
      </c>
      <c r="C924" s="1">
        <v>228850</v>
      </c>
      <c r="D924">
        <v>5.3825599999999998E-4</v>
      </c>
    </row>
    <row r="925" spans="1:4" x14ac:dyDescent="0.2">
      <c r="A925">
        <v>2020</v>
      </c>
      <c r="B925" s="2" t="s">
        <v>130</v>
      </c>
      <c r="C925" s="1">
        <v>112844</v>
      </c>
      <c r="D925">
        <v>2.6540999999999999E-4</v>
      </c>
    </row>
    <row r="926" spans="1:4" x14ac:dyDescent="0.2">
      <c r="A926">
        <v>2020</v>
      </c>
      <c r="B926" s="2" t="s">
        <v>131</v>
      </c>
      <c r="C926" s="1">
        <v>196841</v>
      </c>
      <c r="D926">
        <v>4.6297100000000001E-4</v>
      </c>
    </row>
    <row r="927" spans="1:4" x14ac:dyDescent="0.2">
      <c r="A927">
        <v>2020</v>
      </c>
      <c r="B927" s="2" t="s">
        <v>348</v>
      </c>
      <c r="C927" s="1">
        <v>166241</v>
      </c>
      <c r="D927">
        <v>3.9100000000000002E-4</v>
      </c>
    </row>
    <row r="928" spans="1:4" x14ac:dyDescent="0.2">
      <c r="A928">
        <v>2020</v>
      </c>
      <c r="B928" s="2" t="s">
        <v>255</v>
      </c>
      <c r="C928" s="1">
        <v>559228</v>
      </c>
      <c r="D928">
        <v>1.3153069999999999E-3</v>
      </c>
    </row>
    <row r="929" spans="1:4" x14ac:dyDescent="0.2">
      <c r="A929">
        <v>2020</v>
      </c>
      <c r="B929" s="2" t="s">
        <v>349</v>
      </c>
      <c r="C929" s="1">
        <v>188947</v>
      </c>
      <c r="D929">
        <v>4.4440400000000002E-4</v>
      </c>
    </row>
    <row r="930" spans="1:4" x14ac:dyDescent="0.2">
      <c r="A930">
        <v>2020</v>
      </c>
      <c r="B930" s="2" t="s">
        <v>132</v>
      </c>
      <c r="C930" s="1">
        <v>179811</v>
      </c>
      <c r="D930">
        <v>4.2291600000000001E-4</v>
      </c>
    </row>
    <row r="931" spans="1:4" x14ac:dyDescent="0.2">
      <c r="A931">
        <v>2020</v>
      </c>
      <c r="B931" s="2" t="s">
        <v>257</v>
      </c>
      <c r="C931" s="1">
        <v>51242</v>
      </c>
      <c r="D931">
        <v>1.2052099999999999E-4</v>
      </c>
    </row>
    <row r="932" spans="1:4" x14ac:dyDescent="0.2">
      <c r="A932">
        <v>2020</v>
      </c>
      <c r="B932" s="2" t="s">
        <v>135</v>
      </c>
      <c r="C932" s="1">
        <v>507255</v>
      </c>
      <c r="D932">
        <v>1.193066E-3</v>
      </c>
    </row>
    <row r="933" spans="1:4" x14ac:dyDescent="0.2">
      <c r="A933">
        <v>2020</v>
      </c>
      <c r="B933" s="2" t="s">
        <v>350</v>
      </c>
      <c r="C933" s="1">
        <v>68973</v>
      </c>
      <c r="D933">
        <v>1.62225E-4</v>
      </c>
    </row>
    <row r="934" spans="1:4" x14ac:dyDescent="0.2">
      <c r="A934">
        <v>2020</v>
      </c>
      <c r="B934" s="2" t="s">
        <v>351</v>
      </c>
      <c r="C934" s="1">
        <v>5346131</v>
      </c>
      <c r="D934">
        <v>1.2574123E-2</v>
      </c>
    </row>
    <row r="935" spans="1:4" x14ac:dyDescent="0.2">
      <c r="A935">
        <v>2020</v>
      </c>
      <c r="B935" s="2" t="s">
        <v>183</v>
      </c>
      <c r="C935" s="1">
        <v>169152</v>
      </c>
      <c r="D935">
        <v>3.9784599999999999E-4</v>
      </c>
    </row>
    <row r="936" spans="1:4" x14ac:dyDescent="0.2">
      <c r="A936">
        <v>2020</v>
      </c>
      <c r="B936" s="2" t="s">
        <v>143</v>
      </c>
      <c r="C936" s="1">
        <v>505763</v>
      </c>
      <c r="D936">
        <v>1.1895569999999999E-3</v>
      </c>
    </row>
    <row r="937" spans="1:4" x14ac:dyDescent="0.2">
      <c r="A937">
        <v>2020</v>
      </c>
      <c r="B937" s="2" t="s">
        <v>144</v>
      </c>
      <c r="C937" s="1">
        <v>191998</v>
      </c>
      <c r="D937">
        <v>4.5157999999999998E-4</v>
      </c>
    </row>
    <row r="938" spans="1:4" x14ac:dyDescent="0.2">
      <c r="A938">
        <v>2020</v>
      </c>
      <c r="B938" s="2" t="s">
        <v>145</v>
      </c>
      <c r="C938" s="1">
        <v>272083</v>
      </c>
      <c r="D938">
        <v>6.3993999999999998E-4</v>
      </c>
    </row>
    <row r="939" spans="1:4" x14ac:dyDescent="0.2">
      <c r="A939">
        <v>2020</v>
      </c>
      <c r="B939" s="2" t="s">
        <v>259</v>
      </c>
      <c r="C939" s="1">
        <v>1945490</v>
      </c>
      <c r="D939">
        <v>4.575801E-3</v>
      </c>
    </row>
    <row r="940" spans="1:4" x14ac:dyDescent="0.2">
      <c r="A940">
        <v>2020</v>
      </c>
      <c r="B940" s="2" t="s">
        <v>352</v>
      </c>
      <c r="C940" s="1">
        <v>286695</v>
      </c>
      <c r="D940">
        <v>6.7430799999999998E-4</v>
      </c>
    </row>
    <row r="941" spans="1:4" x14ac:dyDescent="0.2">
      <c r="A941">
        <v>2020</v>
      </c>
      <c r="B941" s="2" t="s">
        <v>51</v>
      </c>
      <c r="C941" s="1">
        <v>779748</v>
      </c>
      <c r="D941">
        <v>1.833971E-3</v>
      </c>
    </row>
    <row r="942" spans="1:4" x14ac:dyDescent="0.2">
      <c r="A942">
        <v>2020</v>
      </c>
      <c r="B942" s="2" t="s">
        <v>261</v>
      </c>
      <c r="C942" s="1">
        <v>205928</v>
      </c>
      <c r="D942">
        <v>4.84344E-4</v>
      </c>
    </row>
    <row r="943" spans="1:4" x14ac:dyDescent="0.2">
      <c r="A943">
        <v>2020</v>
      </c>
      <c r="B943" s="2" t="s">
        <v>262</v>
      </c>
      <c r="C943" s="1">
        <v>1034317</v>
      </c>
      <c r="D943">
        <v>2.4327179999999999E-3</v>
      </c>
    </row>
    <row r="944" spans="1:4" x14ac:dyDescent="0.2">
      <c r="A944">
        <v>2020</v>
      </c>
      <c r="B944" s="2" t="s">
        <v>146</v>
      </c>
      <c r="C944" s="1">
        <v>103945</v>
      </c>
      <c r="D944">
        <v>2.4447899999999997E-4</v>
      </c>
    </row>
    <row r="945" spans="1:4" x14ac:dyDescent="0.2">
      <c r="A945">
        <v>2020</v>
      </c>
      <c r="B945" s="2" t="s">
        <v>54</v>
      </c>
      <c r="C945" s="1">
        <v>180676</v>
      </c>
      <c r="D945">
        <v>4.2495100000000002E-4</v>
      </c>
    </row>
    <row r="946" spans="1:4" x14ac:dyDescent="0.2">
      <c r="A946">
        <v>2020</v>
      </c>
      <c r="B946" s="2" t="s">
        <v>147</v>
      </c>
      <c r="C946" s="1">
        <v>99948</v>
      </c>
      <c r="D946">
        <v>2.35078E-4</v>
      </c>
    </row>
    <row r="947" spans="1:4" x14ac:dyDescent="0.2">
      <c r="A947">
        <v>2020</v>
      </c>
      <c r="B947" s="2" t="s">
        <v>353</v>
      </c>
      <c r="C947" s="1">
        <v>2962260</v>
      </c>
      <c r="D947">
        <v>6.9672479999999997E-3</v>
      </c>
    </row>
    <row r="948" spans="1:4" x14ac:dyDescent="0.2">
      <c r="A948">
        <v>2020</v>
      </c>
      <c r="B948" s="2" t="s">
        <v>264</v>
      </c>
      <c r="C948" s="1">
        <v>2678227</v>
      </c>
      <c r="D948">
        <v>6.2992009999999999E-3</v>
      </c>
    </row>
    <row r="949" spans="1:4" x14ac:dyDescent="0.2">
      <c r="A949">
        <v>2020</v>
      </c>
      <c r="B949" s="2" t="s">
        <v>265</v>
      </c>
      <c r="C949" s="1">
        <v>2941902</v>
      </c>
      <c r="D949">
        <v>6.9193659999999997E-3</v>
      </c>
    </row>
    <row r="950" spans="1:4" x14ac:dyDescent="0.2">
      <c r="A950">
        <v>2020</v>
      </c>
      <c r="B950" s="2" t="s">
        <v>266</v>
      </c>
      <c r="C950" s="1">
        <v>588936</v>
      </c>
      <c r="D950">
        <v>1.38518E-3</v>
      </c>
    </row>
    <row r="951" spans="1:4" x14ac:dyDescent="0.2">
      <c r="A951">
        <v>2020</v>
      </c>
      <c r="B951" s="2" t="s">
        <v>148</v>
      </c>
      <c r="C951" s="1">
        <v>135665</v>
      </c>
      <c r="D951">
        <v>3.1908499999999998E-4</v>
      </c>
    </row>
    <row r="952" spans="1:4" x14ac:dyDescent="0.2">
      <c r="A952">
        <v>2020</v>
      </c>
      <c r="B952" s="2" t="s">
        <v>354</v>
      </c>
      <c r="C952" s="1">
        <v>3448293</v>
      </c>
      <c r="D952">
        <v>8.1104000000000002E-3</v>
      </c>
    </row>
    <row r="953" spans="1:4" x14ac:dyDescent="0.2">
      <c r="A953">
        <v>2020</v>
      </c>
      <c r="B953" s="2" t="s">
        <v>149</v>
      </c>
      <c r="C953" s="1">
        <v>192992</v>
      </c>
      <c r="D953">
        <v>4.5391799999999999E-4</v>
      </c>
    </row>
    <row r="954" spans="1:4" x14ac:dyDescent="0.2">
      <c r="A954">
        <v>2020</v>
      </c>
      <c r="B954" s="2" t="s">
        <v>268</v>
      </c>
      <c r="C954" s="1">
        <v>139006</v>
      </c>
      <c r="D954">
        <v>3.26943E-4</v>
      </c>
    </row>
    <row r="955" spans="1:4" x14ac:dyDescent="0.2">
      <c r="A955">
        <v>2020</v>
      </c>
      <c r="B955" s="2" t="s">
        <v>269</v>
      </c>
      <c r="C955" s="1">
        <v>2717381</v>
      </c>
      <c r="D955">
        <v>6.3912919999999998E-3</v>
      </c>
    </row>
    <row r="956" spans="1:4" x14ac:dyDescent="0.2">
      <c r="A956">
        <v>2020</v>
      </c>
      <c r="B956" s="2" t="s">
        <v>355</v>
      </c>
      <c r="C956" s="1">
        <v>588912</v>
      </c>
      <c r="D956">
        <v>1.3851239999999999E-3</v>
      </c>
    </row>
    <row r="957" spans="1:4" x14ac:dyDescent="0.2">
      <c r="A957">
        <v>2020</v>
      </c>
      <c r="B957" s="2" t="s">
        <v>271</v>
      </c>
      <c r="C957" s="1">
        <v>461521</v>
      </c>
      <c r="D957">
        <v>1.085499E-3</v>
      </c>
    </row>
    <row r="958" spans="1:4" x14ac:dyDescent="0.2">
      <c r="A958">
        <v>2020</v>
      </c>
      <c r="B958" s="2" t="s">
        <v>356</v>
      </c>
      <c r="C958" s="1">
        <v>1034404</v>
      </c>
      <c r="D958">
        <v>2.432923E-3</v>
      </c>
    </row>
    <row r="959" spans="1:4" x14ac:dyDescent="0.2">
      <c r="A959">
        <v>2020</v>
      </c>
      <c r="B959" s="2" t="s">
        <v>357</v>
      </c>
      <c r="C959" s="1">
        <v>142907</v>
      </c>
      <c r="D959">
        <v>3.36118E-4</v>
      </c>
    </row>
    <row r="960" spans="1:4" x14ac:dyDescent="0.2">
      <c r="A960">
        <v>2020</v>
      </c>
      <c r="B960" s="2" t="s">
        <v>274</v>
      </c>
      <c r="C960" s="1">
        <v>423903</v>
      </c>
      <c r="D960">
        <v>9.9702199999999997E-4</v>
      </c>
    </row>
    <row r="961" spans="1:4" x14ac:dyDescent="0.2">
      <c r="A961">
        <v>2020</v>
      </c>
      <c r="B961" s="2" t="s">
        <v>150</v>
      </c>
      <c r="C961" s="1">
        <v>148496</v>
      </c>
      <c r="D961">
        <v>3.4926299999999999E-4</v>
      </c>
    </row>
    <row r="962" spans="1:4" x14ac:dyDescent="0.2">
      <c r="A962">
        <v>2020</v>
      </c>
      <c r="B962" s="2" t="s">
        <v>151</v>
      </c>
      <c r="C962" s="1">
        <v>141607</v>
      </c>
      <c r="D962">
        <v>3.3305999999999999E-4</v>
      </c>
    </row>
    <row r="963" spans="1:4" x14ac:dyDescent="0.2">
      <c r="A963">
        <v>2020</v>
      </c>
      <c r="B963" s="2" t="s">
        <v>358</v>
      </c>
      <c r="C963" s="1">
        <v>1915232</v>
      </c>
      <c r="D963">
        <v>4.5046340000000004E-3</v>
      </c>
    </row>
    <row r="964" spans="1:4" x14ac:dyDescent="0.2">
      <c r="A964">
        <v>2020</v>
      </c>
      <c r="B964" s="2" t="s">
        <v>277</v>
      </c>
      <c r="C964" s="1">
        <v>110388</v>
      </c>
      <c r="D964">
        <v>2.59633E-4</v>
      </c>
    </row>
    <row r="965" spans="1:4" x14ac:dyDescent="0.2">
      <c r="A965">
        <v>2020</v>
      </c>
      <c r="B965" s="2" t="s">
        <v>359</v>
      </c>
      <c r="C965" s="1">
        <v>2281087</v>
      </c>
      <c r="D965">
        <v>5.3651259999999996E-3</v>
      </c>
    </row>
    <row r="966" spans="1:4" x14ac:dyDescent="0.2">
      <c r="A966">
        <v>2020</v>
      </c>
      <c r="B966" s="2" t="s">
        <v>152</v>
      </c>
      <c r="C966" s="1">
        <v>103413</v>
      </c>
      <c r="D966">
        <v>2.4322800000000001E-4</v>
      </c>
    </row>
    <row r="967" spans="1:4" x14ac:dyDescent="0.2">
      <c r="A967">
        <v>2020</v>
      </c>
      <c r="B967" s="2" t="s">
        <v>153</v>
      </c>
      <c r="C967" s="1">
        <v>88530</v>
      </c>
      <c r="D967">
        <v>2.08223E-4</v>
      </c>
    </row>
    <row r="968" spans="1:4" x14ac:dyDescent="0.2">
      <c r="A968">
        <v>2020</v>
      </c>
      <c r="B968" s="2" t="s">
        <v>279</v>
      </c>
      <c r="C968" s="1">
        <v>1983125</v>
      </c>
      <c r="D968">
        <v>4.6643179999999998E-3</v>
      </c>
    </row>
    <row r="969" spans="1:4" x14ac:dyDescent="0.2">
      <c r="A969">
        <v>2020</v>
      </c>
      <c r="B969" s="2" t="s">
        <v>360</v>
      </c>
      <c r="C969" s="1">
        <v>1892070</v>
      </c>
      <c r="D969">
        <v>4.4501569999999997E-3</v>
      </c>
    </row>
    <row r="970" spans="1:4" x14ac:dyDescent="0.2">
      <c r="A970">
        <v>2020</v>
      </c>
      <c r="B970" s="2" t="s">
        <v>72</v>
      </c>
      <c r="C970" s="1">
        <v>844468</v>
      </c>
      <c r="D970">
        <v>1.9861919999999999E-3</v>
      </c>
    </row>
    <row r="971" spans="1:4" x14ac:dyDescent="0.2">
      <c r="A971">
        <v>2020</v>
      </c>
      <c r="B971" s="2" t="s">
        <v>281</v>
      </c>
      <c r="C971" s="1">
        <v>165062</v>
      </c>
      <c r="D971">
        <v>3.8822699999999999E-4</v>
      </c>
    </row>
    <row r="972" spans="1:4" x14ac:dyDescent="0.2">
      <c r="A972">
        <v>2020</v>
      </c>
      <c r="B972" s="2" t="s">
        <v>282</v>
      </c>
      <c r="C972" s="1">
        <v>223302</v>
      </c>
      <c r="D972">
        <v>5.2520699999999997E-4</v>
      </c>
    </row>
    <row r="973" spans="1:4" x14ac:dyDescent="0.2">
      <c r="A973">
        <v>2020</v>
      </c>
      <c r="B973" s="2" t="s">
        <v>283</v>
      </c>
      <c r="C973" s="1">
        <v>6999906</v>
      </c>
      <c r="D973">
        <v>1.6463808999999999E-2</v>
      </c>
    </row>
    <row r="974" spans="1:4" x14ac:dyDescent="0.2">
      <c r="A974">
        <v>2020</v>
      </c>
      <c r="B974" s="2" t="s">
        <v>361</v>
      </c>
      <c r="C974" s="1">
        <v>566893</v>
      </c>
      <c r="D974">
        <v>1.3333349999999999E-3</v>
      </c>
    </row>
    <row r="975" spans="1:4" x14ac:dyDescent="0.2">
      <c r="A975">
        <v>2020</v>
      </c>
      <c r="B975" s="2" t="s">
        <v>362</v>
      </c>
      <c r="C975" s="1">
        <v>155623</v>
      </c>
      <c r="D975">
        <v>3.6602599999999998E-4</v>
      </c>
    </row>
    <row r="976" spans="1:4" x14ac:dyDescent="0.2">
      <c r="A976">
        <v>2020</v>
      </c>
      <c r="B976" s="2" t="s">
        <v>363</v>
      </c>
      <c r="C976" s="1">
        <v>140897</v>
      </c>
      <c r="D976">
        <v>3.3138999999999998E-4</v>
      </c>
    </row>
    <row r="977" spans="1:4" x14ac:dyDescent="0.2">
      <c r="A977">
        <v>2020</v>
      </c>
      <c r="B977" s="2" t="s">
        <v>184</v>
      </c>
      <c r="C977" s="1">
        <v>1234568</v>
      </c>
      <c r="D977">
        <v>2.903709E-3</v>
      </c>
    </row>
    <row r="978" spans="1:4" x14ac:dyDescent="0.2">
      <c r="A978">
        <v>2020</v>
      </c>
      <c r="B978" s="2" t="s">
        <v>154</v>
      </c>
      <c r="C978" s="1">
        <v>446878</v>
      </c>
      <c r="D978">
        <v>1.051059E-3</v>
      </c>
    </row>
    <row r="979" spans="1:4" x14ac:dyDescent="0.2">
      <c r="A979">
        <v>2020</v>
      </c>
      <c r="B979" s="2" t="s">
        <v>155</v>
      </c>
      <c r="C979" s="1">
        <v>122847</v>
      </c>
      <c r="D979">
        <v>2.8893700000000002E-4</v>
      </c>
    </row>
    <row r="980" spans="1:4" x14ac:dyDescent="0.2">
      <c r="A980">
        <v>2020</v>
      </c>
      <c r="B980" s="2" t="s">
        <v>287</v>
      </c>
      <c r="C980" s="1">
        <v>262248</v>
      </c>
      <c r="D980">
        <v>6.1680800000000005E-4</v>
      </c>
    </row>
    <row r="981" spans="1:4" x14ac:dyDescent="0.2">
      <c r="A981">
        <v>2020</v>
      </c>
      <c r="B981" s="2" t="s">
        <v>288</v>
      </c>
      <c r="C981" s="1">
        <v>554990</v>
      </c>
      <c r="D981">
        <v>1.305339E-3</v>
      </c>
    </row>
    <row r="982" spans="1:4" x14ac:dyDescent="0.2">
      <c r="A982">
        <v>2020</v>
      </c>
      <c r="B982" s="2" t="s">
        <v>157</v>
      </c>
      <c r="C982" s="1">
        <v>94964</v>
      </c>
      <c r="D982">
        <v>2.2335599999999999E-4</v>
      </c>
    </row>
    <row r="983" spans="1:4" x14ac:dyDescent="0.2">
      <c r="A983">
        <v>2020</v>
      </c>
      <c r="B983" s="2" t="s">
        <v>289</v>
      </c>
      <c r="C983" s="1">
        <v>544844</v>
      </c>
      <c r="D983">
        <v>1.281475E-3</v>
      </c>
    </row>
    <row r="984" spans="1:4" x14ac:dyDescent="0.2">
      <c r="A984">
        <v>2020</v>
      </c>
      <c r="B984" s="2" t="s">
        <v>364</v>
      </c>
      <c r="C984" s="1">
        <v>90338</v>
      </c>
      <c r="D984">
        <v>2.12475E-4</v>
      </c>
    </row>
    <row r="985" spans="1:4" x14ac:dyDescent="0.2">
      <c r="A985">
        <v>2020</v>
      </c>
      <c r="B985" s="2" t="s">
        <v>203</v>
      </c>
      <c r="C985" s="1">
        <v>102867</v>
      </c>
      <c r="D985">
        <v>2.4194400000000001E-4</v>
      </c>
    </row>
    <row r="986" spans="1:4" x14ac:dyDescent="0.2">
      <c r="A986">
        <v>2020</v>
      </c>
      <c r="B986" s="2" t="s">
        <v>291</v>
      </c>
      <c r="C986" s="1">
        <v>830853</v>
      </c>
      <c r="D986">
        <v>1.9541699999999999E-3</v>
      </c>
    </row>
    <row r="987" spans="1:4" x14ac:dyDescent="0.2">
      <c r="A987">
        <v>2020</v>
      </c>
      <c r="B987" s="2" t="s">
        <v>292</v>
      </c>
      <c r="C987" s="1">
        <v>111433</v>
      </c>
      <c r="D987">
        <v>2.6209099999999999E-4</v>
      </c>
    </row>
    <row r="988" spans="1:4" x14ac:dyDescent="0.2">
      <c r="A988">
        <v>2020</v>
      </c>
      <c r="B988" s="2" t="s">
        <v>365</v>
      </c>
      <c r="C988" s="1">
        <v>7318</v>
      </c>
      <c r="D988">
        <v>1.7212000000000001E-5</v>
      </c>
    </row>
    <row r="989" spans="1:4" x14ac:dyDescent="0.2">
      <c r="A989">
        <v>2020</v>
      </c>
      <c r="B989" s="2" t="s">
        <v>366</v>
      </c>
      <c r="C989" s="1">
        <v>394137</v>
      </c>
      <c r="D989">
        <v>9.2701199999999995E-4</v>
      </c>
    </row>
    <row r="990" spans="1:4" x14ac:dyDescent="0.2">
      <c r="A990">
        <v>2020</v>
      </c>
      <c r="B990" s="2" t="s">
        <v>185</v>
      </c>
      <c r="C990" s="1">
        <v>157285</v>
      </c>
      <c r="D990">
        <v>3.69935E-4</v>
      </c>
    </row>
    <row r="991" spans="1:4" x14ac:dyDescent="0.2">
      <c r="A991">
        <v>2020</v>
      </c>
      <c r="B991" s="2" t="s">
        <v>295</v>
      </c>
      <c r="C991" s="1">
        <v>6528729</v>
      </c>
      <c r="D991">
        <v>1.5355598E-2</v>
      </c>
    </row>
    <row r="992" spans="1:4" x14ac:dyDescent="0.2">
      <c r="A992">
        <v>2020</v>
      </c>
      <c r="B992" s="2" t="s">
        <v>296</v>
      </c>
      <c r="C992" s="1">
        <v>3228519</v>
      </c>
      <c r="D992">
        <v>7.5934899999999996E-3</v>
      </c>
    </row>
    <row r="993" spans="1:4" x14ac:dyDescent="0.2">
      <c r="A993">
        <v>2020</v>
      </c>
      <c r="B993" s="2" t="s">
        <v>297</v>
      </c>
      <c r="C993" s="1">
        <v>358140</v>
      </c>
      <c r="D993">
        <v>8.4234700000000002E-4</v>
      </c>
    </row>
    <row r="994" spans="1:4" x14ac:dyDescent="0.2">
      <c r="A994">
        <v>2020</v>
      </c>
      <c r="B994" s="2" t="s">
        <v>298</v>
      </c>
      <c r="C994" s="1">
        <v>6522</v>
      </c>
      <c r="D994">
        <v>1.5339999999999999E-5</v>
      </c>
    </row>
    <row r="995" spans="1:4" x14ac:dyDescent="0.2">
      <c r="A995">
        <v>2020</v>
      </c>
      <c r="B995" s="2" t="s">
        <v>299</v>
      </c>
      <c r="C995" s="1">
        <v>1103745</v>
      </c>
      <c r="D995">
        <v>2.5960129999999999E-3</v>
      </c>
    </row>
    <row r="996" spans="1:4" x14ac:dyDescent="0.2">
      <c r="A996">
        <v>2020</v>
      </c>
      <c r="B996" s="2" t="s">
        <v>367</v>
      </c>
      <c r="C996" s="1">
        <v>104299</v>
      </c>
      <c r="D996">
        <v>2.4531200000000003E-4</v>
      </c>
    </row>
    <row r="997" spans="1:4" x14ac:dyDescent="0.2">
      <c r="A997">
        <v>2020</v>
      </c>
      <c r="B997" s="2" t="s">
        <v>368</v>
      </c>
      <c r="C997" s="1">
        <v>188250</v>
      </c>
      <c r="D997">
        <v>4.4276500000000002E-4</v>
      </c>
    </row>
    <row r="998" spans="1:4" x14ac:dyDescent="0.2">
      <c r="A998">
        <v>2020</v>
      </c>
      <c r="B998" s="2" t="s">
        <v>301</v>
      </c>
      <c r="C998" s="1">
        <v>158313</v>
      </c>
      <c r="D998">
        <v>3.7235300000000002E-4</v>
      </c>
    </row>
    <row r="999" spans="1:4" x14ac:dyDescent="0.2">
      <c r="A999">
        <v>2020</v>
      </c>
      <c r="B999" s="2" t="s">
        <v>91</v>
      </c>
      <c r="C999" s="1">
        <v>2741526</v>
      </c>
      <c r="D999">
        <v>6.4480809999999996E-3</v>
      </c>
    </row>
    <row r="1000" spans="1:4" x14ac:dyDescent="0.2">
      <c r="A1000">
        <v>2020</v>
      </c>
      <c r="B1000" s="2" t="s">
        <v>302</v>
      </c>
      <c r="C1000" s="1">
        <v>400954</v>
      </c>
      <c r="D1000">
        <v>9.4304600000000001E-4</v>
      </c>
    </row>
    <row r="1001" spans="1:4" x14ac:dyDescent="0.2">
      <c r="A1001">
        <v>2020</v>
      </c>
      <c r="B1001" s="2" t="s">
        <v>303</v>
      </c>
      <c r="C1001" s="1">
        <v>138680</v>
      </c>
      <c r="D1001">
        <v>3.2617600000000002E-4</v>
      </c>
    </row>
    <row r="1002" spans="1:4" x14ac:dyDescent="0.2">
      <c r="A1002">
        <v>2020</v>
      </c>
      <c r="B1002" s="2" t="s">
        <v>160</v>
      </c>
      <c r="C1002" s="1">
        <v>139969</v>
      </c>
      <c r="D1002">
        <v>3.29208E-4</v>
      </c>
    </row>
    <row r="1003" spans="1:4" x14ac:dyDescent="0.2">
      <c r="A1003">
        <v>2020</v>
      </c>
      <c r="B1003" s="2" t="s">
        <v>369</v>
      </c>
      <c r="C1003" s="1">
        <v>519459</v>
      </c>
      <c r="D1003">
        <v>1.2217700000000001E-3</v>
      </c>
    </row>
    <row r="1004" spans="1:4" x14ac:dyDescent="0.2">
      <c r="A1004">
        <v>2020</v>
      </c>
      <c r="B1004" s="2" t="s">
        <v>304</v>
      </c>
      <c r="C1004" s="1">
        <v>149753</v>
      </c>
      <c r="D1004">
        <v>3.5221999999999999E-4</v>
      </c>
    </row>
    <row r="1005" spans="1:4" x14ac:dyDescent="0.2">
      <c r="A1005">
        <v>2020</v>
      </c>
      <c r="B1005" s="2" t="s">
        <v>305</v>
      </c>
      <c r="C1005" s="1">
        <v>417775</v>
      </c>
      <c r="D1005">
        <v>9.8260899999999996E-4</v>
      </c>
    </row>
    <row r="1006" spans="1:4" x14ac:dyDescent="0.2">
      <c r="A1006">
        <v>2020</v>
      </c>
      <c r="B1006" s="2" t="s">
        <v>162</v>
      </c>
      <c r="C1006" s="1">
        <v>190089</v>
      </c>
      <c r="D1006">
        <v>4.4708999999999998E-4</v>
      </c>
    </row>
    <row r="1007" spans="1:4" x14ac:dyDescent="0.2">
      <c r="A1007">
        <v>2020</v>
      </c>
      <c r="B1007" s="2" t="s">
        <v>370</v>
      </c>
      <c r="C1007" s="1">
        <v>1087868</v>
      </c>
      <c r="D1007">
        <v>2.5586699999999999E-3</v>
      </c>
    </row>
    <row r="1008" spans="1:4" x14ac:dyDescent="0.2">
      <c r="A1008">
        <v>2020</v>
      </c>
      <c r="B1008" s="2" t="s">
        <v>307</v>
      </c>
      <c r="C1008" s="1">
        <v>339198</v>
      </c>
      <c r="D1008">
        <v>7.9779500000000001E-4</v>
      </c>
    </row>
    <row r="1009" spans="1:4" x14ac:dyDescent="0.2">
      <c r="A1009">
        <v>2020</v>
      </c>
      <c r="B1009" s="2" t="s">
        <v>371</v>
      </c>
      <c r="C1009" s="1">
        <v>909730</v>
      </c>
      <c r="D1009">
        <v>2.1396890000000002E-3</v>
      </c>
    </row>
    <row r="1010" spans="1:4" x14ac:dyDescent="0.2">
      <c r="A1010">
        <v>2020</v>
      </c>
      <c r="B1010" s="2" t="s">
        <v>372</v>
      </c>
      <c r="C1010" s="1">
        <v>491262</v>
      </c>
      <c r="D1010">
        <v>1.1554499999999999E-3</v>
      </c>
    </row>
    <row r="1011" spans="1:4" x14ac:dyDescent="0.2">
      <c r="A1011">
        <v>2020</v>
      </c>
      <c r="B1011" s="2" t="s">
        <v>373</v>
      </c>
      <c r="C1011" s="1">
        <v>102871</v>
      </c>
      <c r="D1011">
        <v>2.4195299999999999E-4</v>
      </c>
    </row>
    <row r="1012" spans="1:4" x14ac:dyDescent="0.2">
      <c r="A1012">
        <v>2020</v>
      </c>
      <c r="B1012" s="2" t="s">
        <v>374</v>
      </c>
      <c r="C1012" s="1">
        <v>1220831</v>
      </c>
      <c r="D1012">
        <v>2.8714000000000001E-3</v>
      </c>
    </row>
    <row r="1013" spans="1:4" x14ac:dyDescent="0.2">
      <c r="A1013">
        <v>2020</v>
      </c>
      <c r="B1013" s="2" t="s">
        <v>311</v>
      </c>
      <c r="C1013" s="1">
        <v>632557</v>
      </c>
      <c r="D1013">
        <v>1.487777E-3</v>
      </c>
    </row>
    <row r="1014" spans="1:4" x14ac:dyDescent="0.2">
      <c r="A1014">
        <v>2020</v>
      </c>
      <c r="B1014" s="2" t="s">
        <v>375</v>
      </c>
      <c r="C1014" s="1">
        <v>204491</v>
      </c>
      <c r="D1014">
        <v>4.8096400000000001E-4</v>
      </c>
    </row>
    <row r="1015" spans="1:4" x14ac:dyDescent="0.2">
      <c r="A1015">
        <v>2020</v>
      </c>
      <c r="B1015" s="2" t="s">
        <v>376</v>
      </c>
      <c r="C1015" s="1">
        <v>787989</v>
      </c>
      <c r="D1015">
        <v>1.8533530000000001E-3</v>
      </c>
    </row>
    <row r="1016" spans="1:4" x14ac:dyDescent="0.2">
      <c r="A1016">
        <v>2020</v>
      </c>
      <c r="B1016" s="2" t="s">
        <v>377</v>
      </c>
      <c r="C1016" s="1">
        <v>47391</v>
      </c>
      <c r="D1016">
        <v>1.11464E-4</v>
      </c>
    </row>
    <row r="1017" spans="1:4" x14ac:dyDescent="0.2">
      <c r="A1017">
        <v>2020</v>
      </c>
      <c r="B1017" s="2" t="s">
        <v>164</v>
      </c>
      <c r="C1017" s="1">
        <v>63075</v>
      </c>
      <c r="D1017">
        <v>1.4835299999999999E-4</v>
      </c>
    </row>
    <row r="1018" spans="1:4" x14ac:dyDescent="0.2">
      <c r="A1018">
        <v>2020</v>
      </c>
      <c r="B1018" s="2" t="s">
        <v>165</v>
      </c>
      <c r="C1018" s="1">
        <v>176921</v>
      </c>
      <c r="D1018">
        <v>4.16119E-4</v>
      </c>
    </row>
    <row r="1019" spans="1:4" x14ac:dyDescent="0.2">
      <c r="A1019">
        <v>2020</v>
      </c>
      <c r="B1019" s="2" t="s">
        <v>314</v>
      </c>
      <c r="C1019" s="1">
        <v>1225536</v>
      </c>
      <c r="D1019">
        <v>2.8824660000000002E-3</v>
      </c>
    </row>
    <row r="1020" spans="1:4" x14ac:dyDescent="0.2">
      <c r="A1020">
        <v>2020</v>
      </c>
      <c r="B1020" s="2" t="s">
        <v>206</v>
      </c>
      <c r="C1020" s="1">
        <v>193400</v>
      </c>
      <c r="D1020">
        <v>4.5487799999999998E-4</v>
      </c>
    </row>
    <row r="1021" spans="1:4" x14ac:dyDescent="0.2">
      <c r="A1021">
        <v>2020</v>
      </c>
      <c r="B1021" s="2" t="s">
        <v>166</v>
      </c>
      <c r="C1021" s="1">
        <v>142010</v>
      </c>
      <c r="D1021">
        <v>3.34008E-4</v>
      </c>
    </row>
    <row r="1022" spans="1:4" x14ac:dyDescent="0.2">
      <c r="A1022">
        <v>2020</v>
      </c>
      <c r="B1022" s="2" t="s">
        <v>167</v>
      </c>
      <c r="C1022" s="1">
        <v>204420</v>
      </c>
      <c r="D1022">
        <v>4.8079699999999998E-4</v>
      </c>
    </row>
    <row r="1023" spans="1:4" x14ac:dyDescent="0.2">
      <c r="A1023">
        <v>2020</v>
      </c>
      <c r="B1023" s="2" t="s">
        <v>378</v>
      </c>
      <c r="C1023" s="1">
        <v>9102</v>
      </c>
      <c r="D1023">
        <v>2.1407999999999999E-5</v>
      </c>
    </row>
    <row r="1024" spans="1:4" x14ac:dyDescent="0.2">
      <c r="A1024">
        <v>2020</v>
      </c>
      <c r="B1024" s="2" t="s">
        <v>379</v>
      </c>
      <c r="C1024" s="1">
        <v>136579</v>
      </c>
      <c r="D1024">
        <v>3.2123399999999999E-4</v>
      </c>
    </row>
    <row r="1025" spans="1:4" x14ac:dyDescent="0.2">
      <c r="A1025">
        <v>2020</v>
      </c>
      <c r="B1025" s="2" t="s">
        <v>107</v>
      </c>
      <c r="C1025" s="1">
        <v>235880</v>
      </c>
      <c r="D1025">
        <v>5.5479100000000001E-4</v>
      </c>
    </row>
    <row r="1026" spans="1:4" x14ac:dyDescent="0.2">
      <c r="A1026">
        <v>2020</v>
      </c>
      <c r="B1026" s="2" t="s">
        <v>380</v>
      </c>
      <c r="C1026" s="1">
        <v>4934949</v>
      </c>
      <c r="D1026">
        <v>1.1607021E-2</v>
      </c>
    </row>
    <row r="1027" spans="1:4" x14ac:dyDescent="0.2">
      <c r="A1027">
        <v>2020</v>
      </c>
      <c r="B1027" s="2" t="s">
        <v>381</v>
      </c>
      <c r="C1027" s="1">
        <v>32063</v>
      </c>
      <c r="D1027">
        <v>7.5412000000000002E-5</v>
      </c>
    </row>
    <row r="1028" spans="1:4" x14ac:dyDescent="0.2">
      <c r="A1028">
        <v>2020</v>
      </c>
      <c r="B1028" s="2" t="s">
        <v>317</v>
      </c>
      <c r="C1028" s="1">
        <v>351976</v>
      </c>
      <c r="D1028">
        <v>8.2784899999999997E-4</v>
      </c>
    </row>
    <row r="1029" spans="1:4" x14ac:dyDescent="0.2">
      <c r="A1029">
        <v>2020</v>
      </c>
      <c r="B1029" s="2" t="s">
        <v>318</v>
      </c>
      <c r="C1029" s="1">
        <v>4841429</v>
      </c>
      <c r="D1029">
        <v>1.1387062E-2</v>
      </c>
    </row>
    <row r="1030" spans="1:4" x14ac:dyDescent="0.2">
      <c r="A1030">
        <v>2020</v>
      </c>
      <c r="B1030" s="2" t="s">
        <v>169</v>
      </c>
      <c r="C1030" s="1">
        <v>171505</v>
      </c>
      <c r="D1030">
        <v>4.0338E-4</v>
      </c>
    </row>
    <row r="1031" spans="1:4" x14ac:dyDescent="0.2">
      <c r="A1031">
        <v>2020</v>
      </c>
      <c r="B1031" s="2" t="s">
        <v>170</v>
      </c>
      <c r="C1031" s="1">
        <v>316403</v>
      </c>
      <c r="D1031">
        <v>7.4418100000000001E-4</v>
      </c>
    </row>
    <row r="1032" spans="1:4" x14ac:dyDescent="0.2">
      <c r="A1032">
        <v>2020</v>
      </c>
      <c r="B1032" s="2" t="s">
        <v>319</v>
      </c>
      <c r="C1032" s="1">
        <v>419087</v>
      </c>
      <c r="D1032">
        <v>9.8569400000000007E-4</v>
      </c>
    </row>
    <row r="1033" spans="1:4" x14ac:dyDescent="0.2">
      <c r="A1033">
        <v>2020</v>
      </c>
      <c r="B1033" s="2" t="s">
        <v>320</v>
      </c>
      <c r="C1033" s="1">
        <v>842862</v>
      </c>
      <c r="D1033">
        <v>1.982415E-3</v>
      </c>
    </row>
    <row r="1034" spans="1:4" x14ac:dyDescent="0.2">
      <c r="A1034">
        <v>2020</v>
      </c>
      <c r="B1034" s="2" t="s">
        <v>321</v>
      </c>
      <c r="C1034" s="1">
        <v>584616</v>
      </c>
      <c r="D1034">
        <v>1.3750189999999999E-3</v>
      </c>
    </row>
    <row r="1035" spans="1:4" x14ac:dyDescent="0.2">
      <c r="A1035">
        <v>2020</v>
      </c>
      <c r="B1035" s="2" t="s">
        <v>114</v>
      </c>
      <c r="C1035" s="1">
        <v>20184022</v>
      </c>
      <c r="D1035">
        <v>4.7472905000000003E-2</v>
      </c>
    </row>
    <row r="1036" spans="1:4" x14ac:dyDescent="0.2">
      <c r="A1036">
        <v>2020</v>
      </c>
      <c r="B1036" s="2" t="s">
        <v>322</v>
      </c>
      <c r="C1036" s="1">
        <v>777214</v>
      </c>
      <c r="D1036">
        <v>1.828011E-3</v>
      </c>
    </row>
    <row r="1037" spans="1:4" x14ac:dyDescent="0.2">
      <c r="A1037">
        <v>2020</v>
      </c>
      <c r="B1037" s="2" t="s">
        <v>382</v>
      </c>
      <c r="C1037" s="1">
        <v>400004</v>
      </c>
      <c r="D1037">
        <v>9.4081099999999995E-4</v>
      </c>
    </row>
    <row r="1038" spans="1:4" x14ac:dyDescent="0.2">
      <c r="A1038">
        <v>2020</v>
      </c>
      <c r="B1038" s="2" t="s">
        <v>383</v>
      </c>
      <c r="C1038" s="1">
        <v>386941</v>
      </c>
      <c r="D1038">
        <v>9.1008699999999996E-4</v>
      </c>
    </row>
    <row r="1039" spans="1:4" x14ac:dyDescent="0.2">
      <c r="A1039">
        <v>2020</v>
      </c>
      <c r="B1039" s="2" t="s">
        <v>171</v>
      </c>
      <c r="C1039" s="1">
        <v>265750</v>
      </c>
      <c r="D1039">
        <v>6.2504499999999996E-4</v>
      </c>
    </row>
    <row r="1040" spans="1:4" x14ac:dyDescent="0.2">
      <c r="A1040">
        <v>2020</v>
      </c>
      <c r="B1040" s="2" t="s">
        <v>325</v>
      </c>
      <c r="C1040" s="1">
        <v>225538</v>
      </c>
      <c r="D1040">
        <v>5.3046600000000005E-4</v>
      </c>
    </row>
    <row r="1041" spans="1:4" x14ac:dyDescent="0.2">
      <c r="A1041">
        <v>2020</v>
      </c>
      <c r="B1041" s="2" t="s">
        <v>326</v>
      </c>
      <c r="C1041" s="1">
        <v>276926</v>
      </c>
      <c r="D1041">
        <v>6.51331E-4</v>
      </c>
    </row>
    <row r="1042" spans="1:4" x14ac:dyDescent="0.2">
      <c r="A1042">
        <v>2020</v>
      </c>
      <c r="B1042" s="2" t="s">
        <v>173</v>
      </c>
      <c r="C1042" s="1">
        <v>280148</v>
      </c>
      <c r="D1042">
        <v>6.5890899999999995E-4</v>
      </c>
    </row>
    <row r="1043" spans="1:4" x14ac:dyDescent="0.2">
      <c r="A1043">
        <v>2021</v>
      </c>
      <c r="B1043" s="2" t="s">
        <v>15</v>
      </c>
      <c r="C1043" s="1">
        <v>507960</v>
      </c>
      <c r="D1043">
        <v>1.1399854E-3</v>
      </c>
    </row>
    <row r="1044" spans="1:4" x14ac:dyDescent="0.2">
      <c r="A1044">
        <v>2021</v>
      </c>
      <c r="B1044" s="2" t="s">
        <v>189</v>
      </c>
      <c r="C1044" s="1">
        <v>203219</v>
      </c>
      <c r="D1044">
        <v>4.5607269999999999E-4</v>
      </c>
    </row>
    <row r="1045" spans="1:4" x14ac:dyDescent="0.2">
      <c r="A1045">
        <v>2021</v>
      </c>
      <c r="B1045" s="2" t="s">
        <v>210</v>
      </c>
      <c r="C1045" s="1">
        <v>1058806</v>
      </c>
      <c r="D1045">
        <v>2.3762175000000001E-3</v>
      </c>
    </row>
    <row r="1046" spans="1:4" x14ac:dyDescent="0.2">
      <c r="A1046">
        <v>2021</v>
      </c>
      <c r="B1046" s="2" t="s">
        <v>121</v>
      </c>
      <c r="C1046" s="1">
        <v>198723</v>
      </c>
      <c r="D1046">
        <v>4.4598259999999997E-4</v>
      </c>
    </row>
    <row r="1047" spans="1:4" x14ac:dyDescent="0.2">
      <c r="A1047">
        <v>2021</v>
      </c>
      <c r="B1047" s="2" t="s">
        <v>122</v>
      </c>
      <c r="C1047" s="1">
        <v>275611</v>
      </c>
      <c r="D1047">
        <v>6.1853790000000004E-4</v>
      </c>
    </row>
    <row r="1048" spans="1:4" x14ac:dyDescent="0.2">
      <c r="A1048">
        <v>2021</v>
      </c>
      <c r="B1048" s="2" t="s">
        <v>123</v>
      </c>
      <c r="C1048" s="1">
        <v>219578</v>
      </c>
      <c r="D1048">
        <v>4.9278630000000004E-4</v>
      </c>
    </row>
    <row r="1049" spans="1:4" x14ac:dyDescent="0.2">
      <c r="A1049">
        <v>2021</v>
      </c>
      <c r="B1049" s="2" t="s">
        <v>5</v>
      </c>
      <c r="C1049" s="1">
        <v>19857</v>
      </c>
      <c r="D1049">
        <v>4.4563900000000002E-5</v>
      </c>
    </row>
    <row r="1050" spans="1:4" x14ac:dyDescent="0.2">
      <c r="A1050">
        <v>2021</v>
      </c>
      <c r="B1050" s="2" t="s">
        <v>6</v>
      </c>
      <c r="C1050" s="1">
        <v>16724</v>
      </c>
      <c r="D1050">
        <v>3.7532700000000001E-5</v>
      </c>
    </row>
    <row r="1051" spans="1:4" x14ac:dyDescent="0.2">
      <c r="A1051">
        <v>2021</v>
      </c>
      <c r="B1051" s="2" t="s">
        <v>7</v>
      </c>
      <c r="C1051" s="1">
        <v>276733</v>
      </c>
      <c r="D1051">
        <v>6.2105600000000004E-4</v>
      </c>
    </row>
    <row r="1052" spans="1:4" x14ac:dyDescent="0.2">
      <c r="A1052">
        <v>2021</v>
      </c>
      <c r="B1052" s="2" t="s">
        <v>8</v>
      </c>
      <c r="C1052" s="1">
        <v>678952</v>
      </c>
      <c r="D1052">
        <v>1.523733E-3</v>
      </c>
    </row>
    <row r="1053" spans="1:4" x14ac:dyDescent="0.2">
      <c r="A1053">
        <v>2021</v>
      </c>
      <c r="B1053" s="2" t="s">
        <v>124</v>
      </c>
      <c r="C1053" s="1">
        <v>94295</v>
      </c>
      <c r="D1053">
        <v>2.1162080000000001E-4</v>
      </c>
    </row>
    <row r="1054" spans="1:4" x14ac:dyDescent="0.2">
      <c r="A1054">
        <v>2021</v>
      </c>
      <c r="B1054" s="2" t="s">
        <v>214</v>
      </c>
      <c r="C1054" s="1">
        <v>209174</v>
      </c>
      <c r="D1054">
        <v>4.6943720000000003E-4</v>
      </c>
    </row>
    <row r="1055" spans="1:4" x14ac:dyDescent="0.2">
      <c r="A1055">
        <v>2021</v>
      </c>
      <c r="B1055" s="2" t="s">
        <v>9</v>
      </c>
      <c r="C1055" s="1">
        <v>2154532</v>
      </c>
      <c r="D1055">
        <v>4.8352923000000003E-3</v>
      </c>
    </row>
    <row r="1056" spans="1:4" x14ac:dyDescent="0.2">
      <c r="A1056">
        <v>2021</v>
      </c>
      <c r="B1056" s="2" t="s">
        <v>191</v>
      </c>
      <c r="C1056" s="1">
        <v>4349920</v>
      </c>
      <c r="D1056">
        <v>9.7622753999999992E-3</v>
      </c>
    </row>
    <row r="1057" spans="1:4" x14ac:dyDescent="0.2">
      <c r="A1057">
        <v>2021</v>
      </c>
      <c r="B1057" s="2" t="s">
        <v>11</v>
      </c>
      <c r="C1057" s="1">
        <v>139617</v>
      </c>
      <c r="D1057">
        <v>3.1333439999999999E-4</v>
      </c>
    </row>
    <row r="1058" spans="1:4" x14ac:dyDescent="0.2">
      <c r="A1058">
        <v>2021</v>
      </c>
      <c r="B1058" s="2" t="s">
        <v>192</v>
      </c>
      <c r="C1058" s="1">
        <v>19653453</v>
      </c>
      <c r="D1058">
        <v>4.4107115000000002E-2</v>
      </c>
    </row>
    <row r="1059" spans="1:4" x14ac:dyDescent="0.2">
      <c r="A1059">
        <v>2021</v>
      </c>
      <c r="B1059" s="2" t="s">
        <v>13</v>
      </c>
      <c r="C1059" s="1">
        <v>7151500</v>
      </c>
      <c r="D1059">
        <v>1.6049700399999998E-2</v>
      </c>
    </row>
    <row r="1060" spans="1:4" x14ac:dyDescent="0.2">
      <c r="A1060">
        <v>2021</v>
      </c>
      <c r="B1060" s="2" t="s">
        <v>219</v>
      </c>
      <c r="C1060" s="1">
        <v>875676</v>
      </c>
      <c r="D1060">
        <v>1.9652292999999999E-3</v>
      </c>
    </row>
    <row r="1061" spans="1:4" x14ac:dyDescent="0.2">
      <c r="A1061">
        <v>2021</v>
      </c>
      <c r="B1061" s="2" t="s">
        <v>220</v>
      </c>
      <c r="C1061" s="1">
        <v>243205</v>
      </c>
      <c r="D1061">
        <v>5.45811E-4</v>
      </c>
    </row>
    <row r="1062" spans="1:4" x14ac:dyDescent="0.2">
      <c r="A1062">
        <v>2021</v>
      </c>
      <c r="B1062" s="2" t="s">
        <v>17</v>
      </c>
      <c r="C1062" s="1">
        <v>706218</v>
      </c>
      <c r="D1062">
        <v>1.5849245000000001E-3</v>
      </c>
    </row>
    <row r="1063" spans="1:4" x14ac:dyDescent="0.2">
      <c r="A1063">
        <v>2021</v>
      </c>
      <c r="B1063" s="2" t="s">
        <v>193</v>
      </c>
      <c r="C1063" s="1">
        <v>269362</v>
      </c>
      <c r="D1063">
        <v>6.0451370000000001E-4</v>
      </c>
    </row>
    <row r="1064" spans="1:4" x14ac:dyDescent="0.2">
      <c r="A1064">
        <v>2021</v>
      </c>
      <c r="B1064" s="2" t="s">
        <v>19</v>
      </c>
      <c r="C1064" s="1">
        <v>3256187</v>
      </c>
      <c r="D1064">
        <v>7.3076733000000003E-3</v>
      </c>
    </row>
    <row r="1065" spans="1:4" x14ac:dyDescent="0.2">
      <c r="A1065">
        <v>2021</v>
      </c>
      <c r="B1065" s="2" t="s">
        <v>194</v>
      </c>
      <c r="C1065" s="1">
        <v>167785</v>
      </c>
      <c r="D1065">
        <v>3.7655019999999998E-4</v>
      </c>
    </row>
    <row r="1066" spans="1:4" x14ac:dyDescent="0.2">
      <c r="A1066">
        <v>2021</v>
      </c>
      <c r="B1066" s="2" t="s">
        <v>21</v>
      </c>
      <c r="C1066" s="1">
        <v>141789</v>
      </c>
      <c r="D1066">
        <v>3.1820889999999998E-4</v>
      </c>
    </row>
    <row r="1067" spans="1:4" x14ac:dyDescent="0.2">
      <c r="A1067">
        <v>2021</v>
      </c>
      <c r="B1067" s="2" t="s">
        <v>225</v>
      </c>
      <c r="C1067" s="1">
        <v>415944</v>
      </c>
      <c r="D1067">
        <v>9.3347920000000004E-4</v>
      </c>
    </row>
    <row r="1068" spans="1:4" x14ac:dyDescent="0.2">
      <c r="A1068">
        <v>2021</v>
      </c>
      <c r="B1068" s="2" t="s">
        <v>23</v>
      </c>
      <c r="C1068" s="1">
        <v>212285</v>
      </c>
      <c r="D1068">
        <v>4.7641900000000001E-4</v>
      </c>
    </row>
    <row r="1069" spans="1:4" x14ac:dyDescent="0.2">
      <c r="A1069">
        <v>2021</v>
      </c>
      <c r="B1069" s="2" t="s">
        <v>227</v>
      </c>
      <c r="C1069" s="1">
        <v>3049470</v>
      </c>
      <c r="D1069">
        <v>6.8437502999999997E-3</v>
      </c>
    </row>
    <row r="1070" spans="1:4" x14ac:dyDescent="0.2">
      <c r="A1070">
        <v>2021</v>
      </c>
      <c r="B1070" s="2" t="s">
        <v>228</v>
      </c>
      <c r="C1070" s="1">
        <v>215034</v>
      </c>
      <c r="D1070">
        <v>4.8258840000000002E-4</v>
      </c>
    </row>
    <row r="1071" spans="1:4" x14ac:dyDescent="0.2">
      <c r="A1071">
        <v>2021</v>
      </c>
      <c r="B1071" s="2" t="s">
        <v>229</v>
      </c>
      <c r="C1071" s="1">
        <v>259362</v>
      </c>
      <c r="D1071">
        <v>5.8207120000000005E-4</v>
      </c>
    </row>
    <row r="1072" spans="1:4" x14ac:dyDescent="0.2">
      <c r="A1072">
        <v>2021</v>
      </c>
      <c r="B1072" s="2" t="s">
        <v>126</v>
      </c>
      <c r="C1072" s="1">
        <v>93619</v>
      </c>
      <c r="D1072">
        <v>2.101037E-4</v>
      </c>
    </row>
    <row r="1073" spans="1:4" x14ac:dyDescent="0.2">
      <c r="A1073">
        <v>2021</v>
      </c>
      <c r="B1073" s="2" t="s">
        <v>384</v>
      </c>
      <c r="C1073" s="1">
        <v>146247</v>
      </c>
      <c r="D1073">
        <v>3.2821370000000002E-4</v>
      </c>
    </row>
    <row r="1074" spans="1:4" x14ac:dyDescent="0.2">
      <c r="A1074">
        <v>2021</v>
      </c>
      <c r="B1074" s="2" t="s">
        <v>231</v>
      </c>
      <c r="C1074" s="1">
        <v>830470</v>
      </c>
      <c r="D1074">
        <v>1.8637761E-3</v>
      </c>
    </row>
    <row r="1075" spans="1:4" x14ac:dyDescent="0.2">
      <c r="A1075">
        <v>2021</v>
      </c>
      <c r="B1075" s="2" t="s">
        <v>127</v>
      </c>
      <c r="C1075" s="1">
        <v>338327</v>
      </c>
      <c r="D1075">
        <v>7.5928780000000004E-4</v>
      </c>
    </row>
    <row r="1076" spans="1:4" x14ac:dyDescent="0.2">
      <c r="A1076">
        <v>2021</v>
      </c>
      <c r="B1076" s="2" t="s">
        <v>232</v>
      </c>
      <c r="C1076" s="1">
        <v>6790709</v>
      </c>
      <c r="D1076">
        <v>1.52399979E-2</v>
      </c>
    </row>
    <row r="1077" spans="1:4" x14ac:dyDescent="0.2">
      <c r="A1077">
        <v>2021</v>
      </c>
      <c r="B1077" s="2" t="s">
        <v>233</v>
      </c>
      <c r="C1077" s="1">
        <v>359817</v>
      </c>
      <c r="D1077">
        <v>8.0751659999999997E-4</v>
      </c>
    </row>
    <row r="1078" spans="1:4" x14ac:dyDescent="0.2">
      <c r="A1078">
        <v>2021</v>
      </c>
      <c r="B1078" s="2" t="s">
        <v>234</v>
      </c>
      <c r="C1078" s="1">
        <v>1983428</v>
      </c>
      <c r="D1078">
        <v>4.4512935E-3</v>
      </c>
    </row>
    <row r="1079" spans="1:4" x14ac:dyDescent="0.2">
      <c r="A1079">
        <v>2021</v>
      </c>
      <c r="B1079" s="2" t="s">
        <v>179</v>
      </c>
      <c r="C1079" s="1">
        <v>908878</v>
      </c>
      <c r="D1079">
        <v>2.0397427E-3</v>
      </c>
    </row>
    <row r="1080" spans="1:4" x14ac:dyDescent="0.2">
      <c r="A1080">
        <v>2021</v>
      </c>
      <c r="B1080" s="2" t="s">
        <v>128</v>
      </c>
      <c r="C1080" s="1">
        <v>531524</v>
      </c>
      <c r="D1080">
        <v>1.1928688E-3</v>
      </c>
    </row>
    <row r="1081" spans="1:4" x14ac:dyDescent="0.2">
      <c r="A1081">
        <v>2021</v>
      </c>
      <c r="B1081" s="2" t="s">
        <v>235</v>
      </c>
      <c r="C1081" s="1">
        <v>267652</v>
      </c>
      <c r="D1081">
        <v>6.0067599999999997E-4</v>
      </c>
    </row>
    <row r="1082" spans="1:4" x14ac:dyDescent="0.2">
      <c r="A1082">
        <v>2021</v>
      </c>
      <c r="B1082" s="2" t="s">
        <v>385</v>
      </c>
      <c r="C1082" s="1">
        <v>181792</v>
      </c>
      <c r="D1082">
        <v>4.0798530000000003E-4</v>
      </c>
    </row>
    <row r="1083" spans="1:4" x14ac:dyDescent="0.2">
      <c r="A1083">
        <v>2021</v>
      </c>
      <c r="B1083" s="2" t="s">
        <v>237</v>
      </c>
      <c r="C1083" s="1">
        <v>121090</v>
      </c>
      <c r="D1083">
        <v>2.7175529999999998E-4</v>
      </c>
    </row>
    <row r="1084" spans="1:4" x14ac:dyDescent="0.2">
      <c r="A1084">
        <v>2021</v>
      </c>
      <c r="B1084" s="2" t="s">
        <v>33</v>
      </c>
      <c r="C1084" s="1">
        <v>157088</v>
      </c>
      <c r="D1084">
        <v>3.5254360000000002E-4</v>
      </c>
    </row>
    <row r="1085" spans="1:4" x14ac:dyDescent="0.2">
      <c r="A1085">
        <v>2021</v>
      </c>
      <c r="B1085" s="2" t="s">
        <v>386</v>
      </c>
      <c r="C1085" s="1">
        <v>66068</v>
      </c>
      <c r="D1085">
        <v>1.4827260000000001E-4</v>
      </c>
    </row>
    <row r="1086" spans="1:4" x14ac:dyDescent="0.2">
      <c r="A1086">
        <v>2021</v>
      </c>
      <c r="B1086" s="2" t="s">
        <v>339</v>
      </c>
      <c r="C1086" s="1">
        <v>299424</v>
      </c>
      <c r="D1086">
        <v>6.7198010000000001E-4</v>
      </c>
    </row>
    <row r="1087" spans="1:4" x14ac:dyDescent="0.2">
      <c r="A1087">
        <v>2021</v>
      </c>
      <c r="B1087" s="2" t="s">
        <v>34</v>
      </c>
      <c r="C1087" s="1">
        <v>1461632</v>
      </c>
      <c r="D1087">
        <v>3.2802566999999999E-3</v>
      </c>
    </row>
    <row r="1088" spans="1:4" x14ac:dyDescent="0.2">
      <c r="A1088">
        <v>2021</v>
      </c>
      <c r="B1088" s="2" t="s">
        <v>129</v>
      </c>
      <c r="C1088" s="1">
        <v>143424</v>
      </c>
      <c r="D1088">
        <v>3.2187820000000001E-4</v>
      </c>
    </row>
    <row r="1089" spans="1:4" x14ac:dyDescent="0.2">
      <c r="A1089">
        <v>2021</v>
      </c>
      <c r="B1089" s="2" t="s">
        <v>340</v>
      </c>
      <c r="C1089" s="1">
        <v>30765</v>
      </c>
      <c r="D1089">
        <v>6.9044100000000005E-5</v>
      </c>
    </row>
    <row r="1090" spans="1:4" x14ac:dyDescent="0.2">
      <c r="A1090">
        <v>2021</v>
      </c>
      <c r="B1090" s="2" t="s">
        <v>35</v>
      </c>
      <c r="C1090" s="1">
        <v>888880</v>
      </c>
      <c r="D1090">
        <v>1.9948623000000001E-3</v>
      </c>
    </row>
    <row r="1091" spans="1:4" x14ac:dyDescent="0.2">
      <c r="A1091">
        <v>2021</v>
      </c>
      <c r="B1091" s="2" t="s">
        <v>36</v>
      </c>
      <c r="C1091" s="1">
        <v>403206</v>
      </c>
      <c r="D1091">
        <v>9.0489209999999995E-4</v>
      </c>
    </row>
    <row r="1092" spans="1:4" x14ac:dyDescent="0.2">
      <c r="A1092">
        <v>2021</v>
      </c>
      <c r="B1092" s="2" t="s">
        <v>341</v>
      </c>
      <c r="C1092" s="1">
        <v>207517</v>
      </c>
      <c r="D1092">
        <v>4.6571850000000001E-4</v>
      </c>
    </row>
    <row r="1093" spans="1:4" x14ac:dyDescent="0.2">
      <c r="A1093">
        <v>2021</v>
      </c>
      <c r="B1093" s="2" t="s">
        <v>37</v>
      </c>
      <c r="C1093" s="1">
        <v>878559</v>
      </c>
      <c r="D1093">
        <v>1.9716995000000001E-3</v>
      </c>
    </row>
    <row r="1094" spans="1:4" x14ac:dyDescent="0.2">
      <c r="A1094">
        <v>2021</v>
      </c>
      <c r="B1094" s="2" t="s">
        <v>243</v>
      </c>
      <c r="C1094" s="1">
        <v>184767</v>
      </c>
      <c r="D1094">
        <v>4.14662E-4</v>
      </c>
    </row>
    <row r="1095" spans="1:4" x14ac:dyDescent="0.2">
      <c r="A1095">
        <v>2021</v>
      </c>
      <c r="B1095" s="2" t="s">
        <v>244</v>
      </c>
      <c r="C1095" s="1">
        <v>206499</v>
      </c>
      <c r="D1095">
        <v>4.6343380000000002E-4</v>
      </c>
    </row>
    <row r="1096" spans="1:4" x14ac:dyDescent="0.2">
      <c r="A1096">
        <v>2021</v>
      </c>
      <c r="B1096" s="2" t="s">
        <v>343</v>
      </c>
      <c r="C1096" s="1">
        <v>146830</v>
      </c>
      <c r="D1096">
        <v>3.2952209999999999E-4</v>
      </c>
    </row>
    <row r="1097" spans="1:4" x14ac:dyDescent="0.2">
      <c r="A1097">
        <v>2021</v>
      </c>
      <c r="B1097" s="2" t="s">
        <v>387</v>
      </c>
      <c r="C1097" s="1">
        <v>11371</v>
      </c>
      <c r="D1097">
        <v>2.5519300000000001E-5</v>
      </c>
    </row>
    <row r="1098" spans="1:4" x14ac:dyDescent="0.2">
      <c r="A1098">
        <v>2021</v>
      </c>
      <c r="B1098" s="2" t="s">
        <v>388</v>
      </c>
      <c r="C1098" s="1">
        <v>155206</v>
      </c>
      <c r="D1098">
        <v>3.4831990000000002E-4</v>
      </c>
    </row>
    <row r="1099" spans="1:4" x14ac:dyDescent="0.2">
      <c r="A1099">
        <v>2021</v>
      </c>
      <c r="B1099" s="2" t="s">
        <v>196</v>
      </c>
      <c r="C1099" s="1">
        <v>159290</v>
      </c>
      <c r="D1099">
        <v>3.5748540000000002E-4</v>
      </c>
    </row>
    <row r="1100" spans="1:4" x14ac:dyDescent="0.2">
      <c r="A1100">
        <v>2021</v>
      </c>
      <c r="B1100" s="2" t="s">
        <v>246</v>
      </c>
      <c r="C1100" s="1">
        <v>294519</v>
      </c>
      <c r="D1100">
        <v>6.6097210000000005E-4</v>
      </c>
    </row>
    <row r="1101" spans="1:4" x14ac:dyDescent="0.2">
      <c r="A1101">
        <v>2021</v>
      </c>
      <c r="B1101" s="2" t="s">
        <v>39</v>
      </c>
      <c r="C1101" s="1">
        <v>279954</v>
      </c>
      <c r="D1101">
        <v>6.2828470000000003E-4</v>
      </c>
    </row>
    <row r="1102" spans="1:4" x14ac:dyDescent="0.2">
      <c r="A1102">
        <v>2021</v>
      </c>
      <c r="B1102" s="2" t="s">
        <v>249</v>
      </c>
      <c r="C1102" s="1">
        <v>310795</v>
      </c>
      <c r="D1102">
        <v>6.974994E-4</v>
      </c>
    </row>
    <row r="1103" spans="1:4" x14ac:dyDescent="0.2">
      <c r="A1103">
        <v>2021</v>
      </c>
      <c r="B1103" s="2" t="s">
        <v>250</v>
      </c>
      <c r="C1103" s="1">
        <v>745209</v>
      </c>
      <c r="D1103">
        <v>1.6724297E-3</v>
      </c>
    </row>
    <row r="1104" spans="1:4" x14ac:dyDescent="0.2">
      <c r="A1104">
        <v>2021</v>
      </c>
      <c r="B1104" s="2" t="s">
        <v>42</v>
      </c>
      <c r="C1104" s="1">
        <v>348475</v>
      </c>
      <c r="D1104">
        <v>7.8206239999999995E-4</v>
      </c>
    </row>
    <row r="1105" spans="1:4" x14ac:dyDescent="0.2">
      <c r="A1105">
        <v>2021</v>
      </c>
      <c r="B1105" s="2" t="s">
        <v>252</v>
      </c>
      <c r="C1105" s="1">
        <v>229548</v>
      </c>
      <c r="D1105">
        <v>5.1516140000000001E-4</v>
      </c>
    </row>
    <row r="1106" spans="1:4" x14ac:dyDescent="0.2">
      <c r="A1106">
        <v>2021</v>
      </c>
      <c r="B1106" s="2" t="s">
        <v>44</v>
      </c>
      <c r="C1106" s="1">
        <v>242433</v>
      </c>
      <c r="D1106">
        <v>5.4407839999999995E-4</v>
      </c>
    </row>
    <row r="1107" spans="1:4" x14ac:dyDescent="0.2">
      <c r="A1107">
        <v>2021</v>
      </c>
      <c r="B1107" s="2" t="s">
        <v>389</v>
      </c>
      <c r="C1107" s="1">
        <v>123997</v>
      </c>
      <c r="D1107">
        <v>2.7827929999999998E-4</v>
      </c>
    </row>
    <row r="1108" spans="1:4" x14ac:dyDescent="0.2">
      <c r="A1108">
        <v>2021</v>
      </c>
      <c r="B1108" s="2" t="s">
        <v>130</v>
      </c>
      <c r="C1108" s="1">
        <v>101001</v>
      </c>
      <c r="D1108">
        <v>2.2667069999999999E-4</v>
      </c>
    </row>
    <row r="1109" spans="1:4" x14ac:dyDescent="0.2">
      <c r="A1109">
        <v>2021</v>
      </c>
      <c r="B1109" s="2" t="s">
        <v>131</v>
      </c>
      <c r="C1109" s="1">
        <v>208935</v>
      </c>
      <c r="D1109">
        <v>4.6890080000000002E-4</v>
      </c>
    </row>
    <row r="1110" spans="1:4" x14ac:dyDescent="0.2">
      <c r="A1110">
        <v>2021</v>
      </c>
      <c r="B1110" s="2" t="s">
        <v>254</v>
      </c>
      <c r="C1110" s="1">
        <v>174572</v>
      </c>
      <c r="D1110">
        <v>3.9178189999999999E-4</v>
      </c>
    </row>
    <row r="1111" spans="1:4" x14ac:dyDescent="0.2">
      <c r="A1111">
        <v>2021</v>
      </c>
      <c r="B1111" s="2" t="s">
        <v>46</v>
      </c>
      <c r="C1111" s="1">
        <v>600679</v>
      </c>
      <c r="D1111">
        <v>1.3480694000000001E-3</v>
      </c>
    </row>
    <row r="1112" spans="1:4" x14ac:dyDescent="0.2">
      <c r="A1112">
        <v>2021</v>
      </c>
      <c r="B1112" s="2" t="s">
        <v>256</v>
      </c>
      <c r="C1112" s="1">
        <v>207128</v>
      </c>
      <c r="D1112">
        <v>4.6484549999999998E-4</v>
      </c>
    </row>
    <row r="1113" spans="1:4" x14ac:dyDescent="0.2">
      <c r="A1113">
        <v>2021</v>
      </c>
      <c r="B1113" s="2" t="s">
        <v>132</v>
      </c>
      <c r="C1113" s="1">
        <v>259582</v>
      </c>
      <c r="D1113">
        <v>5.8256499999999995E-4</v>
      </c>
    </row>
    <row r="1114" spans="1:4" x14ac:dyDescent="0.2">
      <c r="A1114">
        <v>2021</v>
      </c>
      <c r="B1114" s="2" t="s">
        <v>257</v>
      </c>
      <c r="C1114" s="1">
        <v>48199</v>
      </c>
      <c r="D1114">
        <v>1.081702E-4</v>
      </c>
    </row>
    <row r="1115" spans="1:4" x14ac:dyDescent="0.2">
      <c r="A1115">
        <v>2021</v>
      </c>
      <c r="B1115" s="2" t="s">
        <v>135</v>
      </c>
      <c r="C1115" s="1">
        <v>533734</v>
      </c>
      <c r="D1115">
        <v>1.1978284999999999E-3</v>
      </c>
    </row>
    <row r="1116" spans="1:4" x14ac:dyDescent="0.2">
      <c r="A1116">
        <v>2021</v>
      </c>
      <c r="B1116" s="2" t="s">
        <v>137</v>
      </c>
      <c r="C1116" s="1">
        <v>76731</v>
      </c>
      <c r="D1116">
        <v>1.72203E-4</v>
      </c>
    </row>
    <row r="1117" spans="1:4" x14ac:dyDescent="0.2">
      <c r="A1117">
        <v>2021</v>
      </c>
      <c r="B1117" s="2" t="s">
        <v>258</v>
      </c>
      <c r="C1117" s="1">
        <v>5790544</v>
      </c>
      <c r="D1117">
        <v>1.29953851E-2</v>
      </c>
    </row>
    <row r="1118" spans="1:4" x14ac:dyDescent="0.2">
      <c r="A1118">
        <v>2021</v>
      </c>
      <c r="B1118" s="2" t="s">
        <v>183</v>
      </c>
      <c r="C1118" s="1">
        <v>198793</v>
      </c>
      <c r="D1118">
        <v>4.4613969999999999E-4</v>
      </c>
    </row>
    <row r="1119" spans="1:4" x14ac:dyDescent="0.2">
      <c r="A1119">
        <v>2021</v>
      </c>
      <c r="B1119" s="2" t="s">
        <v>143</v>
      </c>
      <c r="C1119" s="1">
        <v>810051</v>
      </c>
      <c r="D1119">
        <v>1.8179508999999999E-3</v>
      </c>
    </row>
    <row r="1120" spans="1:4" x14ac:dyDescent="0.2">
      <c r="A1120">
        <v>2021</v>
      </c>
      <c r="B1120" s="2" t="s">
        <v>144</v>
      </c>
      <c r="C1120" s="1">
        <v>209892</v>
      </c>
      <c r="D1120">
        <v>4.7104859999999999E-4</v>
      </c>
    </row>
    <row r="1121" spans="1:4" x14ac:dyDescent="0.2">
      <c r="A1121">
        <v>2021</v>
      </c>
      <c r="B1121" s="2" t="s">
        <v>145</v>
      </c>
      <c r="C1121" s="1">
        <v>396698</v>
      </c>
      <c r="D1121">
        <v>8.9028649999999996E-4</v>
      </c>
    </row>
    <row r="1122" spans="1:4" x14ac:dyDescent="0.2">
      <c r="A1122">
        <v>2021</v>
      </c>
      <c r="B1122" s="2" t="s">
        <v>390</v>
      </c>
      <c r="C1122" s="1">
        <v>10490</v>
      </c>
      <c r="D1122">
        <v>2.3542099999999999E-5</v>
      </c>
    </row>
    <row r="1123" spans="1:4" x14ac:dyDescent="0.2">
      <c r="A1123">
        <v>2021</v>
      </c>
      <c r="B1123" s="2" t="s">
        <v>49</v>
      </c>
      <c r="C1123" s="1">
        <v>2137896</v>
      </c>
      <c r="D1123">
        <v>4.7979570999999999E-3</v>
      </c>
    </row>
    <row r="1124" spans="1:4" x14ac:dyDescent="0.2">
      <c r="A1124">
        <v>2021</v>
      </c>
      <c r="B1124" s="2" t="s">
        <v>260</v>
      </c>
      <c r="C1124" s="1">
        <v>326921</v>
      </c>
      <c r="D1124">
        <v>7.3368999999999995E-4</v>
      </c>
    </row>
    <row r="1125" spans="1:4" x14ac:dyDescent="0.2">
      <c r="A1125">
        <v>2021</v>
      </c>
      <c r="B1125" s="2" t="s">
        <v>51</v>
      </c>
      <c r="C1125" s="1">
        <v>805599</v>
      </c>
      <c r="D1125">
        <v>1.8079595E-3</v>
      </c>
    </row>
    <row r="1126" spans="1:4" x14ac:dyDescent="0.2">
      <c r="A1126">
        <v>2021</v>
      </c>
      <c r="B1126" s="2" t="s">
        <v>52</v>
      </c>
      <c r="C1126" s="1">
        <v>210387</v>
      </c>
      <c r="D1126">
        <v>4.721595E-4</v>
      </c>
    </row>
    <row r="1127" spans="1:4" x14ac:dyDescent="0.2">
      <c r="A1127">
        <v>2021</v>
      </c>
      <c r="B1127" s="2" t="s">
        <v>53</v>
      </c>
      <c r="C1127" s="1">
        <v>1095999</v>
      </c>
      <c r="D1127">
        <v>2.4596876000000001E-3</v>
      </c>
    </row>
    <row r="1128" spans="1:4" x14ac:dyDescent="0.2">
      <c r="A1128">
        <v>2021</v>
      </c>
      <c r="B1128" s="2" t="s">
        <v>146</v>
      </c>
      <c r="C1128" s="1">
        <v>100452</v>
      </c>
      <c r="D1128">
        <v>2.254387E-4</v>
      </c>
    </row>
    <row r="1129" spans="1:4" x14ac:dyDescent="0.2">
      <c r="A1129">
        <v>2021</v>
      </c>
      <c r="B1129" s="2" t="s">
        <v>54</v>
      </c>
      <c r="C1129" s="1">
        <v>192442</v>
      </c>
      <c r="D1129">
        <v>4.3188649999999999E-4</v>
      </c>
    </row>
    <row r="1130" spans="1:4" x14ac:dyDescent="0.2">
      <c r="A1130">
        <v>2021</v>
      </c>
      <c r="B1130" s="2" t="s">
        <v>147</v>
      </c>
      <c r="C1130" s="1">
        <v>99771</v>
      </c>
      <c r="D1130">
        <v>2.2391030000000001E-4</v>
      </c>
    </row>
    <row r="1131" spans="1:4" x14ac:dyDescent="0.2">
      <c r="A1131">
        <v>2021</v>
      </c>
      <c r="B1131" s="2" t="s">
        <v>263</v>
      </c>
      <c r="C1131" s="1">
        <v>2996948</v>
      </c>
      <c r="D1131">
        <v>6.7258780999999998E-3</v>
      </c>
    </row>
    <row r="1132" spans="1:4" x14ac:dyDescent="0.2">
      <c r="A1132">
        <v>2021</v>
      </c>
      <c r="B1132" s="2" t="s">
        <v>391</v>
      </c>
      <c r="C1132" s="1">
        <v>2796777</v>
      </c>
      <c r="D1132">
        <v>6.2766458999999998E-3</v>
      </c>
    </row>
    <row r="1133" spans="1:4" x14ac:dyDescent="0.2">
      <c r="A1133">
        <v>2021</v>
      </c>
      <c r="B1133" s="2" t="s">
        <v>57</v>
      </c>
      <c r="C1133" s="1">
        <v>2969846</v>
      </c>
      <c r="D1133">
        <v>6.6650546999999999E-3</v>
      </c>
    </row>
    <row r="1134" spans="1:4" x14ac:dyDescent="0.2">
      <c r="A1134">
        <v>2021</v>
      </c>
      <c r="B1134" s="2" t="s">
        <v>58</v>
      </c>
      <c r="C1134" s="1">
        <v>614999</v>
      </c>
      <c r="D1134">
        <v>1.3802069E-3</v>
      </c>
    </row>
    <row r="1135" spans="1:4" x14ac:dyDescent="0.2">
      <c r="A1135">
        <v>2021</v>
      </c>
      <c r="B1135" s="2" t="s">
        <v>148</v>
      </c>
      <c r="C1135" s="1">
        <v>137942</v>
      </c>
      <c r="D1135">
        <v>3.0957530000000002E-4</v>
      </c>
    </row>
    <row r="1136" spans="1:4" x14ac:dyDescent="0.2">
      <c r="A1136">
        <v>2021</v>
      </c>
      <c r="B1136" s="2" t="s">
        <v>267</v>
      </c>
      <c r="C1136" s="1">
        <v>3542042</v>
      </c>
      <c r="D1136">
        <v>7.9492013E-3</v>
      </c>
    </row>
    <row r="1137" spans="1:4" x14ac:dyDescent="0.2">
      <c r="A1137">
        <v>2021</v>
      </c>
      <c r="B1137" s="2" t="s">
        <v>149</v>
      </c>
      <c r="C1137" s="1">
        <v>198106</v>
      </c>
      <c r="D1137">
        <v>4.4459790000000001E-4</v>
      </c>
    </row>
    <row r="1138" spans="1:4" x14ac:dyDescent="0.2">
      <c r="A1138">
        <v>2021</v>
      </c>
      <c r="B1138" s="2" t="s">
        <v>60</v>
      </c>
      <c r="C1138" s="1">
        <v>159610</v>
      </c>
      <c r="D1138">
        <v>3.5820349999999998E-4</v>
      </c>
    </row>
    <row r="1139" spans="1:4" x14ac:dyDescent="0.2">
      <c r="A1139">
        <v>2021</v>
      </c>
      <c r="B1139" s="2" t="s">
        <v>61</v>
      </c>
      <c r="C1139" s="1">
        <v>2954407</v>
      </c>
      <c r="D1139">
        <v>6.6304058000000001E-3</v>
      </c>
    </row>
    <row r="1140" spans="1:4" x14ac:dyDescent="0.2">
      <c r="A1140">
        <v>2021</v>
      </c>
      <c r="B1140" s="2" t="s">
        <v>270</v>
      </c>
      <c r="C1140" s="1">
        <v>631661</v>
      </c>
      <c r="D1140">
        <v>1.4176004999999999E-3</v>
      </c>
    </row>
    <row r="1141" spans="1:4" x14ac:dyDescent="0.2">
      <c r="A1141">
        <v>2021</v>
      </c>
      <c r="B1141" s="2" t="s">
        <v>63</v>
      </c>
      <c r="C1141" s="1">
        <v>487483</v>
      </c>
      <c r="D1141">
        <v>1.0940301E-3</v>
      </c>
    </row>
    <row r="1142" spans="1:4" x14ac:dyDescent="0.2">
      <c r="A1142">
        <v>2021</v>
      </c>
      <c r="B1142" s="2" t="s">
        <v>272</v>
      </c>
      <c r="C1142" s="1">
        <v>1079513</v>
      </c>
      <c r="D1142">
        <v>2.422689E-3</v>
      </c>
    </row>
    <row r="1143" spans="1:4" x14ac:dyDescent="0.2">
      <c r="A1143">
        <v>2021</v>
      </c>
      <c r="B1143" s="2" t="s">
        <v>273</v>
      </c>
      <c r="C1143" s="1">
        <v>141042</v>
      </c>
      <c r="D1143">
        <v>3.1653250000000002E-4</v>
      </c>
    </row>
    <row r="1144" spans="1:4" x14ac:dyDescent="0.2">
      <c r="A1144">
        <v>2021</v>
      </c>
      <c r="B1144" s="2" t="s">
        <v>66</v>
      </c>
      <c r="C1144" s="1">
        <v>430339</v>
      </c>
      <c r="D1144">
        <v>9.6578509999999996E-4</v>
      </c>
    </row>
    <row r="1145" spans="1:4" x14ac:dyDescent="0.2">
      <c r="A1145">
        <v>2021</v>
      </c>
      <c r="B1145" s="2" t="s">
        <v>150</v>
      </c>
      <c r="C1145" s="1">
        <v>154647</v>
      </c>
      <c r="D1145">
        <v>3.470654E-4</v>
      </c>
    </row>
    <row r="1146" spans="1:4" x14ac:dyDescent="0.2">
      <c r="A1146">
        <v>2021</v>
      </c>
      <c r="B1146" s="2" t="s">
        <v>151</v>
      </c>
      <c r="C1146" s="1">
        <v>146217</v>
      </c>
      <c r="D1146">
        <v>3.281464E-4</v>
      </c>
    </row>
    <row r="1147" spans="1:4" x14ac:dyDescent="0.2">
      <c r="A1147">
        <v>2021</v>
      </c>
      <c r="B1147" s="2" t="s">
        <v>276</v>
      </c>
      <c r="C1147" s="1">
        <v>1924777</v>
      </c>
      <c r="D1147">
        <v>4.3196663999999999E-3</v>
      </c>
    </row>
    <row r="1148" spans="1:4" x14ac:dyDescent="0.2">
      <c r="A1148">
        <v>2021</v>
      </c>
      <c r="B1148" s="2" t="s">
        <v>68</v>
      </c>
      <c r="C1148" s="1">
        <v>125017</v>
      </c>
      <c r="D1148">
        <v>2.8056849999999998E-4</v>
      </c>
    </row>
    <row r="1149" spans="1:4" x14ac:dyDescent="0.2">
      <c r="A1149">
        <v>2021</v>
      </c>
      <c r="B1149" s="2" t="s">
        <v>278</v>
      </c>
      <c r="C1149" s="1">
        <v>2398109</v>
      </c>
      <c r="D1149">
        <v>5.3819382000000002E-3</v>
      </c>
    </row>
    <row r="1150" spans="1:4" x14ac:dyDescent="0.2">
      <c r="A1150">
        <v>2021</v>
      </c>
      <c r="B1150" s="2" t="s">
        <v>152</v>
      </c>
      <c r="C1150" s="1">
        <v>124341</v>
      </c>
      <c r="D1150">
        <v>2.7905140000000002E-4</v>
      </c>
    </row>
    <row r="1151" spans="1:4" x14ac:dyDescent="0.2">
      <c r="A1151">
        <v>2021</v>
      </c>
      <c r="B1151" s="2" t="s">
        <v>392</v>
      </c>
      <c r="C1151" s="1">
        <v>109050</v>
      </c>
      <c r="D1151">
        <v>2.4473460000000002E-4</v>
      </c>
    </row>
    <row r="1152" spans="1:4" x14ac:dyDescent="0.2">
      <c r="A1152">
        <v>2021</v>
      </c>
      <c r="B1152" s="2" t="s">
        <v>153</v>
      </c>
      <c r="C1152" s="1">
        <v>100194</v>
      </c>
      <c r="D1152">
        <v>2.2485960000000001E-4</v>
      </c>
    </row>
    <row r="1153" spans="1:4" x14ac:dyDescent="0.2">
      <c r="A1153">
        <v>2021</v>
      </c>
      <c r="B1153" s="2" t="s">
        <v>70</v>
      </c>
      <c r="C1153" s="1">
        <v>2011062</v>
      </c>
      <c r="D1153">
        <v>4.5133109000000003E-3</v>
      </c>
    </row>
    <row r="1154" spans="1:4" x14ac:dyDescent="0.2">
      <c r="A1154">
        <v>2021</v>
      </c>
      <c r="B1154" s="2" t="s">
        <v>280</v>
      </c>
      <c r="C1154" s="1">
        <v>1989052</v>
      </c>
      <c r="D1154">
        <v>4.4639151000000002E-3</v>
      </c>
    </row>
    <row r="1155" spans="1:4" x14ac:dyDescent="0.2">
      <c r="A1155">
        <v>2021</v>
      </c>
      <c r="B1155" s="2" t="s">
        <v>72</v>
      </c>
      <c r="C1155" s="1">
        <v>842507</v>
      </c>
      <c r="D1155">
        <v>1.89079E-3</v>
      </c>
    </row>
    <row r="1156" spans="1:4" x14ac:dyDescent="0.2">
      <c r="A1156">
        <v>2021</v>
      </c>
      <c r="B1156" s="2" t="s">
        <v>73</v>
      </c>
      <c r="C1156" s="1">
        <v>169418</v>
      </c>
      <c r="D1156">
        <v>3.8021510000000003E-4</v>
      </c>
    </row>
    <row r="1157" spans="1:4" x14ac:dyDescent="0.2">
      <c r="A1157">
        <v>2021</v>
      </c>
      <c r="B1157" s="2" t="s">
        <v>74</v>
      </c>
      <c r="C1157" s="1">
        <v>250496</v>
      </c>
      <c r="D1157">
        <v>5.6217379999999996E-4</v>
      </c>
    </row>
    <row r="1158" spans="1:4" x14ac:dyDescent="0.2">
      <c r="A1158">
        <v>2021</v>
      </c>
      <c r="B1158" s="2" t="s">
        <v>75</v>
      </c>
      <c r="C1158" s="1">
        <v>7436290</v>
      </c>
      <c r="D1158">
        <v>1.66888382E-2</v>
      </c>
    </row>
    <row r="1159" spans="1:4" x14ac:dyDescent="0.2">
      <c r="A1159">
        <v>2021</v>
      </c>
      <c r="B1159" s="2" t="s">
        <v>284</v>
      </c>
      <c r="C1159" s="1">
        <v>570940</v>
      </c>
      <c r="D1159">
        <v>1.2813277999999999E-3</v>
      </c>
    </row>
    <row r="1160" spans="1:4" x14ac:dyDescent="0.2">
      <c r="A1160">
        <v>2021</v>
      </c>
      <c r="B1160" s="2" t="s">
        <v>285</v>
      </c>
      <c r="C1160" s="1">
        <v>166375</v>
      </c>
      <c r="D1160">
        <v>3.7338589999999999E-4</v>
      </c>
    </row>
    <row r="1161" spans="1:4" x14ac:dyDescent="0.2">
      <c r="A1161">
        <v>2021</v>
      </c>
      <c r="B1161" s="2" t="s">
        <v>286</v>
      </c>
      <c r="C1161" s="1">
        <v>136784</v>
      </c>
      <c r="D1161">
        <v>3.0697649999999999E-4</v>
      </c>
    </row>
    <row r="1162" spans="1:4" x14ac:dyDescent="0.2">
      <c r="A1162">
        <v>2021</v>
      </c>
      <c r="B1162" s="2" t="s">
        <v>184</v>
      </c>
      <c r="C1162" s="1">
        <v>1228265</v>
      </c>
      <c r="D1162">
        <v>2.7565245E-3</v>
      </c>
    </row>
    <row r="1163" spans="1:4" x14ac:dyDescent="0.2">
      <c r="A1163">
        <v>2021</v>
      </c>
      <c r="B1163" s="2" t="s">
        <v>154</v>
      </c>
      <c r="C1163" s="1">
        <v>467393</v>
      </c>
      <c r="D1163">
        <v>1.0489431999999999E-3</v>
      </c>
    </row>
    <row r="1164" spans="1:4" x14ac:dyDescent="0.2">
      <c r="A1164">
        <v>2021</v>
      </c>
      <c r="B1164" s="2" t="s">
        <v>155</v>
      </c>
      <c r="C1164" s="1">
        <v>119632</v>
      </c>
      <c r="D1164">
        <v>2.6848319999999998E-4</v>
      </c>
    </row>
    <row r="1165" spans="1:4" x14ac:dyDescent="0.2">
      <c r="A1165">
        <v>2021</v>
      </c>
      <c r="B1165" s="2" t="s">
        <v>79</v>
      </c>
      <c r="C1165" s="1">
        <v>265366</v>
      </c>
      <c r="D1165">
        <v>5.9554569999999997E-4</v>
      </c>
    </row>
    <row r="1166" spans="1:4" x14ac:dyDescent="0.2">
      <c r="A1166">
        <v>2021</v>
      </c>
      <c r="B1166" s="2" t="s">
        <v>80</v>
      </c>
      <c r="C1166" s="1">
        <v>731946</v>
      </c>
      <c r="D1166">
        <v>1.6426642999999999E-3</v>
      </c>
    </row>
    <row r="1167" spans="1:4" x14ac:dyDescent="0.2">
      <c r="A1167">
        <v>2021</v>
      </c>
      <c r="B1167" s="2" t="s">
        <v>157</v>
      </c>
      <c r="C1167" s="1">
        <v>104747</v>
      </c>
      <c r="D1167">
        <v>2.3507770000000001E-4</v>
      </c>
    </row>
    <row r="1168" spans="1:4" x14ac:dyDescent="0.2">
      <c r="A1168">
        <v>2021</v>
      </c>
      <c r="B1168" s="2" t="s">
        <v>81</v>
      </c>
      <c r="C1168" s="1">
        <v>594757</v>
      </c>
      <c r="D1168">
        <v>1.3347789999999999E-3</v>
      </c>
    </row>
    <row r="1169" spans="1:4" x14ac:dyDescent="0.2">
      <c r="A1169">
        <v>2021</v>
      </c>
      <c r="B1169" s="2" t="s">
        <v>290</v>
      </c>
      <c r="C1169" s="1">
        <v>83828</v>
      </c>
      <c r="D1169">
        <v>1.881304E-4</v>
      </c>
    </row>
    <row r="1170" spans="1:4" x14ac:dyDescent="0.2">
      <c r="A1170">
        <v>2021</v>
      </c>
      <c r="B1170" s="2" t="s">
        <v>203</v>
      </c>
      <c r="C1170" s="1">
        <v>114388</v>
      </c>
      <c r="D1170">
        <v>2.5671439999999998E-4</v>
      </c>
    </row>
    <row r="1171" spans="1:4" x14ac:dyDescent="0.2">
      <c r="A1171">
        <v>2021</v>
      </c>
      <c r="B1171" s="2" t="s">
        <v>82</v>
      </c>
      <c r="C1171" s="1">
        <v>849391</v>
      </c>
      <c r="D1171">
        <v>1.9062394E-3</v>
      </c>
    </row>
    <row r="1172" spans="1:4" x14ac:dyDescent="0.2">
      <c r="A1172">
        <v>2021</v>
      </c>
      <c r="B1172" s="2" t="s">
        <v>292</v>
      </c>
      <c r="C1172" s="1">
        <v>132727</v>
      </c>
      <c r="D1172">
        <v>2.978716E-4</v>
      </c>
    </row>
    <row r="1173" spans="1:4" x14ac:dyDescent="0.2">
      <c r="A1173">
        <v>2021</v>
      </c>
      <c r="B1173" s="2" t="s">
        <v>393</v>
      </c>
      <c r="C1173" s="1">
        <v>57469</v>
      </c>
      <c r="D1173">
        <v>1.2897439999999999E-4</v>
      </c>
    </row>
    <row r="1174" spans="1:4" x14ac:dyDescent="0.2">
      <c r="A1174">
        <v>2021</v>
      </c>
      <c r="B1174" s="2" t="s">
        <v>293</v>
      </c>
      <c r="C1174" s="1">
        <v>9416</v>
      </c>
      <c r="D1174">
        <v>2.11318E-5</v>
      </c>
    </row>
    <row r="1175" spans="1:4" x14ac:dyDescent="0.2">
      <c r="A1175">
        <v>2021</v>
      </c>
      <c r="B1175" s="2" t="s">
        <v>294</v>
      </c>
      <c r="C1175" s="1">
        <v>414627</v>
      </c>
      <c r="D1175">
        <v>9.305235E-4</v>
      </c>
    </row>
    <row r="1176" spans="1:4" x14ac:dyDescent="0.2">
      <c r="A1176">
        <v>2021</v>
      </c>
      <c r="B1176" s="2" t="s">
        <v>185</v>
      </c>
      <c r="C1176" s="1">
        <v>175088</v>
      </c>
      <c r="D1176">
        <v>3.9293990000000001E-4</v>
      </c>
    </row>
    <row r="1177" spans="1:4" x14ac:dyDescent="0.2">
      <c r="A1177">
        <v>2021</v>
      </c>
      <c r="B1177" s="2" t="s">
        <v>85</v>
      </c>
      <c r="C1177" s="1">
        <v>6951175</v>
      </c>
      <c r="D1177">
        <v>1.5600122500000001E-2</v>
      </c>
    </row>
    <row r="1178" spans="1:4" x14ac:dyDescent="0.2">
      <c r="A1178">
        <v>2021</v>
      </c>
      <c r="B1178" s="2" t="s">
        <v>394</v>
      </c>
      <c r="C1178" s="1">
        <v>3381140</v>
      </c>
      <c r="D1178">
        <v>7.5880981999999998E-3</v>
      </c>
    </row>
    <row r="1179" spans="1:4" x14ac:dyDescent="0.2">
      <c r="A1179">
        <v>2021</v>
      </c>
      <c r="B1179" s="2" t="s">
        <v>87</v>
      </c>
      <c r="C1179" s="1">
        <v>372693</v>
      </c>
      <c r="D1179">
        <v>8.364135E-4</v>
      </c>
    </row>
    <row r="1180" spans="1:4" x14ac:dyDescent="0.2">
      <c r="A1180">
        <v>2021</v>
      </c>
      <c r="B1180" s="2" t="s">
        <v>88</v>
      </c>
      <c r="C1180" s="1">
        <v>7447</v>
      </c>
      <c r="D1180">
        <v>1.6712900000000001E-5</v>
      </c>
    </row>
    <row r="1181" spans="1:4" x14ac:dyDescent="0.2">
      <c r="A1181">
        <v>2021</v>
      </c>
      <c r="B1181" s="2" t="s">
        <v>89</v>
      </c>
      <c r="C1181" s="1">
        <v>1195912</v>
      </c>
      <c r="D1181">
        <v>2.6839165999999999E-3</v>
      </c>
    </row>
    <row r="1182" spans="1:4" x14ac:dyDescent="0.2">
      <c r="A1182">
        <v>2021</v>
      </c>
      <c r="B1182" s="2" t="s">
        <v>300</v>
      </c>
      <c r="C1182" s="1">
        <v>112041</v>
      </c>
      <c r="D1182">
        <v>2.5144719999999998E-4</v>
      </c>
    </row>
    <row r="1183" spans="1:4" x14ac:dyDescent="0.2">
      <c r="A1183">
        <v>2021</v>
      </c>
      <c r="B1183" s="2" t="s">
        <v>395</v>
      </c>
      <c r="C1183" s="1">
        <v>228016</v>
      </c>
      <c r="D1183">
        <v>5.1172320000000002E-4</v>
      </c>
    </row>
    <row r="1184" spans="1:4" x14ac:dyDescent="0.2">
      <c r="A1184">
        <v>2021</v>
      </c>
      <c r="B1184" s="2" t="s">
        <v>90</v>
      </c>
      <c r="C1184" s="1">
        <v>168572</v>
      </c>
      <c r="D1184">
        <v>3.7831650000000002E-4</v>
      </c>
    </row>
    <row r="1185" spans="1:4" x14ac:dyDescent="0.2">
      <c r="A1185">
        <v>2021</v>
      </c>
      <c r="B1185" s="2" t="s">
        <v>187</v>
      </c>
      <c r="C1185" s="1">
        <v>3110972</v>
      </c>
      <c r="D1185">
        <v>6.9817756999999998E-3</v>
      </c>
    </row>
    <row r="1186" spans="1:4" x14ac:dyDescent="0.2">
      <c r="A1186">
        <v>2021</v>
      </c>
      <c r="B1186" s="2" t="s">
        <v>92</v>
      </c>
      <c r="C1186" s="1">
        <v>433853</v>
      </c>
      <c r="D1186">
        <v>9.7367139999999998E-4</v>
      </c>
    </row>
    <row r="1187" spans="1:4" x14ac:dyDescent="0.2">
      <c r="A1187">
        <v>2021</v>
      </c>
      <c r="B1187" s="2" t="s">
        <v>93</v>
      </c>
      <c r="C1187" s="1">
        <v>155588</v>
      </c>
      <c r="D1187">
        <v>3.4917720000000001E-4</v>
      </c>
    </row>
    <row r="1188" spans="1:4" x14ac:dyDescent="0.2">
      <c r="A1188">
        <v>2021</v>
      </c>
      <c r="B1188" s="2" t="s">
        <v>160</v>
      </c>
      <c r="C1188" s="1">
        <v>170600</v>
      </c>
      <c r="D1188">
        <v>3.8286780000000001E-4</v>
      </c>
    </row>
    <row r="1189" spans="1:4" x14ac:dyDescent="0.2">
      <c r="A1189">
        <v>2021</v>
      </c>
      <c r="B1189" s="2" t="s">
        <v>161</v>
      </c>
      <c r="C1189" s="1">
        <v>573994</v>
      </c>
      <c r="D1189">
        <v>1.2881817E-3</v>
      </c>
    </row>
    <row r="1190" spans="1:4" x14ac:dyDescent="0.2">
      <c r="A1190">
        <v>2021</v>
      </c>
      <c r="B1190" s="2" t="s">
        <v>204</v>
      </c>
      <c r="C1190" s="1">
        <v>163818</v>
      </c>
      <c r="D1190">
        <v>3.6764730000000002E-4</v>
      </c>
    </row>
    <row r="1191" spans="1:4" x14ac:dyDescent="0.2">
      <c r="A1191">
        <v>2021</v>
      </c>
      <c r="B1191" s="2" t="s">
        <v>95</v>
      </c>
      <c r="C1191" s="1">
        <v>462832</v>
      </c>
      <c r="D1191">
        <v>1.0387072999999999E-3</v>
      </c>
    </row>
    <row r="1192" spans="1:4" x14ac:dyDescent="0.2">
      <c r="A1192">
        <v>2021</v>
      </c>
      <c r="B1192" s="2" t="s">
        <v>162</v>
      </c>
      <c r="C1192" s="1">
        <v>198624</v>
      </c>
      <c r="D1192">
        <v>4.4576039999999999E-4</v>
      </c>
    </row>
    <row r="1193" spans="1:4" x14ac:dyDescent="0.2">
      <c r="A1193">
        <v>2021</v>
      </c>
      <c r="B1193" s="2" t="s">
        <v>306</v>
      </c>
      <c r="C1193" s="1">
        <v>1139131</v>
      </c>
      <c r="D1193">
        <v>2.5564861999999998E-3</v>
      </c>
    </row>
    <row r="1194" spans="1:4" x14ac:dyDescent="0.2">
      <c r="A1194">
        <v>2021</v>
      </c>
      <c r="B1194" s="2" t="s">
        <v>97</v>
      </c>
      <c r="C1194" s="1">
        <v>352895</v>
      </c>
      <c r="D1194">
        <v>7.9198199999999999E-4</v>
      </c>
    </row>
    <row r="1195" spans="1:4" x14ac:dyDescent="0.2">
      <c r="A1195">
        <v>2021</v>
      </c>
      <c r="B1195" s="2" t="s">
        <v>308</v>
      </c>
      <c r="C1195" s="1">
        <v>1011289</v>
      </c>
      <c r="D1195">
        <v>2.2695777999999999E-3</v>
      </c>
    </row>
    <row r="1196" spans="1:4" x14ac:dyDescent="0.2">
      <c r="A1196">
        <v>2021</v>
      </c>
      <c r="B1196" s="2" t="s">
        <v>309</v>
      </c>
      <c r="C1196" s="1">
        <v>552600</v>
      </c>
      <c r="D1196">
        <v>1.2401684E-3</v>
      </c>
    </row>
    <row r="1197" spans="1:4" x14ac:dyDescent="0.2">
      <c r="A1197">
        <v>2021</v>
      </c>
      <c r="B1197" s="2" t="s">
        <v>310</v>
      </c>
      <c r="C1197" s="1">
        <v>106863</v>
      </c>
      <c r="D1197">
        <v>2.3982650000000001E-4</v>
      </c>
    </row>
    <row r="1198" spans="1:4" x14ac:dyDescent="0.2">
      <c r="A1198">
        <v>2021</v>
      </c>
      <c r="B1198" s="2" t="s">
        <v>205</v>
      </c>
      <c r="C1198" s="1">
        <v>1317791</v>
      </c>
      <c r="D1198">
        <v>2.9574426E-3</v>
      </c>
    </row>
    <row r="1199" spans="1:4" x14ac:dyDescent="0.2">
      <c r="A1199">
        <v>2021</v>
      </c>
      <c r="B1199" s="2" t="s">
        <v>102</v>
      </c>
      <c r="C1199" s="1">
        <v>634548</v>
      </c>
      <c r="D1199">
        <v>1.4240796E-3</v>
      </c>
    </row>
    <row r="1200" spans="1:4" x14ac:dyDescent="0.2">
      <c r="A1200">
        <v>2021</v>
      </c>
      <c r="B1200" s="2" t="s">
        <v>163</v>
      </c>
      <c r="C1200" s="1">
        <v>225401</v>
      </c>
      <c r="D1200">
        <v>5.0585449999999998E-4</v>
      </c>
    </row>
    <row r="1201" spans="1:4" x14ac:dyDescent="0.2">
      <c r="A1201">
        <v>2021</v>
      </c>
      <c r="B1201" s="2" t="s">
        <v>312</v>
      </c>
      <c r="C1201" s="1">
        <v>846967</v>
      </c>
      <c r="D1201">
        <v>1.9007994E-3</v>
      </c>
    </row>
    <row r="1202" spans="1:4" x14ac:dyDescent="0.2">
      <c r="A1202">
        <v>2021</v>
      </c>
      <c r="B1202" s="2" t="s">
        <v>313</v>
      </c>
      <c r="C1202" s="1">
        <v>53980</v>
      </c>
      <c r="D1202">
        <v>1.211442E-4</v>
      </c>
    </row>
    <row r="1203" spans="1:4" x14ac:dyDescent="0.2">
      <c r="A1203">
        <v>2021</v>
      </c>
      <c r="B1203" s="2" t="s">
        <v>164</v>
      </c>
      <c r="C1203" s="1">
        <v>69170</v>
      </c>
      <c r="D1203">
        <v>1.5523429999999999E-4</v>
      </c>
    </row>
    <row r="1204" spans="1:4" x14ac:dyDescent="0.2">
      <c r="A1204">
        <v>2021</v>
      </c>
      <c r="B1204" s="2" t="s">
        <v>165</v>
      </c>
      <c r="C1204" s="1">
        <v>182030</v>
      </c>
      <c r="D1204">
        <v>4.0851949999999999E-4</v>
      </c>
    </row>
    <row r="1205" spans="1:4" x14ac:dyDescent="0.2">
      <c r="A1205">
        <v>2021</v>
      </c>
      <c r="B1205" s="2" t="s">
        <v>105</v>
      </c>
      <c r="C1205" s="1">
        <v>1275467</v>
      </c>
      <c r="D1205">
        <v>2.8624573000000002E-3</v>
      </c>
    </row>
    <row r="1206" spans="1:4" x14ac:dyDescent="0.2">
      <c r="A1206">
        <v>2021</v>
      </c>
      <c r="B1206" s="2" t="s">
        <v>206</v>
      </c>
      <c r="C1206" s="1">
        <v>214659</v>
      </c>
      <c r="D1206">
        <v>4.817469E-4</v>
      </c>
    </row>
    <row r="1207" spans="1:4" x14ac:dyDescent="0.2">
      <c r="A1207">
        <v>2021</v>
      </c>
      <c r="B1207" s="2" t="s">
        <v>166</v>
      </c>
      <c r="C1207" s="1">
        <v>115644</v>
      </c>
      <c r="D1207">
        <v>2.5953320000000001E-4</v>
      </c>
    </row>
    <row r="1208" spans="1:4" x14ac:dyDescent="0.2">
      <c r="A1208">
        <v>2021</v>
      </c>
      <c r="B1208" s="2" t="s">
        <v>167</v>
      </c>
      <c r="C1208" s="1">
        <v>206613</v>
      </c>
      <c r="D1208">
        <v>4.6368970000000001E-4</v>
      </c>
    </row>
    <row r="1209" spans="1:4" x14ac:dyDescent="0.2">
      <c r="A1209">
        <v>2021</v>
      </c>
      <c r="B1209" s="2" t="s">
        <v>315</v>
      </c>
      <c r="C1209" s="1">
        <v>8769</v>
      </c>
      <c r="D1209">
        <v>1.9679800000000001E-5</v>
      </c>
    </row>
    <row r="1210" spans="1:4" x14ac:dyDescent="0.2">
      <c r="A1210">
        <v>2021</v>
      </c>
      <c r="B1210" s="2" t="s">
        <v>379</v>
      </c>
      <c r="C1210" s="1">
        <v>221483</v>
      </c>
      <c r="D1210">
        <v>4.9706160000000002E-4</v>
      </c>
    </row>
    <row r="1211" spans="1:4" x14ac:dyDescent="0.2">
      <c r="A1211">
        <v>2021</v>
      </c>
      <c r="B1211" s="2" t="s">
        <v>107</v>
      </c>
      <c r="C1211" s="1">
        <v>250493</v>
      </c>
      <c r="D1211">
        <v>5.6216700000000003E-4</v>
      </c>
    </row>
    <row r="1212" spans="1:4" x14ac:dyDescent="0.2">
      <c r="A1212">
        <v>2021</v>
      </c>
      <c r="B1212" s="2" t="s">
        <v>316</v>
      </c>
      <c r="C1212" s="1">
        <v>5048280</v>
      </c>
      <c r="D1212">
        <v>1.1329564699999999E-2</v>
      </c>
    </row>
    <row r="1213" spans="1:4" x14ac:dyDescent="0.2">
      <c r="A1213">
        <v>2021</v>
      </c>
      <c r="B1213" s="2" t="s">
        <v>381</v>
      </c>
      <c r="C1213" s="1">
        <v>32567</v>
      </c>
      <c r="D1213">
        <v>7.3088200000000003E-5</v>
      </c>
    </row>
    <row r="1214" spans="1:4" x14ac:dyDescent="0.2">
      <c r="A1214">
        <v>2021</v>
      </c>
      <c r="B1214" s="2" t="s">
        <v>109</v>
      </c>
      <c r="C1214" s="1">
        <v>369336</v>
      </c>
      <c r="D1214">
        <v>8.2887960000000002E-4</v>
      </c>
    </row>
    <row r="1215" spans="1:4" x14ac:dyDescent="0.2">
      <c r="A1215">
        <v>2021</v>
      </c>
      <c r="B1215" s="2" t="s">
        <v>110</v>
      </c>
      <c r="C1215" s="1">
        <v>5016669</v>
      </c>
      <c r="D1215">
        <v>1.12586219E-2</v>
      </c>
    </row>
    <row r="1216" spans="1:4" x14ac:dyDescent="0.2">
      <c r="A1216">
        <v>2021</v>
      </c>
      <c r="B1216" s="2" t="s">
        <v>169</v>
      </c>
      <c r="C1216" s="1">
        <v>186634</v>
      </c>
      <c r="D1216">
        <v>4.1885199999999999E-4</v>
      </c>
    </row>
    <row r="1217" spans="1:4" x14ac:dyDescent="0.2">
      <c r="A1217">
        <v>2021</v>
      </c>
      <c r="B1217" s="2" t="s">
        <v>170</v>
      </c>
      <c r="C1217" s="1">
        <v>366376</v>
      </c>
      <c r="D1217">
        <v>8.2223660000000005E-4</v>
      </c>
    </row>
    <row r="1218" spans="1:4" x14ac:dyDescent="0.2">
      <c r="A1218">
        <v>2021</v>
      </c>
      <c r="B1218" s="2" t="s">
        <v>111</v>
      </c>
      <c r="C1218" s="1">
        <v>429107</v>
      </c>
      <c r="D1218">
        <v>9.6302020000000005E-4</v>
      </c>
    </row>
    <row r="1219" spans="1:4" x14ac:dyDescent="0.2">
      <c r="A1219">
        <v>2021</v>
      </c>
      <c r="B1219" s="2" t="s">
        <v>112</v>
      </c>
      <c r="C1219" s="1">
        <v>871613</v>
      </c>
      <c r="D1219">
        <v>1.956111E-3</v>
      </c>
    </row>
    <row r="1220" spans="1:4" x14ac:dyDescent="0.2">
      <c r="A1220">
        <v>2021</v>
      </c>
      <c r="B1220" s="2" t="s">
        <v>113</v>
      </c>
      <c r="C1220" s="1">
        <v>636172</v>
      </c>
      <c r="D1220">
        <v>1.4277242999999999E-3</v>
      </c>
    </row>
    <row r="1221" spans="1:4" x14ac:dyDescent="0.2">
      <c r="A1221">
        <v>2021</v>
      </c>
      <c r="B1221" s="2" t="s">
        <v>114</v>
      </c>
      <c r="C1221" s="1">
        <v>21337241</v>
      </c>
      <c r="D1221">
        <v>4.7885942500000001E-2</v>
      </c>
    </row>
    <row r="1222" spans="1:4" x14ac:dyDescent="0.2">
      <c r="A1222">
        <v>2021</v>
      </c>
      <c r="B1222" s="2" t="s">
        <v>396</v>
      </c>
      <c r="C1222" s="1">
        <v>799943</v>
      </c>
      <c r="D1222">
        <v>1.7952661E-3</v>
      </c>
    </row>
    <row r="1223" spans="1:4" x14ac:dyDescent="0.2">
      <c r="A1223">
        <v>2021</v>
      </c>
      <c r="B1223" s="2" t="s">
        <v>323</v>
      </c>
      <c r="C1223" s="1">
        <v>407324</v>
      </c>
      <c r="D1223">
        <v>9.1413379999999997E-4</v>
      </c>
    </row>
    <row r="1224" spans="1:4" x14ac:dyDescent="0.2">
      <c r="A1224">
        <v>2021</v>
      </c>
      <c r="B1224" s="2" t="s">
        <v>324</v>
      </c>
      <c r="C1224" s="1">
        <v>426820</v>
      </c>
      <c r="D1224">
        <v>9.5788760000000003E-4</v>
      </c>
    </row>
    <row r="1225" spans="1:4" x14ac:dyDescent="0.2">
      <c r="A1225">
        <v>2021</v>
      </c>
      <c r="B1225" s="2" t="s">
        <v>171</v>
      </c>
      <c r="C1225" s="1">
        <v>282951</v>
      </c>
      <c r="D1225">
        <v>6.350107E-4</v>
      </c>
    </row>
    <row r="1226" spans="1:4" x14ac:dyDescent="0.2">
      <c r="A1226">
        <v>2021</v>
      </c>
      <c r="B1226" s="2" t="s">
        <v>397</v>
      </c>
      <c r="C1226" s="1">
        <v>240677</v>
      </c>
      <c r="D1226">
        <v>5.4013759999999998E-4</v>
      </c>
    </row>
    <row r="1227" spans="1:4" x14ac:dyDescent="0.2">
      <c r="A1227">
        <v>2021</v>
      </c>
      <c r="B1227" s="2" t="s">
        <v>119</v>
      </c>
      <c r="C1227" s="1">
        <v>281653</v>
      </c>
      <c r="D1227">
        <v>6.3209759999999996E-4</v>
      </c>
    </row>
    <row r="1228" spans="1:4" x14ac:dyDescent="0.2">
      <c r="A1228">
        <v>2021</v>
      </c>
      <c r="B1228" s="2" t="s">
        <v>173</v>
      </c>
      <c r="C1228" s="1">
        <v>299551</v>
      </c>
      <c r="D1228">
        <v>6.7226510000000005E-4</v>
      </c>
    </row>
    <row r="1229" spans="1:4" x14ac:dyDescent="0.2">
      <c r="A1229">
        <v>2022</v>
      </c>
      <c r="B1229" s="2" t="s">
        <v>209</v>
      </c>
      <c r="C1229" s="1">
        <v>532534</v>
      </c>
      <c r="D1229">
        <v>1.1310122999999999E-3</v>
      </c>
    </row>
    <row r="1230" spans="1:4" x14ac:dyDescent="0.2">
      <c r="A1230">
        <v>2022</v>
      </c>
      <c r="B1230" s="2" t="s">
        <v>189</v>
      </c>
      <c r="C1230" s="1">
        <v>235610</v>
      </c>
      <c r="D1230">
        <v>5.0039590000000003E-4</v>
      </c>
    </row>
    <row r="1231" spans="1:4" x14ac:dyDescent="0.2">
      <c r="A1231">
        <v>2022</v>
      </c>
      <c r="B1231" s="2" t="s">
        <v>398</v>
      </c>
      <c r="C1231" s="1">
        <v>116424</v>
      </c>
      <c r="D1231">
        <v>2.472649E-4</v>
      </c>
    </row>
    <row r="1232" spans="1:4" x14ac:dyDescent="0.2">
      <c r="A1232">
        <v>2022</v>
      </c>
      <c r="B1232" s="2" t="s">
        <v>210</v>
      </c>
      <c r="C1232" s="1">
        <v>1093429</v>
      </c>
      <c r="D1232">
        <v>2.3222586E-3</v>
      </c>
    </row>
    <row r="1233" spans="1:4" x14ac:dyDescent="0.2">
      <c r="A1233">
        <v>2022</v>
      </c>
      <c r="B1233" s="2" t="s">
        <v>121</v>
      </c>
      <c r="C1233" s="1">
        <v>216358</v>
      </c>
      <c r="D1233">
        <v>4.5950789999999999E-4</v>
      </c>
    </row>
    <row r="1234" spans="1:4" x14ac:dyDescent="0.2">
      <c r="A1234">
        <v>2022</v>
      </c>
      <c r="B1234" s="2" t="s">
        <v>122</v>
      </c>
      <c r="C1234" s="1">
        <v>323440</v>
      </c>
      <c r="D1234">
        <v>6.8693200000000002E-4</v>
      </c>
    </row>
    <row r="1235" spans="1:4" x14ac:dyDescent="0.2">
      <c r="A1235">
        <v>2022</v>
      </c>
      <c r="B1235" s="2" t="s">
        <v>123</v>
      </c>
      <c r="C1235" s="1">
        <v>275078</v>
      </c>
      <c r="D1235">
        <v>5.8421920000000004E-4</v>
      </c>
    </row>
    <row r="1236" spans="1:4" x14ac:dyDescent="0.2">
      <c r="A1236">
        <v>2022</v>
      </c>
      <c r="B1236" s="2" t="s">
        <v>211</v>
      </c>
      <c r="C1236" s="1">
        <v>18652</v>
      </c>
      <c r="D1236">
        <v>3.9613700000000003E-5</v>
      </c>
    </row>
    <row r="1237" spans="1:4" x14ac:dyDescent="0.2">
      <c r="A1237">
        <v>2022</v>
      </c>
      <c r="B1237" s="2" t="s">
        <v>212</v>
      </c>
      <c r="C1237" s="1">
        <v>18770</v>
      </c>
      <c r="D1237">
        <v>3.9864299999999997E-5</v>
      </c>
    </row>
    <row r="1238" spans="1:4" x14ac:dyDescent="0.2">
      <c r="A1238">
        <v>2022</v>
      </c>
      <c r="B1238" s="2" t="s">
        <v>7</v>
      </c>
      <c r="C1238" s="1">
        <v>296702</v>
      </c>
      <c r="D1238">
        <v>6.3014500000000003E-4</v>
      </c>
    </row>
    <row r="1239" spans="1:4" x14ac:dyDescent="0.2">
      <c r="A1239">
        <v>2022</v>
      </c>
      <c r="B1239" s="2" t="s">
        <v>213</v>
      </c>
      <c r="C1239" s="1">
        <v>725130</v>
      </c>
      <c r="D1239">
        <v>1.5400537E-3</v>
      </c>
    </row>
    <row r="1240" spans="1:4" x14ac:dyDescent="0.2">
      <c r="A1240">
        <v>2022</v>
      </c>
      <c r="B1240" s="2" t="s">
        <v>124</v>
      </c>
      <c r="C1240" s="1">
        <v>87725</v>
      </c>
      <c r="D1240">
        <v>1.863131E-4</v>
      </c>
    </row>
    <row r="1241" spans="1:4" x14ac:dyDescent="0.2">
      <c r="A1241">
        <v>2022</v>
      </c>
      <c r="B1241" s="2" t="s">
        <v>214</v>
      </c>
      <c r="C1241" s="1">
        <v>189821</v>
      </c>
      <c r="D1241">
        <v>4.0314780000000002E-4</v>
      </c>
    </row>
    <row r="1242" spans="1:4" x14ac:dyDescent="0.2">
      <c r="A1242">
        <v>2022</v>
      </c>
      <c r="B1242" s="2" t="s">
        <v>176</v>
      </c>
      <c r="C1242" s="1">
        <v>2380067</v>
      </c>
      <c r="D1242">
        <v>5.0548605999999998E-3</v>
      </c>
    </row>
    <row r="1243" spans="1:4" x14ac:dyDescent="0.2">
      <c r="A1243">
        <v>2022</v>
      </c>
      <c r="B1243" s="2" t="s">
        <v>216</v>
      </c>
      <c r="C1243" s="1">
        <v>4351312</v>
      </c>
      <c r="D1243">
        <v>9.2414521999999999E-3</v>
      </c>
    </row>
    <row r="1244" spans="1:4" x14ac:dyDescent="0.2">
      <c r="A1244">
        <v>2022</v>
      </c>
      <c r="B1244" s="2" t="s">
        <v>217</v>
      </c>
      <c r="C1244" s="1">
        <v>143931</v>
      </c>
      <c r="D1244">
        <v>3.0568510000000002E-4</v>
      </c>
    </row>
    <row r="1245" spans="1:4" x14ac:dyDescent="0.2">
      <c r="A1245">
        <v>2022</v>
      </c>
      <c r="B1245" s="2" t="s">
        <v>177</v>
      </c>
      <c r="C1245" s="1">
        <v>20871431</v>
      </c>
      <c r="D1245">
        <v>4.4327396599999999E-2</v>
      </c>
    </row>
    <row r="1246" spans="1:4" x14ac:dyDescent="0.2">
      <c r="A1246">
        <v>2022</v>
      </c>
      <c r="B1246" s="2" t="s">
        <v>13</v>
      </c>
      <c r="C1246" s="1">
        <v>7524951</v>
      </c>
      <c r="D1246">
        <v>1.5981725799999999E-2</v>
      </c>
    </row>
    <row r="1247" spans="1:4" x14ac:dyDescent="0.2">
      <c r="A1247">
        <v>2022</v>
      </c>
      <c r="B1247" s="2" t="s">
        <v>219</v>
      </c>
      <c r="C1247" s="1">
        <v>938020</v>
      </c>
      <c r="D1247">
        <v>1.9921962E-3</v>
      </c>
    </row>
    <row r="1248" spans="1:4" x14ac:dyDescent="0.2">
      <c r="A1248">
        <v>2022</v>
      </c>
      <c r="B1248" s="2" t="s">
        <v>220</v>
      </c>
      <c r="C1248" s="1">
        <v>268899</v>
      </c>
      <c r="D1248">
        <v>5.7109610000000003E-4</v>
      </c>
    </row>
    <row r="1249" spans="1:4" x14ac:dyDescent="0.2">
      <c r="A1249">
        <v>2022</v>
      </c>
      <c r="B1249" s="2" t="s">
        <v>17</v>
      </c>
      <c r="C1249" s="1">
        <v>704651</v>
      </c>
      <c r="D1249">
        <v>1.4965598E-3</v>
      </c>
    </row>
    <row r="1250" spans="1:4" x14ac:dyDescent="0.2">
      <c r="A1250">
        <v>2022</v>
      </c>
      <c r="B1250" s="2" t="s">
        <v>221</v>
      </c>
      <c r="C1250" s="1">
        <v>282587</v>
      </c>
      <c r="D1250">
        <v>6.0016710000000001E-4</v>
      </c>
    </row>
    <row r="1251" spans="1:4" x14ac:dyDescent="0.2">
      <c r="A1251">
        <v>2022</v>
      </c>
      <c r="B1251" s="2" t="s">
        <v>222</v>
      </c>
      <c r="C1251" s="1">
        <v>3627752</v>
      </c>
      <c r="D1251">
        <v>7.7047328999999996E-3</v>
      </c>
    </row>
    <row r="1252" spans="1:4" x14ac:dyDescent="0.2">
      <c r="A1252">
        <v>2022</v>
      </c>
      <c r="B1252" s="2" t="s">
        <v>223</v>
      </c>
      <c r="C1252" s="1">
        <v>167266</v>
      </c>
      <c r="D1252">
        <v>3.552448E-4</v>
      </c>
    </row>
    <row r="1253" spans="1:4" x14ac:dyDescent="0.2">
      <c r="A1253">
        <v>2022</v>
      </c>
      <c r="B1253" s="2" t="s">
        <v>224</v>
      </c>
      <c r="C1253" s="1">
        <v>143904</v>
      </c>
      <c r="D1253">
        <v>3.0562779999999999E-4</v>
      </c>
    </row>
    <row r="1254" spans="1:4" x14ac:dyDescent="0.2">
      <c r="A1254">
        <v>2022</v>
      </c>
      <c r="B1254" s="2" t="s">
        <v>225</v>
      </c>
      <c r="C1254" s="1">
        <v>430607</v>
      </c>
      <c r="D1254">
        <v>9.1453659999999996E-4</v>
      </c>
    </row>
    <row r="1255" spans="1:4" x14ac:dyDescent="0.2">
      <c r="A1255">
        <v>2022</v>
      </c>
      <c r="B1255" s="2" t="s">
        <v>399</v>
      </c>
      <c r="C1255" s="1">
        <v>72612</v>
      </c>
      <c r="D1255">
        <v>1.5421559999999999E-4</v>
      </c>
    </row>
    <row r="1256" spans="1:4" x14ac:dyDescent="0.2">
      <c r="A1256">
        <v>2022</v>
      </c>
      <c r="B1256" s="2" t="s">
        <v>226</v>
      </c>
      <c r="C1256" s="1">
        <v>235556</v>
      </c>
      <c r="D1256">
        <v>5.0028119999999995E-4</v>
      </c>
    </row>
    <row r="1257" spans="1:4" x14ac:dyDescent="0.2">
      <c r="A1257">
        <v>2022</v>
      </c>
      <c r="B1257" s="2" t="s">
        <v>227</v>
      </c>
      <c r="C1257" s="1">
        <v>3331227</v>
      </c>
      <c r="D1257">
        <v>7.0749639E-3</v>
      </c>
    </row>
    <row r="1258" spans="1:4" x14ac:dyDescent="0.2">
      <c r="A1258">
        <v>2022</v>
      </c>
      <c r="B1258" s="2" t="s">
        <v>228</v>
      </c>
      <c r="C1258" s="1">
        <v>229331</v>
      </c>
      <c r="D1258">
        <v>4.8706029999999998E-4</v>
      </c>
    </row>
    <row r="1259" spans="1:4" x14ac:dyDescent="0.2">
      <c r="A1259">
        <v>2022</v>
      </c>
      <c r="B1259" s="2" t="s">
        <v>229</v>
      </c>
      <c r="C1259" s="1">
        <v>273650</v>
      </c>
      <c r="D1259">
        <v>5.8118639999999995E-4</v>
      </c>
    </row>
    <row r="1260" spans="1:4" x14ac:dyDescent="0.2">
      <c r="A1260">
        <v>2022</v>
      </c>
      <c r="B1260" s="2" t="s">
        <v>126</v>
      </c>
      <c r="C1260" s="1">
        <v>120392</v>
      </c>
      <c r="D1260">
        <v>2.5569230000000001E-4</v>
      </c>
    </row>
    <row r="1261" spans="1:4" x14ac:dyDescent="0.2">
      <c r="A1261">
        <v>2022</v>
      </c>
      <c r="B1261" s="2" t="s">
        <v>230</v>
      </c>
      <c r="C1261" s="1">
        <v>144110</v>
      </c>
      <c r="D1261">
        <v>3.060653E-4</v>
      </c>
    </row>
    <row r="1262" spans="1:4" x14ac:dyDescent="0.2">
      <c r="A1262">
        <v>2022</v>
      </c>
      <c r="B1262" s="2" t="s">
        <v>231</v>
      </c>
      <c r="C1262" s="1">
        <v>863622</v>
      </c>
      <c r="D1262">
        <v>1.8341874000000001E-3</v>
      </c>
    </row>
    <row r="1263" spans="1:4" x14ac:dyDescent="0.2">
      <c r="A1263">
        <v>2022</v>
      </c>
      <c r="B1263" s="2" t="s">
        <v>127</v>
      </c>
      <c r="C1263" s="1">
        <v>355191</v>
      </c>
      <c r="D1263">
        <v>7.5436570000000003E-4</v>
      </c>
    </row>
    <row r="1264" spans="1:4" x14ac:dyDescent="0.2">
      <c r="A1264">
        <v>2022</v>
      </c>
      <c r="B1264" s="2" t="s">
        <v>232</v>
      </c>
      <c r="C1264" s="1">
        <v>7028304</v>
      </c>
      <c r="D1264">
        <v>1.4926931399999999E-2</v>
      </c>
    </row>
    <row r="1265" spans="1:4" x14ac:dyDescent="0.2">
      <c r="A1265">
        <v>2022</v>
      </c>
      <c r="B1265" s="2" t="s">
        <v>233</v>
      </c>
      <c r="C1265" s="1">
        <v>433446</v>
      </c>
      <c r="D1265">
        <v>9.2056609999999997E-4</v>
      </c>
    </row>
    <row r="1266" spans="1:4" x14ac:dyDescent="0.2">
      <c r="A1266">
        <v>2022</v>
      </c>
      <c r="B1266" s="2" t="s">
        <v>234</v>
      </c>
      <c r="C1266" s="1">
        <v>2075082</v>
      </c>
      <c r="D1266">
        <v>4.4071238999999996E-3</v>
      </c>
    </row>
    <row r="1267" spans="1:4" x14ac:dyDescent="0.2">
      <c r="A1267">
        <v>2022</v>
      </c>
      <c r="B1267" s="2" t="s">
        <v>179</v>
      </c>
      <c r="C1267" s="1">
        <v>992470</v>
      </c>
      <c r="D1267">
        <v>2.1078388000000002E-3</v>
      </c>
    </row>
    <row r="1268" spans="1:4" x14ac:dyDescent="0.2">
      <c r="A1268">
        <v>2022</v>
      </c>
      <c r="B1268" s="2" t="s">
        <v>128</v>
      </c>
      <c r="C1268" s="1">
        <v>542535</v>
      </c>
      <c r="D1268">
        <v>1.1522527999999999E-3</v>
      </c>
    </row>
    <row r="1269" spans="1:4" x14ac:dyDescent="0.2">
      <c r="A1269">
        <v>2022</v>
      </c>
      <c r="B1269" s="2" t="s">
        <v>235</v>
      </c>
      <c r="C1269" s="1">
        <v>283023</v>
      </c>
      <c r="D1269">
        <v>6.0109309999999995E-4</v>
      </c>
    </row>
    <row r="1270" spans="1:4" x14ac:dyDescent="0.2">
      <c r="A1270">
        <v>2022</v>
      </c>
      <c r="B1270" s="2" t="s">
        <v>236</v>
      </c>
      <c r="C1270" s="1">
        <v>194385</v>
      </c>
      <c r="D1270">
        <v>4.1284090000000002E-4</v>
      </c>
    </row>
    <row r="1271" spans="1:4" x14ac:dyDescent="0.2">
      <c r="A1271">
        <v>2022</v>
      </c>
      <c r="B1271" s="2" t="s">
        <v>237</v>
      </c>
      <c r="C1271" s="1">
        <v>132409</v>
      </c>
      <c r="D1271">
        <v>2.8121439999999998E-4</v>
      </c>
    </row>
    <row r="1272" spans="1:4" x14ac:dyDescent="0.2">
      <c r="A1272">
        <v>2022</v>
      </c>
      <c r="B1272" s="2" t="s">
        <v>238</v>
      </c>
      <c r="C1272" s="1">
        <v>161839</v>
      </c>
      <c r="D1272">
        <v>3.4371869999999999E-4</v>
      </c>
    </row>
    <row r="1273" spans="1:4" x14ac:dyDescent="0.2">
      <c r="A1273">
        <v>2022</v>
      </c>
      <c r="B1273" s="2" t="s">
        <v>386</v>
      </c>
      <c r="C1273" s="1">
        <v>107705</v>
      </c>
      <c r="D1273">
        <v>2.287472E-4</v>
      </c>
    </row>
    <row r="1274" spans="1:4" x14ac:dyDescent="0.2">
      <c r="A1274">
        <v>2022</v>
      </c>
      <c r="B1274" s="2" t="s">
        <v>339</v>
      </c>
      <c r="C1274" s="1">
        <v>466883</v>
      </c>
      <c r="D1274">
        <v>9.9158069999999996E-4</v>
      </c>
    </row>
    <row r="1275" spans="1:4" x14ac:dyDescent="0.2">
      <c r="A1275">
        <v>2022</v>
      </c>
      <c r="B1275" s="2" t="s">
        <v>239</v>
      </c>
      <c r="C1275" s="1">
        <v>1536972</v>
      </c>
      <c r="D1275">
        <v>3.2642690999999998E-3</v>
      </c>
    </row>
    <row r="1276" spans="1:4" x14ac:dyDescent="0.2">
      <c r="A1276">
        <v>2022</v>
      </c>
      <c r="B1276" s="2" t="s">
        <v>129</v>
      </c>
      <c r="C1276" s="1">
        <v>139009</v>
      </c>
      <c r="D1276">
        <v>2.9523169999999999E-4</v>
      </c>
    </row>
    <row r="1277" spans="1:4" x14ac:dyDescent="0.2">
      <c r="A1277">
        <v>2022</v>
      </c>
      <c r="B1277" s="2" t="s">
        <v>340</v>
      </c>
      <c r="C1277" s="1">
        <v>44305</v>
      </c>
      <c r="D1277">
        <v>9.4096299999999996E-5</v>
      </c>
    </row>
    <row r="1278" spans="1:4" x14ac:dyDescent="0.2">
      <c r="A1278">
        <v>2022</v>
      </c>
      <c r="B1278" s="2" t="s">
        <v>240</v>
      </c>
      <c r="C1278" s="1">
        <v>904829</v>
      </c>
      <c r="D1278">
        <v>1.9217041E-3</v>
      </c>
    </row>
    <row r="1279" spans="1:4" x14ac:dyDescent="0.2">
      <c r="A1279">
        <v>2022</v>
      </c>
      <c r="B1279" s="2" t="s">
        <v>241</v>
      </c>
      <c r="C1279" s="1">
        <v>406661</v>
      </c>
      <c r="D1279">
        <v>8.636793E-4</v>
      </c>
    </row>
    <row r="1280" spans="1:4" x14ac:dyDescent="0.2">
      <c r="A1280">
        <v>2022</v>
      </c>
      <c r="B1280" s="2" t="s">
        <v>341</v>
      </c>
      <c r="C1280" s="1">
        <v>223115</v>
      </c>
      <c r="D1280">
        <v>4.738586E-4</v>
      </c>
    </row>
    <row r="1281" spans="1:4" x14ac:dyDescent="0.2">
      <c r="A1281">
        <v>2022</v>
      </c>
      <c r="B1281" s="2" t="s">
        <v>242</v>
      </c>
      <c r="C1281" s="1">
        <v>883406</v>
      </c>
      <c r="D1281">
        <v>1.8762052E-3</v>
      </c>
    </row>
    <row r="1282" spans="1:4" x14ac:dyDescent="0.2">
      <c r="A1282">
        <v>2022</v>
      </c>
      <c r="B1282" s="2" t="s">
        <v>243</v>
      </c>
      <c r="C1282" s="1">
        <v>242010</v>
      </c>
      <c r="D1282">
        <v>5.1398839999999997E-4</v>
      </c>
    </row>
    <row r="1283" spans="1:4" x14ac:dyDescent="0.2">
      <c r="A1283">
        <v>2022</v>
      </c>
      <c r="B1283" s="2" t="s">
        <v>244</v>
      </c>
      <c r="C1283" s="1">
        <v>254090</v>
      </c>
      <c r="D1283">
        <v>5.3964430000000003E-4</v>
      </c>
    </row>
    <row r="1284" spans="1:4" x14ac:dyDescent="0.2">
      <c r="A1284">
        <v>2022</v>
      </c>
      <c r="B1284" s="2" t="s">
        <v>387</v>
      </c>
      <c r="C1284" s="1">
        <v>121395</v>
      </c>
      <c r="D1284">
        <v>2.5782250000000001E-4</v>
      </c>
    </row>
    <row r="1285" spans="1:4" x14ac:dyDescent="0.2">
      <c r="A1285">
        <v>2022</v>
      </c>
      <c r="B1285" s="2" t="s">
        <v>400</v>
      </c>
      <c r="C1285" s="1">
        <v>11639</v>
      </c>
      <c r="D1285">
        <v>2.4719299999999999E-5</v>
      </c>
    </row>
    <row r="1286" spans="1:4" x14ac:dyDescent="0.2">
      <c r="A1286">
        <v>2022</v>
      </c>
      <c r="B1286" s="2" t="s">
        <v>245</v>
      </c>
      <c r="C1286" s="1">
        <v>188609</v>
      </c>
      <c r="D1286">
        <v>4.0057370000000001E-4</v>
      </c>
    </row>
    <row r="1287" spans="1:4" x14ac:dyDescent="0.2">
      <c r="A1287">
        <v>2022</v>
      </c>
      <c r="B1287" s="2" t="s">
        <v>196</v>
      </c>
      <c r="C1287" s="1">
        <v>198449</v>
      </c>
      <c r="D1287">
        <v>4.2147220000000001E-4</v>
      </c>
    </row>
    <row r="1288" spans="1:4" x14ac:dyDescent="0.2">
      <c r="A1288">
        <v>2022</v>
      </c>
      <c r="B1288" s="2" t="s">
        <v>246</v>
      </c>
      <c r="C1288" s="1">
        <v>327397</v>
      </c>
      <c r="D1288">
        <v>6.9533599999999996E-4</v>
      </c>
    </row>
    <row r="1289" spans="1:4" x14ac:dyDescent="0.2">
      <c r="A1289">
        <v>2022</v>
      </c>
      <c r="B1289" s="2" t="s">
        <v>247</v>
      </c>
      <c r="C1289" s="1">
        <v>184906</v>
      </c>
      <c r="D1289">
        <v>3.9270910000000002E-4</v>
      </c>
    </row>
    <row r="1290" spans="1:4" x14ac:dyDescent="0.2">
      <c r="A1290">
        <v>2022</v>
      </c>
      <c r="B1290" s="2" t="s">
        <v>248</v>
      </c>
      <c r="C1290" s="1">
        <v>303396</v>
      </c>
      <c r="D1290">
        <v>6.4436189999999996E-4</v>
      </c>
    </row>
    <row r="1291" spans="1:4" x14ac:dyDescent="0.2">
      <c r="A1291">
        <v>2022</v>
      </c>
      <c r="B1291" s="2" t="s">
        <v>249</v>
      </c>
      <c r="C1291" s="1">
        <v>334659</v>
      </c>
      <c r="D1291">
        <v>7.107592E-4</v>
      </c>
    </row>
    <row r="1292" spans="1:4" x14ac:dyDescent="0.2">
      <c r="A1292">
        <v>2022</v>
      </c>
      <c r="B1292" s="2" t="s">
        <v>250</v>
      </c>
      <c r="C1292" s="1">
        <v>833504</v>
      </c>
      <c r="D1292">
        <v>1.7702218E-3</v>
      </c>
    </row>
    <row r="1293" spans="1:4" x14ac:dyDescent="0.2">
      <c r="A1293">
        <v>2022</v>
      </c>
      <c r="B1293" s="2" t="s">
        <v>251</v>
      </c>
      <c r="C1293" s="1">
        <v>342753</v>
      </c>
      <c r="D1293">
        <v>7.2794950000000004E-4</v>
      </c>
    </row>
    <row r="1294" spans="1:4" x14ac:dyDescent="0.2">
      <c r="A1294">
        <v>2022</v>
      </c>
      <c r="B1294" s="2" t="s">
        <v>252</v>
      </c>
      <c r="C1294" s="1">
        <v>260089</v>
      </c>
      <c r="D1294">
        <v>5.523851E-4</v>
      </c>
    </row>
    <row r="1295" spans="1:4" x14ac:dyDescent="0.2">
      <c r="A1295">
        <v>2022</v>
      </c>
      <c r="B1295" s="2" t="s">
        <v>253</v>
      </c>
      <c r="C1295" s="1">
        <v>251753</v>
      </c>
      <c r="D1295">
        <v>5.3468090000000003E-4</v>
      </c>
    </row>
    <row r="1296" spans="1:4" x14ac:dyDescent="0.2">
      <c r="A1296">
        <v>2022</v>
      </c>
      <c r="B1296" s="2" t="s">
        <v>389</v>
      </c>
      <c r="C1296" s="1">
        <v>169119</v>
      </c>
      <c r="D1296">
        <v>3.5918019999999997E-4</v>
      </c>
    </row>
    <row r="1297" spans="1:4" x14ac:dyDescent="0.2">
      <c r="A1297">
        <v>2022</v>
      </c>
      <c r="B1297" s="2" t="s">
        <v>130</v>
      </c>
      <c r="C1297" s="1">
        <v>131465</v>
      </c>
      <c r="D1297">
        <v>2.792095E-4</v>
      </c>
    </row>
    <row r="1298" spans="1:4" x14ac:dyDescent="0.2">
      <c r="A1298">
        <v>2022</v>
      </c>
      <c r="B1298" s="2" t="s">
        <v>131</v>
      </c>
      <c r="C1298" s="1">
        <v>222713</v>
      </c>
      <c r="D1298">
        <v>4.7300480000000002E-4</v>
      </c>
    </row>
    <row r="1299" spans="1:4" x14ac:dyDescent="0.2">
      <c r="A1299">
        <v>2022</v>
      </c>
      <c r="B1299" s="2" t="s">
        <v>254</v>
      </c>
      <c r="C1299" s="1">
        <v>184701</v>
      </c>
      <c r="D1299">
        <v>3.9227370000000003E-4</v>
      </c>
    </row>
    <row r="1300" spans="1:4" x14ac:dyDescent="0.2">
      <c r="A1300">
        <v>2022</v>
      </c>
      <c r="B1300" s="2" t="s">
        <v>255</v>
      </c>
      <c r="C1300" s="1">
        <v>624661</v>
      </c>
      <c r="D1300">
        <v>1.3266745000000001E-3</v>
      </c>
    </row>
    <row r="1301" spans="1:4" x14ac:dyDescent="0.2">
      <c r="A1301">
        <v>2022</v>
      </c>
      <c r="B1301" s="2" t="s">
        <v>256</v>
      </c>
      <c r="C1301" s="1">
        <v>221748</v>
      </c>
      <c r="D1301">
        <v>4.709553E-4</v>
      </c>
    </row>
    <row r="1302" spans="1:4" x14ac:dyDescent="0.2">
      <c r="A1302">
        <v>2022</v>
      </c>
      <c r="B1302" s="2" t="s">
        <v>132</v>
      </c>
      <c r="C1302" s="1">
        <v>337817</v>
      </c>
      <c r="D1302">
        <v>7.1746630000000004E-4</v>
      </c>
    </row>
    <row r="1303" spans="1:4" x14ac:dyDescent="0.2">
      <c r="A1303">
        <v>2022</v>
      </c>
      <c r="B1303" s="2" t="s">
        <v>257</v>
      </c>
      <c r="C1303" s="1">
        <v>50009</v>
      </c>
      <c r="D1303">
        <v>1.062107E-4</v>
      </c>
    </row>
    <row r="1304" spans="1:4" x14ac:dyDescent="0.2">
      <c r="A1304">
        <v>2022</v>
      </c>
      <c r="B1304" s="2" t="s">
        <v>135</v>
      </c>
      <c r="C1304" s="1">
        <v>682154</v>
      </c>
      <c r="D1304">
        <v>1.44878E-3</v>
      </c>
    </row>
    <row r="1305" spans="1:4" x14ac:dyDescent="0.2">
      <c r="A1305">
        <v>2022</v>
      </c>
      <c r="B1305" s="2" t="s">
        <v>137</v>
      </c>
      <c r="C1305" s="1">
        <v>88298</v>
      </c>
      <c r="D1305">
        <v>1.8752999999999999E-4</v>
      </c>
    </row>
    <row r="1306" spans="1:4" x14ac:dyDescent="0.2">
      <c r="A1306">
        <v>2022</v>
      </c>
      <c r="B1306" s="2" t="s">
        <v>258</v>
      </c>
      <c r="C1306" s="1">
        <v>6295146</v>
      </c>
      <c r="D1306">
        <v>1.3369827500000001E-2</v>
      </c>
    </row>
    <row r="1307" spans="1:4" x14ac:dyDescent="0.2">
      <c r="A1307">
        <v>2022</v>
      </c>
      <c r="B1307" s="2" t="s">
        <v>183</v>
      </c>
      <c r="C1307" s="1">
        <v>183881</v>
      </c>
      <c r="D1307">
        <v>3.9053219999999998E-4</v>
      </c>
    </row>
    <row r="1308" spans="1:4" x14ac:dyDescent="0.2">
      <c r="A1308">
        <v>2022</v>
      </c>
      <c r="B1308" s="2" t="s">
        <v>143</v>
      </c>
      <c r="C1308" s="1">
        <v>804886</v>
      </c>
      <c r="D1308">
        <v>1.709442E-3</v>
      </c>
    </row>
    <row r="1309" spans="1:4" x14ac:dyDescent="0.2">
      <c r="A1309">
        <v>2022</v>
      </c>
      <c r="B1309" s="2" t="s">
        <v>144</v>
      </c>
      <c r="C1309" s="1">
        <v>253813</v>
      </c>
      <c r="D1309">
        <v>5.39056E-4</v>
      </c>
    </row>
    <row r="1310" spans="1:4" x14ac:dyDescent="0.2">
      <c r="A1310">
        <v>2022</v>
      </c>
      <c r="B1310" s="2" t="s">
        <v>145</v>
      </c>
      <c r="C1310" s="1">
        <v>375237</v>
      </c>
      <c r="D1310">
        <v>7.9694010000000003E-4</v>
      </c>
    </row>
    <row r="1311" spans="1:4" x14ac:dyDescent="0.2">
      <c r="A1311">
        <v>2022</v>
      </c>
      <c r="B1311" s="2" t="s">
        <v>390</v>
      </c>
      <c r="C1311" s="1">
        <v>14413</v>
      </c>
      <c r="D1311">
        <v>3.0610800000000002E-5</v>
      </c>
    </row>
    <row r="1312" spans="1:4" x14ac:dyDescent="0.2">
      <c r="A1312">
        <v>2022</v>
      </c>
      <c r="B1312" s="2" t="s">
        <v>259</v>
      </c>
      <c r="C1312" s="1">
        <v>2187603</v>
      </c>
      <c r="D1312">
        <v>4.6460994999999996E-3</v>
      </c>
    </row>
    <row r="1313" spans="1:4" x14ac:dyDescent="0.2">
      <c r="A1313">
        <v>2022</v>
      </c>
      <c r="B1313" s="2" t="s">
        <v>260</v>
      </c>
      <c r="C1313" s="1">
        <v>317272</v>
      </c>
      <c r="D1313">
        <v>6.7383220000000004E-4</v>
      </c>
    </row>
    <row r="1314" spans="1:4" x14ac:dyDescent="0.2">
      <c r="A1314">
        <v>2022</v>
      </c>
      <c r="B1314" s="2" t="s">
        <v>51</v>
      </c>
      <c r="C1314" s="1">
        <v>839310</v>
      </c>
      <c r="D1314">
        <v>1.7825528E-3</v>
      </c>
    </row>
    <row r="1315" spans="1:4" x14ac:dyDescent="0.2">
      <c r="A1315">
        <v>2022</v>
      </c>
      <c r="B1315" s="2" t="s">
        <v>261</v>
      </c>
      <c r="C1315" s="1">
        <v>230482</v>
      </c>
      <c r="D1315">
        <v>4.8950489999999996E-4</v>
      </c>
    </row>
    <row r="1316" spans="1:4" x14ac:dyDescent="0.2">
      <c r="A1316">
        <v>2022</v>
      </c>
      <c r="B1316" s="2" t="s">
        <v>262</v>
      </c>
      <c r="C1316" s="1">
        <v>1135022</v>
      </c>
      <c r="D1316">
        <v>2.4105950999999998E-3</v>
      </c>
    </row>
    <row r="1317" spans="1:4" x14ac:dyDescent="0.2">
      <c r="A1317">
        <v>2022</v>
      </c>
      <c r="B1317" s="2" t="s">
        <v>146</v>
      </c>
      <c r="C1317" s="1">
        <v>107145</v>
      </c>
      <c r="D1317">
        <v>2.2755790000000001E-4</v>
      </c>
    </row>
    <row r="1318" spans="1:4" x14ac:dyDescent="0.2">
      <c r="A1318">
        <v>2022</v>
      </c>
      <c r="B1318" s="2" t="s">
        <v>54</v>
      </c>
      <c r="C1318" s="1">
        <v>210605</v>
      </c>
      <c r="D1318">
        <v>4.4728949999999997E-4</v>
      </c>
    </row>
    <row r="1319" spans="1:4" x14ac:dyDescent="0.2">
      <c r="A1319">
        <v>2022</v>
      </c>
      <c r="B1319" s="2" t="s">
        <v>147</v>
      </c>
      <c r="C1319" s="1">
        <v>104534</v>
      </c>
      <c r="D1319">
        <v>2.2201259999999999E-4</v>
      </c>
    </row>
    <row r="1320" spans="1:4" x14ac:dyDescent="0.2">
      <c r="A1320">
        <v>2022</v>
      </c>
      <c r="B1320" s="2" t="s">
        <v>263</v>
      </c>
      <c r="C1320" s="1">
        <v>3387692</v>
      </c>
      <c r="D1320">
        <v>7.1948860000000002E-3</v>
      </c>
    </row>
    <row r="1321" spans="1:4" x14ac:dyDescent="0.2">
      <c r="A1321">
        <v>2022</v>
      </c>
      <c r="B1321" s="2" t="s">
        <v>264</v>
      </c>
      <c r="C1321" s="1">
        <v>2987612</v>
      </c>
      <c r="D1321">
        <v>6.3451836000000001E-3</v>
      </c>
    </row>
    <row r="1322" spans="1:4" x14ac:dyDescent="0.2">
      <c r="A1322">
        <v>2022</v>
      </c>
      <c r="B1322" s="2" t="s">
        <v>265</v>
      </c>
      <c r="C1322" s="1">
        <v>3337342</v>
      </c>
      <c r="D1322">
        <v>7.0879510999999999E-3</v>
      </c>
    </row>
    <row r="1323" spans="1:4" x14ac:dyDescent="0.2">
      <c r="A1323">
        <v>2022</v>
      </c>
      <c r="B1323" s="2" t="s">
        <v>266</v>
      </c>
      <c r="C1323" s="1">
        <v>627852</v>
      </c>
      <c r="D1323">
        <v>1.3334517000000001E-3</v>
      </c>
    </row>
    <row r="1324" spans="1:4" x14ac:dyDescent="0.2">
      <c r="A1324">
        <v>2022</v>
      </c>
      <c r="B1324" s="2" t="s">
        <v>148</v>
      </c>
      <c r="C1324" s="1">
        <v>142328</v>
      </c>
      <c r="D1324">
        <v>3.0228059999999997E-4</v>
      </c>
    </row>
    <row r="1325" spans="1:4" x14ac:dyDescent="0.2">
      <c r="A1325">
        <v>2022</v>
      </c>
      <c r="B1325" s="2" t="s">
        <v>267</v>
      </c>
      <c r="C1325" s="1">
        <v>3829507</v>
      </c>
      <c r="D1325">
        <v>8.1332265000000001E-3</v>
      </c>
    </row>
    <row r="1326" spans="1:4" x14ac:dyDescent="0.2">
      <c r="A1326">
        <v>2022</v>
      </c>
      <c r="B1326" s="2" t="s">
        <v>149</v>
      </c>
      <c r="C1326" s="1">
        <v>222827</v>
      </c>
      <c r="D1326">
        <v>4.7324690000000001E-4</v>
      </c>
    </row>
    <row r="1327" spans="1:4" x14ac:dyDescent="0.2">
      <c r="A1327">
        <v>2022</v>
      </c>
      <c r="B1327" s="2" t="s">
        <v>268</v>
      </c>
      <c r="C1327" s="1">
        <v>160658</v>
      </c>
      <c r="D1327">
        <v>3.412105E-4</v>
      </c>
    </row>
    <row r="1328" spans="1:4" x14ac:dyDescent="0.2">
      <c r="A1328">
        <v>2022</v>
      </c>
      <c r="B1328" s="2" t="s">
        <v>269</v>
      </c>
      <c r="C1328" s="1">
        <v>3240298</v>
      </c>
      <c r="D1328">
        <v>6.8818459999999996E-3</v>
      </c>
    </row>
    <row r="1329" spans="1:4" x14ac:dyDescent="0.2">
      <c r="A1329">
        <v>2022</v>
      </c>
      <c r="B1329" s="2" t="s">
        <v>270</v>
      </c>
      <c r="C1329" s="1">
        <v>670394</v>
      </c>
      <c r="D1329">
        <v>1.4238037E-3</v>
      </c>
    </row>
    <row r="1330" spans="1:4" x14ac:dyDescent="0.2">
      <c r="A1330">
        <v>2022</v>
      </c>
      <c r="B1330" s="2" t="s">
        <v>271</v>
      </c>
      <c r="C1330" s="1">
        <v>528915</v>
      </c>
      <c r="D1330">
        <v>1.1233262000000001E-3</v>
      </c>
    </row>
    <row r="1331" spans="1:4" x14ac:dyDescent="0.2">
      <c r="A1331">
        <v>2022</v>
      </c>
      <c r="B1331" s="2" t="s">
        <v>272</v>
      </c>
      <c r="C1331" s="1">
        <v>1151515</v>
      </c>
      <c r="D1331">
        <v>2.4456234999999998E-3</v>
      </c>
    </row>
    <row r="1332" spans="1:4" x14ac:dyDescent="0.2">
      <c r="A1332">
        <v>2022</v>
      </c>
      <c r="B1332" s="2" t="s">
        <v>273</v>
      </c>
      <c r="C1332" s="1">
        <v>157074</v>
      </c>
      <c r="D1332">
        <v>3.3359870000000002E-4</v>
      </c>
    </row>
    <row r="1333" spans="1:4" x14ac:dyDescent="0.2">
      <c r="A1333">
        <v>2022</v>
      </c>
      <c r="B1333" s="2" t="s">
        <v>274</v>
      </c>
      <c r="C1333" s="1">
        <v>470022</v>
      </c>
      <c r="D1333">
        <v>9.9824739999999999E-4</v>
      </c>
    </row>
    <row r="1334" spans="1:4" x14ac:dyDescent="0.2">
      <c r="A1334">
        <v>2022</v>
      </c>
      <c r="B1334" s="2" t="s">
        <v>150</v>
      </c>
      <c r="C1334" s="1">
        <v>154173</v>
      </c>
      <c r="D1334">
        <v>3.274374E-4</v>
      </c>
    </row>
    <row r="1335" spans="1:4" x14ac:dyDescent="0.2">
      <c r="A1335">
        <v>2022</v>
      </c>
      <c r="B1335" s="2" t="s">
        <v>151</v>
      </c>
      <c r="C1335" s="1">
        <v>157223</v>
      </c>
      <c r="D1335">
        <v>3.3391509999999998E-4</v>
      </c>
    </row>
    <row r="1336" spans="1:4" x14ac:dyDescent="0.2">
      <c r="A1336">
        <v>2022</v>
      </c>
      <c r="B1336" s="2" t="s">
        <v>276</v>
      </c>
      <c r="C1336" s="1">
        <v>2106537</v>
      </c>
      <c r="D1336">
        <v>4.4739289999999998E-3</v>
      </c>
    </row>
    <row r="1337" spans="1:4" x14ac:dyDescent="0.2">
      <c r="A1337">
        <v>2022</v>
      </c>
      <c r="B1337" s="2" t="s">
        <v>277</v>
      </c>
      <c r="C1337" s="1">
        <v>131074</v>
      </c>
      <c r="D1337">
        <v>2.7837910000000002E-4</v>
      </c>
    </row>
    <row r="1338" spans="1:4" x14ac:dyDescent="0.2">
      <c r="A1338">
        <v>2022</v>
      </c>
      <c r="B1338" s="2" t="s">
        <v>278</v>
      </c>
      <c r="C1338" s="1">
        <v>2536373</v>
      </c>
      <c r="D1338">
        <v>5.3868281000000002E-3</v>
      </c>
    </row>
    <row r="1339" spans="1:4" x14ac:dyDescent="0.2">
      <c r="A1339">
        <v>2022</v>
      </c>
      <c r="B1339" s="2" t="s">
        <v>152</v>
      </c>
      <c r="C1339" s="1">
        <v>102024</v>
      </c>
      <c r="D1339">
        <v>2.1668180000000001E-4</v>
      </c>
    </row>
    <row r="1340" spans="1:4" x14ac:dyDescent="0.2">
      <c r="A1340">
        <v>2022</v>
      </c>
      <c r="B1340" s="2" t="s">
        <v>392</v>
      </c>
      <c r="C1340" s="1">
        <v>170012</v>
      </c>
      <c r="D1340">
        <v>3.610768E-4</v>
      </c>
    </row>
    <row r="1341" spans="1:4" x14ac:dyDescent="0.2">
      <c r="A1341">
        <v>2022</v>
      </c>
      <c r="B1341" s="2" t="s">
        <v>153</v>
      </c>
      <c r="C1341" s="1">
        <v>106132</v>
      </c>
      <c r="D1341">
        <v>2.254065E-4</v>
      </c>
    </row>
    <row r="1342" spans="1:4" x14ac:dyDescent="0.2">
      <c r="A1342">
        <v>2022</v>
      </c>
      <c r="B1342" s="2" t="s">
        <v>279</v>
      </c>
      <c r="C1342" s="1">
        <v>2096248</v>
      </c>
      <c r="D1342">
        <v>4.4520769E-3</v>
      </c>
    </row>
    <row r="1343" spans="1:4" x14ac:dyDescent="0.2">
      <c r="A1343">
        <v>2022</v>
      </c>
      <c r="B1343" s="2" t="s">
        <v>280</v>
      </c>
      <c r="C1343" s="1">
        <v>2091765</v>
      </c>
      <c r="D1343">
        <v>4.4425558000000002E-3</v>
      </c>
    </row>
    <row r="1344" spans="1:4" x14ac:dyDescent="0.2">
      <c r="A1344">
        <v>2022</v>
      </c>
      <c r="B1344" s="2" t="s">
        <v>72</v>
      </c>
      <c r="C1344" s="1">
        <v>908424</v>
      </c>
      <c r="D1344">
        <v>1.9293392E-3</v>
      </c>
    </row>
    <row r="1345" spans="1:4" x14ac:dyDescent="0.2">
      <c r="A1345">
        <v>2022</v>
      </c>
      <c r="B1345" s="2" t="s">
        <v>281</v>
      </c>
      <c r="C1345" s="1">
        <v>170596</v>
      </c>
      <c r="D1345">
        <v>3.623171E-4</v>
      </c>
    </row>
    <row r="1346" spans="1:4" x14ac:dyDescent="0.2">
      <c r="A1346">
        <v>2022</v>
      </c>
      <c r="B1346" s="2" t="s">
        <v>282</v>
      </c>
      <c r="C1346" s="1">
        <v>283211</v>
      </c>
      <c r="D1346">
        <v>6.0149240000000005E-4</v>
      </c>
    </row>
    <row r="1347" spans="1:4" x14ac:dyDescent="0.2">
      <c r="A1347">
        <v>2022</v>
      </c>
      <c r="B1347" s="2" t="s">
        <v>283</v>
      </c>
      <c r="C1347" s="1">
        <v>7695940</v>
      </c>
      <c r="D1347">
        <v>1.6344877599999998E-2</v>
      </c>
    </row>
    <row r="1348" spans="1:4" x14ac:dyDescent="0.2">
      <c r="A1348">
        <v>2022</v>
      </c>
      <c r="B1348" s="2" t="s">
        <v>284</v>
      </c>
      <c r="C1348" s="1">
        <v>630779</v>
      </c>
      <c r="D1348">
        <v>1.3396681000000001E-3</v>
      </c>
    </row>
    <row r="1349" spans="1:4" x14ac:dyDescent="0.2">
      <c r="A1349">
        <v>2022</v>
      </c>
      <c r="B1349" s="2" t="s">
        <v>285</v>
      </c>
      <c r="C1349" s="1">
        <v>176086</v>
      </c>
      <c r="D1349">
        <v>3.7397690000000002E-4</v>
      </c>
    </row>
    <row r="1350" spans="1:4" x14ac:dyDescent="0.2">
      <c r="A1350">
        <v>2022</v>
      </c>
      <c r="B1350" s="2" t="s">
        <v>286</v>
      </c>
      <c r="C1350" s="1">
        <v>143816</v>
      </c>
      <c r="D1350">
        <v>3.0544090000000001E-4</v>
      </c>
    </row>
    <row r="1351" spans="1:4" x14ac:dyDescent="0.2">
      <c r="A1351">
        <v>2022</v>
      </c>
      <c r="B1351" s="2" t="s">
        <v>184</v>
      </c>
      <c r="C1351" s="1">
        <v>1243845</v>
      </c>
      <c r="D1351">
        <v>2.6417168E-3</v>
      </c>
    </row>
    <row r="1352" spans="1:4" x14ac:dyDescent="0.2">
      <c r="A1352">
        <v>2022</v>
      </c>
      <c r="B1352" s="2" t="s">
        <v>154</v>
      </c>
      <c r="C1352" s="1">
        <v>497997</v>
      </c>
      <c r="D1352">
        <v>1.0576616000000001E-3</v>
      </c>
    </row>
    <row r="1353" spans="1:4" x14ac:dyDescent="0.2">
      <c r="A1353">
        <v>2022</v>
      </c>
      <c r="B1353" s="2" t="s">
        <v>155</v>
      </c>
      <c r="C1353" s="1">
        <v>132783</v>
      </c>
      <c r="D1353">
        <v>2.8200870000000001E-4</v>
      </c>
    </row>
    <row r="1354" spans="1:4" x14ac:dyDescent="0.2">
      <c r="A1354">
        <v>2022</v>
      </c>
      <c r="B1354" s="2" t="s">
        <v>287</v>
      </c>
      <c r="C1354" s="1">
        <v>236900</v>
      </c>
      <c r="D1354">
        <v>5.0313560000000003E-4</v>
      </c>
    </row>
    <row r="1355" spans="1:4" x14ac:dyDescent="0.2">
      <c r="A1355">
        <v>2022</v>
      </c>
      <c r="B1355" s="2" t="s">
        <v>288</v>
      </c>
      <c r="C1355" s="1">
        <v>865868</v>
      </c>
      <c r="D1355">
        <v>1.8389575E-3</v>
      </c>
    </row>
    <row r="1356" spans="1:4" x14ac:dyDescent="0.2">
      <c r="A1356">
        <v>2022</v>
      </c>
      <c r="B1356" s="2" t="s">
        <v>157</v>
      </c>
      <c r="C1356" s="1">
        <v>110276</v>
      </c>
      <c r="D1356">
        <v>2.3420759999999999E-4</v>
      </c>
    </row>
    <row r="1357" spans="1:4" x14ac:dyDescent="0.2">
      <c r="A1357">
        <v>2022</v>
      </c>
      <c r="B1357" s="2" t="s">
        <v>289</v>
      </c>
      <c r="C1357" s="1">
        <v>605435</v>
      </c>
      <c r="D1357">
        <v>1.2858417E-3</v>
      </c>
    </row>
    <row r="1358" spans="1:4" x14ac:dyDescent="0.2">
      <c r="A1358">
        <v>2022</v>
      </c>
      <c r="B1358" s="2" t="s">
        <v>290</v>
      </c>
      <c r="C1358" s="1">
        <v>93055</v>
      </c>
      <c r="D1358">
        <v>1.9763309999999999E-4</v>
      </c>
    </row>
    <row r="1359" spans="1:4" x14ac:dyDescent="0.2">
      <c r="A1359">
        <v>2022</v>
      </c>
      <c r="B1359" s="2" t="s">
        <v>203</v>
      </c>
      <c r="C1359" s="1">
        <v>109242</v>
      </c>
      <c r="D1359">
        <v>2.320116E-4</v>
      </c>
    </row>
    <row r="1360" spans="1:4" x14ac:dyDescent="0.2">
      <c r="A1360">
        <v>2022</v>
      </c>
      <c r="B1360" s="2" t="s">
        <v>291</v>
      </c>
      <c r="C1360" s="1">
        <v>856344</v>
      </c>
      <c r="D1360">
        <v>1.8187301E-3</v>
      </c>
    </row>
    <row r="1361" spans="1:4" x14ac:dyDescent="0.2">
      <c r="A1361">
        <v>2022</v>
      </c>
      <c r="B1361" s="2" t="s">
        <v>292</v>
      </c>
      <c r="C1361" s="1">
        <v>151486</v>
      </c>
      <c r="D1361">
        <v>3.2173070000000002E-4</v>
      </c>
    </row>
    <row r="1362" spans="1:4" x14ac:dyDescent="0.2">
      <c r="A1362">
        <v>2022</v>
      </c>
      <c r="B1362" s="2" t="s">
        <v>393</v>
      </c>
      <c r="C1362" s="1">
        <v>95496</v>
      </c>
      <c r="D1362">
        <v>2.0281739999999999E-4</v>
      </c>
    </row>
    <row r="1363" spans="1:4" x14ac:dyDescent="0.2">
      <c r="A1363">
        <v>2022</v>
      </c>
      <c r="B1363" s="2" t="s">
        <v>293</v>
      </c>
      <c r="C1363" s="1">
        <v>11572</v>
      </c>
      <c r="D1363">
        <v>2.4576999999999999E-5</v>
      </c>
    </row>
    <row r="1364" spans="1:4" x14ac:dyDescent="0.2">
      <c r="A1364">
        <v>2022</v>
      </c>
      <c r="B1364" s="2" t="s">
        <v>294</v>
      </c>
      <c r="C1364" s="1">
        <v>446307</v>
      </c>
      <c r="D1364">
        <v>9.4788070000000003E-4</v>
      </c>
    </row>
    <row r="1365" spans="1:4" x14ac:dyDescent="0.2">
      <c r="A1365">
        <v>2022</v>
      </c>
      <c r="B1365" s="2" t="s">
        <v>185</v>
      </c>
      <c r="C1365" s="1">
        <v>186874</v>
      </c>
      <c r="D1365">
        <v>3.9688879999999997E-4</v>
      </c>
    </row>
    <row r="1366" spans="1:4" x14ac:dyDescent="0.2">
      <c r="A1366">
        <v>2022</v>
      </c>
      <c r="B1366" s="2" t="s">
        <v>295</v>
      </c>
      <c r="C1366" s="1">
        <v>7458870</v>
      </c>
      <c r="D1366">
        <v>1.58413809E-2</v>
      </c>
    </row>
    <row r="1367" spans="1:4" x14ac:dyDescent="0.2">
      <c r="A1367">
        <v>2022</v>
      </c>
      <c r="B1367" s="2" t="s">
        <v>296</v>
      </c>
      <c r="C1367" s="1">
        <v>3763667</v>
      </c>
      <c r="D1367">
        <v>7.9933933999999998E-3</v>
      </c>
    </row>
    <row r="1368" spans="1:4" x14ac:dyDescent="0.2">
      <c r="A1368">
        <v>2022</v>
      </c>
      <c r="B1368" s="2" t="s">
        <v>297</v>
      </c>
      <c r="C1368" s="1">
        <v>395041</v>
      </c>
      <c r="D1368">
        <v>8.3900040000000004E-4</v>
      </c>
    </row>
    <row r="1369" spans="1:4" x14ac:dyDescent="0.2">
      <c r="A1369">
        <v>2022</v>
      </c>
      <c r="B1369" s="2" t="s">
        <v>298</v>
      </c>
      <c r="C1369" s="1">
        <v>8217</v>
      </c>
      <c r="D1369">
        <v>1.7451500000000001E-5</v>
      </c>
    </row>
    <row r="1370" spans="1:4" x14ac:dyDescent="0.2">
      <c r="A1370">
        <v>2022</v>
      </c>
      <c r="B1370" s="2" t="s">
        <v>299</v>
      </c>
      <c r="C1370" s="1">
        <v>1234682</v>
      </c>
      <c r="D1370">
        <v>2.6222562E-3</v>
      </c>
    </row>
    <row r="1371" spans="1:4" x14ac:dyDescent="0.2">
      <c r="A1371">
        <v>2022</v>
      </c>
      <c r="B1371" s="2" t="s">
        <v>300</v>
      </c>
      <c r="C1371" s="1">
        <v>139089</v>
      </c>
      <c r="D1371">
        <v>2.9540159999999997E-4</v>
      </c>
    </row>
    <row r="1372" spans="1:4" x14ac:dyDescent="0.2">
      <c r="A1372">
        <v>2022</v>
      </c>
      <c r="B1372" s="2" t="s">
        <v>395</v>
      </c>
      <c r="C1372" s="1">
        <v>249323</v>
      </c>
      <c r="D1372">
        <v>5.2952000000000001E-4</v>
      </c>
    </row>
    <row r="1373" spans="1:4" x14ac:dyDescent="0.2">
      <c r="A1373">
        <v>2022</v>
      </c>
      <c r="B1373" s="2" t="s">
        <v>301</v>
      </c>
      <c r="C1373" s="1">
        <v>175558</v>
      </c>
      <c r="D1373">
        <v>3.7285559999999999E-4</v>
      </c>
    </row>
    <row r="1374" spans="1:4" x14ac:dyDescent="0.2">
      <c r="A1374">
        <v>2022</v>
      </c>
      <c r="B1374" s="2" t="s">
        <v>91</v>
      </c>
      <c r="C1374" s="1">
        <v>3417173</v>
      </c>
      <c r="D1374">
        <v>7.2574987000000001E-3</v>
      </c>
    </row>
    <row r="1375" spans="1:4" x14ac:dyDescent="0.2">
      <c r="A1375">
        <v>2022</v>
      </c>
      <c r="B1375" s="2" t="s">
        <v>302</v>
      </c>
      <c r="C1375" s="1">
        <v>442165</v>
      </c>
      <c r="D1375">
        <v>9.3908380000000001E-4</v>
      </c>
    </row>
    <row r="1376" spans="1:4" x14ac:dyDescent="0.2">
      <c r="A1376">
        <v>2022</v>
      </c>
      <c r="B1376" s="2" t="s">
        <v>401</v>
      </c>
      <c r="C1376" s="1">
        <v>70704</v>
      </c>
      <c r="D1376">
        <v>1.5016340000000001E-4</v>
      </c>
    </row>
    <row r="1377" spans="1:4" x14ac:dyDescent="0.2">
      <c r="A1377">
        <v>2022</v>
      </c>
      <c r="B1377" s="2" t="s">
        <v>303</v>
      </c>
      <c r="C1377" s="1">
        <v>153127</v>
      </c>
      <c r="D1377">
        <v>3.2521589999999999E-4</v>
      </c>
    </row>
    <row r="1378" spans="1:4" x14ac:dyDescent="0.2">
      <c r="A1378">
        <v>2022</v>
      </c>
      <c r="B1378" s="2" t="s">
        <v>160</v>
      </c>
      <c r="C1378" s="1">
        <v>186216</v>
      </c>
      <c r="D1378">
        <v>3.9549140000000001E-4</v>
      </c>
    </row>
    <row r="1379" spans="1:4" x14ac:dyDescent="0.2">
      <c r="A1379">
        <v>2022</v>
      </c>
      <c r="B1379" s="2" t="s">
        <v>161</v>
      </c>
      <c r="C1379" s="1">
        <v>610688</v>
      </c>
      <c r="D1379">
        <v>1.2969982E-3</v>
      </c>
    </row>
    <row r="1380" spans="1:4" x14ac:dyDescent="0.2">
      <c r="A1380">
        <v>2022</v>
      </c>
      <c r="B1380" s="2" t="s">
        <v>304</v>
      </c>
      <c r="C1380" s="1">
        <v>173921</v>
      </c>
      <c r="D1380">
        <v>3.6937880000000001E-4</v>
      </c>
    </row>
    <row r="1381" spans="1:4" x14ac:dyDescent="0.2">
      <c r="A1381">
        <v>2022</v>
      </c>
      <c r="B1381" s="2" t="s">
        <v>305</v>
      </c>
      <c r="C1381" s="1">
        <v>465329</v>
      </c>
      <c r="D1381">
        <v>9.882802999999999E-4</v>
      </c>
    </row>
    <row r="1382" spans="1:4" x14ac:dyDescent="0.2">
      <c r="A1382">
        <v>2022</v>
      </c>
      <c r="B1382" s="2" t="s">
        <v>162</v>
      </c>
      <c r="C1382" s="1">
        <v>201059</v>
      </c>
      <c r="D1382">
        <v>4.2701540000000002E-4</v>
      </c>
    </row>
    <row r="1383" spans="1:4" x14ac:dyDescent="0.2">
      <c r="A1383">
        <v>2022</v>
      </c>
      <c r="B1383" s="2" t="s">
        <v>306</v>
      </c>
      <c r="C1383" s="1">
        <v>1203011</v>
      </c>
      <c r="D1383">
        <v>2.5549923E-3</v>
      </c>
    </row>
    <row r="1384" spans="1:4" x14ac:dyDescent="0.2">
      <c r="A1384">
        <v>2022</v>
      </c>
      <c r="B1384" s="2" t="s">
        <v>307</v>
      </c>
      <c r="C1384" s="1">
        <v>360975</v>
      </c>
      <c r="D1384">
        <v>7.6665000000000001E-4</v>
      </c>
    </row>
    <row r="1385" spans="1:4" x14ac:dyDescent="0.2">
      <c r="A1385">
        <v>2022</v>
      </c>
      <c r="B1385" s="2" t="s">
        <v>308</v>
      </c>
      <c r="C1385" s="1">
        <v>1160140</v>
      </c>
      <c r="D1385">
        <v>2.4639415E-3</v>
      </c>
    </row>
    <row r="1386" spans="1:4" x14ac:dyDescent="0.2">
      <c r="A1386">
        <v>2022</v>
      </c>
      <c r="B1386" s="2" t="s">
        <v>309</v>
      </c>
      <c r="C1386" s="1">
        <v>570882</v>
      </c>
      <c r="D1386">
        <v>1.2124569999999999E-3</v>
      </c>
    </row>
    <row r="1387" spans="1:4" x14ac:dyDescent="0.2">
      <c r="A1387">
        <v>2022</v>
      </c>
      <c r="B1387" s="2" t="s">
        <v>310</v>
      </c>
      <c r="C1387" s="1">
        <v>121258</v>
      </c>
      <c r="D1387">
        <v>2.5753149999999998E-4</v>
      </c>
    </row>
    <row r="1388" spans="1:4" x14ac:dyDescent="0.2">
      <c r="A1388">
        <v>2022</v>
      </c>
      <c r="B1388" s="2" t="s">
        <v>402</v>
      </c>
      <c r="C1388" s="1">
        <v>1371939</v>
      </c>
      <c r="D1388">
        <v>2.9137668999999998E-3</v>
      </c>
    </row>
    <row r="1389" spans="1:4" x14ac:dyDescent="0.2">
      <c r="A1389">
        <v>2022</v>
      </c>
      <c r="B1389" s="2" t="s">
        <v>311</v>
      </c>
      <c r="C1389" s="1">
        <v>680486</v>
      </c>
      <c r="D1389">
        <v>1.4452374E-3</v>
      </c>
    </row>
    <row r="1390" spans="1:4" x14ac:dyDescent="0.2">
      <c r="A1390">
        <v>2022</v>
      </c>
      <c r="B1390" s="2" t="s">
        <v>163</v>
      </c>
      <c r="C1390" s="1">
        <v>265614</v>
      </c>
      <c r="D1390">
        <v>5.6411929999999996E-4</v>
      </c>
    </row>
    <row r="1391" spans="1:4" x14ac:dyDescent="0.2">
      <c r="A1391">
        <v>2022</v>
      </c>
      <c r="B1391" s="2" t="s">
        <v>312</v>
      </c>
      <c r="C1391" s="1">
        <v>865119</v>
      </c>
      <c r="D1391">
        <v>1.8373667E-3</v>
      </c>
    </row>
    <row r="1392" spans="1:4" x14ac:dyDescent="0.2">
      <c r="A1392">
        <v>2022</v>
      </c>
      <c r="B1392" s="2" t="s">
        <v>313</v>
      </c>
      <c r="C1392" s="1">
        <v>60104</v>
      </c>
      <c r="D1392">
        <v>1.2765079999999999E-4</v>
      </c>
    </row>
    <row r="1393" spans="1:4" x14ac:dyDescent="0.2">
      <c r="A1393">
        <v>2022</v>
      </c>
      <c r="B1393" s="2" t="s">
        <v>164</v>
      </c>
      <c r="C1393" s="1">
        <v>81089</v>
      </c>
      <c r="D1393">
        <v>1.7221930000000001E-4</v>
      </c>
    </row>
    <row r="1394" spans="1:4" x14ac:dyDescent="0.2">
      <c r="A1394">
        <v>2022</v>
      </c>
      <c r="B1394" s="2" t="s">
        <v>165</v>
      </c>
      <c r="C1394" s="1">
        <v>204201</v>
      </c>
      <c r="D1394">
        <v>4.3368850000000001E-4</v>
      </c>
    </row>
    <row r="1395" spans="1:4" x14ac:dyDescent="0.2">
      <c r="A1395">
        <v>2022</v>
      </c>
      <c r="B1395" s="2" t="s">
        <v>314</v>
      </c>
      <c r="C1395" s="1">
        <v>1323327</v>
      </c>
      <c r="D1395">
        <v>2.8105232000000002E-3</v>
      </c>
    </row>
    <row r="1396" spans="1:4" x14ac:dyDescent="0.2">
      <c r="A1396">
        <v>2022</v>
      </c>
      <c r="B1396" s="2" t="s">
        <v>206</v>
      </c>
      <c r="C1396" s="1">
        <v>213383</v>
      </c>
      <c r="D1396">
        <v>4.5318950000000001E-4</v>
      </c>
    </row>
    <row r="1397" spans="1:4" x14ac:dyDescent="0.2">
      <c r="A1397">
        <v>2022</v>
      </c>
      <c r="B1397" s="2" t="s">
        <v>166</v>
      </c>
      <c r="C1397" s="1">
        <v>127793</v>
      </c>
      <c r="D1397">
        <v>2.7141079999999998E-4</v>
      </c>
    </row>
    <row r="1398" spans="1:4" x14ac:dyDescent="0.2">
      <c r="A1398">
        <v>2022</v>
      </c>
      <c r="B1398" s="2" t="s">
        <v>167</v>
      </c>
      <c r="C1398" s="1">
        <v>225186</v>
      </c>
      <c r="D1398">
        <v>4.7825709999999998E-4</v>
      </c>
    </row>
    <row r="1399" spans="1:4" x14ac:dyDescent="0.2">
      <c r="A1399">
        <v>2022</v>
      </c>
      <c r="B1399" s="2" t="s">
        <v>315</v>
      </c>
      <c r="C1399" s="1">
        <v>9232</v>
      </c>
      <c r="D1399">
        <v>1.9607200000000001E-5</v>
      </c>
    </row>
    <row r="1400" spans="1:4" x14ac:dyDescent="0.2">
      <c r="A1400">
        <v>2022</v>
      </c>
      <c r="B1400" s="2" t="s">
        <v>379</v>
      </c>
      <c r="C1400" s="1">
        <v>279627</v>
      </c>
      <c r="D1400">
        <v>5.9388050000000003E-4</v>
      </c>
    </row>
    <row r="1401" spans="1:4" x14ac:dyDescent="0.2">
      <c r="A1401">
        <v>2022</v>
      </c>
      <c r="B1401" s="2" t="s">
        <v>107</v>
      </c>
      <c r="C1401" s="1">
        <v>248190</v>
      </c>
      <c r="D1401">
        <v>5.2711369999999997E-4</v>
      </c>
    </row>
    <row r="1402" spans="1:4" x14ac:dyDescent="0.2">
      <c r="A1402">
        <v>2022</v>
      </c>
      <c r="B1402" s="2" t="s">
        <v>316</v>
      </c>
      <c r="C1402" s="1">
        <v>5397784</v>
      </c>
      <c r="D1402">
        <v>1.1463982100000001E-2</v>
      </c>
    </row>
    <row r="1403" spans="1:4" x14ac:dyDescent="0.2">
      <c r="A1403">
        <v>2022</v>
      </c>
      <c r="B1403" s="2" t="s">
        <v>381</v>
      </c>
      <c r="C1403" s="1">
        <v>35590</v>
      </c>
      <c r="D1403">
        <v>7.5587199999999993E-5</v>
      </c>
    </row>
    <row r="1404" spans="1:4" x14ac:dyDescent="0.2">
      <c r="A1404">
        <v>2022</v>
      </c>
      <c r="B1404" s="2" t="s">
        <v>317</v>
      </c>
      <c r="C1404" s="1">
        <v>385547</v>
      </c>
      <c r="D1404">
        <v>8.1883680000000003E-4</v>
      </c>
    </row>
    <row r="1405" spans="1:4" x14ac:dyDescent="0.2">
      <c r="A1405">
        <v>2022</v>
      </c>
      <c r="B1405" s="2" t="s">
        <v>318</v>
      </c>
      <c r="C1405" s="1">
        <v>5379910</v>
      </c>
      <c r="D1405">
        <v>1.1426020800000001E-2</v>
      </c>
    </row>
    <row r="1406" spans="1:4" x14ac:dyDescent="0.2">
      <c r="A1406">
        <v>2022</v>
      </c>
      <c r="B1406" s="2" t="s">
        <v>169</v>
      </c>
      <c r="C1406" s="1">
        <v>185005</v>
      </c>
      <c r="D1406">
        <v>3.9291940000000001E-4</v>
      </c>
    </row>
    <row r="1407" spans="1:4" x14ac:dyDescent="0.2">
      <c r="A1407">
        <v>2022</v>
      </c>
      <c r="B1407" s="2" t="s">
        <v>170</v>
      </c>
      <c r="C1407" s="1">
        <v>389187</v>
      </c>
      <c r="D1407">
        <v>8.2656750000000001E-4</v>
      </c>
    </row>
    <row r="1408" spans="1:4" x14ac:dyDescent="0.2">
      <c r="A1408">
        <v>2022</v>
      </c>
      <c r="B1408" s="2" t="s">
        <v>319</v>
      </c>
      <c r="C1408" s="1">
        <v>450004</v>
      </c>
      <c r="D1408">
        <v>9.557325E-4</v>
      </c>
    </row>
    <row r="1409" spans="1:4" x14ac:dyDescent="0.2">
      <c r="A1409">
        <v>2022</v>
      </c>
      <c r="B1409" s="2" t="s">
        <v>320</v>
      </c>
      <c r="C1409" s="1">
        <v>899104</v>
      </c>
      <c r="D1409">
        <v>1.9095450999999999E-3</v>
      </c>
    </row>
    <row r="1410" spans="1:4" x14ac:dyDescent="0.2">
      <c r="A1410">
        <v>2022</v>
      </c>
      <c r="B1410" s="2" t="s">
        <v>321</v>
      </c>
      <c r="C1410" s="1">
        <v>697428</v>
      </c>
      <c r="D1410">
        <v>1.4812193999999999E-3</v>
      </c>
    </row>
    <row r="1411" spans="1:4" x14ac:dyDescent="0.2">
      <c r="A1411">
        <v>2022</v>
      </c>
      <c r="B1411" s="2" t="s">
        <v>114</v>
      </c>
      <c r="C1411" s="1">
        <v>22590856</v>
      </c>
      <c r="D1411">
        <v>4.7979165400000003E-2</v>
      </c>
    </row>
    <row r="1412" spans="1:4" x14ac:dyDescent="0.2">
      <c r="A1412">
        <v>2022</v>
      </c>
      <c r="B1412" s="2" t="s">
        <v>322</v>
      </c>
      <c r="C1412" s="1">
        <v>842787</v>
      </c>
      <c r="D1412">
        <v>1.7899373E-3</v>
      </c>
    </row>
    <row r="1413" spans="1:4" x14ac:dyDescent="0.2">
      <c r="A1413">
        <v>2022</v>
      </c>
      <c r="B1413" s="2" t="s">
        <v>323</v>
      </c>
      <c r="C1413" s="1">
        <v>437474</v>
      </c>
      <c r="D1413">
        <v>9.2912089999999995E-4</v>
      </c>
    </row>
    <row r="1414" spans="1:4" x14ac:dyDescent="0.2">
      <c r="A1414">
        <v>2022</v>
      </c>
      <c r="B1414" s="2" t="s">
        <v>324</v>
      </c>
      <c r="C1414" s="1">
        <v>446589</v>
      </c>
      <c r="D1414">
        <v>9.4847970000000003E-4</v>
      </c>
    </row>
    <row r="1415" spans="1:4" x14ac:dyDescent="0.2">
      <c r="A1415">
        <v>2022</v>
      </c>
      <c r="B1415" s="2" t="s">
        <v>171</v>
      </c>
      <c r="C1415" s="1">
        <v>319312</v>
      </c>
      <c r="D1415">
        <v>6.7816480000000004E-4</v>
      </c>
    </row>
    <row r="1416" spans="1:4" x14ac:dyDescent="0.2">
      <c r="A1416">
        <v>2022</v>
      </c>
      <c r="B1416" s="2" t="s">
        <v>325</v>
      </c>
      <c r="C1416" s="1">
        <v>243884</v>
      </c>
      <c r="D1416">
        <v>5.1796850000000001E-4</v>
      </c>
    </row>
    <row r="1417" spans="1:4" x14ac:dyDescent="0.2">
      <c r="A1417">
        <v>2022</v>
      </c>
      <c r="B1417" s="2" t="s">
        <v>326</v>
      </c>
      <c r="C1417" s="1">
        <v>321688</v>
      </c>
      <c r="D1417">
        <v>6.8321099999999997E-4</v>
      </c>
    </row>
    <row r="1418" spans="1:4" x14ac:dyDescent="0.2">
      <c r="A1418">
        <v>2022</v>
      </c>
      <c r="B1418" s="2" t="s">
        <v>173</v>
      </c>
      <c r="C1418" s="1">
        <v>301192</v>
      </c>
      <c r="D1418">
        <v>6.3968100000000002E-4</v>
      </c>
    </row>
    <row r="1419" spans="1:4" x14ac:dyDescent="0.2">
      <c r="A1419">
        <v>2023</v>
      </c>
      <c r="B1419" s="2" t="s">
        <v>209</v>
      </c>
      <c r="C1419" s="1">
        <v>525747</v>
      </c>
      <c r="D1419">
        <v>1.0355906000000001E-3</v>
      </c>
    </row>
    <row r="1420" spans="1:4" x14ac:dyDescent="0.2">
      <c r="A1420">
        <v>2023</v>
      </c>
      <c r="B1420" s="2" t="s">
        <v>189</v>
      </c>
      <c r="C1420" s="1">
        <v>206457</v>
      </c>
      <c r="D1420">
        <v>4.0666880000000001E-4</v>
      </c>
    </row>
    <row r="1421" spans="1:4" x14ac:dyDescent="0.2">
      <c r="A1421">
        <v>2023</v>
      </c>
      <c r="B1421" s="2" t="s">
        <v>398</v>
      </c>
      <c r="C1421" s="1">
        <v>164434</v>
      </c>
      <c r="D1421">
        <v>3.2389400000000003E-4</v>
      </c>
    </row>
    <row r="1422" spans="1:4" x14ac:dyDescent="0.2">
      <c r="A1422">
        <v>2023</v>
      </c>
      <c r="B1422" s="2" t="s">
        <v>210</v>
      </c>
      <c r="C1422" s="1">
        <v>1100071</v>
      </c>
      <c r="D1422">
        <v>2.1668656999999998E-3</v>
      </c>
    </row>
    <row r="1423" spans="1:4" x14ac:dyDescent="0.2">
      <c r="A1423">
        <v>2023</v>
      </c>
      <c r="B1423" s="2" t="s">
        <v>121</v>
      </c>
      <c r="C1423" s="1">
        <v>229138</v>
      </c>
      <c r="D1423">
        <v>4.5134469999999997E-4</v>
      </c>
    </row>
    <row r="1424" spans="1:4" x14ac:dyDescent="0.2">
      <c r="A1424">
        <v>2023</v>
      </c>
      <c r="B1424" s="2" t="s">
        <v>122</v>
      </c>
      <c r="C1424" s="1">
        <v>29503</v>
      </c>
      <c r="D1424">
        <v>5.8113599999999999E-5</v>
      </c>
    </row>
    <row r="1425" spans="1:4" x14ac:dyDescent="0.2">
      <c r="A1425">
        <v>2023</v>
      </c>
      <c r="B1425" s="2" t="s">
        <v>123</v>
      </c>
      <c r="C1425" s="1">
        <v>335667</v>
      </c>
      <c r="D1425">
        <v>6.6118030000000003E-4</v>
      </c>
    </row>
    <row r="1426" spans="1:4" x14ac:dyDescent="0.2">
      <c r="A1426">
        <v>2023</v>
      </c>
      <c r="B1426" s="2" t="s">
        <v>211</v>
      </c>
      <c r="C1426" s="1">
        <v>21741</v>
      </c>
      <c r="D1426">
        <v>4.2824400000000003E-5</v>
      </c>
    </row>
    <row r="1427" spans="1:4" x14ac:dyDescent="0.2">
      <c r="A1427">
        <v>2023</v>
      </c>
      <c r="B1427" s="2" t="s">
        <v>212</v>
      </c>
      <c r="C1427" s="1">
        <v>26545</v>
      </c>
      <c r="D1427">
        <v>5.2287000000000003E-5</v>
      </c>
    </row>
    <row r="1428" spans="1:4" x14ac:dyDescent="0.2">
      <c r="A1428">
        <v>2023</v>
      </c>
      <c r="B1428" s="2" t="s">
        <v>7</v>
      </c>
      <c r="C1428" s="1">
        <v>286143</v>
      </c>
      <c r="D1428">
        <v>5.636304E-4</v>
      </c>
    </row>
    <row r="1429" spans="1:4" x14ac:dyDescent="0.2">
      <c r="A1429">
        <v>2023</v>
      </c>
      <c r="B1429" s="2" t="s">
        <v>213</v>
      </c>
      <c r="C1429" s="1">
        <v>750634</v>
      </c>
      <c r="D1429">
        <v>1.4785619000000001E-3</v>
      </c>
    </row>
    <row r="1430" spans="1:4" x14ac:dyDescent="0.2">
      <c r="A1430">
        <v>2023</v>
      </c>
      <c r="B1430" s="2" t="s">
        <v>124</v>
      </c>
      <c r="C1430" s="1">
        <v>96489</v>
      </c>
      <c r="D1430">
        <v>1.9005930000000001E-4</v>
      </c>
    </row>
    <row r="1431" spans="1:4" x14ac:dyDescent="0.2">
      <c r="A1431">
        <v>2023</v>
      </c>
      <c r="B1431" s="2" t="s">
        <v>214</v>
      </c>
      <c r="C1431" s="1">
        <v>196184</v>
      </c>
      <c r="D1431">
        <v>3.8643359999999998E-4</v>
      </c>
    </row>
    <row r="1432" spans="1:4" x14ac:dyDescent="0.2">
      <c r="A1432">
        <v>2023</v>
      </c>
      <c r="B1432" s="2" t="s">
        <v>176</v>
      </c>
      <c r="C1432" s="1">
        <v>2423440</v>
      </c>
      <c r="D1432">
        <v>4.7735727999999996E-3</v>
      </c>
    </row>
    <row r="1433" spans="1:4" x14ac:dyDescent="0.2">
      <c r="A1433">
        <v>2023</v>
      </c>
      <c r="B1433" s="2" t="s">
        <v>216</v>
      </c>
      <c r="C1433" s="1">
        <v>4464870</v>
      </c>
      <c r="D1433">
        <v>8.7946811E-3</v>
      </c>
    </row>
    <row r="1434" spans="1:4" x14ac:dyDescent="0.2">
      <c r="A1434">
        <v>2023</v>
      </c>
      <c r="B1434" s="2" t="s">
        <v>217</v>
      </c>
      <c r="C1434" s="1">
        <v>125959</v>
      </c>
      <c r="D1434">
        <v>2.4810780000000002E-4</v>
      </c>
    </row>
    <row r="1435" spans="1:4" x14ac:dyDescent="0.2">
      <c r="A1435">
        <v>2023</v>
      </c>
      <c r="B1435" s="2" t="s">
        <v>177</v>
      </c>
      <c r="C1435" s="1">
        <v>21660240</v>
      </c>
      <c r="D1435">
        <v>4.2665274199999999E-2</v>
      </c>
    </row>
    <row r="1436" spans="1:4" x14ac:dyDescent="0.2">
      <c r="A1436">
        <v>2023</v>
      </c>
      <c r="B1436" s="2" t="s">
        <v>13</v>
      </c>
      <c r="C1436" s="1">
        <v>7853067</v>
      </c>
      <c r="D1436">
        <v>1.5468584699999999E-2</v>
      </c>
    </row>
    <row r="1437" spans="1:4" x14ac:dyDescent="0.2">
      <c r="A1437">
        <v>2023</v>
      </c>
      <c r="B1437" s="2" t="s">
        <v>219</v>
      </c>
      <c r="C1437" s="1">
        <v>980604</v>
      </c>
      <c r="D1437">
        <v>1.9315455E-3</v>
      </c>
    </row>
    <row r="1438" spans="1:4" x14ac:dyDescent="0.2">
      <c r="A1438">
        <v>2023</v>
      </c>
      <c r="B1438" s="2" t="s">
        <v>220</v>
      </c>
      <c r="C1438" s="1">
        <v>262558</v>
      </c>
      <c r="D1438">
        <v>5.1717379999999995E-4</v>
      </c>
    </row>
    <row r="1439" spans="1:4" x14ac:dyDescent="0.2">
      <c r="A1439">
        <v>2023</v>
      </c>
      <c r="B1439" s="2" t="s">
        <v>17</v>
      </c>
      <c r="C1439" s="1">
        <v>772890</v>
      </c>
      <c r="D1439">
        <v>1.5224006999999999E-3</v>
      </c>
    </row>
    <row r="1440" spans="1:4" x14ac:dyDescent="0.2">
      <c r="A1440">
        <v>2023</v>
      </c>
      <c r="B1440" s="2" t="s">
        <v>221</v>
      </c>
      <c r="C1440" s="1">
        <v>285884</v>
      </c>
      <c r="D1440">
        <v>5.6312020000000003E-4</v>
      </c>
    </row>
    <row r="1441" spans="1:4" x14ac:dyDescent="0.2">
      <c r="A1441">
        <v>2023</v>
      </c>
      <c r="B1441" s="2" t="s">
        <v>222</v>
      </c>
      <c r="C1441" s="1">
        <v>3577989</v>
      </c>
      <c r="D1441">
        <v>7.0477465000000003E-3</v>
      </c>
    </row>
    <row r="1442" spans="1:4" x14ac:dyDescent="0.2">
      <c r="A1442">
        <v>2023</v>
      </c>
      <c r="B1442" s="2" t="s">
        <v>223</v>
      </c>
      <c r="C1442" s="1">
        <v>172739</v>
      </c>
      <c r="D1442">
        <v>3.4025279999999998E-4</v>
      </c>
    </row>
    <row r="1443" spans="1:4" x14ac:dyDescent="0.2">
      <c r="A1443">
        <v>2023</v>
      </c>
      <c r="B1443" s="2" t="s">
        <v>224</v>
      </c>
      <c r="C1443" s="1">
        <v>149342</v>
      </c>
      <c r="D1443">
        <v>2.9416650000000001E-4</v>
      </c>
    </row>
    <row r="1444" spans="1:4" x14ac:dyDescent="0.2">
      <c r="A1444">
        <v>2023</v>
      </c>
      <c r="B1444" s="2" t="s">
        <v>225</v>
      </c>
      <c r="C1444" s="1">
        <v>418921</v>
      </c>
      <c r="D1444">
        <v>8.2516999999999996E-4</v>
      </c>
    </row>
    <row r="1445" spans="1:4" x14ac:dyDescent="0.2">
      <c r="A1445">
        <v>2023</v>
      </c>
      <c r="B1445" s="2" t="s">
        <v>399</v>
      </c>
      <c r="C1445" s="1">
        <v>62231</v>
      </c>
      <c r="D1445">
        <v>1.2257960000000001E-4</v>
      </c>
    </row>
    <row r="1446" spans="1:4" x14ac:dyDescent="0.2">
      <c r="A1446">
        <v>2023</v>
      </c>
      <c r="B1446" s="2" t="s">
        <v>226</v>
      </c>
      <c r="C1446" s="1">
        <v>227189</v>
      </c>
      <c r="D1446">
        <v>4.4750569999999997E-4</v>
      </c>
    </row>
    <row r="1447" spans="1:4" x14ac:dyDescent="0.2">
      <c r="A1447">
        <v>2023</v>
      </c>
      <c r="B1447" s="2" t="s">
        <v>227</v>
      </c>
      <c r="C1447" s="1">
        <v>3317727</v>
      </c>
      <c r="D1447">
        <v>6.5350953E-3</v>
      </c>
    </row>
    <row r="1448" spans="1:4" x14ac:dyDescent="0.2">
      <c r="A1448">
        <v>2023</v>
      </c>
      <c r="B1448" s="2" t="s">
        <v>228</v>
      </c>
      <c r="C1448" s="1">
        <v>221801</v>
      </c>
      <c r="D1448">
        <v>4.368927E-4</v>
      </c>
    </row>
    <row r="1449" spans="1:4" x14ac:dyDescent="0.2">
      <c r="A1449">
        <v>2023</v>
      </c>
      <c r="B1449" s="2" t="s">
        <v>229</v>
      </c>
      <c r="C1449" s="1">
        <v>281571</v>
      </c>
      <c r="D1449">
        <v>5.546247E-4</v>
      </c>
    </row>
    <row r="1450" spans="1:4" x14ac:dyDescent="0.2">
      <c r="A1450">
        <v>2023</v>
      </c>
      <c r="B1450" s="2" t="s">
        <v>126</v>
      </c>
      <c r="C1450" s="1">
        <v>122029</v>
      </c>
      <c r="D1450">
        <v>2.4036669999999999E-4</v>
      </c>
    </row>
    <row r="1451" spans="1:4" x14ac:dyDescent="0.2">
      <c r="A1451">
        <v>2023</v>
      </c>
      <c r="B1451" s="2" t="s">
        <v>230</v>
      </c>
      <c r="C1451" s="1">
        <v>147524</v>
      </c>
      <c r="D1451">
        <v>2.905855E-4</v>
      </c>
    </row>
    <row r="1452" spans="1:4" x14ac:dyDescent="0.2">
      <c r="A1452">
        <v>2023</v>
      </c>
      <c r="B1452" s="2" t="s">
        <v>231</v>
      </c>
      <c r="C1452" s="1">
        <v>949366</v>
      </c>
      <c r="D1452">
        <v>1.8700144000000001E-3</v>
      </c>
    </row>
    <row r="1453" spans="1:4" x14ac:dyDescent="0.2">
      <c r="A1453">
        <v>2023</v>
      </c>
      <c r="B1453" s="2" t="s">
        <v>127</v>
      </c>
      <c r="C1453" s="1">
        <v>366805</v>
      </c>
      <c r="D1453">
        <v>7.2251439999999998E-4</v>
      </c>
    </row>
    <row r="1454" spans="1:4" x14ac:dyDescent="0.2">
      <c r="A1454">
        <v>2023</v>
      </c>
      <c r="B1454" s="2" t="s">
        <v>232</v>
      </c>
      <c r="C1454" s="1">
        <v>7250656</v>
      </c>
      <c r="D1454">
        <v>1.42819852E-2</v>
      </c>
    </row>
    <row r="1455" spans="1:4" x14ac:dyDescent="0.2">
      <c r="A1455">
        <v>2023</v>
      </c>
      <c r="B1455" s="2" t="s">
        <v>233</v>
      </c>
      <c r="C1455" s="1">
        <v>483809</v>
      </c>
      <c r="D1455">
        <v>9.5298309999999995E-4</v>
      </c>
    </row>
    <row r="1456" spans="1:4" x14ac:dyDescent="0.2">
      <c r="A1456">
        <v>2023</v>
      </c>
      <c r="B1456" s="2" t="s">
        <v>234</v>
      </c>
      <c r="C1456" s="1">
        <v>2203084</v>
      </c>
      <c r="D1456">
        <v>4.3395263999999999E-3</v>
      </c>
    </row>
    <row r="1457" spans="1:4" x14ac:dyDescent="0.2">
      <c r="A1457">
        <v>2023</v>
      </c>
      <c r="B1457" s="2" t="s">
        <v>179</v>
      </c>
      <c r="C1457" s="1">
        <v>1175546</v>
      </c>
      <c r="D1457">
        <v>2.3155326000000001E-3</v>
      </c>
    </row>
    <row r="1458" spans="1:4" x14ac:dyDescent="0.2">
      <c r="A1458">
        <v>2023</v>
      </c>
      <c r="B1458" s="2" t="s">
        <v>128</v>
      </c>
      <c r="C1458" s="1">
        <v>579527</v>
      </c>
      <c r="D1458">
        <v>1.1415237E-3</v>
      </c>
    </row>
    <row r="1459" spans="1:4" x14ac:dyDescent="0.2">
      <c r="A1459">
        <v>2023</v>
      </c>
      <c r="B1459" s="2" t="s">
        <v>235</v>
      </c>
      <c r="C1459" s="1">
        <v>297700</v>
      </c>
      <c r="D1459">
        <v>5.8639480000000001E-4</v>
      </c>
    </row>
    <row r="1460" spans="1:4" x14ac:dyDescent="0.2">
      <c r="A1460">
        <v>2023</v>
      </c>
      <c r="B1460" s="2" t="s">
        <v>236</v>
      </c>
      <c r="C1460" s="1">
        <v>201335</v>
      </c>
      <c r="D1460">
        <v>3.9657979999999999E-4</v>
      </c>
    </row>
    <row r="1461" spans="1:4" x14ac:dyDescent="0.2">
      <c r="A1461">
        <v>2023</v>
      </c>
      <c r="B1461" s="2" t="s">
        <v>237</v>
      </c>
      <c r="C1461" s="1">
        <v>127770</v>
      </c>
      <c r="D1461">
        <v>2.5167510000000001E-4</v>
      </c>
    </row>
    <row r="1462" spans="1:4" x14ac:dyDescent="0.2">
      <c r="A1462">
        <v>2023</v>
      </c>
      <c r="B1462" s="2" t="s">
        <v>238</v>
      </c>
      <c r="C1462" s="1">
        <v>160306</v>
      </c>
      <c r="D1462">
        <v>3.1576290000000001E-4</v>
      </c>
    </row>
    <row r="1463" spans="1:4" x14ac:dyDescent="0.2">
      <c r="A1463">
        <v>2023</v>
      </c>
      <c r="B1463" s="2" t="s">
        <v>386</v>
      </c>
      <c r="C1463" s="1">
        <v>128436</v>
      </c>
      <c r="D1463">
        <v>2.529869E-4</v>
      </c>
    </row>
    <row r="1464" spans="1:4" x14ac:dyDescent="0.2">
      <c r="A1464">
        <v>2023</v>
      </c>
      <c r="B1464" s="2" t="s">
        <v>403</v>
      </c>
      <c r="C1464" s="1">
        <v>209234</v>
      </c>
      <c r="D1464">
        <v>4.1213879999999999E-4</v>
      </c>
    </row>
    <row r="1465" spans="1:4" x14ac:dyDescent="0.2">
      <c r="A1465">
        <v>2023</v>
      </c>
      <c r="B1465" s="2" t="s">
        <v>404</v>
      </c>
      <c r="C1465" s="1">
        <v>160667</v>
      </c>
      <c r="D1465">
        <v>3.1647389999999999E-4</v>
      </c>
    </row>
    <row r="1466" spans="1:4" x14ac:dyDescent="0.2">
      <c r="A1466">
        <v>2023</v>
      </c>
      <c r="B1466" s="2" t="s">
        <v>339</v>
      </c>
      <c r="C1466" s="1">
        <v>465289</v>
      </c>
      <c r="D1466">
        <v>9.1650339999999996E-4</v>
      </c>
    </row>
    <row r="1467" spans="1:4" x14ac:dyDescent="0.2">
      <c r="A1467">
        <v>2023</v>
      </c>
      <c r="B1467" s="2" t="s">
        <v>239</v>
      </c>
      <c r="C1467" s="1">
        <v>1567588</v>
      </c>
      <c r="D1467">
        <v>3.0877576999999998E-3</v>
      </c>
    </row>
    <row r="1468" spans="1:4" x14ac:dyDescent="0.2">
      <c r="A1468">
        <v>2023</v>
      </c>
      <c r="B1468" s="2" t="s">
        <v>129</v>
      </c>
      <c r="C1468" s="1">
        <v>145994</v>
      </c>
      <c r="D1468">
        <v>2.8757179999999998E-4</v>
      </c>
    </row>
    <row r="1469" spans="1:4" x14ac:dyDescent="0.2">
      <c r="A1469">
        <v>2023</v>
      </c>
      <c r="B1469" s="2" t="s">
        <v>340</v>
      </c>
      <c r="C1469" s="1">
        <v>47931</v>
      </c>
      <c r="D1469">
        <v>9.4412099999999997E-5</v>
      </c>
    </row>
    <row r="1470" spans="1:4" x14ac:dyDescent="0.2">
      <c r="A1470">
        <v>2023</v>
      </c>
      <c r="B1470" s="2" t="s">
        <v>240</v>
      </c>
      <c r="C1470" s="1">
        <v>912116</v>
      </c>
      <c r="D1470">
        <v>1.7966411999999999E-3</v>
      </c>
    </row>
    <row r="1471" spans="1:4" x14ac:dyDescent="0.2">
      <c r="A1471">
        <v>2023</v>
      </c>
      <c r="B1471" s="2" t="s">
        <v>241</v>
      </c>
      <c r="C1471" s="1">
        <v>419259</v>
      </c>
      <c r="D1471">
        <v>8.2583570000000005E-4</v>
      </c>
    </row>
    <row r="1472" spans="1:4" x14ac:dyDescent="0.2">
      <c r="A1472">
        <v>2023</v>
      </c>
      <c r="B1472" s="2" t="s">
        <v>341</v>
      </c>
      <c r="C1472" s="1">
        <v>210315</v>
      </c>
      <c r="D1472">
        <v>4.1426810000000001E-4</v>
      </c>
    </row>
    <row r="1473" spans="1:4" x14ac:dyDescent="0.2">
      <c r="A1473">
        <v>2023</v>
      </c>
      <c r="B1473" s="2" t="s">
        <v>242</v>
      </c>
      <c r="C1473" s="1">
        <v>919917</v>
      </c>
      <c r="D1473">
        <v>1.8120072000000001E-3</v>
      </c>
    </row>
    <row r="1474" spans="1:4" x14ac:dyDescent="0.2">
      <c r="A1474">
        <v>2023</v>
      </c>
      <c r="B1474" s="2" t="s">
        <v>243</v>
      </c>
      <c r="C1474" s="1">
        <v>292853</v>
      </c>
      <c r="D1474">
        <v>5.7684740000000004E-4</v>
      </c>
    </row>
    <row r="1475" spans="1:4" x14ac:dyDescent="0.2">
      <c r="A1475">
        <v>2023</v>
      </c>
      <c r="B1475" s="2" t="s">
        <v>244</v>
      </c>
      <c r="C1475" s="1">
        <v>240576</v>
      </c>
      <c r="D1475">
        <v>4.738748E-4</v>
      </c>
    </row>
    <row r="1476" spans="1:4" x14ac:dyDescent="0.2">
      <c r="A1476">
        <v>2023</v>
      </c>
      <c r="B1476" s="2" t="s">
        <v>387</v>
      </c>
      <c r="C1476" s="1">
        <v>166463</v>
      </c>
      <c r="D1476">
        <v>3.2789059999999999E-4</v>
      </c>
    </row>
    <row r="1477" spans="1:4" x14ac:dyDescent="0.2">
      <c r="A1477">
        <v>2023</v>
      </c>
      <c r="B1477" s="2" t="s">
        <v>400</v>
      </c>
      <c r="C1477" s="1">
        <v>105499</v>
      </c>
      <c r="D1477">
        <v>2.0780669999999999E-4</v>
      </c>
    </row>
    <row r="1478" spans="1:4" x14ac:dyDescent="0.2">
      <c r="A1478">
        <v>2023</v>
      </c>
      <c r="B1478" s="2" t="s">
        <v>245</v>
      </c>
      <c r="C1478" s="1">
        <v>207863</v>
      </c>
      <c r="D1478">
        <v>4.0943830000000003E-4</v>
      </c>
    </row>
    <row r="1479" spans="1:4" x14ac:dyDescent="0.2">
      <c r="A1479">
        <v>2023</v>
      </c>
      <c r="B1479" s="2" t="s">
        <v>196</v>
      </c>
      <c r="C1479" s="1">
        <v>205594</v>
      </c>
      <c r="D1479">
        <v>4.049689E-4</v>
      </c>
    </row>
    <row r="1480" spans="1:4" x14ac:dyDescent="0.2">
      <c r="A1480">
        <v>2023</v>
      </c>
      <c r="B1480" s="2" t="s">
        <v>246</v>
      </c>
      <c r="C1480" s="1">
        <v>390486</v>
      </c>
      <c r="D1480">
        <v>7.691601E-4</v>
      </c>
    </row>
    <row r="1481" spans="1:4" x14ac:dyDescent="0.2">
      <c r="A1481">
        <v>2023</v>
      </c>
      <c r="B1481" s="2" t="s">
        <v>247</v>
      </c>
      <c r="C1481" s="1">
        <v>204505</v>
      </c>
      <c r="D1481">
        <v>4.028239E-4</v>
      </c>
    </row>
    <row r="1482" spans="1:4" x14ac:dyDescent="0.2">
      <c r="A1482">
        <v>2023</v>
      </c>
      <c r="B1482" s="2" t="s">
        <v>405</v>
      </c>
      <c r="C1482" s="1">
        <v>19915</v>
      </c>
      <c r="D1482">
        <v>3.9227599999999997E-5</v>
      </c>
    </row>
    <row r="1483" spans="1:4" x14ac:dyDescent="0.2">
      <c r="A1483">
        <v>2023</v>
      </c>
      <c r="B1483" s="2" t="s">
        <v>248</v>
      </c>
      <c r="C1483" s="1">
        <v>303382</v>
      </c>
      <c r="D1483">
        <v>5.9758689999999998E-4</v>
      </c>
    </row>
    <row r="1484" spans="1:4" x14ac:dyDescent="0.2">
      <c r="A1484">
        <v>2023</v>
      </c>
      <c r="B1484" s="2" t="s">
        <v>249</v>
      </c>
      <c r="C1484" s="1">
        <v>345338</v>
      </c>
      <c r="D1484">
        <v>6.8022980000000002E-4</v>
      </c>
    </row>
    <row r="1485" spans="1:4" x14ac:dyDescent="0.2">
      <c r="A1485">
        <v>2023</v>
      </c>
      <c r="B1485" s="2" t="s">
        <v>250</v>
      </c>
      <c r="C1485" s="1">
        <v>802761</v>
      </c>
      <c r="D1485">
        <v>1.5812390999999999E-3</v>
      </c>
    </row>
    <row r="1486" spans="1:4" x14ac:dyDescent="0.2">
      <c r="A1486">
        <v>2023</v>
      </c>
      <c r="B1486" s="2" t="s">
        <v>251</v>
      </c>
      <c r="C1486" s="1">
        <v>372392</v>
      </c>
      <c r="D1486">
        <v>7.335194E-4</v>
      </c>
    </row>
    <row r="1487" spans="1:4" x14ac:dyDescent="0.2">
      <c r="A1487">
        <v>2023</v>
      </c>
      <c r="B1487" s="2" t="s">
        <v>252</v>
      </c>
      <c r="C1487" s="1">
        <v>264340</v>
      </c>
      <c r="D1487">
        <v>5.2068389999999996E-4</v>
      </c>
    </row>
    <row r="1488" spans="1:4" x14ac:dyDescent="0.2">
      <c r="A1488">
        <v>2023</v>
      </c>
      <c r="B1488" s="2" t="s">
        <v>253</v>
      </c>
      <c r="C1488" s="1">
        <v>257665</v>
      </c>
      <c r="D1488">
        <v>5.0753579999999999E-4</v>
      </c>
    </row>
    <row r="1489" spans="1:4" x14ac:dyDescent="0.2">
      <c r="A1489">
        <v>2023</v>
      </c>
      <c r="B1489" s="2" t="s">
        <v>389</v>
      </c>
      <c r="C1489" s="1">
        <v>183475</v>
      </c>
      <c r="D1489">
        <v>3.614E-4</v>
      </c>
    </row>
    <row r="1490" spans="1:4" x14ac:dyDescent="0.2">
      <c r="A1490">
        <v>2023</v>
      </c>
      <c r="B1490" s="2" t="s">
        <v>130</v>
      </c>
      <c r="C1490" s="1">
        <v>116853</v>
      </c>
      <c r="D1490">
        <v>2.3017130000000001E-4</v>
      </c>
    </row>
    <row r="1491" spans="1:4" x14ac:dyDescent="0.2">
      <c r="A1491">
        <v>2023</v>
      </c>
      <c r="B1491" s="2" t="s">
        <v>131</v>
      </c>
      <c r="C1491" s="1">
        <v>243541</v>
      </c>
      <c r="D1491">
        <v>4.797151E-4</v>
      </c>
    </row>
    <row r="1492" spans="1:4" x14ac:dyDescent="0.2">
      <c r="A1492">
        <v>2023</v>
      </c>
      <c r="B1492" s="2" t="s">
        <v>254</v>
      </c>
      <c r="C1492" s="1">
        <v>196534</v>
      </c>
      <c r="D1492">
        <v>3.8712300000000001E-4</v>
      </c>
    </row>
    <row r="1493" spans="1:4" x14ac:dyDescent="0.2">
      <c r="A1493">
        <v>2023</v>
      </c>
      <c r="B1493" s="2" t="s">
        <v>255</v>
      </c>
      <c r="C1493" s="1">
        <v>653272</v>
      </c>
      <c r="D1493">
        <v>1.2867829999999999E-3</v>
      </c>
    </row>
    <row r="1494" spans="1:4" x14ac:dyDescent="0.2">
      <c r="A1494">
        <v>2023</v>
      </c>
      <c r="B1494" s="2" t="s">
        <v>256</v>
      </c>
      <c r="C1494" s="1">
        <v>228095</v>
      </c>
      <c r="D1494">
        <v>4.4929030000000002E-4</v>
      </c>
    </row>
    <row r="1495" spans="1:4" x14ac:dyDescent="0.2">
      <c r="A1495">
        <v>2023</v>
      </c>
      <c r="B1495" s="2" t="s">
        <v>132</v>
      </c>
      <c r="C1495" s="1">
        <v>397501</v>
      </c>
      <c r="D1495">
        <v>7.829779E-4</v>
      </c>
    </row>
    <row r="1496" spans="1:4" x14ac:dyDescent="0.2">
      <c r="A1496">
        <v>2023</v>
      </c>
      <c r="B1496" s="2" t="s">
        <v>257</v>
      </c>
      <c r="C1496" s="1">
        <v>53777</v>
      </c>
      <c r="D1496">
        <v>1.059273E-4</v>
      </c>
    </row>
    <row r="1497" spans="1:4" x14ac:dyDescent="0.2">
      <c r="A1497">
        <v>2023</v>
      </c>
      <c r="B1497" s="2" t="s">
        <v>135</v>
      </c>
      <c r="C1497" s="1">
        <v>737085</v>
      </c>
      <c r="D1497">
        <v>1.4518737E-3</v>
      </c>
    </row>
    <row r="1498" spans="1:4" x14ac:dyDescent="0.2">
      <c r="A1498">
        <v>2023</v>
      </c>
      <c r="B1498" s="2" t="s">
        <v>137</v>
      </c>
      <c r="C1498" s="1">
        <v>97961</v>
      </c>
      <c r="D1498">
        <v>1.9295879999999999E-4</v>
      </c>
    </row>
    <row r="1499" spans="1:4" x14ac:dyDescent="0.2">
      <c r="A1499">
        <v>2023</v>
      </c>
      <c r="B1499" s="2" t="s">
        <v>258</v>
      </c>
      <c r="C1499" s="1">
        <v>6852493</v>
      </c>
      <c r="D1499">
        <v>1.34977033E-2</v>
      </c>
    </row>
    <row r="1500" spans="1:4" x14ac:dyDescent="0.2">
      <c r="A1500">
        <v>2023</v>
      </c>
      <c r="B1500" s="2" t="s">
        <v>183</v>
      </c>
      <c r="C1500" s="1">
        <v>184437</v>
      </c>
      <c r="D1500">
        <v>3.6329489999999999E-4</v>
      </c>
    </row>
    <row r="1501" spans="1:4" x14ac:dyDescent="0.2">
      <c r="A1501">
        <v>2023</v>
      </c>
      <c r="B1501" s="2" t="s">
        <v>143</v>
      </c>
      <c r="C1501" s="1">
        <v>780170</v>
      </c>
      <c r="D1501">
        <v>1.5367403999999999E-3</v>
      </c>
    </row>
    <row r="1502" spans="1:4" x14ac:dyDescent="0.2">
      <c r="A1502">
        <v>2023</v>
      </c>
      <c r="B1502" s="2" t="s">
        <v>144</v>
      </c>
      <c r="C1502" s="1">
        <v>295620</v>
      </c>
      <c r="D1502">
        <v>5.8229769999999998E-4</v>
      </c>
    </row>
    <row r="1503" spans="1:4" x14ac:dyDescent="0.2">
      <c r="A1503">
        <v>2023</v>
      </c>
      <c r="B1503" s="2" t="s">
        <v>145</v>
      </c>
      <c r="C1503" s="1">
        <v>365269</v>
      </c>
      <c r="D1503">
        <v>7.1948889999999999E-4</v>
      </c>
    </row>
    <row r="1504" spans="1:4" x14ac:dyDescent="0.2">
      <c r="A1504">
        <v>2023</v>
      </c>
      <c r="B1504" s="2" t="s">
        <v>390</v>
      </c>
      <c r="C1504" s="1">
        <v>14266</v>
      </c>
      <c r="D1504">
        <v>2.81005E-5</v>
      </c>
    </row>
    <row r="1505" spans="1:4" x14ac:dyDescent="0.2">
      <c r="A1505">
        <v>2023</v>
      </c>
      <c r="B1505" s="2" t="s">
        <v>259</v>
      </c>
      <c r="C1505" s="1">
        <v>2254566</v>
      </c>
      <c r="D1505">
        <v>4.4409330999999998E-3</v>
      </c>
    </row>
    <row r="1506" spans="1:4" x14ac:dyDescent="0.2">
      <c r="A1506">
        <v>2023</v>
      </c>
      <c r="B1506" s="2" t="s">
        <v>260</v>
      </c>
      <c r="C1506" s="1">
        <v>336686</v>
      </c>
      <c r="D1506">
        <v>6.6318750000000004E-4</v>
      </c>
    </row>
    <row r="1507" spans="1:4" x14ac:dyDescent="0.2">
      <c r="A1507">
        <v>2023</v>
      </c>
      <c r="B1507" s="2" t="s">
        <v>51</v>
      </c>
      <c r="C1507" s="1">
        <v>857547</v>
      </c>
      <c r="D1507">
        <v>1.6891539E-3</v>
      </c>
    </row>
    <row r="1508" spans="1:4" x14ac:dyDescent="0.2">
      <c r="A1508">
        <v>2023</v>
      </c>
      <c r="B1508" s="2" t="s">
        <v>261</v>
      </c>
      <c r="C1508" s="1">
        <v>233046</v>
      </c>
      <c r="D1508">
        <v>4.5904250000000001E-4</v>
      </c>
    </row>
    <row r="1509" spans="1:4" x14ac:dyDescent="0.2">
      <c r="A1509">
        <v>2023</v>
      </c>
      <c r="B1509" s="2" t="s">
        <v>262</v>
      </c>
      <c r="C1509" s="1">
        <v>1182504</v>
      </c>
      <c r="D1509">
        <v>2.3292382E-3</v>
      </c>
    </row>
    <row r="1510" spans="1:4" x14ac:dyDescent="0.2">
      <c r="A1510">
        <v>2023</v>
      </c>
      <c r="B1510" s="2" t="s">
        <v>146</v>
      </c>
      <c r="C1510" s="1">
        <v>115659</v>
      </c>
      <c r="D1510">
        <v>2.2781940000000001E-4</v>
      </c>
    </row>
    <row r="1511" spans="1:4" x14ac:dyDescent="0.2">
      <c r="A1511">
        <v>2023</v>
      </c>
      <c r="B1511" s="2" t="s">
        <v>54</v>
      </c>
      <c r="C1511" s="1">
        <v>213215</v>
      </c>
      <c r="D1511">
        <v>4.199804E-4</v>
      </c>
    </row>
    <row r="1512" spans="1:4" x14ac:dyDescent="0.2">
      <c r="A1512">
        <v>2023</v>
      </c>
      <c r="B1512" s="2" t="s">
        <v>147</v>
      </c>
      <c r="C1512" s="1">
        <v>125523</v>
      </c>
      <c r="D1512">
        <v>2.47249E-4</v>
      </c>
    </row>
    <row r="1513" spans="1:4" x14ac:dyDescent="0.2">
      <c r="A1513">
        <v>2023</v>
      </c>
      <c r="B1513" s="2" t="s">
        <v>263</v>
      </c>
      <c r="C1513" s="1">
        <v>3577268</v>
      </c>
      <c r="D1513">
        <v>7.0463263999999996E-3</v>
      </c>
    </row>
    <row r="1514" spans="1:4" x14ac:dyDescent="0.2">
      <c r="A1514">
        <v>2023</v>
      </c>
      <c r="B1514" s="2" t="s">
        <v>264</v>
      </c>
      <c r="C1514" s="1">
        <v>3207222</v>
      </c>
      <c r="D1514">
        <v>6.3174279999999999E-3</v>
      </c>
    </row>
    <row r="1515" spans="1:4" x14ac:dyDescent="0.2">
      <c r="A1515">
        <v>2023</v>
      </c>
      <c r="B1515" s="2" t="s">
        <v>265</v>
      </c>
      <c r="C1515" s="1">
        <v>3654027</v>
      </c>
      <c r="D1515">
        <v>7.1975225000000002E-3</v>
      </c>
    </row>
    <row r="1516" spans="1:4" x14ac:dyDescent="0.2">
      <c r="A1516">
        <v>2023</v>
      </c>
      <c r="B1516" s="2" t="s">
        <v>266</v>
      </c>
      <c r="C1516" s="1">
        <v>657212</v>
      </c>
      <c r="D1516">
        <v>1.2945438000000001E-3</v>
      </c>
    </row>
    <row r="1517" spans="1:4" x14ac:dyDescent="0.2">
      <c r="A1517">
        <v>2023</v>
      </c>
      <c r="B1517" s="2" t="s">
        <v>148</v>
      </c>
      <c r="C1517" s="1">
        <v>160964</v>
      </c>
      <c r="D1517">
        <v>3.1705900000000001E-4</v>
      </c>
    </row>
    <row r="1518" spans="1:4" x14ac:dyDescent="0.2">
      <c r="A1518">
        <v>2023</v>
      </c>
      <c r="B1518" s="2" t="s">
        <v>267</v>
      </c>
      <c r="C1518" s="1">
        <v>3997362</v>
      </c>
      <c r="D1518">
        <v>7.8738068000000008E-3</v>
      </c>
    </row>
    <row r="1519" spans="1:4" x14ac:dyDescent="0.2">
      <c r="A1519">
        <v>2023</v>
      </c>
      <c r="B1519" s="2" t="s">
        <v>149</v>
      </c>
      <c r="C1519" s="1">
        <v>209866</v>
      </c>
      <c r="D1519">
        <v>4.1338369999999999E-4</v>
      </c>
    </row>
    <row r="1520" spans="1:4" x14ac:dyDescent="0.2">
      <c r="A1520">
        <v>2023</v>
      </c>
      <c r="B1520" s="2" t="s">
        <v>268</v>
      </c>
      <c r="C1520" s="1">
        <v>163041</v>
      </c>
      <c r="D1520">
        <v>3.2115010000000001E-4</v>
      </c>
    </row>
    <row r="1521" spans="1:4" x14ac:dyDescent="0.2">
      <c r="A1521">
        <v>2023</v>
      </c>
      <c r="B1521" s="2" t="s">
        <v>269</v>
      </c>
      <c r="C1521" s="1">
        <v>3219236</v>
      </c>
      <c r="D1521">
        <v>6.3410925999999998E-3</v>
      </c>
    </row>
    <row r="1522" spans="1:4" x14ac:dyDescent="0.2">
      <c r="A1522">
        <v>2023</v>
      </c>
      <c r="B1522" s="2" t="s">
        <v>270</v>
      </c>
      <c r="C1522" s="1">
        <v>718554</v>
      </c>
      <c r="D1522">
        <v>1.4153722999999999E-3</v>
      </c>
    </row>
    <row r="1523" spans="1:4" x14ac:dyDescent="0.2">
      <c r="A1523">
        <v>2023</v>
      </c>
      <c r="B1523" s="2" t="s">
        <v>271</v>
      </c>
      <c r="C1523" s="1">
        <v>582366</v>
      </c>
      <c r="D1523">
        <v>1.1471159000000001E-3</v>
      </c>
    </row>
    <row r="1524" spans="1:4" x14ac:dyDescent="0.2">
      <c r="A1524">
        <v>2023</v>
      </c>
      <c r="B1524" s="2" t="s">
        <v>272</v>
      </c>
      <c r="C1524" s="1">
        <v>1253465</v>
      </c>
      <c r="D1524">
        <v>2.4690136000000001E-3</v>
      </c>
    </row>
    <row r="1525" spans="1:4" x14ac:dyDescent="0.2">
      <c r="A1525">
        <v>2023</v>
      </c>
      <c r="B1525" s="2" t="s">
        <v>273</v>
      </c>
      <c r="C1525" s="1">
        <v>163532</v>
      </c>
      <c r="D1525">
        <v>3.2211730000000001E-4</v>
      </c>
    </row>
    <row r="1526" spans="1:4" x14ac:dyDescent="0.2">
      <c r="A1526">
        <v>2023</v>
      </c>
      <c r="B1526" s="2" t="s">
        <v>274</v>
      </c>
      <c r="C1526" s="1">
        <v>483726</v>
      </c>
      <c r="D1526">
        <v>9.5281969999999995E-4</v>
      </c>
    </row>
    <row r="1527" spans="1:4" x14ac:dyDescent="0.2">
      <c r="A1527">
        <v>2023</v>
      </c>
      <c r="B1527" s="2" t="s">
        <v>150</v>
      </c>
      <c r="C1527" s="1">
        <v>161980</v>
      </c>
      <c r="D1527">
        <v>3.1906019999999998E-4</v>
      </c>
    </row>
    <row r="1528" spans="1:4" x14ac:dyDescent="0.2">
      <c r="A1528">
        <v>2023</v>
      </c>
      <c r="B1528" s="2" t="s">
        <v>151</v>
      </c>
      <c r="C1528" s="1">
        <v>164523</v>
      </c>
      <c r="D1528">
        <v>3.2406930000000001E-4</v>
      </c>
    </row>
    <row r="1529" spans="1:4" x14ac:dyDescent="0.2">
      <c r="A1529">
        <v>2023</v>
      </c>
      <c r="B1529" s="2" t="s">
        <v>276</v>
      </c>
      <c r="C1529" s="1">
        <v>2397421</v>
      </c>
      <c r="D1529">
        <v>4.7223218000000001E-3</v>
      </c>
    </row>
    <row r="1530" spans="1:4" x14ac:dyDescent="0.2">
      <c r="A1530">
        <v>2023</v>
      </c>
      <c r="B1530" s="2" t="s">
        <v>277</v>
      </c>
      <c r="C1530" s="1">
        <v>129413</v>
      </c>
      <c r="D1530">
        <v>2.549114E-4</v>
      </c>
    </row>
    <row r="1531" spans="1:4" x14ac:dyDescent="0.2">
      <c r="A1531">
        <v>2023</v>
      </c>
      <c r="B1531" s="2" t="s">
        <v>359</v>
      </c>
      <c r="C1531" s="1">
        <v>2653407</v>
      </c>
      <c r="D1531">
        <v>5.2265504999999997E-3</v>
      </c>
    </row>
    <row r="1532" spans="1:4" x14ac:dyDescent="0.2">
      <c r="A1532">
        <v>2023</v>
      </c>
      <c r="B1532" s="2" t="s">
        <v>152</v>
      </c>
      <c r="C1532" s="1">
        <v>83731</v>
      </c>
      <c r="D1532">
        <v>1.6492920000000001E-4</v>
      </c>
    </row>
    <row r="1533" spans="1:4" x14ac:dyDescent="0.2">
      <c r="A1533">
        <v>2023</v>
      </c>
      <c r="B1533" s="2" t="s">
        <v>392</v>
      </c>
      <c r="C1533" s="1">
        <v>204614</v>
      </c>
      <c r="D1533">
        <v>4.0303859999999997E-4</v>
      </c>
    </row>
    <row r="1534" spans="1:4" x14ac:dyDescent="0.2">
      <c r="A1534">
        <v>2023</v>
      </c>
      <c r="B1534" s="2" t="s">
        <v>153</v>
      </c>
      <c r="C1534" s="1">
        <v>108933</v>
      </c>
      <c r="D1534">
        <v>2.1457090000000001E-4</v>
      </c>
    </row>
    <row r="1535" spans="1:4" x14ac:dyDescent="0.2">
      <c r="A1535">
        <v>2023</v>
      </c>
      <c r="B1535" s="2" t="s">
        <v>279</v>
      </c>
      <c r="C1535" s="1">
        <v>2121089</v>
      </c>
      <c r="D1535">
        <v>4.1780167000000003E-3</v>
      </c>
    </row>
    <row r="1536" spans="1:4" x14ac:dyDescent="0.2">
      <c r="A1536">
        <v>2023</v>
      </c>
      <c r="B1536" s="2" t="s">
        <v>406</v>
      </c>
      <c r="C1536" s="1">
        <v>37531</v>
      </c>
      <c r="D1536">
        <v>7.3926700000000005E-5</v>
      </c>
    </row>
    <row r="1537" spans="1:4" x14ac:dyDescent="0.2">
      <c r="A1537">
        <v>2023</v>
      </c>
      <c r="B1537" s="2" t="s">
        <v>280</v>
      </c>
      <c r="C1537" s="1">
        <v>2273918</v>
      </c>
      <c r="D1537">
        <v>4.4790517000000002E-3</v>
      </c>
    </row>
    <row r="1538" spans="1:4" x14ac:dyDescent="0.2">
      <c r="A1538">
        <v>2023</v>
      </c>
      <c r="B1538" s="2" t="s">
        <v>72</v>
      </c>
      <c r="C1538" s="1">
        <v>837781</v>
      </c>
      <c r="D1538">
        <v>1.6502197999999999E-3</v>
      </c>
    </row>
    <row r="1539" spans="1:4" x14ac:dyDescent="0.2">
      <c r="A1539">
        <v>2023</v>
      </c>
      <c r="B1539" s="2" t="s">
        <v>281</v>
      </c>
      <c r="C1539" s="1">
        <v>174383</v>
      </c>
      <c r="D1539">
        <v>3.4349100000000002E-4</v>
      </c>
    </row>
    <row r="1540" spans="1:4" x14ac:dyDescent="0.2">
      <c r="A1540">
        <v>2023</v>
      </c>
      <c r="B1540" s="2" t="s">
        <v>282</v>
      </c>
      <c r="C1540" s="1">
        <v>277967</v>
      </c>
      <c r="D1540">
        <v>5.4752570000000001E-4</v>
      </c>
    </row>
    <row r="1541" spans="1:4" x14ac:dyDescent="0.2">
      <c r="A1541">
        <v>2023</v>
      </c>
      <c r="B1541" s="2" t="s">
        <v>283</v>
      </c>
      <c r="C1541" s="1">
        <v>8052065</v>
      </c>
      <c r="D1541">
        <v>1.58605611E-2</v>
      </c>
    </row>
    <row r="1542" spans="1:4" x14ac:dyDescent="0.2">
      <c r="A1542">
        <v>2023</v>
      </c>
      <c r="B1542" s="2" t="s">
        <v>284</v>
      </c>
      <c r="C1542" s="1">
        <v>643333</v>
      </c>
      <c r="D1542">
        <v>1.2672057E-3</v>
      </c>
    </row>
    <row r="1543" spans="1:4" x14ac:dyDescent="0.2">
      <c r="A1543">
        <v>2023</v>
      </c>
      <c r="B1543" s="2" t="s">
        <v>285</v>
      </c>
      <c r="C1543" s="1">
        <v>184373</v>
      </c>
      <c r="D1543">
        <v>3.6316890000000001E-4</v>
      </c>
    </row>
    <row r="1544" spans="1:4" x14ac:dyDescent="0.2">
      <c r="A1544">
        <v>2023</v>
      </c>
      <c r="B1544" s="2" t="s">
        <v>286</v>
      </c>
      <c r="C1544" s="1">
        <v>173552</v>
      </c>
      <c r="D1544">
        <v>3.4185420000000001E-4</v>
      </c>
    </row>
    <row r="1545" spans="1:4" x14ac:dyDescent="0.2">
      <c r="A1545">
        <v>2023</v>
      </c>
      <c r="B1545" s="2" t="s">
        <v>184</v>
      </c>
      <c r="C1545" s="1">
        <v>1303562</v>
      </c>
      <c r="D1545">
        <v>2.5676922E-3</v>
      </c>
    </row>
    <row r="1546" spans="1:4" x14ac:dyDescent="0.2">
      <c r="A1546">
        <v>2023</v>
      </c>
      <c r="B1546" s="2" t="s">
        <v>154</v>
      </c>
      <c r="C1546" s="1">
        <v>502887</v>
      </c>
      <c r="D1546">
        <v>9.9056199999999995E-4</v>
      </c>
    </row>
    <row r="1547" spans="1:4" x14ac:dyDescent="0.2">
      <c r="A1547">
        <v>2023</v>
      </c>
      <c r="B1547" s="2" t="s">
        <v>155</v>
      </c>
      <c r="C1547" s="1">
        <v>134421</v>
      </c>
      <c r="D1547">
        <v>2.6477590000000001E-4</v>
      </c>
    </row>
    <row r="1548" spans="1:4" x14ac:dyDescent="0.2">
      <c r="A1548">
        <v>2023</v>
      </c>
      <c r="B1548" s="2" t="s">
        <v>287</v>
      </c>
      <c r="C1548" s="1">
        <v>245208</v>
      </c>
      <c r="D1548">
        <v>4.8299859999999999E-4</v>
      </c>
    </row>
    <row r="1549" spans="1:4" x14ac:dyDescent="0.2">
      <c r="A1549">
        <v>2023</v>
      </c>
      <c r="B1549" s="2" t="s">
        <v>288</v>
      </c>
      <c r="C1549" s="1">
        <v>858276</v>
      </c>
      <c r="D1549">
        <v>1.6905898E-3</v>
      </c>
    </row>
    <row r="1550" spans="1:4" x14ac:dyDescent="0.2">
      <c r="A1550">
        <v>2023</v>
      </c>
      <c r="B1550" s="2" t="s">
        <v>157</v>
      </c>
      <c r="C1550" s="1">
        <v>114415</v>
      </c>
      <c r="D1550">
        <v>2.25369E-4</v>
      </c>
    </row>
    <row r="1551" spans="1:4" x14ac:dyDescent="0.2">
      <c r="A1551">
        <v>2023</v>
      </c>
      <c r="B1551" s="2" t="s">
        <v>289</v>
      </c>
      <c r="C1551" s="1">
        <v>632032</v>
      </c>
      <c r="D1551">
        <v>1.2449455000000001E-3</v>
      </c>
    </row>
    <row r="1552" spans="1:4" x14ac:dyDescent="0.2">
      <c r="A1552">
        <v>2023</v>
      </c>
      <c r="B1552" s="2" t="s">
        <v>290</v>
      </c>
      <c r="C1552" s="1">
        <v>105187</v>
      </c>
      <c r="D1552">
        <v>2.0719219999999999E-4</v>
      </c>
    </row>
    <row r="1553" spans="1:4" x14ac:dyDescent="0.2">
      <c r="A1553">
        <v>2023</v>
      </c>
      <c r="B1553" s="2" t="s">
        <v>203</v>
      </c>
      <c r="C1553" s="1">
        <v>113093</v>
      </c>
      <c r="D1553">
        <v>2.2276500000000001E-4</v>
      </c>
    </row>
    <row r="1554" spans="1:4" x14ac:dyDescent="0.2">
      <c r="A1554">
        <v>2023</v>
      </c>
      <c r="B1554" s="2" t="s">
        <v>291</v>
      </c>
      <c r="C1554" s="1">
        <v>902058</v>
      </c>
      <c r="D1554">
        <v>1.7768294000000001E-3</v>
      </c>
    </row>
    <row r="1555" spans="1:4" x14ac:dyDescent="0.2">
      <c r="A1555">
        <v>2023</v>
      </c>
      <c r="B1555" s="2" t="s">
        <v>292</v>
      </c>
      <c r="C1555" s="1">
        <v>167572</v>
      </c>
      <c r="D1555">
        <v>3.3007510000000002E-4</v>
      </c>
    </row>
    <row r="1556" spans="1:4" x14ac:dyDescent="0.2">
      <c r="A1556">
        <v>2023</v>
      </c>
      <c r="B1556" s="2" t="s">
        <v>393</v>
      </c>
      <c r="C1556" s="1">
        <v>99193</v>
      </c>
      <c r="D1556">
        <v>1.9538549999999999E-4</v>
      </c>
    </row>
    <row r="1557" spans="1:4" x14ac:dyDescent="0.2">
      <c r="A1557">
        <v>2023</v>
      </c>
      <c r="B1557" s="2" t="s">
        <v>407</v>
      </c>
      <c r="C1557">
        <v>796</v>
      </c>
      <c r="D1557">
        <v>1.5679000000000001E-6</v>
      </c>
    </row>
    <row r="1558" spans="1:4" x14ac:dyDescent="0.2">
      <c r="A1558">
        <v>2023</v>
      </c>
      <c r="B1558" s="2" t="s">
        <v>293</v>
      </c>
      <c r="C1558" s="1">
        <v>10704</v>
      </c>
      <c r="D1558">
        <v>2.1084200000000001E-5</v>
      </c>
    </row>
    <row r="1559" spans="1:4" x14ac:dyDescent="0.2">
      <c r="A1559">
        <v>2023</v>
      </c>
      <c r="B1559" s="2" t="s">
        <v>294</v>
      </c>
      <c r="C1559" s="1">
        <v>450117</v>
      </c>
      <c r="D1559">
        <v>8.8661830000000004E-4</v>
      </c>
    </row>
    <row r="1560" spans="1:4" x14ac:dyDescent="0.2">
      <c r="A1560">
        <v>2023</v>
      </c>
      <c r="B1560" s="2" t="s">
        <v>185</v>
      </c>
      <c r="C1560" s="1">
        <v>192835</v>
      </c>
      <c r="D1560">
        <v>3.7983690000000002E-4</v>
      </c>
    </row>
    <row r="1561" spans="1:4" x14ac:dyDescent="0.2">
      <c r="A1561">
        <v>2023</v>
      </c>
      <c r="B1561" s="2" t="s">
        <v>295</v>
      </c>
      <c r="C1561" s="1">
        <v>7546453</v>
      </c>
      <c r="D1561">
        <v>1.4864631499999999E-2</v>
      </c>
    </row>
    <row r="1562" spans="1:4" x14ac:dyDescent="0.2">
      <c r="A1562">
        <v>2023</v>
      </c>
      <c r="B1562" s="2" t="s">
        <v>296</v>
      </c>
      <c r="C1562" s="1">
        <v>3977333</v>
      </c>
      <c r="D1562">
        <v>7.8343547000000006E-3</v>
      </c>
    </row>
    <row r="1563" spans="1:4" x14ac:dyDescent="0.2">
      <c r="A1563">
        <v>2023</v>
      </c>
      <c r="B1563" s="2" t="s">
        <v>297</v>
      </c>
      <c r="C1563" s="1">
        <v>424667</v>
      </c>
      <c r="D1563">
        <v>8.3648809999999996E-4</v>
      </c>
    </row>
    <row r="1564" spans="1:4" x14ac:dyDescent="0.2">
      <c r="A1564">
        <v>2023</v>
      </c>
      <c r="B1564" s="2" t="s">
        <v>298</v>
      </c>
      <c r="C1564" s="1">
        <v>9298</v>
      </c>
      <c r="D1564">
        <v>1.8314699999999999E-5</v>
      </c>
    </row>
    <row r="1565" spans="1:4" x14ac:dyDescent="0.2">
      <c r="A1565">
        <v>2023</v>
      </c>
      <c r="B1565" s="2" t="s">
        <v>299</v>
      </c>
      <c r="C1565" s="1">
        <v>1243372</v>
      </c>
      <c r="D1565">
        <v>2.4491329E-3</v>
      </c>
    </row>
    <row r="1566" spans="1:4" x14ac:dyDescent="0.2">
      <c r="A1566">
        <v>2023</v>
      </c>
      <c r="B1566" s="2" t="s">
        <v>300</v>
      </c>
      <c r="C1566" s="1">
        <v>154774</v>
      </c>
      <c r="D1566">
        <v>3.0486620000000001E-4</v>
      </c>
    </row>
    <row r="1567" spans="1:4" x14ac:dyDescent="0.2">
      <c r="A1567">
        <v>2023</v>
      </c>
      <c r="B1567" s="2" t="s">
        <v>395</v>
      </c>
      <c r="C1567" s="1">
        <v>281536</v>
      </c>
      <c r="D1567">
        <v>5.545557E-4</v>
      </c>
    </row>
    <row r="1568" spans="1:4" x14ac:dyDescent="0.2">
      <c r="A1568">
        <v>2023</v>
      </c>
      <c r="B1568" s="2" t="s">
        <v>301</v>
      </c>
      <c r="C1568" s="1">
        <v>169095</v>
      </c>
      <c r="D1568">
        <v>3.3307500000000001E-4</v>
      </c>
    </row>
    <row r="1569" spans="1:4" x14ac:dyDescent="0.2">
      <c r="A1569">
        <v>2023</v>
      </c>
      <c r="B1569" s="2" t="s">
        <v>91</v>
      </c>
      <c r="C1569" s="1">
        <v>3541291</v>
      </c>
      <c r="D1569">
        <v>6.9754606000000004E-3</v>
      </c>
    </row>
    <row r="1570" spans="1:4" x14ac:dyDescent="0.2">
      <c r="A1570">
        <v>2023</v>
      </c>
      <c r="B1570" s="2" t="s">
        <v>302</v>
      </c>
      <c r="C1570" s="1">
        <v>461451</v>
      </c>
      <c r="D1570">
        <v>9.0894350000000001E-4</v>
      </c>
    </row>
    <row r="1571" spans="1:4" x14ac:dyDescent="0.2">
      <c r="A1571">
        <v>2023</v>
      </c>
      <c r="B1571" s="2" t="s">
        <v>401</v>
      </c>
      <c r="C1571" s="1">
        <v>80042</v>
      </c>
      <c r="D1571">
        <v>1.5766280000000001E-4</v>
      </c>
    </row>
    <row r="1572" spans="1:4" x14ac:dyDescent="0.2">
      <c r="A1572">
        <v>2023</v>
      </c>
      <c r="B1572" s="2" t="s">
        <v>303</v>
      </c>
      <c r="C1572" s="1">
        <v>163640</v>
      </c>
      <c r="D1572">
        <v>3.2233000000000001E-4</v>
      </c>
    </row>
    <row r="1573" spans="1:4" x14ac:dyDescent="0.2">
      <c r="A1573">
        <v>2023</v>
      </c>
      <c r="B1573" s="2" t="s">
        <v>160</v>
      </c>
      <c r="C1573" s="1">
        <v>165745</v>
      </c>
      <c r="D1573">
        <v>3.2647630000000002E-4</v>
      </c>
    </row>
    <row r="1574" spans="1:4" x14ac:dyDescent="0.2">
      <c r="A1574">
        <v>2023</v>
      </c>
      <c r="B1574" s="2" t="s">
        <v>161</v>
      </c>
      <c r="C1574" s="1">
        <v>630636</v>
      </c>
      <c r="D1574">
        <v>1.2421957E-3</v>
      </c>
    </row>
    <row r="1575" spans="1:4" x14ac:dyDescent="0.2">
      <c r="A1575">
        <v>2023</v>
      </c>
      <c r="B1575" s="2" t="s">
        <v>304</v>
      </c>
      <c r="C1575" s="1">
        <v>185527</v>
      </c>
      <c r="D1575">
        <v>3.6544190000000002E-4</v>
      </c>
    </row>
    <row r="1576" spans="1:4" x14ac:dyDescent="0.2">
      <c r="A1576">
        <v>2023</v>
      </c>
      <c r="B1576" s="2" t="s">
        <v>305</v>
      </c>
      <c r="C1576" s="1">
        <v>466762</v>
      </c>
      <c r="D1576">
        <v>9.1940480000000002E-4</v>
      </c>
    </row>
    <row r="1577" spans="1:4" x14ac:dyDescent="0.2">
      <c r="A1577">
        <v>2023</v>
      </c>
      <c r="B1577" s="2" t="s">
        <v>162</v>
      </c>
      <c r="C1577" s="1">
        <v>203783</v>
      </c>
      <c r="D1577">
        <v>4.0140169999999998E-4</v>
      </c>
    </row>
    <row r="1578" spans="1:4" x14ac:dyDescent="0.2">
      <c r="A1578">
        <v>2023</v>
      </c>
      <c r="B1578" s="2" t="s">
        <v>306</v>
      </c>
      <c r="C1578" s="1">
        <v>1258750</v>
      </c>
      <c r="D1578">
        <v>2.4794238E-3</v>
      </c>
    </row>
    <row r="1579" spans="1:4" x14ac:dyDescent="0.2">
      <c r="A1579">
        <v>2023</v>
      </c>
      <c r="B1579" s="2" t="s">
        <v>307</v>
      </c>
      <c r="C1579" s="1">
        <v>381399</v>
      </c>
      <c r="D1579">
        <v>7.5126100000000003E-4</v>
      </c>
    </row>
    <row r="1580" spans="1:4" x14ac:dyDescent="0.2">
      <c r="A1580">
        <v>2023</v>
      </c>
      <c r="B1580" s="2" t="s">
        <v>308</v>
      </c>
      <c r="C1580" s="1">
        <v>1277489</v>
      </c>
      <c r="D1580">
        <v>2.5163349000000002E-3</v>
      </c>
    </row>
    <row r="1581" spans="1:4" x14ac:dyDescent="0.2">
      <c r="A1581">
        <v>2023</v>
      </c>
      <c r="B1581" s="2" t="s">
        <v>309</v>
      </c>
      <c r="C1581" s="1">
        <v>570691</v>
      </c>
      <c r="D1581">
        <v>1.124119E-3</v>
      </c>
    </row>
    <row r="1582" spans="1:4" x14ac:dyDescent="0.2">
      <c r="A1582">
        <v>2023</v>
      </c>
      <c r="B1582" s="2" t="s">
        <v>310</v>
      </c>
      <c r="C1582" s="1">
        <v>125729</v>
      </c>
      <c r="D1582">
        <v>2.4765479999999999E-4</v>
      </c>
    </row>
    <row r="1583" spans="1:4" x14ac:dyDescent="0.2">
      <c r="A1583">
        <v>2023</v>
      </c>
      <c r="B1583" s="2" t="s">
        <v>402</v>
      </c>
      <c r="C1583" s="1">
        <v>1449939</v>
      </c>
      <c r="D1583">
        <v>2.8560183999999998E-3</v>
      </c>
    </row>
    <row r="1584" spans="1:4" x14ac:dyDescent="0.2">
      <c r="A1584">
        <v>2023</v>
      </c>
      <c r="B1584" s="2" t="s">
        <v>311</v>
      </c>
      <c r="C1584" s="1">
        <v>637289</v>
      </c>
      <c r="D1584">
        <v>1.2553004999999999E-3</v>
      </c>
    </row>
    <row r="1585" spans="1:4" x14ac:dyDescent="0.2">
      <c r="A1585">
        <v>2023</v>
      </c>
      <c r="B1585" s="2" t="s">
        <v>163</v>
      </c>
      <c r="C1585" s="1">
        <v>291904</v>
      </c>
      <c r="D1585">
        <v>5.749781E-4</v>
      </c>
    </row>
    <row r="1586" spans="1:4" x14ac:dyDescent="0.2">
      <c r="A1586">
        <v>2023</v>
      </c>
      <c r="B1586" s="2" t="s">
        <v>312</v>
      </c>
      <c r="C1586" s="1">
        <v>979208</v>
      </c>
      <c r="D1586">
        <v>1.9287957000000001E-3</v>
      </c>
    </row>
    <row r="1587" spans="1:4" x14ac:dyDescent="0.2">
      <c r="A1587">
        <v>2023</v>
      </c>
      <c r="B1587" s="2" t="s">
        <v>313</v>
      </c>
      <c r="C1587" s="1">
        <v>62005</v>
      </c>
      <c r="D1587">
        <v>1.2213440000000001E-4</v>
      </c>
    </row>
    <row r="1588" spans="1:4" x14ac:dyDescent="0.2">
      <c r="A1588">
        <v>2023</v>
      </c>
      <c r="B1588" s="2" t="s">
        <v>164</v>
      </c>
      <c r="C1588" s="1">
        <v>75443</v>
      </c>
      <c r="D1588">
        <v>1.4860390000000001E-4</v>
      </c>
    </row>
    <row r="1589" spans="1:4" x14ac:dyDescent="0.2">
      <c r="A1589">
        <v>2023</v>
      </c>
      <c r="B1589" s="2" t="s">
        <v>165</v>
      </c>
      <c r="C1589" s="1">
        <v>194987</v>
      </c>
      <c r="D1589">
        <v>3.840758E-4</v>
      </c>
    </row>
    <row r="1590" spans="1:4" x14ac:dyDescent="0.2">
      <c r="A1590">
        <v>2023</v>
      </c>
      <c r="B1590" s="2" t="s">
        <v>314</v>
      </c>
      <c r="C1590" s="1">
        <v>1318805</v>
      </c>
      <c r="D1590">
        <v>2.5977170999999999E-3</v>
      </c>
    </row>
    <row r="1591" spans="1:4" x14ac:dyDescent="0.2">
      <c r="A1591">
        <v>2023</v>
      </c>
      <c r="B1591" s="2" t="s">
        <v>206</v>
      </c>
      <c r="C1591" s="1">
        <v>221526</v>
      </c>
      <c r="D1591">
        <v>4.3635100000000002E-4</v>
      </c>
    </row>
    <row r="1592" spans="1:4" x14ac:dyDescent="0.2">
      <c r="A1592">
        <v>2023</v>
      </c>
      <c r="B1592" s="2" t="s">
        <v>166</v>
      </c>
      <c r="C1592" s="1">
        <v>131101</v>
      </c>
      <c r="D1592">
        <v>2.5823630000000001E-4</v>
      </c>
    </row>
    <row r="1593" spans="1:4" x14ac:dyDescent="0.2">
      <c r="A1593">
        <v>2023</v>
      </c>
      <c r="B1593" s="2" t="s">
        <v>167</v>
      </c>
      <c r="C1593" s="1">
        <v>229283</v>
      </c>
      <c r="D1593">
        <v>4.5163039999999998E-4</v>
      </c>
    </row>
    <row r="1594" spans="1:4" x14ac:dyDescent="0.2">
      <c r="A1594">
        <v>2023</v>
      </c>
      <c r="B1594" s="2" t="s">
        <v>315</v>
      </c>
      <c r="C1594" s="1">
        <v>11367</v>
      </c>
      <c r="D1594">
        <v>2.2390200000000001E-5</v>
      </c>
    </row>
    <row r="1595" spans="1:4" x14ac:dyDescent="0.2">
      <c r="A1595">
        <v>2023</v>
      </c>
      <c r="B1595" s="2" t="s">
        <v>379</v>
      </c>
      <c r="C1595" s="1">
        <v>348786</v>
      </c>
      <c r="D1595">
        <v>6.8702149999999996E-4</v>
      </c>
    </row>
    <row r="1596" spans="1:4" x14ac:dyDescent="0.2">
      <c r="A1596">
        <v>2023</v>
      </c>
      <c r="B1596" s="2" t="s">
        <v>107</v>
      </c>
      <c r="C1596" s="1">
        <v>258771</v>
      </c>
      <c r="D1596">
        <v>5.0971440000000001E-4</v>
      </c>
    </row>
    <row r="1597" spans="1:4" x14ac:dyDescent="0.2">
      <c r="A1597">
        <v>2023</v>
      </c>
      <c r="B1597" s="2" t="s">
        <v>316</v>
      </c>
      <c r="C1597" s="1">
        <v>5671360</v>
      </c>
      <c r="D1597">
        <v>1.1171165699999999E-2</v>
      </c>
    </row>
    <row r="1598" spans="1:4" x14ac:dyDescent="0.2">
      <c r="A1598">
        <v>2023</v>
      </c>
      <c r="B1598" s="2" t="s">
        <v>381</v>
      </c>
      <c r="C1598" s="1">
        <v>40997</v>
      </c>
      <c r="D1598">
        <v>8.0753899999999999E-5</v>
      </c>
    </row>
    <row r="1599" spans="1:4" x14ac:dyDescent="0.2">
      <c r="A1599">
        <v>2023</v>
      </c>
      <c r="B1599" s="2" t="s">
        <v>317</v>
      </c>
      <c r="C1599" s="1">
        <v>382714</v>
      </c>
      <c r="D1599">
        <v>7.538512E-4</v>
      </c>
    </row>
    <row r="1600" spans="1:4" x14ac:dyDescent="0.2">
      <c r="A1600">
        <v>2023</v>
      </c>
      <c r="B1600" s="2" t="s">
        <v>318</v>
      </c>
      <c r="C1600" s="1">
        <v>5850752</v>
      </c>
      <c r="D1600">
        <v>1.1524523199999999E-2</v>
      </c>
    </row>
    <row r="1601" spans="1:4" x14ac:dyDescent="0.2">
      <c r="A1601">
        <v>2023</v>
      </c>
      <c r="B1601" s="2" t="s">
        <v>169</v>
      </c>
      <c r="C1601" s="1">
        <v>179474</v>
      </c>
      <c r="D1601">
        <v>3.53519E-4</v>
      </c>
    </row>
    <row r="1602" spans="1:4" x14ac:dyDescent="0.2">
      <c r="A1602">
        <v>2023</v>
      </c>
      <c r="B1602" s="2" t="s">
        <v>170</v>
      </c>
      <c r="C1602" s="1">
        <v>371717</v>
      </c>
      <c r="D1602">
        <v>7.3218980000000001E-4</v>
      </c>
    </row>
    <row r="1603" spans="1:4" x14ac:dyDescent="0.2">
      <c r="A1603">
        <v>2023</v>
      </c>
      <c r="B1603" s="2" t="s">
        <v>319</v>
      </c>
      <c r="C1603" s="1">
        <v>473436</v>
      </c>
      <c r="D1603">
        <v>9.3255089999999996E-4</v>
      </c>
    </row>
    <row r="1604" spans="1:4" x14ac:dyDescent="0.2">
      <c r="A1604">
        <v>2023</v>
      </c>
      <c r="B1604" s="2" t="s">
        <v>320</v>
      </c>
      <c r="C1604" s="1">
        <v>910487</v>
      </c>
      <c r="D1604">
        <v>1.7934324999999999E-3</v>
      </c>
    </row>
    <row r="1605" spans="1:4" x14ac:dyDescent="0.2">
      <c r="A1605">
        <v>2023</v>
      </c>
      <c r="B1605" s="2" t="s">
        <v>321</v>
      </c>
      <c r="C1605" s="1">
        <v>719052</v>
      </c>
      <c r="D1605">
        <v>1.4163532E-3</v>
      </c>
    </row>
    <row r="1606" spans="1:4" x14ac:dyDescent="0.2">
      <c r="A1606">
        <v>2023</v>
      </c>
      <c r="B1606" s="2" t="s">
        <v>114</v>
      </c>
      <c r="C1606" s="1">
        <v>23779200</v>
      </c>
      <c r="D1606">
        <v>4.6839097199999999E-2</v>
      </c>
    </row>
    <row r="1607" spans="1:4" x14ac:dyDescent="0.2">
      <c r="A1607">
        <v>2023</v>
      </c>
      <c r="B1607" s="2" t="s">
        <v>322</v>
      </c>
      <c r="C1607" s="1">
        <v>820021</v>
      </c>
      <c r="D1607">
        <v>1.6152370000000001E-3</v>
      </c>
    </row>
    <row r="1608" spans="1:4" x14ac:dyDescent="0.2">
      <c r="A1608">
        <v>2023</v>
      </c>
      <c r="B1608" s="2" t="s">
        <v>323</v>
      </c>
      <c r="C1608" s="1">
        <v>421779</v>
      </c>
      <c r="D1608">
        <v>8.3079949999999997E-4</v>
      </c>
    </row>
    <row r="1609" spans="1:4" x14ac:dyDescent="0.2">
      <c r="A1609">
        <v>2023</v>
      </c>
      <c r="B1609" s="2" t="s">
        <v>324</v>
      </c>
      <c r="C1609" s="1">
        <v>477663</v>
      </c>
      <c r="D1609">
        <v>9.4087710000000005E-4</v>
      </c>
    </row>
    <row r="1610" spans="1:4" x14ac:dyDescent="0.2">
      <c r="A1610">
        <v>2023</v>
      </c>
      <c r="B1610" s="2" t="s">
        <v>171</v>
      </c>
      <c r="C1610" s="1">
        <v>333965</v>
      </c>
      <c r="D1610">
        <v>6.5782779999999999E-4</v>
      </c>
    </row>
    <row r="1611" spans="1:4" x14ac:dyDescent="0.2">
      <c r="A1611">
        <v>2023</v>
      </c>
      <c r="B1611" s="2" t="s">
        <v>325</v>
      </c>
      <c r="C1611" s="1">
        <v>241829</v>
      </c>
      <c r="D1611">
        <v>4.7634290000000002E-4</v>
      </c>
    </row>
    <row r="1612" spans="1:4" x14ac:dyDescent="0.2">
      <c r="A1612">
        <v>2023</v>
      </c>
      <c r="B1612" s="2" t="s">
        <v>326</v>
      </c>
      <c r="C1612" s="1">
        <v>384105</v>
      </c>
      <c r="D1612">
        <v>7.5659109999999996E-4</v>
      </c>
    </row>
    <row r="1613" spans="1:4" x14ac:dyDescent="0.2">
      <c r="A1613">
        <v>2023</v>
      </c>
      <c r="B1613" s="2" t="s">
        <v>173</v>
      </c>
      <c r="C1613" s="1">
        <v>322880</v>
      </c>
      <c r="D1613">
        <v>6.3599309999999999E-4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32AD-380C-374C-AADD-8B8BB668886B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4FF3-2378-CA45-B6A4-25685D89305E}">
  <sheetPr>
    <tabColor rgb="FFFFFF00"/>
  </sheetPr>
  <dimension ref="A1:C183"/>
  <sheetViews>
    <sheetView workbookViewId="0">
      <selection activeCell="F14" sqref="F14"/>
    </sheetView>
  </sheetViews>
  <sheetFormatPr baseColWidth="10" defaultRowHeight="16" x14ac:dyDescent="0.2"/>
  <cols>
    <col min="1" max="1" width="41.5" bestFit="1" customWidth="1"/>
  </cols>
  <sheetData>
    <row r="1" spans="1:3" x14ac:dyDescent="0.2">
      <c r="A1" t="s">
        <v>423</v>
      </c>
      <c r="B1" t="s">
        <v>424</v>
      </c>
      <c r="C1" t="s">
        <v>434</v>
      </c>
    </row>
    <row r="2" spans="1:3" x14ac:dyDescent="0.2">
      <c r="A2" t="s">
        <v>246</v>
      </c>
      <c r="B2">
        <v>1600172</v>
      </c>
      <c r="C2" s="7">
        <f>COUNTIF($B$2:$B$183,B2)</f>
        <v>2</v>
      </c>
    </row>
    <row r="3" spans="1:3" x14ac:dyDescent="0.2">
      <c r="A3" t="s">
        <v>138</v>
      </c>
      <c r="B3">
        <v>1600172</v>
      </c>
      <c r="C3" s="7">
        <f>COUNTIF($B$2:$B$183,B3)</f>
        <v>2</v>
      </c>
    </row>
    <row r="4" spans="1:3" x14ac:dyDescent="0.2">
      <c r="A4" t="s">
        <v>387</v>
      </c>
      <c r="B4">
        <v>1600196</v>
      </c>
      <c r="C4" s="7">
        <f>COUNTIF($B$2:$B$183,B4)</f>
        <v>1</v>
      </c>
    </row>
    <row r="5" spans="1:3" x14ac:dyDescent="0.2">
      <c r="A5" t="s">
        <v>400</v>
      </c>
      <c r="B5">
        <v>1600201</v>
      </c>
      <c r="C5" s="7">
        <f>COUNTIF($B$2:$B$183,B5)</f>
        <v>1</v>
      </c>
    </row>
    <row r="6" spans="1:3" x14ac:dyDescent="0.2">
      <c r="A6" t="s">
        <v>197</v>
      </c>
      <c r="B6">
        <v>1600177</v>
      </c>
      <c r="C6" s="7">
        <f>COUNTIF($B$2:$B$183,B6)</f>
        <v>1</v>
      </c>
    </row>
    <row r="7" spans="1:3" x14ac:dyDescent="0.2">
      <c r="A7" t="s">
        <v>159</v>
      </c>
      <c r="B7">
        <v>1600005</v>
      </c>
      <c r="C7" s="7">
        <f>COUNTIF($B$2:$B$183,B7)</f>
        <v>1</v>
      </c>
    </row>
    <row r="8" spans="1:3" x14ac:dyDescent="0.2">
      <c r="A8" t="s">
        <v>15</v>
      </c>
      <c r="B8">
        <v>1600030</v>
      </c>
      <c r="C8" s="7">
        <f>COUNTIF($B$2:$B$183,B8)</f>
        <v>1</v>
      </c>
    </row>
    <row r="9" spans="1:3" x14ac:dyDescent="0.2">
      <c r="A9" t="s">
        <v>189</v>
      </c>
      <c r="B9">
        <v>1600175</v>
      </c>
      <c r="C9" s="7">
        <f>COUNTIF($B$2:$B$183,B9)</f>
        <v>1</v>
      </c>
    </row>
    <row r="10" spans="1:3" x14ac:dyDescent="0.2">
      <c r="A10" t="s">
        <v>398</v>
      </c>
      <c r="B10">
        <v>1600199</v>
      </c>
      <c r="C10" s="7">
        <f>COUNTIF($B$2:$B$183,B10)</f>
        <v>1</v>
      </c>
    </row>
    <row r="11" spans="1:3" x14ac:dyDescent="0.2">
      <c r="A11" t="s">
        <v>4</v>
      </c>
      <c r="B11">
        <v>1600060</v>
      </c>
      <c r="C11" s="7">
        <f>COUNTIF($B$2:$B$183,B11)</f>
        <v>1</v>
      </c>
    </row>
    <row r="12" spans="1:3" x14ac:dyDescent="0.2">
      <c r="A12" t="s">
        <v>121</v>
      </c>
      <c r="B12">
        <v>1600162</v>
      </c>
      <c r="C12" s="7">
        <f>COUNTIF($B$2:$B$183,B12)</f>
        <v>1</v>
      </c>
    </row>
    <row r="13" spans="1:3" x14ac:dyDescent="0.2">
      <c r="A13" t="s">
        <v>122</v>
      </c>
      <c r="B13">
        <v>1600155</v>
      </c>
      <c r="C13" s="7">
        <f>COUNTIF($B$2:$B$183,B13)</f>
        <v>1</v>
      </c>
    </row>
    <row r="14" spans="1:3" x14ac:dyDescent="0.2">
      <c r="A14" t="s">
        <v>123</v>
      </c>
      <c r="B14">
        <v>1600195</v>
      </c>
      <c r="C14" s="7">
        <f>COUNTIF($B$2:$B$183,B14)</f>
        <v>1</v>
      </c>
    </row>
    <row r="15" spans="1:3" x14ac:dyDescent="0.2">
      <c r="A15" t="s">
        <v>5</v>
      </c>
      <c r="B15">
        <v>1600090</v>
      </c>
      <c r="C15" s="7">
        <f>COUNTIF($B$2:$B$183,B15)</f>
        <v>1</v>
      </c>
    </row>
    <row r="16" spans="1:3" x14ac:dyDescent="0.2">
      <c r="A16" t="s">
        <v>6</v>
      </c>
      <c r="B16">
        <v>1600150</v>
      </c>
      <c r="C16" s="7">
        <f>COUNTIF($B$2:$B$183,B16)</f>
        <v>1</v>
      </c>
    </row>
    <row r="17" spans="1:3" x14ac:dyDescent="0.2">
      <c r="A17" t="s">
        <v>7</v>
      </c>
      <c r="B17">
        <v>1600180</v>
      </c>
      <c r="C17" s="7">
        <f>COUNTIF($B$2:$B$183,B17)</f>
        <v>1</v>
      </c>
    </row>
    <row r="18" spans="1:3" x14ac:dyDescent="0.2">
      <c r="A18" t="s">
        <v>8</v>
      </c>
      <c r="B18">
        <v>1600240</v>
      </c>
      <c r="C18" s="7">
        <f>COUNTIF($B$2:$B$183,B18)</f>
        <v>1</v>
      </c>
    </row>
    <row r="19" spans="1:3" x14ac:dyDescent="0.2">
      <c r="A19" t="s">
        <v>124</v>
      </c>
      <c r="B19">
        <v>1600169</v>
      </c>
      <c r="C19" s="7">
        <f>COUNTIF($B$2:$B$183,B19)</f>
        <v>1</v>
      </c>
    </row>
    <row r="20" spans="1:3" x14ac:dyDescent="0.2">
      <c r="A20" t="s">
        <v>125</v>
      </c>
      <c r="B20">
        <v>1600153</v>
      </c>
      <c r="C20" s="7">
        <f>COUNTIF($B$2:$B$183,B20)</f>
        <v>1</v>
      </c>
    </row>
    <row r="21" spans="1:3" x14ac:dyDescent="0.2">
      <c r="A21" t="s">
        <v>9</v>
      </c>
      <c r="B21">
        <v>1600270</v>
      </c>
      <c r="C21" s="7">
        <f>COUNTIF($B$2:$B$183,B21)</f>
        <v>1</v>
      </c>
    </row>
    <row r="22" spans="1:3" x14ac:dyDescent="0.2">
      <c r="A22" t="s">
        <v>10</v>
      </c>
      <c r="B22">
        <v>1600300</v>
      </c>
      <c r="C22" s="7">
        <f>COUNTIF($B$2:$B$183,B22)</f>
        <v>1</v>
      </c>
    </row>
    <row r="23" spans="1:3" x14ac:dyDescent="0.2">
      <c r="A23" t="s">
        <v>11</v>
      </c>
      <c r="B23">
        <v>1600330</v>
      </c>
      <c r="C23" s="7">
        <f>COUNTIF($B$2:$B$183,B23)</f>
        <v>1</v>
      </c>
    </row>
    <row r="24" spans="1:3" x14ac:dyDescent="0.2">
      <c r="A24" t="s">
        <v>12</v>
      </c>
      <c r="B24">
        <v>1600360</v>
      </c>
      <c r="C24" s="7">
        <f>COUNTIF($B$2:$B$183,B24)</f>
        <v>1</v>
      </c>
    </row>
    <row r="25" spans="1:3" x14ac:dyDescent="0.2">
      <c r="A25" t="s">
        <v>13</v>
      </c>
      <c r="B25">
        <v>1600930</v>
      </c>
      <c r="C25" s="7">
        <f>COUNTIF($B$2:$B$183,B25)</f>
        <v>1</v>
      </c>
    </row>
    <row r="26" spans="1:3" x14ac:dyDescent="0.2">
      <c r="A26" t="s">
        <v>14</v>
      </c>
      <c r="B26">
        <v>1600420</v>
      </c>
      <c r="C26" s="7">
        <f>COUNTIF($B$2:$B$183,B26)</f>
        <v>1</v>
      </c>
    </row>
    <row r="27" spans="1:3" x14ac:dyDescent="0.2">
      <c r="A27" t="s">
        <v>16</v>
      </c>
      <c r="B27">
        <v>1600450</v>
      </c>
      <c r="C27" s="7">
        <f>COUNTIF($B$2:$B$183,B27)</f>
        <v>1</v>
      </c>
    </row>
    <row r="28" spans="1:3" x14ac:dyDescent="0.2">
      <c r="A28" t="s">
        <v>17</v>
      </c>
      <c r="B28">
        <v>1600480</v>
      </c>
      <c r="C28" s="7">
        <f>COUNTIF($B$2:$B$183,B28)</f>
        <v>1</v>
      </c>
    </row>
    <row r="29" spans="1:3" x14ac:dyDescent="0.2">
      <c r="A29" t="s">
        <v>18</v>
      </c>
      <c r="B29">
        <v>1600490</v>
      </c>
      <c r="C29" s="7">
        <f>COUNTIF($B$2:$B$183,B29)</f>
        <v>1</v>
      </c>
    </row>
    <row r="30" spans="1:3" x14ac:dyDescent="0.2">
      <c r="A30" t="s">
        <v>19</v>
      </c>
      <c r="B30">
        <v>1600510</v>
      </c>
      <c r="C30" s="7">
        <f>COUNTIF($B$2:$B$183,B30)</f>
        <v>1</v>
      </c>
    </row>
    <row r="31" spans="1:3" x14ac:dyDescent="0.2">
      <c r="A31" t="s">
        <v>20</v>
      </c>
      <c r="B31">
        <v>1600540</v>
      </c>
      <c r="C31" s="7">
        <f>COUNTIF($B$2:$B$183,B31)</f>
        <v>1</v>
      </c>
    </row>
    <row r="32" spans="1:3" x14ac:dyDescent="0.2">
      <c r="A32" t="s">
        <v>21</v>
      </c>
      <c r="B32">
        <v>1600570</v>
      </c>
      <c r="C32" s="7">
        <f>COUNTIF($B$2:$B$183,B32)</f>
        <v>1</v>
      </c>
    </row>
    <row r="33" spans="1:3" x14ac:dyDescent="0.2">
      <c r="A33" t="s">
        <v>22</v>
      </c>
      <c r="B33">
        <v>1600152</v>
      </c>
      <c r="C33" s="7">
        <f>COUNTIF($B$2:$B$183,B33)</f>
        <v>1</v>
      </c>
    </row>
    <row r="34" spans="1:3" x14ac:dyDescent="0.2">
      <c r="A34" t="s">
        <v>399</v>
      </c>
      <c r="B34">
        <v>1600200</v>
      </c>
      <c r="C34" s="7">
        <f>COUNTIF($B$2:$B$183,B34)</f>
        <v>1</v>
      </c>
    </row>
    <row r="35" spans="1:3" x14ac:dyDescent="0.2">
      <c r="A35" t="s">
        <v>23</v>
      </c>
      <c r="B35">
        <v>1600630</v>
      </c>
      <c r="C35" s="7">
        <f>COUNTIF($B$2:$B$183,B35)</f>
        <v>1</v>
      </c>
    </row>
    <row r="36" spans="1:3" x14ac:dyDescent="0.2">
      <c r="A36" t="s">
        <v>24</v>
      </c>
      <c r="B36">
        <v>1600660</v>
      </c>
      <c r="C36" s="7">
        <f>COUNTIF($B$2:$B$183,B36)</f>
        <v>1</v>
      </c>
    </row>
    <row r="37" spans="1:3" x14ac:dyDescent="0.2">
      <c r="A37" t="s">
        <v>25</v>
      </c>
      <c r="B37">
        <v>1600690</v>
      </c>
      <c r="C37" s="7">
        <f>COUNTIF($B$2:$B$183,B37)</f>
        <v>1</v>
      </c>
    </row>
    <row r="38" spans="1:3" x14ac:dyDescent="0.2">
      <c r="A38" t="s">
        <v>26</v>
      </c>
      <c r="B38">
        <v>1600720</v>
      </c>
      <c r="C38" s="7">
        <f>COUNTIF($B$2:$B$183,B38)</f>
        <v>1</v>
      </c>
    </row>
    <row r="39" spans="1:3" x14ac:dyDescent="0.2">
      <c r="A39" t="s">
        <v>126</v>
      </c>
      <c r="B39">
        <v>1600163</v>
      </c>
      <c r="C39" s="7">
        <f>COUNTIF($B$2:$B$183,B39)</f>
        <v>1</v>
      </c>
    </row>
    <row r="40" spans="1:3" x14ac:dyDescent="0.2">
      <c r="A40" t="s">
        <v>27</v>
      </c>
      <c r="B40">
        <v>1600750</v>
      </c>
      <c r="C40" s="7">
        <f>COUNTIF($B$2:$B$183,B40)</f>
        <v>1</v>
      </c>
    </row>
    <row r="41" spans="1:3" x14ac:dyDescent="0.2">
      <c r="A41" t="s">
        <v>28</v>
      </c>
      <c r="B41">
        <v>1602520</v>
      </c>
      <c r="C41" s="7">
        <f>COUNTIF($B$2:$B$183,B41)</f>
        <v>1</v>
      </c>
    </row>
    <row r="42" spans="1:3" x14ac:dyDescent="0.2">
      <c r="A42" t="s">
        <v>127</v>
      </c>
      <c r="B42">
        <v>1600173</v>
      </c>
      <c r="C42" s="7">
        <f>COUNTIF($B$2:$B$183,B42)</f>
        <v>1</v>
      </c>
    </row>
    <row r="43" spans="1:3" x14ac:dyDescent="0.2">
      <c r="A43" t="s">
        <v>29</v>
      </c>
      <c r="B43">
        <v>1600780</v>
      </c>
      <c r="C43" s="7">
        <f>COUNTIF($B$2:$B$183,B43)</f>
        <v>1</v>
      </c>
    </row>
    <row r="44" spans="1:3" x14ac:dyDescent="0.2">
      <c r="A44" t="s">
        <v>128</v>
      </c>
      <c r="B44">
        <v>1600007</v>
      </c>
      <c r="C44" s="7">
        <f>COUNTIF($B$2:$B$183,B44)</f>
        <v>1</v>
      </c>
    </row>
    <row r="45" spans="1:3" x14ac:dyDescent="0.2">
      <c r="A45" t="s">
        <v>30</v>
      </c>
      <c r="B45">
        <v>1600810</v>
      </c>
      <c r="C45" s="7">
        <f>COUNTIF($B$2:$B$183,B45)</f>
        <v>1</v>
      </c>
    </row>
    <row r="46" spans="1:3" x14ac:dyDescent="0.2">
      <c r="A46" t="s">
        <v>31</v>
      </c>
      <c r="B46">
        <v>1600840</v>
      </c>
      <c r="C46" s="7">
        <f>COUNTIF($B$2:$B$183,B46)</f>
        <v>1</v>
      </c>
    </row>
    <row r="47" spans="1:3" x14ac:dyDescent="0.2">
      <c r="A47" t="s">
        <v>32</v>
      </c>
      <c r="B47">
        <v>1600870</v>
      </c>
      <c r="C47" s="7">
        <f>COUNTIF($B$2:$B$183,B47)</f>
        <v>1</v>
      </c>
    </row>
    <row r="48" spans="1:3" x14ac:dyDescent="0.2">
      <c r="A48" t="s">
        <v>33</v>
      </c>
      <c r="B48">
        <v>1600900</v>
      </c>
      <c r="C48" s="7">
        <f>COUNTIF($B$2:$B$183,B48)</f>
        <v>1</v>
      </c>
    </row>
    <row r="49" spans="1:3" x14ac:dyDescent="0.2">
      <c r="A49" t="s">
        <v>386</v>
      </c>
      <c r="B49">
        <v>1600197</v>
      </c>
      <c r="C49" s="7">
        <f>COUNTIF($B$2:$B$183,B49)</f>
        <v>1</v>
      </c>
    </row>
    <row r="50" spans="1:3" x14ac:dyDescent="0.2">
      <c r="A50" t="s">
        <v>403</v>
      </c>
      <c r="B50">
        <v>1600203</v>
      </c>
      <c r="C50" s="7">
        <f>COUNTIF($B$2:$B$183,B50)</f>
        <v>1</v>
      </c>
    </row>
    <row r="51" spans="1:3" x14ac:dyDescent="0.2">
      <c r="A51" t="s">
        <v>339</v>
      </c>
      <c r="B51">
        <v>1600189</v>
      </c>
      <c r="C51" s="7">
        <f>COUNTIF($B$2:$B$183,B51)</f>
        <v>1</v>
      </c>
    </row>
    <row r="52" spans="1:3" x14ac:dyDescent="0.2">
      <c r="A52" t="s">
        <v>34</v>
      </c>
      <c r="B52">
        <v>1601020</v>
      </c>
      <c r="C52" s="7">
        <f>COUNTIF($B$2:$B$183,B52)</f>
        <v>1</v>
      </c>
    </row>
    <row r="53" spans="1:3" x14ac:dyDescent="0.2">
      <c r="A53" t="s">
        <v>129</v>
      </c>
      <c r="B53">
        <v>1600008</v>
      </c>
      <c r="C53" s="7">
        <f>COUNTIF($B$2:$B$183,B53)</f>
        <v>1</v>
      </c>
    </row>
    <row r="54" spans="1:3" x14ac:dyDescent="0.2">
      <c r="A54" t="s">
        <v>340</v>
      </c>
      <c r="B54">
        <v>1600186</v>
      </c>
      <c r="C54" s="7">
        <f>COUNTIF($B$2:$B$183,B54)</f>
        <v>1</v>
      </c>
    </row>
    <row r="55" spans="1:3" x14ac:dyDescent="0.2">
      <c r="A55" t="s">
        <v>35</v>
      </c>
      <c r="B55">
        <v>1601050</v>
      </c>
      <c r="C55" s="7">
        <f>COUNTIF($B$2:$B$183,B55)</f>
        <v>1</v>
      </c>
    </row>
    <row r="56" spans="1:3" x14ac:dyDescent="0.2">
      <c r="A56" t="s">
        <v>36</v>
      </c>
      <c r="B56">
        <v>1601080</v>
      </c>
      <c r="C56" s="7">
        <f>COUNTIF($B$2:$B$183,B56)</f>
        <v>1</v>
      </c>
    </row>
    <row r="57" spans="1:3" x14ac:dyDescent="0.2">
      <c r="A57" t="s">
        <v>341</v>
      </c>
      <c r="B57">
        <v>1600190</v>
      </c>
      <c r="C57" s="7">
        <f>COUNTIF($B$2:$B$183,B57)</f>
        <v>1</v>
      </c>
    </row>
    <row r="58" spans="1:3" x14ac:dyDescent="0.2">
      <c r="A58" t="s">
        <v>37</v>
      </c>
      <c r="B58">
        <v>1601140</v>
      </c>
      <c r="C58" s="7">
        <f>COUNTIF($B$2:$B$183,B58)</f>
        <v>1</v>
      </c>
    </row>
    <row r="59" spans="1:3" x14ac:dyDescent="0.2">
      <c r="A59" t="s">
        <v>243</v>
      </c>
      <c r="B59">
        <v>1600181</v>
      </c>
      <c r="C59" s="7">
        <f>COUNTIF($B$2:$B$183,B59)</f>
        <v>1</v>
      </c>
    </row>
    <row r="60" spans="1:3" x14ac:dyDescent="0.2">
      <c r="A60" t="s">
        <v>38</v>
      </c>
      <c r="B60">
        <v>1601170</v>
      </c>
      <c r="C60" s="7">
        <f>COUNTIF($B$2:$B$183,B60)</f>
        <v>1</v>
      </c>
    </row>
    <row r="61" spans="1:3" x14ac:dyDescent="0.2">
      <c r="A61" t="s">
        <v>388</v>
      </c>
      <c r="B61">
        <v>1600179</v>
      </c>
      <c r="C61" s="7">
        <f>COUNTIF($B$2:$B$183,B61)</f>
        <v>1</v>
      </c>
    </row>
    <row r="62" spans="1:3" x14ac:dyDescent="0.2">
      <c r="A62" t="s">
        <v>196</v>
      </c>
      <c r="B62">
        <v>1600205</v>
      </c>
      <c r="C62" s="7">
        <f>COUNTIF($B$2:$B$183,B62)</f>
        <v>1</v>
      </c>
    </row>
    <row r="63" spans="1:3" x14ac:dyDescent="0.2">
      <c r="A63" t="s">
        <v>39</v>
      </c>
      <c r="B63">
        <v>1601200</v>
      </c>
      <c r="C63" s="7">
        <f>COUNTIF($B$2:$B$183,B63)</f>
        <v>1</v>
      </c>
    </row>
    <row r="64" spans="1:3" x14ac:dyDescent="0.2">
      <c r="A64" t="s">
        <v>40</v>
      </c>
      <c r="B64">
        <v>1601230</v>
      </c>
      <c r="C64" s="7">
        <f>COUNTIF($B$2:$B$183,B64)</f>
        <v>1</v>
      </c>
    </row>
    <row r="65" spans="1:3" x14ac:dyDescent="0.2">
      <c r="A65" t="s">
        <v>41</v>
      </c>
      <c r="B65">
        <v>1601260</v>
      </c>
      <c r="C65" s="7">
        <f>COUNTIF($B$2:$B$183,B65)</f>
        <v>1</v>
      </c>
    </row>
    <row r="66" spans="1:3" x14ac:dyDescent="0.2">
      <c r="A66" t="s">
        <v>42</v>
      </c>
      <c r="B66">
        <v>1601290</v>
      </c>
      <c r="C66" s="7">
        <f>COUNTIF($B$2:$B$183,B66)</f>
        <v>1</v>
      </c>
    </row>
    <row r="67" spans="1:3" x14ac:dyDescent="0.2">
      <c r="A67" t="s">
        <v>43</v>
      </c>
      <c r="B67">
        <v>1601380</v>
      </c>
      <c r="C67" s="7">
        <f>COUNTIF($B$2:$B$183,B67)</f>
        <v>1</v>
      </c>
    </row>
    <row r="68" spans="1:3" x14ac:dyDescent="0.2">
      <c r="A68" t="s">
        <v>44</v>
      </c>
      <c r="B68">
        <v>1601410</v>
      </c>
      <c r="C68" s="7">
        <f>COUNTIF($B$2:$B$183,B68)</f>
        <v>1</v>
      </c>
    </row>
    <row r="69" spans="1:3" x14ac:dyDescent="0.2">
      <c r="A69" t="s">
        <v>389</v>
      </c>
      <c r="B69">
        <v>1600184</v>
      </c>
      <c r="C69" s="7">
        <f>COUNTIF($B$2:$B$183,B69)</f>
        <v>1</v>
      </c>
    </row>
    <row r="70" spans="1:3" x14ac:dyDescent="0.2">
      <c r="A70" t="s">
        <v>130</v>
      </c>
      <c r="B70">
        <v>1600159</v>
      </c>
      <c r="C70" s="7">
        <f>COUNTIF($B$2:$B$183,B70)</f>
        <v>1</v>
      </c>
    </row>
    <row r="71" spans="1:3" x14ac:dyDescent="0.2">
      <c r="A71" t="s">
        <v>131</v>
      </c>
      <c r="B71">
        <v>1600161</v>
      </c>
      <c r="C71" s="7">
        <f>COUNTIF($B$2:$B$183,B71)</f>
        <v>1</v>
      </c>
    </row>
    <row r="72" spans="1:3" x14ac:dyDescent="0.2">
      <c r="A72" t="s">
        <v>45</v>
      </c>
      <c r="B72">
        <v>1601440</v>
      </c>
      <c r="C72" s="7">
        <f>COUNTIF($B$2:$B$183,B72)</f>
        <v>1</v>
      </c>
    </row>
    <row r="73" spans="1:3" x14ac:dyDescent="0.2">
      <c r="A73" t="s">
        <v>46</v>
      </c>
      <c r="B73">
        <v>1601470</v>
      </c>
      <c r="C73" s="7">
        <f>COUNTIF($B$2:$B$183,B73)</f>
        <v>1</v>
      </c>
    </row>
    <row r="74" spans="1:3" x14ac:dyDescent="0.2">
      <c r="A74" t="s">
        <v>47</v>
      </c>
      <c r="B74">
        <v>1601500</v>
      </c>
      <c r="C74" s="7">
        <f>COUNTIF($B$2:$B$183,B74)</f>
        <v>1</v>
      </c>
    </row>
    <row r="75" spans="1:3" x14ac:dyDescent="0.2">
      <c r="A75" t="s">
        <v>132</v>
      </c>
      <c r="B75">
        <v>1600144</v>
      </c>
      <c r="C75" s="7">
        <f>COUNTIF($B$2:$B$183,B75)</f>
        <v>1</v>
      </c>
    </row>
    <row r="76" spans="1:3" x14ac:dyDescent="0.2">
      <c r="A76" t="s">
        <v>135</v>
      </c>
      <c r="B76">
        <v>1600204</v>
      </c>
      <c r="C76" s="7">
        <f>COUNTIF($B$2:$B$183,B76)</f>
        <v>1</v>
      </c>
    </row>
    <row r="77" spans="1:3" x14ac:dyDescent="0.2">
      <c r="A77" t="s">
        <v>136</v>
      </c>
      <c r="B77">
        <v>1603511</v>
      </c>
      <c r="C77" s="7">
        <f>COUNTIF($B$2:$B$183,B77)</f>
        <v>1</v>
      </c>
    </row>
    <row r="78" spans="1:3" x14ac:dyDescent="0.2">
      <c r="A78" t="s">
        <v>137</v>
      </c>
      <c r="B78">
        <v>1600171</v>
      </c>
      <c r="C78" s="7">
        <f>COUNTIF($B$2:$B$183,B78)</f>
        <v>1</v>
      </c>
    </row>
    <row r="79" spans="1:3" x14ac:dyDescent="0.2">
      <c r="A79" t="s">
        <v>48</v>
      </c>
      <c r="B79">
        <v>1601530</v>
      </c>
      <c r="C79" s="7">
        <f>COUNTIF($B$2:$B$183,B79)</f>
        <v>1</v>
      </c>
    </row>
    <row r="80" spans="1:3" x14ac:dyDescent="0.2">
      <c r="A80" t="s">
        <v>183</v>
      </c>
      <c r="B80">
        <v>1600145</v>
      </c>
      <c r="C80" s="7">
        <f>COUNTIF($B$2:$B$183,B80)</f>
        <v>1</v>
      </c>
    </row>
    <row r="81" spans="1:3" x14ac:dyDescent="0.2">
      <c r="A81" t="s">
        <v>143</v>
      </c>
      <c r="B81">
        <v>1600004</v>
      </c>
      <c r="C81" s="7">
        <f>COUNTIF($B$2:$B$183,B81)</f>
        <v>1</v>
      </c>
    </row>
    <row r="82" spans="1:3" x14ac:dyDescent="0.2">
      <c r="A82" t="s">
        <v>144</v>
      </c>
      <c r="B82">
        <v>1600148</v>
      </c>
      <c r="C82" s="7">
        <f>COUNTIF($B$2:$B$183,B82)</f>
        <v>1</v>
      </c>
    </row>
    <row r="83" spans="1:3" x14ac:dyDescent="0.2">
      <c r="A83" t="s">
        <v>390</v>
      </c>
      <c r="B83">
        <v>1600192</v>
      </c>
      <c r="C83" s="7">
        <f>COUNTIF($B$2:$B$183,B83)</f>
        <v>1</v>
      </c>
    </row>
    <row r="84" spans="1:3" x14ac:dyDescent="0.2">
      <c r="A84" t="s">
        <v>49</v>
      </c>
      <c r="B84">
        <v>1601590</v>
      </c>
      <c r="C84" s="7">
        <f>COUNTIF($B$2:$B$183,B84)</f>
        <v>1</v>
      </c>
    </row>
    <row r="85" spans="1:3" x14ac:dyDescent="0.2">
      <c r="A85" t="s">
        <v>50</v>
      </c>
      <c r="B85">
        <v>1601620</v>
      </c>
      <c r="C85" s="7">
        <f>COUNTIF($B$2:$B$183,B85)</f>
        <v>1</v>
      </c>
    </row>
    <row r="86" spans="1:3" x14ac:dyDescent="0.2">
      <c r="A86" t="s">
        <v>51</v>
      </c>
      <c r="B86">
        <v>1601650</v>
      </c>
      <c r="C86" s="7">
        <f>COUNTIF($B$2:$B$183,B86)</f>
        <v>1</v>
      </c>
    </row>
    <row r="87" spans="1:3" x14ac:dyDescent="0.2">
      <c r="A87" t="s">
        <v>52</v>
      </c>
      <c r="B87">
        <v>1601680</v>
      </c>
      <c r="C87" s="7">
        <f>COUNTIF($B$2:$B$183,B87)</f>
        <v>1</v>
      </c>
    </row>
    <row r="88" spans="1:3" x14ac:dyDescent="0.2">
      <c r="A88" t="s">
        <v>53</v>
      </c>
      <c r="B88">
        <v>1601710</v>
      </c>
      <c r="C88" s="7">
        <f>COUNTIF($B$2:$B$183,B88)</f>
        <v>1</v>
      </c>
    </row>
    <row r="89" spans="1:3" x14ac:dyDescent="0.2">
      <c r="A89" t="s">
        <v>146</v>
      </c>
      <c r="B89">
        <v>1600149</v>
      </c>
      <c r="C89" s="7">
        <f>COUNTIF($B$2:$B$183,B89)</f>
        <v>1</v>
      </c>
    </row>
    <row r="90" spans="1:3" x14ac:dyDescent="0.2">
      <c r="A90" t="s">
        <v>54</v>
      </c>
      <c r="B90">
        <v>1601740</v>
      </c>
      <c r="C90" s="7">
        <f>COUNTIF($B$2:$B$183,B90)</f>
        <v>1</v>
      </c>
    </row>
    <row r="91" spans="1:3" x14ac:dyDescent="0.2">
      <c r="A91" t="s">
        <v>147</v>
      </c>
      <c r="B91">
        <v>1600167</v>
      </c>
      <c r="C91" s="7">
        <f>COUNTIF($B$2:$B$183,B91)</f>
        <v>1</v>
      </c>
    </row>
    <row r="92" spans="1:3" x14ac:dyDescent="0.2">
      <c r="A92" t="s">
        <v>55</v>
      </c>
      <c r="B92">
        <v>1601770</v>
      </c>
      <c r="C92" s="7">
        <f>COUNTIF($B$2:$B$183,B92)</f>
        <v>1</v>
      </c>
    </row>
    <row r="93" spans="1:3" x14ac:dyDescent="0.2">
      <c r="A93" t="s">
        <v>56</v>
      </c>
      <c r="B93">
        <v>1600002</v>
      </c>
      <c r="C93" s="7">
        <f>COUNTIF($B$2:$B$183,B93)</f>
        <v>1</v>
      </c>
    </row>
    <row r="94" spans="1:3" x14ac:dyDescent="0.2">
      <c r="A94" t="s">
        <v>57</v>
      </c>
      <c r="B94">
        <v>1601800</v>
      </c>
      <c r="C94" s="7">
        <f>COUNTIF($B$2:$B$183,B94)</f>
        <v>1</v>
      </c>
    </row>
    <row r="95" spans="1:3" x14ac:dyDescent="0.2">
      <c r="A95" t="s">
        <v>58</v>
      </c>
      <c r="B95">
        <v>1601830</v>
      </c>
      <c r="C95" s="7">
        <f>COUNTIF($B$2:$B$183,B95)</f>
        <v>1</v>
      </c>
    </row>
    <row r="96" spans="1:3" x14ac:dyDescent="0.2">
      <c r="A96" t="s">
        <v>148</v>
      </c>
      <c r="B96">
        <v>1600158</v>
      </c>
      <c r="C96" s="7">
        <f>COUNTIF($B$2:$B$183,B96)</f>
        <v>1</v>
      </c>
    </row>
    <row r="97" spans="1:3" x14ac:dyDescent="0.2">
      <c r="A97" t="s">
        <v>59</v>
      </c>
      <c r="B97">
        <v>1601860</v>
      </c>
      <c r="C97" s="7">
        <f>COUNTIF($B$2:$B$183,B97)</f>
        <v>1</v>
      </c>
    </row>
    <row r="98" spans="1:3" x14ac:dyDescent="0.2">
      <c r="A98" t="s">
        <v>149</v>
      </c>
      <c r="B98">
        <v>1600012</v>
      </c>
      <c r="C98" s="7">
        <f>COUNTIF($B$2:$B$183,B98)</f>
        <v>1</v>
      </c>
    </row>
    <row r="99" spans="1:3" x14ac:dyDescent="0.2">
      <c r="A99" t="s">
        <v>60</v>
      </c>
      <c r="B99">
        <v>1601900</v>
      </c>
      <c r="C99" s="7">
        <f>COUNTIF($B$2:$B$183,B99)</f>
        <v>1</v>
      </c>
    </row>
    <row r="100" spans="1:3" x14ac:dyDescent="0.2">
      <c r="A100" t="s">
        <v>61</v>
      </c>
      <c r="B100">
        <v>1601920</v>
      </c>
      <c r="C100" s="7">
        <f>COUNTIF($B$2:$B$183,B100)</f>
        <v>1</v>
      </c>
    </row>
    <row r="101" spans="1:3" x14ac:dyDescent="0.2">
      <c r="A101" t="s">
        <v>62</v>
      </c>
      <c r="B101">
        <v>1601950</v>
      </c>
      <c r="C101" s="7">
        <f>COUNTIF($B$2:$B$183,B101)</f>
        <v>1</v>
      </c>
    </row>
    <row r="102" spans="1:3" x14ac:dyDescent="0.2">
      <c r="A102" t="s">
        <v>63</v>
      </c>
      <c r="B102">
        <v>1601980</v>
      </c>
      <c r="C102" s="7">
        <f>COUNTIF($B$2:$B$183,B102)</f>
        <v>1</v>
      </c>
    </row>
    <row r="103" spans="1:3" x14ac:dyDescent="0.2">
      <c r="A103" t="s">
        <v>64</v>
      </c>
      <c r="B103">
        <v>1602030</v>
      </c>
      <c r="C103" s="7">
        <f>COUNTIF($B$2:$B$183,B103)</f>
        <v>1</v>
      </c>
    </row>
    <row r="104" spans="1:3" x14ac:dyDescent="0.2">
      <c r="A104" t="s">
        <v>65</v>
      </c>
      <c r="B104">
        <v>1602060</v>
      </c>
      <c r="C104" s="7">
        <f>COUNTIF($B$2:$B$183,B104)</f>
        <v>1</v>
      </c>
    </row>
    <row r="105" spans="1:3" x14ac:dyDescent="0.2">
      <c r="A105" t="s">
        <v>66</v>
      </c>
      <c r="B105">
        <v>1602070</v>
      </c>
      <c r="C105" s="7">
        <f>COUNTIF($B$2:$B$183,B105)</f>
        <v>1</v>
      </c>
    </row>
    <row r="106" spans="1:3" x14ac:dyDescent="0.2">
      <c r="A106" t="s">
        <v>67</v>
      </c>
      <c r="B106">
        <v>1602130</v>
      </c>
      <c r="C106" s="7">
        <f>COUNTIF($B$2:$B$183,B106)</f>
        <v>1</v>
      </c>
    </row>
    <row r="107" spans="1:3" x14ac:dyDescent="0.2">
      <c r="A107" t="s">
        <v>68</v>
      </c>
      <c r="B107">
        <v>1602160</v>
      </c>
      <c r="C107" s="7">
        <f>COUNTIF($B$2:$B$183,B107)</f>
        <v>1</v>
      </c>
    </row>
    <row r="108" spans="1:3" x14ac:dyDescent="0.2">
      <c r="A108" t="s">
        <v>69</v>
      </c>
      <c r="B108">
        <v>1602190</v>
      </c>
      <c r="C108" s="7">
        <f>COUNTIF($B$2:$B$183,B108)</f>
        <v>1</v>
      </c>
    </row>
    <row r="109" spans="1:3" x14ac:dyDescent="0.2">
      <c r="A109" t="s">
        <v>152</v>
      </c>
      <c r="B109">
        <v>1600154</v>
      </c>
      <c r="C109" s="7">
        <f>COUNTIF($B$2:$B$183,B109)</f>
        <v>1</v>
      </c>
    </row>
    <row r="110" spans="1:3" x14ac:dyDescent="0.2">
      <c r="A110" t="s">
        <v>392</v>
      </c>
      <c r="B110">
        <v>1600191</v>
      </c>
      <c r="C110" s="7">
        <f>COUNTIF($B$2:$B$183,B110)</f>
        <v>1</v>
      </c>
    </row>
    <row r="111" spans="1:3" x14ac:dyDescent="0.2">
      <c r="A111" t="s">
        <v>70</v>
      </c>
      <c r="B111">
        <v>1602220</v>
      </c>
      <c r="C111" s="7">
        <f>COUNTIF($B$2:$B$183,B111)</f>
        <v>1</v>
      </c>
    </row>
    <row r="112" spans="1:3" x14ac:dyDescent="0.2">
      <c r="A112" t="s">
        <v>71</v>
      </c>
      <c r="B112">
        <v>1602250</v>
      </c>
      <c r="C112" s="7">
        <f>COUNTIF($B$2:$B$183,B112)</f>
        <v>1</v>
      </c>
    </row>
    <row r="113" spans="1:3" x14ac:dyDescent="0.2">
      <c r="A113" t="s">
        <v>72</v>
      </c>
      <c r="B113">
        <v>1600139</v>
      </c>
      <c r="C113" s="7">
        <f>COUNTIF($B$2:$B$183,B113)</f>
        <v>1</v>
      </c>
    </row>
    <row r="114" spans="1:3" x14ac:dyDescent="0.2">
      <c r="A114" t="s">
        <v>73</v>
      </c>
      <c r="B114">
        <v>1602280</v>
      </c>
      <c r="C114" s="7">
        <f>COUNTIF($B$2:$B$183,B114)</f>
        <v>1</v>
      </c>
    </row>
    <row r="115" spans="1:3" x14ac:dyDescent="0.2">
      <c r="A115" t="s">
        <v>74</v>
      </c>
      <c r="B115">
        <v>1602310</v>
      </c>
      <c r="C115" s="7">
        <f>COUNTIF($B$2:$B$183,B115)</f>
        <v>1</v>
      </c>
    </row>
    <row r="116" spans="1:3" x14ac:dyDescent="0.2">
      <c r="A116" t="s">
        <v>75</v>
      </c>
      <c r="B116">
        <v>1602340</v>
      </c>
      <c r="C116" s="7">
        <f>COUNTIF($B$2:$B$183,B116)</f>
        <v>1</v>
      </c>
    </row>
    <row r="117" spans="1:3" x14ac:dyDescent="0.2">
      <c r="A117" t="s">
        <v>76</v>
      </c>
      <c r="B117">
        <v>1602370</v>
      </c>
      <c r="C117" s="7">
        <f>COUNTIF($B$2:$B$183,B117)</f>
        <v>1</v>
      </c>
    </row>
    <row r="118" spans="1:3" x14ac:dyDescent="0.2">
      <c r="A118" t="s">
        <v>77</v>
      </c>
      <c r="B118">
        <v>1602400</v>
      </c>
      <c r="C118" s="7">
        <f>COUNTIF($B$2:$B$183,B118)</f>
        <v>1</v>
      </c>
    </row>
    <row r="119" spans="1:3" x14ac:dyDescent="0.2">
      <c r="A119" t="s">
        <v>78</v>
      </c>
      <c r="B119">
        <v>1602430</v>
      </c>
      <c r="C119" s="7">
        <f>COUNTIF($B$2:$B$183,B119)</f>
        <v>1</v>
      </c>
    </row>
    <row r="120" spans="1:3" x14ac:dyDescent="0.2">
      <c r="A120" t="s">
        <v>154</v>
      </c>
      <c r="B120">
        <v>1600174</v>
      </c>
      <c r="C120" s="7">
        <f>COUNTIF($B$2:$B$183,B120)</f>
        <v>1</v>
      </c>
    </row>
    <row r="121" spans="1:3" x14ac:dyDescent="0.2">
      <c r="A121" t="s">
        <v>155</v>
      </c>
      <c r="B121">
        <v>1600143</v>
      </c>
      <c r="C121" s="7">
        <f>COUNTIF($B$2:$B$183,B121)</f>
        <v>1</v>
      </c>
    </row>
    <row r="122" spans="1:3" x14ac:dyDescent="0.2">
      <c r="A122" t="s">
        <v>79</v>
      </c>
      <c r="B122">
        <v>1602460</v>
      </c>
      <c r="C122" s="7">
        <f>COUNTIF($B$2:$B$183,B122)</f>
        <v>1</v>
      </c>
    </row>
    <row r="123" spans="1:3" x14ac:dyDescent="0.2">
      <c r="A123" t="s">
        <v>156</v>
      </c>
      <c r="B123" s="6">
        <v>1600164</v>
      </c>
      <c r="C123" s="7">
        <f>COUNTIF($B$2:$B$183,B123)</f>
        <v>1</v>
      </c>
    </row>
    <row r="124" spans="1:3" x14ac:dyDescent="0.2">
      <c r="A124" t="s">
        <v>80</v>
      </c>
      <c r="B124">
        <v>1602490</v>
      </c>
      <c r="C124" s="7">
        <f>COUNTIF($B$2:$B$183,B124)</f>
        <v>1</v>
      </c>
    </row>
    <row r="125" spans="1:3" x14ac:dyDescent="0.2">
      <c r="A125" t="s">
        <v>157</v>
      </c>
      <c r="B125">
        <v>1600151</v>
      </c>
      <c r="C125" s="7">
        <f>COUNTIF($B$2:$B$183,B125)</f>
        <v>1</v>
      </c>
    </row>
    <row r="126" spans="1:3" x14ac:dyDescent="0.2">
      <c r="A126" t="s">
        <v>81</v>
      </c>
      <c r="B126">
        <v>1602550</v>
      </c>
      <c r="C126" s="7">
        <f>COUNTIF($B$2:$B$183,B126)</f>
        <v>1</v>
      </c>
    </row>
    <row r="127" spans="1:3" x14ac:dyDescent="0.2">
      <c r="A127" t="s">
        <v>290</v>
      </c>
      <c r="B127">
        <v>1600183</v>
      </c>
      <c r="C127" s="7">
        <f>COUNTIF($B$2:$B$183,B127)</f>
        <v>1</v>
      </c>
    </row>
    <row r="128" spans="1:3" x14ac:dyDescent="0.2">
      <c r="A128" t="s">
        <v>82</v>
      </c>
      <c r="B128">
        <v>1602580</v>
      </c>
      <c r="C128" s="7">
        <f>COUNTIF($B$2:$B$183,B128)</f>
        <v>1</v>
      </c>
    </row>
    <row r="129" spans="1:3" x14ac:dyDescent="0.2">
      <c r="A129" t="s">
        <v>292</v>
      </c>
      <c r="B129">
        <v>1600178</v>
      </c>
      <c r="C129" s="7">
        <f>COUNTIF($B$2:$B$183,B129)</f>
        <v>1</v>
      </c>
    </row>
    <row r="130" spans="1:3" x14ac:dyDescent="0.2">
      <c r="A130" t="s">
        <v>393</v>
      </c>
      <c r="B130">
        <v>1600198</v>
      </c>
      <c r="C130" s="7">
        <f>COUNTIF($B$2:$B$183,B130)</f>
        <v>1</v>
      </c>
    </row>
    <row r="131" spans="1:3" x14ac:dyDescent="0.2">
      <c r="A131" t="s">
        <v>83</v>
      </c>
      <c r="B131">
        <v>1602610</v>
      </c>
      <c r="C131" s="7">
        <f>COUNTIF($B$2:$B$183,B131)</f>
        <v>1</v>
      </c>
    </row>
    <row r="132" spans="1:3" x14ac:dyDescent="0.2">
      <c r="A132" t="s">
        <v>84</v>
      </c>
      <c r="B132">
        <v>1600815</v>
      </c>
      <c r="C132" s="7">
        <f>COUNTIF($B$2:$B$183,B132)</f>
        <v>1</v>
      </c>
    </row>
    <row r="133" spans="1:3" x14ac:dyDescent="0.2">
      <c r="A133" t="s">
        <v>158</v>
      </c>
      <c r="B133">
        <v>1600176</v>
      </c>
      <c r="C133" s="7">
        <f>COUNTIF($B$2:$B$183,B133)</f>
        <v>1</v>
      </c>
    </row>
    <row r="134" spans="1:3" x14ac:dyDescent="0.2">
      <c r="A134" t="s">
        <v>85</v>
      </c>
      <c r="B134">
        <v>1602640</v>
      </c>
      <c r="C134" s="7">
        <f>COUNTIF($B$2:$B$183,B134)</f>
        <v>1</v>
      </c>
    </row>
    <row r="135" spans="1:3" x14ac:dyDescent="0.2">
      <c r="A135" t="s">
        <v>86</v>
      </c>
      <c r="B135">
        <v>1602670</v>
      </c>
      <c r="C135" s="7">
        <f>COUNTIF($B$2:$B$183,B135)</f>
        <v>1</v>
      </c>
    </row>
    <row r="136" spans="1:3" x14ac:dyDescent="0.2">
      <c r="A136" t="s">
        <v>87</v>
      </c>
      <c r="B136">
        <v>1602700</v>
      </c>
      <c r="C136" s="7">
        <f>COUNTIF($B$2:$B$183,B136)</f>
        <v>1</v>
      </c>
    </row>
    <row r="137" spans="1:3" x14ac:dyDescent="0.2">
      <c r="A137" t="s">
        <v>88</v>
      </c>
      <c r="B137">
        <v>1602730</v>
      </c>
      <c r="C137" s="7">
        <f>COUNTIF($B$2:$B$183,B137)</f>
        <v>1</v>
      </c>
    </row>
    <row r="138" spans="1:3" x14ac:dyDescent="0.2">
      <c r="A138" t="s">
        <v>89</v>
      </c>
      <c r="B138">
        <v>1600960</v>
      </c>
      <c r="C138" s="7">
        <f>COUNTIF($B$2:$B$183,B138)</f>
        <v>1</v>
      </c>
    </row>
    <row r="139" spans="1:3" x14ac:dyDescent="0.2">
      <c r="A139" t="s">
        <v>300</v>
      </c>
      <c r="B139">
        <v>1600182</v>
      </c>
      <c r="C139" s="7">
        <f>COUNTIF($B$2:$B$183,B139)</f>
        <v>1</v>
      </c>
    </row>
    <row r="140" spans="1:3" x14ac:dyDescent="0.2">
      <c r="A140" t="s">
        <v>90</v>
      </c>
      <c r="B140">
        <v>1602760</v>
      </c>
      <c r="C140" s="7">
        <f>COUNTIF($B$2:$B$183,B140)</f>
        <v>1</v>
      </c>
    </row>
    <row r="141" spans="1:3" x14ac:dyDescent="0.2">
      <c r="A141" t="s">
        <v>92</v>
      </c>
      <c r="B141">
        <v>1602790</v>
      </c>
      <c r="C141" s="7">
        <f>COUNTIF($B$2:$B$183,B141)</f>
        <v>1</v>
      </c>
    </row>
    <row r="142" spans="1:3" x14ac:dyDescent="0.2">
      <c r="A142" t="s">
        <v>93</v>
      </c>
      <c r="B142">
        <v>1602820</v>
      </c>
      <c r="C142" s="7">
        <f>COUNTIF($B$2:$B$183,B142)</f>
        <v>1</v>
      </c>
    </row>
    <row r="143" spans="1:3" x14ac:dyDescent="0.2">
      <c r="A143" t="s">
        <v>160</v>
      </c>
      <c r="B143">
        <v>1600006</v>
      </c>
      <c r="C143" s="7">
        <f>COUNTIF($B$2:$B$183,B143)</f>
        <v>1</v>
      </c>
    </row>
    <row r="144" spans="1:3" x14ac:dyDescent="0.2">
      <c r="A144" t="s">
        <v>161</v>
      </c>
      <c r="B144">
        <v>1600156</v>
      </c>
      <c r="C144" s="7">
        <f>COUNTIF($B$2:$B$183,B144)</f>
        <v>1</v>
      </c>
    </row>
    <row r="145" spans="1:3" x14ac:dyDescent="0.2">
      <c r="A145" t="s">
        <v>204</v>
      </c>
      <c r="B145">
        <v>1600138</v>
      </c>
      <c r="C145" s="7">
        <f>COUNTIF($B$2:$B$183,B145)</f>
        <v>1</v>
      </c>
    </row>
    <row r="146" spans="1:3" x14ac:dyDescent="0.2">
      <c r="A146" t="s">
        <v>95</v>
      </c>
      <c r="B146">
        <v>1602850</v>
      </c>
      <c r="C146" s="7">
        <f>COUNTIF($B$2:$B$183,B146)</f>
        <v>1</v>
      </c>
    </row>
    <row r="147" spans="1:3" x14ac:dyDescent="0.2">
      <c r="A147" t="s">
        <v>162</v>
      </c>
      <c r="B147">
        <v>1600165</v>
      </c>
      <c r="C147" s="7">
        <f>COUNTIF($B$2:$B$183,B147)</f>
        <v>1</v>
      </c>
    </row>
    <row r="148" spans="1:3" x14ac:dyDescent="0.2">
      <c r="A148" t="s">
        <v>96</v>
      </c>
      <c r="B148">
        <v>1602910</v>
      </c>
      <c r="C148" s="7">
        <f>COUNTIF($B$2:$B$183,B148)</f>
        <v>1</v>
      </c>
    </row>
    <row r="149" spans="1:3" x14ac:dyDescent="0.2">
      <c r="A149" t="s">
        <v>97</v>
      </c>
      <c r="B149">
        <v>1602940</v>
      </c>
      <c r="C149" s="7">
        <f>COUNTIF($B$2:$B$183,B149)</f>
        <v>1</v>
      </c>
    </row>
    <row r="150" spans="1:3" x14ac:dyDescent="0.2">
      <c r="A150" t="s">
        <v>98</v>
      </c>
      <c r="B150">
        <v>1602970</v>
      </c>
      <c r="C150" s="7">
        <f>COUNTIF($B$2:$B$183,B150)</f>
        <v>1</v>
      </c>
    </row>
    <row r="151" spans="1:3" x14ac:dyDescent="0.2">
      <c r="A151" t="s">
        <v>99</v>
      </c>
      <c r="B151">
        <v>1603000</v>
      </c>
      <c r="C151" s="7">
        <f>COUNTIF($B$2:$B$183,B151)</f>
        <v>1</v>
      </c>
    </row>
    <row r="152" spans="1:3" x14ac:dyDescent="0.2">
      <c r="A152" t="s">
        <v>100</v>
      </c>
      <c r="B152">
        <v>1603030</v>
      </c>
      <c r="C152" s="7">
        <f>COUNTIF($B$2:$B$183,B152)</f>
        <v>1</v>
      </c>
    </row>
    <row r="153" spans="1:3" x14ac:dyDescent="0.2">
      <c r="A153" t="s">
        <v>188</v>
      </c>
      <c r="B153">
        <v>1601110</v>
      </c>
      <c r="C153" s="7">
        <f>COUNTIF($B$2:$B$183,B153)</f>
        <v>1</v>
      </c>
    </row>
    <row r="154" spans="1:3" x14ac:dyDescent="0.2">
      <c r="A154" t="s">
        <v>102</v>
      </c>
      <c r="B154">
        <v>1603060</v>
      </c>
      <c r="C154" s="7">
        <f>COUNTIF($B$2:$B$183,B154)</f>
        <v>1</v>
      </c>
    </row>
    <row r="155" spans="1:3" x14ac:dyDescent="0.2">
      <c r="A155" t="s">
        <v>163</v>
      </c>
      <c r="B155">
        <v>1600160</v>
      </c>
      <c r="C155" s="7">
        <f>COUNTIF($B$2:$B$183,B155)</f>
        <v>1</v>
      </c>
    </row>
    <row r="156" spans="1:3" x14ac:dyDescent="0.2">
      <c r="A156" t="s">
        <v>103</v>
      </c>
      <c r="B156">
        <v>1603090</v>
      </c>
      <c r="C156" s="7">
        <f>COUNTIF($B$2:$B$183,B156)</f>
        <v>1</v>
      </c>
    </row>
    <row r="157" spans="1:3" x14ac:dyDescent="0.2">
      <c r="A157" t="s">
        <v>104</v>
      </c>
      <c r="B157">
        <v>1603120</v>
      </c>
      <c r="C157" s="7">
        <f>COUNTIF($B$2:$B$183,B157)</f>
        <v>1</v>
      </c>
    </row>
    <row r="158" spans="1:3" x14ac:dyDescent="0.2">
      <c r="A158" t="s">
        <v>164</v>
      </c>
      <c r="B158">
        <v>1600166</v>
      </c>
      <c r="C158" s="7">
        <f>COUNTIF($B$2:$B$183,B158)</f>
        <v>1</v>
      </c>
    </row>
    <row r="159" spans="1:3" x14ac:dyDescent="0.2">
      <c r="A159" t="s">
        <v>165</v>
      </c>
      <c r="B159">
        <v>1600015</v>
      </c>
      <c r="C159" s="7">
        <f>COUNTIF($B$2:$B$183,B159)</f>
        <v>1</v>
      </c>
    </row>
    <row r="160" spans="1:3" x14ac:dyDescent="0.2">
      <c r="A160" t="s">
        <v>105</v>
      </c>
      <c r="B160">
        <v>1603180</v>
      </c>
      <c r="C160" s="7">
        <f>COUNTIF($B$2:$B$183,B160)</f>
        <v>1</v>
      </c>
    </row>
    <row r="161" spans="1:3" x14ac:dyDescent="0.2">
      <c r="A161" t="s">
        <v>206</v>
      </c>
      <c r="B161">
        <v>1600014</v>
      </c>
      <c r="C161" s="7">
        <f>COUNTIF($B$2:$B$183,B161)</f>
        <v>1</v>
      </c>
    </row>
    <row r="162" spans="1:3" x14ac:dyDescent="0.2">
      <c r="A162" t="s">
        <v>166</v>
      </c>
      <c r="B162">
        <v>1600157</v>
      </c>
      <c r="C162" s="7">
        <f>COUNTIF($B$2:$B$183,B162)</f>
        <v>1</v>
      </c>
    </row>
    <row r="163" spans="1:3" x14ac:dyDescent="0.2">
      <c r="A163" t="s">
        <v>167</v>
      </c>
      <c r="B163">
        <v>1600194</v>
      </c>
      <c r="C163" s="7">
        <f>COUNTIF($B$2:$B$183,B163)</f>
        <v>1</v>
      </c>
    </row>
    <row r="164" spans="1:3" x14ac:dyDescent="0.2">
      <c r="A164" t="s">
        <v>106</v>
      </c>
      <c r="B164">
        <v>1603210</v>
      </c>
      <c r="C164" s="7">
        <f>COUNTIF($B$2:$B$183,B164)</f>
        <v>1</v>
      </c>
    </row>
    <row r="165" spans="1:3" x14ac:dyDescent="0.2">
      <c r="A165" t="s">
        <v>379</v>
      </c>
      <c r="B165">
        <v>1600188</v>
      </c>
      <c r="C165" s="7">
        <f>COUNTIF($B$2:$B$183,B165)</f>
        <v>1</v>
      </c>
    </row>
    <row r="166" spans="1:3" x14ac:dyDescent="0.2">
      <c r="A166" t="s">
        <v>107</v>
      </c>
      <c r="B166">
        <v>1600009</v>
      </c>
      <c r="C166" s="7">
        <f>COUNTIF($B$2:$B$183,B166)</f>
        <v>1</v>
      </c>
    </row>
    <row r="167" spans="1:3" x14ac:dyDescent="0.2">
      <c r="A167" t="s">
        <v>108</v>
      </c>
      <c r="B167">
        <v>1603240</v>
      </c>
      <c r="C167" s="7">
        <f>COUNTIF($B$2:$B$183,B167)</f>
        <v>1</v>
      </c>
    </row>
    <row r="168" spans="1:3" x14ac:dyDescent="0.2">
      <c r="A168" t="s">
        <v>168</v>
      </c>
      <c r="B168">
        <v>1600170</v>
      </c>
      <c r="C168" s="7">
        <f>COUNTIF($B$2:$B$183,B168)</f>
        <v>1</v>
      </c>
    </row>
    <row r="169" spans="1:3" x14ac:dyDescent="0.2">
      <c r="A169" t="s">
        <v>109</v>
      </c>
      <c r="B169">
        <v>1603270</v>
      </c>
      <c r="C169" s="7">
        <f>COUNTIF($B$2:$B$183,B169)</f>
        <v>1</v>
      </c>
    </row>
    <row r="170" spans="1:3" x14ac:dyDescent="0.2">
      <c r="A170" t="s">
        <v>110</v>
      </c>
      <c r="B170">
        <v>1600600</v>
      </c>
      <c r="C170" s="7">
        <f>COUNTIF($B$2:$B$183,B170)</f>
        <v>1</v>
      </c>
    </row>
    <row r="171" spans="1:3" x14ac:dyDescent="0.2">
      <c r="A171" t="s">
        <v>169</v>
      </c>
      <c r="B171">
        <v>1600003</v>
      </c>
      <c r="C171" s="7">
        <f>COUNTIF($B$2:$B$183,B171)</f>
        <v>1</v>
      </c>
    </row>
    <row r="172" spans="1:3" x14ac:dyDescent="0.2">
      <c r="A172" t="s">
        <v>170</v>
      </c>
      <c r="B172">
        <v>1600141</v>
      </c>
      <c r="C172" s="7">
        <f>COUNTIF($B$2:$B$183,B172)</f>
        <v>1</v>
      </c>
    </row>
    <row r="173" spans="1:3" x14ac:dyDescent="0.2">
      <c r="A173" t="s">
        <v>111</v>
      </c>
      <c r="B173">
        <v>1603300</v>
      </c>
      <c r="C173" s="7">
        <f>COUNTIF($B$2:$B$183,B173)</f>
        <v>1</v>
      </c>
    </row>
    <row r="174" spans="1:3" x14ac:dyDescent="0.2">
      <c r="A174" t="s">
        <v>112</v>
      </c>
      <c r="B174">
        <v>1603330</v>
      </c>
      <c r="C174" s="7">
        <f>COUNTIF($B$2:$B$183,B174)</f>
        <v>1</v>
      </c>
    </row>
    <row r="175" spans="1:3" x14ac:dyDescent="0.2">
      <c r="A175" t="s">
        <v>113</v>
      </c>
      <c r="B175">
        <v>1603360</v>
      </c>
      <c r="C175" s="7">
        <f>COUNTIF($B$2:$B$183,B175)</f>
        <v>1</v>
      </c>
    </row>
    <row r="176" spans="1:3" x14ac:dyDescent="0.2">
      <c r="A176" t="s">
        <v>115</v>
      </c>
      <c r="B176">
        <v>1600001</v>
      </c>
      <c r="C176" s="7">
        <f>COUNTIF($B$2:$B$183,B176)</f>
        <v>1</v>
      </c>
    </row>
    <row r="177" spans="1:3" x14ac:dyDescent="0.2">
      <c r="A177" t="s">
        <v>116</v>
      </c>
      <c r="B177">
        <v>1603400</v>
      </c>
      <c r="C177" s="7">
        <f>COUNTIF($B$2:$B$183,B177)</f>
        <v>1</v>
      </c>
    </row>
    <row r="178" spans="1:3" x14ac:dyDescent="0.2">
      <c r="A178" t="s">
        <v>117</v>
      </c>
      <c r="B178">
        <v>1603420</v>
      </c>
      <c r="C178" s="7">
        <f>COUNTIF($B$2:$B$183,B178)</f>
        <v>1</v>
      </c>
    </row>
    <row r="179" spans="1:3" x14ac:dyDescent="0.2">
      <c r="A179" t="s">
        <v>171</v>
      </c>
      <c r="B179">
        <v>1600142</v>
      </c>
      <c r="C179" s="7">
        <f>COUNTIF($B$2:$B$183,B179)</f>
        <v>1</v>
      </c>
    </row>
    <row r="180" spans="1:3" x14ac:dyDescent="0.2">
      <c r="A180" t="s">
        <v>118</v>
      </c>
      <c r="B180">
        <v>1600010</v>
      </c>
      <c r="C180" s="7">
        <f>COUNTIF($B$2:$B$183,B180)</f>
        <v>1</v>
      </c>
    </row>
    <row r="181" spans="1:3" x14ac:dyDescent="0.2">
      <c r="A181" t="s">
        <v>119</v>
      </c>
      <c r="B181">
        <v>1603480</v>
      </c>
      <c r="C181" s="7">
        <f>COUNTIF($B$2:$B$183,B181)</f>
        <v>1</v>
      </c>
    </row>
    <row r="182" spans="1:3" x14ac:dyDescent="0.2">
      <c r="A182" t="s">
        <v>172</v>
      </c>
      <c r="B182">
        <v>1600146</v>
      </c>
      <c r="C182" s="7">
        <f>COUNTIF($B$2:$B$183,B182)</f>
        <v>1</v>
      </c>
    </row>
    <row r="183" spans="1:3" x14ac:dyDescent="0.2">
      <c r="A183" t="s">
        <v>173</v>
      </c>
      <c r="B183">
        <v>1600140</v>
      </c>
      <c r="C183" s="7">
        <f>COUNTIF($B$2:$B$183,B183)</f>
        <v>1</v>
      </c>
    </row>
  </sheetData>
  <autoFilter ref="A1:C1" xr:uid="{EB314FF3-2378-CA45-B6A4-25685D89305E}">
    <sortState xmlns:xlrd2="http://schemas.microsoft.com/office/spreadsheetml/2017/richdata2" ref="A2:C183">
      <sortCondition descending="1" ref="C1:C183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Data</vt:lpstr>
      <vt:lpstr>GASB 68 Data --&gt;</vt:lpstr>
      <vt:lpstr>Collected Data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2025-02-14T17:56:24Z</dcterms:created>
  <dcterms:modified xsi:type="dcterms:W3CDTF">2025-02-20T18:47:08Z</dcterms:modified>
</cp:coreProperties>
</file>